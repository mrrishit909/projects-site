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Controls" sheetId="2" state="visible" r:id="rId4"/>
    <sheet name="Checks" sheetId="3" state="visible" r:id="rId5"/>
    <sheet name="Portfolio" sheetId="4" state="visible" r:id="rId6"/>
    <sheet name="Initiatives" sheetId="5" state="visible" r:id="rId7"/>
    <sheet name="Cash flow" sheetId="6" state="visible" r:id="rId8"/>
    <sheet name="Golden case" sheetId="7" state="visible" r:id="rId9"/>
    <sheet name="Assumptions" sheetId="8" state="visible" r:id="rId10"/>
    <sheet name="Benefits" sheetId="9" state="visible" r:id="rId11"/>
    <sheet name="Costs" sheetId="10" state="visible" r:id="rId12"/>
    <sheet name="Scenario inputs" sheetId="11" state="visible" r:id="rId13"/>
    <sheet name="Scenarios" sheetId="12" state="visible" r:id="rId14"/>
    <sheet name="Periods" sheetId="13" state="visible" r:id="rId15"/>
    <sheet name="Domain reference" sheetId="14" state="visible" r:id="rId16"/>
    <sheet name="SQL results (pasted)" sheetId="15" state="visible" r:id="rId17"/>
  </sheet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<sst xmlns="http://schemas.openxmlformats.org/spreadsheetml/2006/main" count="9699" uniqueCount="2287">
  <si>
    <t xml:space="preserve">ChangeWorks analyst workbook (P09-ART-05)</t>
  </si>
  <si>
    <t xml:space="preserve">What it is</t>
  </si>
  <si>
    <t xml:space="preserve">A formula-driven recomputation of the ChangeWorks scenario model over the published synthetic snapshot cw-20261026-20261026 (dataset hash 6bf7ebaad6bf75084c82c41de1031d6d585af730c8a22979ed7c77df2a38e3a9, code revision 29948f9, as-of 2026-10-05T00:00:00Z): 24 initiatives, 30 scenarios, 900 cost rows, 700 benefit rows, 36 monthly periods from 2026-01.</t>
  </si>
  <si>
    <t xml:space="preserve">The decision</t>
  </si>
  <si>
    <t xml:space="preserve">Which transformation initiative should be funded and how will success be established? The workbook shows each initiative's dated cash flow, NPV and both paybacks in the selected scenario, the four benefit classes kept apart and the attributable portfolio NPV beside the plain sum. Nothing here funds anything: a selected scenario is a proposal.</t>
  </si>
  <si>
    <t xml:space="preserve">Synthetic data</t>
  </si>
  <si>
    <t xml:space="preserve">Everything is synthetic (a seeded generator). Observed = what this one draw shows; constructed = what the generator built in on purpose (its designed relationships DR-01..DR-07 and injected defects INJ-01..INJ-12); every NPV is a plan estimate; no benefit to a real organisation is claimed.</t>
  </si>
  <si>
    <t xml:space="preserve">How to use it</t>
  </si>
  <si>
    <t xml:space="preserve">Open the .xlsx in any spreadsheet application; nothing needs installing to read the cached values. Controls!B3 switches the scenario; Controls!B4 overrides the period rate; Checks!B2 is TRUE when every figure agrees with the Python domain, the SQL ledger and the golden hand answer.</t>
  </si>
  <si>
    <t xml:space="preserve">Recalculation status</t>
  </si>
  <si>
    <t xml:space="preserve">openpyxl wrote formulas only; LibreOffice (headless) recalculated the delivered file. Microsoft Excel was NOT run: nothing here was opened or recalculated by Excel (docs/workbook.md).</t>
  </si>
  <si>
    <t xml:space="preserve">Sheets</t>
  </si>
  <si>
    <t xml:space="preserve">Controls, Checks, Portfolio, Initiatives, Cash flow, Golden case, Assumptions (read-this-first limits), data sheets (Benefits, Costs, Scenario inputs, Scenarios, Periods), Domain reference (pasted values), SQL results (pasted).</t>
  </si>
  <si>
    <t xml:space="preserve">Colour</t>
  </si>
  <si>
    <t xml:space="preserve">Blue = typed input or pasted value; black = formula.</t>
  </si>
  <si>
    <t xml:space="preserve">Controls</t>
  </si>
  <si>
    <t xml:space="preserve">Change B3 to any stored scenario: every sheet follows it. B4 overrides the period rate (blank = the scenario's own rate; the checks against the domain stand down while it is set). Blue cells are inputs.</t>
  </si>
  <si>
    <t xml:space="preserve">Scenario (switch)</t>
  </si>
  <si>
    <t xml:space="preserve">scn-025</t>
  </si>
  <si>
    <t xml:space="preserve">Period-rate override (blank = the scenario's rate)</t>
  </si>
  <si>
    <t xml:space="preserve">Period basis of the dataset</t>
  </si>
  <si>
    <t xml:space="preserve">monthly</t>
  </si>
  <si>
    <t xml:space="preserve">As-of (UTC)</t>
  </si>
  <si>
    <t xml:space="preserve">First period starts</t>
  </si>
  <si>
    <t xml:space="preserve">Selected scenario's declared rate and basis</t>
  </si>
  <si>
    <t xml:space="preserve">Rate source</t>
  </si>
  <si>
    <t xml:space="preserve">Effective period rate used</t>
  </si>
  <si>
    <t xml:space="preserve">Horizon (periods)</t>
  </si>
  <si>
    <t xml:space="preserve">Matured periods at the as-of</t>
  </si>
  <si>
    <t xml:space="preserve">All checks pass (Checks!B2)</t>
  </si>
  <si>
    <t xml:space="preserve">Attributable NPV of the selected scenario (Portfolio!B19)</t>
  </si>
  <si>
    <t xml:space="preserve">Checks: TRUE when every comparison with the Python domain, the SQL ledger and the golden hand answer holds</t>
  </si>
  <si>
    <t xml:space="preserve">All checks pass</t>
  </si>
  <si>
    <t xml:space="preserve">check</t>
  </si>
  <si>
    <t xml:space="preserve">result</t>
  </si>
  <si>
    <t xml:space="preserve">Every benefit row has a class when its initiative is in the scenario and the row is inside the horizon, and none otherwise</t>
  </si>
  <si>
    <t xml:space="preserve">Every recurring cost row expands to end - start periods and every one-time row to exactly one (Costs!L)</t>
  </si>
  <si>
    <t xml:space="preserve">The scenario switch names a stored scenario</t>
  </si>
  <si>
    <t xml:space="preserve">The portfolio ledger of the selected scenario: four benefit classes apart, the attributable totals beside the plain sums, checked against the domain and the SQL ledger</t>
  </si>
  <si>
    <t xml:space="preserve">Column B is a formula over the data sheets; C is the reference (pasted, `Domain reference`); D is the tolerance; E is TRUE when they agree (or when the rate override is in use: see Controls!B4).</t>
  </si>
  <si>
    <t xml:space="preserve">measure (USD unless hours)</t>
  </si>
  <si>
    <t xml:space="preserve">workbook (formula)</t>
  </si>
  <si>
    <t xml:space="preserve">reference (pasted)</t>
  </si>
  <si>
    <t xml:space="preserve">tolerance</t>
  </si>
  <si>
    <t xml:space="preserve">initiatives in the scenario</t>
  </si>
  <si>
    <t xml:space="preserve">planned costs (inside the horizon, recurring rows expanded)</t>
  </si>
  <si>
    <t xml:space="preserve">cash benefits (enter the flow)</t>
  </si>
  <si>
    <t xml:space="preserve">revenue (enters the flow)</t>
  </si>
  <si>
    <t xml:space="preserve">avoided cost realised (cash_realisation and evidence)</t>
  </si>
  <si>
    <t xml:space="preserve">capacity converted to money (a conversion rate with staffing evidence)</t>
  </si>
  <si>
    <t xml:space="preserve">avoided cost beside the cash flow (never in it)</t>
  </si>
  <si>
    <t xml:space="preserve">capacity hours not converted (hours, never added to dollars)</t>
  </si>
  <si>
    <t xml:space="preserve">planned benefits: the plain sum of the money claims</t>
  </si>
  <si>
    <t xml:space="preserve">double-counted amount (the residual): claims beyond the largest of a shared key</t>
  </si>
  <si>
    <t xml:space="preserve">attributable benefits</t>
  </si>
  <si>
    <t xml:space="preserve">capacity hours planned (every capacity row, converted or not)</t>
  </si>
  <si>
    <t xml:space="preserve">hours residual (shared capacity counted twice)</t>
  </si>
  <si>
    <t xml:space="preserve">NPV, plain sum of the initiative NPVs</t>
  </si>
  <si>
    <t xml:space="preserve">present value of the claims counted twice (double_counted_pv)</t>
  </si>
  <si>
    <t xml:space="preserve">NPV, attributable (the headline)</t>
  </si>
  <si>
    <t xml:space="preserve">initiatives that never pay back (simple)</t>
  </si>
  <si>
    <t xml:space="preserve">Each initiative in the selected scenario: costs, benefits entering, NPV, both paybacks by the last crossing, checked against the domain</t>
  </si>
  <si>
    <t xml:space="preserve">A payback is the first period after the last negative cumulative; never negative = NO_INVESTMENT; ending negative = NOT_RECOVERED; no rows at all = NO_FLOWS (R9-12). Checks compare with `Domain reference` for the same scenario.</t>
  </si>
  <si>
    <t xml:space="preserve">initiative_id</t>
  </si>
  <si>
    <t xml:space="preserve">member</t>
  </si>
  <si>
    <t xml:space="preserve">has_flows</t>
  </si>
  <si>
    <t xml:space="preserve">planned_costs</t>
  </si>
  <si>
    <t xml:space="preserve">benefits_entering</t>
  </si>
  <si>
    <t xml:space="preserve">net_total</t>
  </si>
  <si>
    <t xml:space="preserve">npv</t>
  </si>
  <si>
    <t xml:space="preserve">negatives</t>
  </si>
  <si>
    <t xml:space="preserve">last_negative_plus_1</t>
  </si>
  <si>
    <t xml:space="preserve">simple_payback</t>
  </si>
  <si>
    <t xml:space="preserve">simple_reason</t>
  </si>
  <si>
    <t xml:space="preserve">simple_interpolated</t>
  </si>
  <si>
    <t xml:space="preserve">negatives_discounted</t>
  </si>
  <si>
    <t xml:space="preserve">last_negative_discounted_plus_1</t>
  </si>
  <si>
    <t xml:space="preserve">discounted_payback</t>
  </si>
  <si>
    <t xml:space="preserve">discounted_reason</t>
  </si>
  <si>
    <t xml:space="preserve">discounted_interpolated</t>
  </si>
  <si>
    <t xml:space="preserve">domain npv</t>
  </si>
  <si>
    <t xml:space="preserve">domain simple</t>
  </si>
  <si>
    <t xml:space="preserve">domain discounted</t>
  </si>
  <si>
    <t xml:space="preserve">init-001</t>
  </si>
  <si>
    <t xml:space="preserve">init-002</t>
  </si>
  <si>
    <t xml:space="preserve">init-003</t>
  </si>
  <si>
    <t xml:space="preserve">init-004</t>
  </si>
  <si>
    <t xml:space="preserve">init-005</t>
  </si>
  <si>
    <t xml:space="preserve">init-006</t>
  </si>
  <si>
    <t xml:space="preserve">init-007</t>
  </si>
  <si>
    <t xml:space="preserve">init-008</t>
  </si>
  <si>
    <t xml:space="preserve">init-009</t>
  </si>
  <si>
    <t xml:space="preserve">init-010</t>
  </si>
  <si>
    <t xml:space="preserve">init-011</t>
  </si>
  <si>
    <t xml:space="preserve">init-012</t>
  </si>
  <si>
    <t xml:space="preserve">init-013</t>
  </si>
  <si>
    <t xml:space="preserve">init-014</t>
  </si>
  <si>
    <t xml:space="preserve">init-015</t>
  </si>
  <si>
    <t xml:space="preserve">init-016</t>
  </si>
  <si>
    <t xml:space="preserve">init-017</t>
  </si>
  <si>
    <t xml:space="preserve">init-018</t>
  </si>
  <si>
    <t xml:space="preserve">init-019</t>
  </si>
  <si>
    <t xml:space="preserve">init-020</t>
  </si>
  <si>
    <t xml:space="preserve">init-021</t>
  </si>
  <si>
    <t xml:space="preserve">init-022</t>
  </si>
  <si>
    <t xml:space="preserve">init-023</t>
  </si>
  <si>
    <t xml:space="preserve">init-024</t>
  </si>
  <si>
    <t xml:space="preserve">The dated cash flow of every initiative in the selected scenario (formulas only)</t>
  </si>
  <si>
    <t xml:space="preserve">Rows past the horizon or for initiatives outside the scenario are 0. costs = planned rows whose half-open range holds the period; the four classes enter the flow; capacity hours and the avoided cost beside never do.</t>
  </si>
  <si>
    <t xml:space="preserve">period_index</t>
  </si>
  <si>
    <t xml:space="preserve">active</t>
  </si>
  <si>
    <t xml:space="preserve">costs</t>
  </si>
  <si>
    <t xml:space="preserve">cash</t>
  </si>
  <si>
    <t xml:space="preserve">revenue</t>
  </si>
  <si>
    <t xml:space="preserve">avoided_cost_realised</t>
  </si>
  <si>
    <t xml:space="preserve">capacity_converted</t>
  </si>
  <si>
    <t xml:space="preserve">benefits</t>
  </si>
  <si>
    <t xml:space="preserve">net_cash_flow</t>
  </si>
  <si>
    <t xml:space="preserve">cumulative</t>
  </si>
  <si>
    <t xml:space="preserve">discount_factor</t>
  </si>
  <si>
    <t xml:space="preserve">discounted</t>
  </si>
  <si>
    <t xml:space="preserve">cumulative_discounted</t>
  </si>
  <si>
    <t xml:space="preserve">negative</t>
  </si>
  <si>
    <t xml:space="preserve">negative_discounted</t>
  </si>
  <si>
    <t xml:space="preserve">The known answer (P09-GOLD-01) by hand, with formulas, against tests/fixtures/golden/expected.json</t>
  </si>
  <si>
    <t xml:space="preserve">Cost 1000 at period 0, net inflows 600 at periods 1 and 2, 10 % annual on annual periods. Blue cells are typed from the fixture; every figure in column C is a formula.</t>
  </si>
  <si>
    <t xml:space="preserve">input or figure</t>
  </si>
  <si>
    <t xml:space="preserve">value (typed)</t>
  </si>
  <si>
    <t xml:space="preserve">formula result</t>
  </si>
  <si>
    <t xml:space="preserve">expected.json / hand answer</t>
  </si>
  <si>
    <t xml:space="preserve">rate per period (annual on annual periods)</t>
  </si>
  <si>
    <t xml:space="preserve">init-001 net cash flow at period 0</t>
  </si>
  <si>
    <t xml:space="preserve">init-001 net cash flow at period 1 (600 cash; the 400 capacity hours stay out)</t>
  </si>
  <si>
    <t xml:space="preserve">init-001 net cash flow at period 2</t>
  </si>
  <si>
    <t xml:space="preserve">init-001 NPV = -1000 + 600/1.1 + 600/1.1^2</t>
  </si>
  <si>
    <t xml:space="preserve">init-001 NPV exactly 5000/121</t>
  </si>
  <si>
    <t xml:space="preserve">init-001 simple payback period (first period after the last negative cumulative)</t>
  </si>
  <si>
    <t xml:space="preserve">init-001 simple payback, interpolated (t-1) + (-cum[t-1]) / (cum[t] - cum[t-1])</t>
  </si>
  <si>
    <t xml:space="preserve">init-001 discounted payback period</t>
  </si>
  <si>
    <t xml:space="preserve">init-001 discounted payback, interpolated</t>
  </si>
  <si>
    <t xml:space="preserve">init-002 net cash flow at periods 0, 1, 2 (ramped)</t>
  </si>
  <si>
    <t xml:space="preserve">-500, 100, 425</t>
  </si>
  <si>
    <t xml:space="preserve">init-002 NPV = -500 + 100/1.1 + 425/1.1^2 = -7000/121</t>
  </si>
  <si>
    <t xml:space="preserve">init-003 NPV = -800 + 150/1.1^2 = -81800/121 (never pays back)</t>
  </si>
  <si>
    <t xml:space="preserve">sum of the three initiative NPVs = -83800/121</t>
  </si>
  <si>
    <t xml:space="preserve">the 75.00 claimed twice (cost-line:CC-4410, period 2), present value 75/1.1^2 = 7500/121</t>
  </si>
  <si>
    <t xml:space="preserve">attributable NPV = plain sum - present value counted twice = -8300/11</t>
  </si>
  <si>
    <t xml:space="preserve">simple and discounted paybacks are labelled separately and both are found for init-001</t>
  </si>
  <si>
    <t xml:space="preserve">Assumptions and limits</t>
  </si>
  <si>
    <t xml:space="preserve">id</t>
  </si>
  <si>
    <t xml:space="preserve">statement</t>
  </si>
  <si>
    <t xml:space="preserve">A-01</t>
  </si>
  <si>
    <t xml:space="preserve">Four benefit classes, never summed into one number (D-01): cash and revenue enter the net cash flow; avoided cost enters only with cash_realisation and a non-blank evidence_ref, otherwise it is reported beside the flow; capacity hours never enter unless the scenario's capacity_hourly_rate carries a staffing_change_evidence_ref, when each row becomes a separate derived cash item (hours x rate).</t>
  </si>
  <si>
    <t xml:space="preserve">A-02</t>
  </si>
  <si>
    <t xml:space="preserve">A recurring cost is one row per period of its half-open range [start_period, end_period); a one-time cost sits in exactly its period_index (D-01, D-P9-16). Only planned rows enter the flow.</t>
  </si>
  <si>
    <t xml:space="preserve">A-03</t>
  </si>
  <si>
    <t xml:space="preserve">NPV = sum over t &lt; horizon of net_t / (1 + r)^t with r the period rate: the declared rate when its basis is the period basis, else the recorded 6-place monthly conversion (D-P9-06).</t>
  </si>
  <si>
    <t xml:space="preserve">A-04</t>
  </si>
  <si>
    <t xml:space="preserve">Payback (simple and discounted, labelled separately) = the first period after the last negative cumulative, interpolated (t-1) + (-cum[t-1]) / (cum[t] - cum[t-1]); null with a reason (NO_INVESTMENT, NOT_RECOVERED, NO_FLOWS), never 0 (D-09 R9-12).</t>
  </si>
  <si>
    <t xml:space="preserve">A-05</t>
  </si>
  <si>
    <t xml:space="preserve">Double count (D-01, R9-02, R9-03): money claims sharing a benefit_source_key in one period across two or more initiatives count once, at the largest (ties: the claim that enters the flow, then the smaller initiative and benefit id). The attributable NPV is the plain sum less the present value of the claims counted twice. Hours follow the same rule separately.</t>
  </si>
  <si>
    <t xml:space="preserve">A-06</t>
  </si>
  <si>
    <t xml:space="preserve">The adoption ramp multiplies each benefit row from its own starts_period, the last value held (D-P9-02); the unramped plan is not shown here (it is in the domain's output).</t>
  </si>
  <si>
    <t xml:space="preserve">W-01</t>
  </si>
  <si>
    <t xml:space="preserve">Observed, constructed and hypothetical results are kept apart: the NPVs and paybacks are plan estimates of one synthetic draw; the designed relationships are constructed; no real benefit is claimed.</t>
  </si>
  <si>
    <t xml:space="preserve">W-02</t>
  </si>
  <si>
    <t xml:space="preserve">TYPED from the independent Python side, not replayed by formulas: which assumption version each scenario uses for each initiative (the pinned one, else the latest created by the scenario's created_at) and therefore its ramp and conversion rate (`Scenario inputs`). Every result is compared with the Python domain after recalculation.</t>
  </si>
  <si>
    <t xml:space="preserve">W-03</t>
  </si>
  <si>
    <t xml:space="preserve">Recalculation: openpyxl writes formulas only; the delivered file was recalculated by LibreOffice headless and carries its cached values; Excel was NOT run. fullCalcOnLoad is set so Excel recalculates on open. Functions used: SUMIFS, COUNTIFS, COUNTIF, SUMPRODUCT, INDEX, MATCH, IF, IFERROR, ISNUMBER, AND, OR, NOT, MIN, MAX, SUM, ABS, ROUND, LEN, TRIM, DATE, YEAR, MONTH, DAY, N (no _xlfn functions).</t>
  </si>
  <si>
    <t xml:space="preserve">W-04</t>
  </si>
  <si>
    <t xml:space="preserve">Spreadsheet arithmetic is binary floating point; the domain's figures are exact rationals rounded once. Money checks use a tolerance of 0.005 USD; the exact figures are in the SQL analysis and the domain.</t>
  </si>
  <si>
    <t xml:space="preserve">W-05</t>
  </si>
  <si>
    <t xml:space="preserve">The rate override (Controls!B4) is an analyst's what-if: while it is set the checks against the domain stand down (they would compare different rates). The workbook has no macros, no external links and no credentials.</t>
  </si>
  <si>
    <t xml:space="preserve">W-06</t>
  </si>
  <si>
    <t xml:space="preserve">Rows recorded after a scenario's created_at would not belong to it (R9-01); no row of the published world carries a recorded_at, so every row is used.</t>
  </si>
  <si>
    <t xml:space="preserve">700 benefit rows (typed) and their treatment in the selected scenario (formulas)</t>
  </si>
  <si>
    <t xml:space="preserve">row = the line of Scenario inputs for (Controls!B3, initiative), 0 when the initiative is not in the scenario; class follows D-01; money is USD (hours x rate for converted capacity); the double-count columns rank the claims of one source key in one period.</t>
  </si>
  <si>
    <t xml:space="preserve">benefit_id</t>
  </si>
  <si>
    <t xml:space="preserve">init_no</t>
  </si>
  <si>
    <t xml:space="preserve">benefit_no</t>
  </si>
  <si>
    <t xml:space="preserve">benefit_type</t>
  </si>
  <si>
    <t xml:space="preserve">starts_period</t>
  </si>
  <si>
    <t xml:space="preserve">amount</t>
  </si>
  <si>
    <t xml:space="preserve">cash_realisation</t>
  </si>
  <si>
    <t xml:space="preserve">evidence_ref</t>
  </si>
  <si>
    <t xml:space="preserve">benefit_source_key</t>
  </si>
  <si>
    <t xml:space="preserve">baseline_trend</t>
  </si>
  <si>
    <t xml:space="preserve">row</t>
  </si>
  <si>
    <t xml:space="preserve">in_scenario</t>
  </si>
  <si>
    <t xml:space="preserve">ramp_factor</t>
  </si>
  <si>
    <t xml:space="preserve">ramped</t>
  </si>
  <si>
    <t xml:space="preserve">capacity_rate</t>
  </si>
  <si>
    <t xml:space="preserve">class</t>
  </si>
  <si>
    <t xml:space="preserve">money</t>
  </si>
  <si>
    <t xml:space="preserve">enters</t>
  </si>
  <si>
    <t xml:space="preserve">claim</t>
  </si>
  <si>
    <t xml:space="preserve">other_claimants</t>
  </si>
  <si>
    <t xml:space="preserve">claim_rank</t>
  </si>
  <si>
    <t xml:space="preserve">removed</t>
  </si>
  <si>
    <t xml:space="preserve">removed_pv</t>
  </si>
  <si>
    <t xml:space="preserve">hour_claim</t>
  </si>
  <si>
    <t xml:space="preserve">hour_other</t>
  </si>
  <si>
    <t xml:space="preserve">hour_rank</t>
  </si>
  <si>
    <t xml:space="preserve">hours_removed</t>
  </si>
  <si>
    <t xml:space="preserve">b-0001</t>
  </si>
  <si>
    <t xml:space="preserve">avoided_cost</t>
  </si>
  <si>
    <t xml:space="preserve">ev:budget-line-001-1</t>
  </si>
  <si>
    <t xml:space="preserve">src-001-late-fee-avoidance</t>
  </si>
  <si>
    <t xml:space="preserve">b-0002</t>
  </si>
  <si>
    <t xml:space="preserve">b-0003</t>
  </si>
  <si>
    <t xml:space="preserve">b-0004</t>
  </si>
  <si>
    <t xml:space="preserve">b-0005</t>
  </si>
  <si>
    <t xml:space="preserve">b-0006</t>
  </si>
  <si>
    <t xml:space="preserve">b-0007</t>
  </si>
  <si>
    <t xml:space="preserve">b-0008</t>
  </si>
  <si>
    <t xml:space="preserve">b-0009</t>
  </si>
  <si>
    <t xml:space="preserve">b-0010</t>
  </si>
  <si>
    <t xml:space="preserve">b-0011</t>
  </si>
  <si>
    <t xml:space="preserve">b-0012</t>
  </si>
  <si>
    <t xml:space="preserve">b-0013</t>
  </si>
  <si>
    <t xml:space="preserve">src-001-early-payment-discounts</t>
  </si>
  <si>
    <t xml:space="preserve">b-0014</t>
  </si>
  <si>
    <t xml:space="preserve">b-0015</t>
  </si>
  <si>
    <t xml:space="preserve">b-0016</t>
  </si>
  <si>
    <t xml:space="preserve">b-0017</t>
  </si>
  <si>
    <t xml:space="preserve">b-0018</t>
  </si>
  <si>
    <t xml:space="preserve">b-0019</t>
  </si>
  <si>
    <t xml:space="preserve">b-0020</t>
  </si>
  <si>
    <t xml:space="preserve">b-0021</t>
  </si>
  <si>
    <t xml:space="preserve">b-0022</t>
  </si>
  <si>
    <t xml:space="preserve">b-0023</t>
  </si>
  <si>
    <t xml:space="preserve">b-0024</t>
  </si>
  <si>
    <t xml:space="preserve">b-0025</t>
  </si>
  <si>
    <t xml:space="preserve">capacity</t>
  </si>
  <si>
    <t xml:space="preserve">src-fin-ap-shared-team</t>
  </si>
  <si>
    <t xml:space="preserve">b-0026</t>
  </si>
  <si>
    <t xml:space="preserve">b-0027</t>
  </si>
  <si>
    <t xml:space="preserve">b-0028</t>
  </si>
  <si>
    <t xml:space="preserve">b-0029</t>
  </si>
  <si>
    <t xml:space="preserve">b-0030</t>
  </si>
  <si>
    <t xml:space="preserve">b-0031</t>
  </si>
  <si>
    <t xml:space="preserve">b-0032</t>
  </si>
  <si>
    <t xml:space="preserve">b-0033</t>
  </si>
  <si>
    <t xml:space="preserve">b-0034</t>
  </si>
  <si>
    <t xml:space="preserve">b-0035</t>
  </si>
  <si>
    <t xml:space="preserve">b-0036</t>
  </si>
  <si>
    <t xml:space="preserve">b-0037</t>
  </si>
  <si>
    <t xml:space="preserve">src-002-bank-fee-reduction</t>
  </si>
  <si>
    <t xml:space="preserve">b-0038</t>
  </si>
  <si>
    <t xml:space="preserve">b-0039</t>
  </si>
  <si>
    <t xml:space="preserve">b-0040</t>
  </si>
  <si>
    <t xml:space="preserve">b-0041</t>
  </si>
  <si>
    <t xml:space="preserve">b-0042</t>
  </si>
  <si>
    <t xml:space="preserve">b-0043</t>
  </si>
  <si>
    <t xml:space="preserve">b-0044</t>
  </si>
  <si>
    <t xml:space="preserve">b-0045</t>
  </si>
  <si>
    <t xml:space="preserve">b-0046</t>
  </si>
  <si>
    <t xml:space="preserve">b-0047</t>
  </si>
  <si>
    <t xml:space="preserve">b-0048</t>
  </si>
  <si>
    <t xml:space="preserve">b-0049</t>
  </si>
  <si>
    <t xml:space="preserve">src-002-audit-fee-avoidance</t>
  </si>
  <si>
    <t xml:space="preserve">b-0050</t>
  </si>
  <si>
    <t xml:space="preserve">b-0051</t>
  </si>
  <si>
    <t xml:space="preserve">b-0052</t>
  </si>
  <si>
    <t xml:space="preserve">b-0053</t>
  </si>
  <si>
    <t xml:space="preserve">b-0054</t>
  </si>
  <si>
    <t xml:space="preserve">b-0055</t>
  </si>
  <si>
    <t xml:space="preserve">b-0056</t>
  </si>
  <si>
    <t xml:space="preserve">b-0057</t>
  </si>
  <si>
    <t xml:space="preserve">b-0058</t>
  </si>
  <si>
    <t xml:space="preserve">b-0059</t>
  </si>
  <si>
    <t xml:space="preserve">b-0060</t>
  </si>
  <si>
    <t xml:space="preserve">b-0061</t>
  </si>
  <si>
    <t xml:space="preserve">b-0062</t>
  </si>
  <si>
    <t xml:space="preserve">b-0063</t>
  </si>
  <si>
    <t xml:space="preserve">b-0064</t>
  </si>
  <si>
    <t xml:space="preserve">b-0065</t>
  </si>
  <si>
    <t xml:space="preserve">b-0066</t>
  </si>
  <si>
    <t xml:space="preserve">b-0067</t>
  </si>
  <si>
    <t xml:space="preserve">b-0068</t>
  </si>
  <si>
    <t xml:space="preserve">b-0069</t>
  </si>
  <si>
    <t xml:space="preserve">b-0070</t>
  </si>
  <si>
    <t xml:space="preserve">b-0071</t>
  </si>
  <si>
    <t xml:space="preserve">b-0072</t>
  </si>
  <si>
    <t xml:space="preserve">b-0073</t>
  </si>
  <si>
    <t xml:space="preserve">src-003-card-rebates-and-recoveries</t>
  </si>
  <si>
    <t xml:space="preserve">b-0074</t>
  </si>
  <si>
    <t xml:space="preserve">b-0075</t>
  </si>
  <si>
    <t xml:space="preserve">b-0076</t>
  </si>
  <si>
    <t xml:space="preserve">b-0077</t>
  </si>
  <si>
    <t xml:space="preserve">b-0078</t>
  </si>
  <si>
    <t xml:space="preserve">b-0079</t>
  </si>
  <si>
    <t xml:space="preserve">b-0080</t>
  </si>
  <si>
    <t xml:space="preserve">b-0081</t>
  </si>
  <si>
    <t xml:space="preserve">b-0082</t>
  </si>
  <si>
    <t xml:space="preserve">b-0083</t>
  </si>
  <si>
    <t xml:space="preserve">b-0084</t>
  </si>
  <si>
    <t xml:space="preserve">b-0085</t>
  </si>
  <si>
    <t xml:space="preserve">src-003-travel-policy-savings</t>
  </si>
  <si>
    <t xml:space="preserve">b-0086</t>
  </si>
  <si>
    <t xml:space="preserve">b-0087</t>
  </si>
  <si>
    <t xml:space="preserve">b-0088</t>
  </si>
  <si>
    <t xml:space="preserve">b-0089</t>
  </si>
  <si>
    <t xml:space="preserve">b-0090</t>
  </si>
  <si>
    <t xml:space="preserve">b-0091</t>
  </si>
  <si>
    <t xml:space="preserve">b-0092</t>
  </si>
  <si>
    <t xml:space="preserve">b-0093</t>
  </si>
  <si>
    <t xml:space="preserve">b-0094</t>
  </si>
  <si>
    <t xml:space="preserve">b-0095</t>
  </si>
  <si>
    <t xml:space="preserve">b-0096</t>
  </si>
  <si>
    <t xml:space="preserve">b-0097</t>
  </si>
  <si>
    <t xml:space="preserve">src-003-review-time</t>
  </si>
  <si>
    <t xml:space="preserve">b-0098</t>
  </si>
  <si>
    <t xml:space="preserve">b-0099</t>
  </si>
  <si>
    <t xml:space="preserve">b-0100</t>
  </si>
  <si>
    <t xml:space="preserve">b-0101</t>
  </si>
  <si>
    <t xml:space="preserve">b-0102</t>
  </si>
  <si>
    <t xml:space="preserve">b-0103</t>
  </si>
  <si>
    <t xml:space="preserve">b-0104</t>
  </si>
  <si>
    <t xml:space="preserve">b-0105</t>
  </si>
  <si>
    <t xml:space="preserve">b-0106</t>
  </si>
  <si>
    <t xml:space="preserve">b-0107</t>
  </si>
  <si>
    <t xml:space="preserve">b-0108</t>
  </si>
  <si>
    <t xml:space="preserve">b-0109</t>
  </si>
  <si>
    <t xml:space="preserve">ev:budget-line-004-1</t>
  </si>
  <si>
    <t xml:space="preserve">src-004-temp-staffing-line</t>
  </si>
  <si>
    <t xml:space="preserve">b-0110</t>
  </si>
  <si>
    <t xml:space="preserve">b-0111</t>
  </si>
  <si>
    <t xml:space="preserve">b-0112</t>
  </si>
  <si>
    <t xml:space="preserve">b-0113</t>
  </si>
  <si>
    <t xml:space="preserve">b-0114</t>
  </si>
  <si>
    <t xml:space="preserve">b-0115</t>
  </si>
  <si>
    <t xml:space="preserve">b-0116</t>
  </si>
  <si>
    <t xml:space="preserve">b-0117</t>
  </si>
  <si>
    <t xml:space="preserve">b-0118</t>
  </si>
  <si>
    <t xml:space="preserve">b-0119</t>
  </si>
  <si>
    <t xml:space="preserve">b-0120</t>
  </si>
  <si>
    <t xml:space="preserve">b-0121</t>
  </si>
  <si>
    <t xml:space="preserve">src-004-close-interest-income</t>
  </si>
  <si>
    <t xml:space="preserve">b-0122</t>
  </si>
  <si>
    <t xml:space="preserve">b-0123</t>
  </si>
  <si>
    <t xml:space="preserve">b-0124</t>
  </si>
  <si>
    <t xml:space="preserve">b-0125</t>
  </si>
  <si>
    <t xml:space="preserve">b-0126</t>
  </si>
  <si>
    <t xml:space="preserve">b-0127</t>
  </si>
  <si>
    <t xml:space="preserve">b-0128</t>
  </si>
  <si>
    <t xml:space="preserve">b-0129</t>
  </si>
  <si>
    <t xml:space="preserve">b-0130</t>
  </si>
  <si>
    <t xml:space="preserve">b-0131</t>
  </si>
  <si>
    <t xml:space="preserve">b-0132</t>
  </si>
  <si>
    <t xml:space="preserve">b-0133</t>
  </si>
  <si>
    <t xml:space="preserve">src-004-close-effort</t>
  </si>
  <si>
    <t xml:space="preserve">b-0134</t>
  </si>
  <si>
    <t xml:space="preserve">b-0135</t>
  </si>
  <si>
    <t xml:space="preserve">b-0136</t>
  </si>
  <si>
    <t xml:space="preserve">b-0137</t>
  </si>
  <si>
    <t xml:space="preserve">b-0138</t>
  </si>
  <si>
    <t xml:space="preserve">b-0139</t>
  </si>
  <si>
    <t xml:space="preserve">b-0140</t>
  </si>
  <si>
    <t xml:space="preserve">b-0141</t>
  </si>
  <si>
    <t xml:space="preserve">b-0142</t>
  </si>
  <si>
    <t xml:space="preserve">b-0143</t>
  </si>
  <si>
    <t xml:space="preserve">b-0144</t>
  </si>
  <si>
    <t xml:space="preserve">b-0145</t>
  </si>
  <si>
    <t xml:space="preserve">src-005-overdue-balance-release</t>
  </si>
  <si>
    <t xml:space="preserve">b-0146</t>
  </si>
  <si>
    <t xml:space="preserve">b-0147</t>
  </si>
  <si>
    <t xml:space="preserve">b-0148</t>
  </si>
  <si>
    <t xml:space="preserve">b-0149</t>
  </si>
  <si>
    <t xml:space="preserve">b-0150</t>
  </si>
  <si>
    <t xml:space="preserve">b-0151</t>
  </si>
  <si>
    <t xml:space="preserve">b-0152</t>
  </si>
  <si>
    <t xml:space="preserve">b-0153</t>
  </si>
  <si>
    <t xml:space="preserve">b-0154</t>
  </si>
  <si>
    <t xml:space="preserve">b-0155</t>
  </si>
  <si>
    <t xml:space="preserve">b-0156</t>
  </si>
  <si>
    <t xml:space="preserve">b-0157</t>
  </si>
  <si>
    <t xml:space="preserve">src-005-collector-time</t>
  </si>
  <si>
    <t xml:space="preserve">b-0158</t>
  </si>
  <si>
    <t xml:space="preserve">b-0159</t>
  </si>
  <si>
    <t xml:space="preserve">b-0160</t>
  </si>
  <si>
    <t xml:space="preserve">b-0161</t>
  </si>
  <si>
    <t xml:space="preserve">b-0162</t>
  </si>
  <si>
    <t xml:space="preserve">b-0163</t>
  </si>
  <si>
    <t xml:space="preserve">b-0164</t>
  </si>
  <si>
    <t xml:space="preserve">b-0165</t>
  </si>
  <si>
    <t xml:space="preserve">b-0166</t>
  </si>
  <si>
    <t xml:space="preserve">b-0167</t>
  </si>
  <si>
    <t xml:space="preserve">b-0168</t>
  </si>
  <si>
    <t xml:space="preserve">b-0169</t>
  </si>
  <si>
    <t xml:space="preserve">src-006-onboarding-cost-avoided</t>
  </si>
  <si>
    <t xml:space="preserve">b-0170</t>
  </si>
  <si>
    <t xml:space="preserve">b-0171</t>
  </si>
  <si>
    <t xml:space="preserve">b-0172</t>
  </si>
  <si>
    <t xml:space="preserve">b-0173</t>
  </si>
  <si>
    <t xml:space="preserve">b-0174</t>
  </si>
  <si>
    <t xml:space="preserve">b-0175</t>
  </si>
  <si>
    <t xml:space="preserve">b-0176</t>
  </si>
  <si>
    <t xml:space="preserve">b-0177</t>
  </si>
  <si>
    <t xml:space="preserve">b-0178</t>
  </si>
  <si>
    <t xml:space="preserve">b-0179</t>
  </si>
  <si>
    <t xml:space="preserve">b-0180</t>
  </si>
  <si>
    <t xml:space="preserve">b-0181</t>
  </si>
  <si>
    <t xml:space="preserve">src-006-onboarding-effort</t>
  </si>
  <si>
    <t xml:space="preserve">b-0182</t>
  </si>
  <si>
    <t xml:space="preserve">b-0183</t>
  </si>
  <si>
    <t xml:space="preserve">b-0184</t>
  </si>
  <si>
    <t xml:space="preserve">b-0185</t>
  </si>
  <si>
    <t xml:space="preserve">b-0186</t>
  </si>
  <si>
    <t xml:space="preserve">b-0187</t>
  </si>
  <si>
    <t xml:space="preserve">b-0188</t>
  </si>
  <si>
    <t xml:space="preserve">b-0189</t>
  </si>
  <si>
    <t xml:space="preserve">b-0190</t>
  </si>
  <si>
    <t xml:space="preserve">b-0191</t>
  </si>
  <si>
    <t xml:space="preserve">b-0192</t>
  </si>
  <si>
    <t xml:space="preserve">b-0193</t>
  </si>
  <si>
    <t xml:space="preserve">src-007-faster-settlement-retention</t>
  </si>
  <si>
    <t xml:space="preserve">b-0194</t>
  </si>
  <si>
    <t xml:space="preserve">b-0195</t>
  </si>
  <si>
    <t xml:space="preserve">b-0196</t>
  </si>
  <si>
    <t xml:space="preserve">b-0197</t>
  </si>
  <si>
    <t xml:space="preserve">b-0198</t>
  </si>
  <si>
    <t xml:space="preserve">b-0199</t>
  </si>
  <si>
    <t xml:space="preserve">b-0200</t>
  </si>
  <si>
    <t xml:space="preserve">b-0201</t>
  </si>
  <si>
    <t xml:space="preserve">b-0202</t>
  </si>
  <si>
    <t xml:space="preserve">b-0203</t>
  </si>
  <si>
    <t xml:space="preserve">b-0204</t>
  </si>
  <si>
    <t xml:space="preserve">b-0205</t>
  </si>
  <si>
    <t xml:space="preserve">src-007-leakage-avoidance</t>
  </si>
  <si>
    <t xml:space="preserve">b-0206</t>
  </si>
  <si>
    <t xml:space="preserve">b-0207</t>
  </si>
  <si>
    <t xml:space="preserve">b-0208</t>
  </si>
  <si>
    <t xml:space="preserve">b-0209</t>
  </si>
  <si>
    <t xml:space="preserve">b-0210</t>
  </si>
  <si>
    <t xml:space="preserve">b-0211</t>
  </si>
  <si>
    <t xml:space="preserve">b-0212</t>
  </si>
  <si>
    <t xml:space="preserve">b-0213</t>
  </si>
  <si>
    <t xml:space="preserve">b-0214</t>
  </si>
  <si>
    <t xml:space="preserve">b-0215</t>
  </si>
  <si>
    <t xml:space="preserve">b-0216</t>
  </si>
  <si>
    <t xml:space="preserve">b-0217</t>
  </si>
  <si>
    <t xml:space="preserve">src-007-intake-time</t>
  </si>
  <si>
    <t xml:space="preserve">b-0218</t>
  </si>
  <si>
    <t xml:space="preserve">b-0219</t>
  </si>
  <si>
    <t xml:space="preserve">b-0220</t>
  </si>
  <si>
    <t xml:space="preserve">b-0221</t>
  </si>
  <si>
    <t xml:space="preserve">b-0222</t>
  </si>
  <si>
    <t xml:space="preserve">b-0223</t>
  </si>
  <si>
    <t xml:space="preserve">b-0224</t>
  </si>
  <si>
    <t xml:space="preserve">b-0225</t>
  </si>
  <si>
    <t xml:space="preserve">b-0226</t>
  </si>
  <si>
    <t xml:space="preserve">b-0227</t>
  </si>
  <si>
    <t xml:space="preserve">b-0228</t>
  </si>
  <si>
    <t xml:space="preserve">b-0229</t>
  </si>
  <si>
    <t xml:space="preserve">src-008-overtime-reduction</t>
  </si>
  <si>
    <t xml:space="preserve">b-0230</t>
  </si>
  <si>
    <t xml:space="preserve">b-0231</t>
  </si>
  <si>
    <t xml:space="preserve">b-0232</t>
  </si>
  <si>
    <t xml:space="preserve">b-0233</t>
  </si>
  <si>
    <t xml:space="preserve">b-0234</t>
  </si>
  <si>
    <t xml:space="preserve">b-0235</t>
  </si>
  <si>
    <t xml:space="preserve">b-0236</t>
  </si>
  <si>
    <t xml:space="preserve">b-0237</t>
  </si>
  <si>
    <t xml:space="preserve">b-0238</t>
  </si>
  <si>
    <t xml:space="preserve">b-0239</t>
  </si>
  <si>
    <t xml:space="preserve">b-0240</t>
  </si>
  <si>
    <t xml:space="preserve">b-0241</t>
  </si>
  <si>
    <t xml:space="preserve">src-008-repeat-contact-revenue</t>
  </si>
  <si>
    <t xml:space="preserve">b-0242</t>
  </si>
  <si>
    <t xml:space="preserve">b-0243</t>
  </si>
  <si>
    <t xml:space="preserve">b-0244</t>
  </si>
  <si>
    <t xml:space="preserve">b-0245</t>
  </si>
  <si>
    <t xml:space="preserve">b-0246</t>
  </si>
  <si>
    <t xml:space="preserve">b-0247</t>
  </si>
  <si>
    <t xml:space="preserve">b-0248</t>
  </si>
  <si>
    <t xml:space="preserve">b-0249</t>
  </si>
  <si>
    <t xml:space="preserve">b-0250</t>
  </si>
  <si>
    <t xml:space="preserve">b-0251</t>
  </si>
  <si>
    <t xml:space="preserve">b-0252</t>
  </si>
  <si>
    <t xml:space="preserve">b-0253</t>
  </si>
  <si>
    <t xml:space="preserve">src-008-handling-time</t>
  </si>
  <si>
    <t xml:space="preserve">b-0254</t>
  </si>
  <si>
    <t xml:space="preserve">b-0255</t>
  </si>
  <si>
    <t xml:space="preserve">b-0256</t>
  </si>
  <si>
    <t xml:space="preserve">b-0257</t>
  </si>
  <si>
    <t xml:space="preserve">b-0258</t>
  </si>
  <si>
    <t xml:space="preserve">b-0259</t>
  </si>
  <si>
    <t xml:space="preserve">b-0260</t>
  </si>
  <si>
    <t xml:space="preserve">b-0261</t>
  </si>
  <si>
    <t xml:space="preserve">b-0262</t>
  </si>
  <si>
    <t xml:space="preserve">b-0263</t>
  </si>
  <si>
    <t xml:space="preserve">b-0264</t>
  </si>
  <si>
    <t xml:space="preserve">b-0265</t>
  </si>
  <si>
    <t xml:space="preserve">src-009-triage-time</t>
  </si>
  <si>
    <t xml:space="preserve">b-0266</t>
  </si>
  <si>
    <t xml:space="preserve">b-0267</t>
  </si>
  <si>
    <t xml:space="preserve">b-0268</t>
  </si>
  <si>
    <t xml:space="preserve">b-0269</t>
  </si>
  <si>
    <t xml:space="preserve">b-0270</t>
  </si>
  <si>
    <t xml:space="preserve">b-0271</t>
  </si>
  <si>
    <t xml:space="preserve">b-0272</t>
  </si>
  <si>
    <t xml:space="preserve">b-0273</t>
  </si>
  <si>
    <t xml:space="preserve">b-0274</t>
  </si>
  <si>
    <t xml:space="preserve">b-0275</t>
  </si>
  <si>
    <t xml:space="preserve">b-0276</t>
  </si>
  <si>
    <t xml:space="preserve">b-0277</t>
  </si>
  <si>
    <t xml:space="preserve">src-010-conversion-uplift</t>
  </si>
  <si>
    <t xml:space="preserve">b-0278</t>
  </si>
  <si>
    <t xml:space="preserve">b-0279</t>
  </si>
  <si>
    <t xml:space="preserve">b-0280</t>
  </si>
  <si>
    <t xml:space="preserve">b-0281</t>
  </si>
  <si>
    <t xml:space="preserve">b-0282</t>
  </si>
  <si>
    <t xml:space="preserve">b-0283</t>
  </si>
  <si>
    <t xml:space="preserve">b-0284</t>
  </si>
  <si>
    <t xml:space="preserve">b-0285</t>
  </si>
  <si>
    <t xml:space="preserve">b-0286</t>
  </si>
  <si>
    <t xml:space="preserve">b-0287</t>
  </si>
  <si>
    <t xml:space="preserve">b-0288</t>
  </si>
  <si>
    <t xml:space="preserve">b-0289</t>
  </si>
  <si>
    <t xml:space="preserve">src-010-manual-review-avoidance</t>
  </si>
  <si>
    <t xml:space="preserve">b-0290</t>
  </si>
  <si>
    <t xml:space="preserve">b-0291</t>
  </si>
  <si>
    <t xml:space="preserve">b-0292</t>
  </si>
  <si>
    <t xml:space="preserve">b-0293</t>
  </si>
  <si>
    <t xml:space="preserve">b-0294</t>
  </si>
  <si>
    <t xml:space="preserve">b-0295</t>
  </si>
  <si>
    <t xml:space="preserve">b-0296</t>
  </si>
  <si>
    <t xml:space="preserve">b-0297</t>
  </si>
  <si>
    <t xml:space="preserve">b-0298</t>
  </si>
  <si>
    <t xml:space="preserve">b-0299</t>
  </si>
  <si>
    <t xml:space="preserve">b-0300</t>
  </si>
  <si>
    <t xml:space="preserve">b-0301</t>
  </si>
  <si>
    <t xml:space="preserve">src-010-verification-time</t>
  </si>
  <si>
    <t xml:space="preserve">b-0302</t>
  </si>
  <si>
    <t xml:space="preserve">b-0303</t>
  </si>
  <si>
    <t xml:space="preserve">b-0304</t>
  </si>
  <si>
    <t xml:space="preserve">b-0305</t>
  </si>
  <si>
    <t xml:space="preserve">b-0306</t>
  </si>
  <si>
    <t xml:space="preserve">b-0307</t>
  </si>
  <si>
    <t xml:space="preserve">b-0308</t>
  </si>
  <si>
    <t xml:space="preserve">b-0309</t>
  </si>
  <si>
    <t xml:space="preserve">b-0310</t>
  </si>
  <si>
    <t xml:space="preserve">b-0311</t>
  </si>
  <si>
    <t xml:space="preserve">b-0312</t>
  </si>
  <si>
    <t xml:space="preserve">b-0313</t>
  </si>
  <si>
    <t xml:space="preserve">src-011-contact-volume-saving</t>
  </si>
  <si>
    <t xml:space="preserve">b-0314</t>
  </si>
  <si>
    <t xml:space="preserve">b-0315</t>
  </si>
  <si>
    <t xml:space="preserve">b-0316</t>
  </si>
  <si>
    <t xml:space="preserve">b-0317</t>
  </si>
  <si>
    <t xml:space="preserve">b-0318</t>
  </si>
  <si>
    <t xml:space="preserve">b-0319</t>
  </si>
  <si>
    <t xml:space="preserve">b-0320</t>
  </si>
  <si>
    <t xml:space="preserve">b-0321</t>
  </si>
  <si>
    <t xml:space="preserve">b-0322</t>
  </si>
  <si>
    <t xml:space="preserve">b-0323</t>
  </si>
  <si>
    <t xml:space="preserve">b-0324</t>
  </si>
  <si>
    <t xml:space="preserve">b-0325</t>
  </si>
  <si>
    <t xml:space="preserve">src-011-agent-time</t>
  </si>
  <si>
    <t xml:space="preserve">b-0326</t>
  </si>
  <si>
    <t xml:space="preserve">b-0327</t>
  </si>
  <si>
    <t xml:space="preserve">b-0328</t>
  </si>
  <si>
    <t xml:space="preserve">b-0329</t>
  </si>
  <si>
    <t xml:space="preserve">b-0330</t>
  </si>
  <si>
    <t xml:space="preserve">b-0331</t>
  </si>
  <si>
    <t xml:space="preserve">b-0332</t>
  </si>
  <si>
    <t xml:space="preserve">b-0333</t>
  </si>
  <si>
    <t xml:space="preserve">b-0334</t>
  </si>
  <si>
    <t xml:space="preserve">b-0335</t>
  </si>
  <si>
    <t xml:space="preserve">b-0336</t>
  </si>
  <si>
    <t xml:space="preserve">b-0337</t>
  </si>
  <si>
    <t xml:space="preserve">src-012-recovered-refund-revenue</t>
  </si>
  <si>
    <t xml:space="preserve">b-0338</t>
  </si>
  <si>
    <t xml:space="preserve">b-0339</t>
  </si>
  <si>
    <t xml:space="preserve">b-0340</t>
  </si>
  <si>
    <t xml:space="preserve">b-0341</t>
  </si>
  <si>
    <t xml:space="preserve">b-0342</t>
  </si>
  <si>
    <t xml:space="preserve">b-0343</t>
  </si>
  <si>
    <t xml:space="preserve">b-0344</t>
  </si>
  <si>
    <t xml:space="preserve">b-0345</t>
  </si>
  <si>
    <t xml:space="preserve">b-0346</t>
  </si>
  <si>
    <t xml:space="preserve">b-0347</t>
  </si>
  <si>
    <t xml:space="preserve">b-0348</t>
  </si>
  <si>
    <t xml:space="preserve">b-0349</t>
  </si>
  <si>
    <t xml:space="preserve">src-012-refund-leakage</t>
  </si>
  <si>
    <t xml:space="preserve">b-0350</t>
  </si>
  <si>
    <t xml:space="preserve">b-0351</t>
  </si>
  <si>
    <t xml:space="preserve">b-0352</t>
  </si>
  <si>
    <t xml:space="preserve">b-0353</t>
  </si>
  <si>
    <t xml:space="preserve">b-0354</t>
  </si>
  <si>
    <t xml:space="preserve">b-0355</t>
  </si>
  <si>
    <t xml:space="preserve">b-0356</t>
  </si>
  <si>
    <t xml:space="preserve">b-0357</t>
  </si>
  <si>
    <t xml:space="preserve">b-0358</t>
  </si>
  <si>
    <t xml:space="preserve">b-0359</t>
  </si>
  <si>
    <t xml:space="preserve">b-0360</t>
  </si>
  <si>
    <t xml:space="preserve">src-012-refund-handling-time</t>
  </si>
  <si>
    <t xml:space="preserve">b-0361</t>
  </si>
  <si>
    <t xml:space="preserve">b-0362</t>
  </si>
  <si>
    <t xml:space="preserve">b-0363</t>
  </si>
  <si>
    <t xml:space="preserve">b-0364</t>
  </si>
  <si>
    <t xml:space="preserve">b-0365</t>
  </si>
  <si>
    <t xml:space="preserve">b-0366</t>
  </si>
  <si>
    <t xml:space="preserve">b-0367</t>
  </si>
  <si>
    <t xml:space="preserve">b-0368</t>
  </si>
  <si>
    <t xml:space="preserve">b-0369</t>
  </si>
  <si>
    <t xml:space="preserve">b-0370</t>
  </si>
  <si>
    <t xml:space="preserve">b-0371</t>
  </si>
  <si>
    <t xml:space="preserve">src-013-carrying-cost-reduction</t>
  </si>
  <si>
    <t xml:space="preserve">b-0372</t>
  </si>
  <si>
    <t xml:space="preserve">b-0373</t>
  </si>
  <si>
    <t xml:space="preserve">b-0374</t>
  </si>
  <si>
    <t xml:space="preserve">b-0375</t>
  </si>
  <si>
    <t xml:space="preserve">b-0376</t>
  </si>
  <si>
    <t xml:space="preserve">b-0377</t>
  </si>
  <si>
    <t xml:space="preserve">b-0378</t>
  </si>
  <si>
    <t xml:space="preserve">b-0379</t>
  </si>
  <si>
    <t xml:space="preserve">b-0380</t>
  </si>
  <si>
    <t xml:space="preserve">b-0381</t>
  </si>
  <si>
    <t xml:space="preserve">b-0382</t>
  </si>
  <si>
    <t xml:space="preserve">b-0383</t>
  </si>
  <si>
    <t xml:space="preserve">ev:budget-line-013-2</t>
  </si>
  <si>
    <t xml:space="preserve">src-013-expedite-freight-line</t>
  </si>
  <si>
    <t xml:space="preserve">b-0384</t>
  </si>
  <si>
    <t xml:space="preserve">b-0385</t>
  </si>
  <si>
    <t xml:space="preserve">b-0386</t>
  </si>
  <si>
    <t xml:space="preserve">b-0387</t>
  </si>
  <si>
    <t xml:space="preserve">b-0388</t>
  </si>
  <si>
    <t xml:space="preserve">b-0389</t>
  </si>
  <si>
    <t xml:space="preserve">b-0390</t>
  </si>
  <si>
    <t xml:space="preserve">b-0391</t>
  </si>
  <si>
    <t xml:space="preserve">b-0392</t>
  </si>
  <si>
    <t xml:space="preserve">b-0393</t>
  </si>
  <si>
    <t xml:space="preserve">b-0394</t>
  </si>
  <si>
    <t xml:space="preserve">b-0395</t>
  </si>
  <si>
    <t xml:space="preserve">src-013-planner-time</t>
  </si>
  <si>
    <t xml:space="preserve">b-0396</t>
  </si>
  <si>
    <t xml:space="preserve">b-0397</t>
  </si>
  <si>
    <t xml:space="preserve">b-0398</t>
  </si>
  <si>
    <t xml:space="preserve">b-0399</t>
  </si>
  <si>
    <t xml:space="preserve">b-0400</t>
  </si>
  <si>
    <t xml:space="preserve">b-0401</t>
  </si>
  <si>
    <t xml:space="preserve">b-0402</t>
  </si>
  <si>
    <t xml:space="preserve">b-0403</t>
  </si>
  <si>
    <t xml:space="preserve">b-0404</t>
  </si>
  <si>
    <t xml:space="preserve">b-0405</t>
  </si>
  <si>
    <t xml:space="preserve">b-0406</t>
  </si>
  <si>
    <t xml:space="preserve">b-0407</t>
  </si>
  <si>
    <t xml:space="preserve">src-014-outsourced-picking-fees</t>
  </si>
  <si>
    <t xml:space="preserve">b-0408</t>
  </si>
  <si>
    <t xml:space="preserve">b-0409</t>
  </si>
  <si>
    <t xml:space="preserve">b-0410</t>
  </si>
  <si>
    <t xml:space="preserve">b-0411</t>
  </si>
  <si>
    <t xml:space="preserve">b-0412</t>
  </si>
  <si>
    <t xml:space="preserve">b-0413</t>
  </si>
  <si>
    <t xml:space="preserve">b-0414</t>
  </si>
  <si>
    <t xml:space="preserve">b-0415</t>
  </si>
  <si>
    <t xml:space="preserve">b-0416</t>
  </si>
  <si>
    <t xml:space="preserve">b-0417</t>
  </si>
  <si>
    <t xml:space="preserve">b-0418</t>
  </si>
  <si>
    <t xml:space="preserve">b-0419</t>
  </si>
  <si>
    <t xml:space="preserve">src-014-overtime-avoidance</t>
  </si>
  <si>
    <t xml:space="preserve">b-0420</t>
  </si>
  <si>
    <t xml:space="preserve">b-0421</t>
  </si>
  <si>
    <t xml:space="preserve">b-0422</t>
  </si>
  <si>
    <t xml:space="preserve">b-0423</t>
  </si>
  <si>
    <t xml:space="preserve">b-0424</t>
  </si>
  <si>
    <t xml:space="preserve">b-0425</t>
  </si>
  <si>
    <t xml:space="preserve">b-0426</t>
  </si>
  <si>
    <t xml:space="preserve">b-0427</t>
  </si>
  <si>
    <t xml:space="preserve">b-0428</t>
  </si>
  <si>
    <t xml:space="preserve">b-0429</t>
  </si>
  <si>
    <t xml:space="preserve">b-0430</t>
  </si>
  <si>
    <t xml:space="preserve">b-0431</t>
  </si>
  <si>
    <t xml:space="preserve">src-014-picker-time</t>
  </si>
  <si>
    <t xml:space="preserve">b-0432</t>
  </si>
  <si>
    <t xml:space="preserve">b-0433</t>
  </si>
  <si>
    <t xml:space="preserve">b-0434</t>
  </si>
  <si>
    <t xml:space="preserve">b-0435</t>
  </si>
  <si>
    <t xml:space="preserve">b-0436</t>
  </si>
  <si>
    <t xml:space="preserve">b-0437</t>
  </si>
  <si>
    <t xml:space="preserve">b-0438</t>
  </si>
  <si>
    <t xml:space="preserve">b-0439</t>
  </si>
  <si>
    <t xml:space="preserve">b-0440</t>
  </si>
  <si>
    <t xml:space="preserve">b-0441</t>
  </si>
  <si>
    <t xml:space="preserve">b-0442</t>
  </si>
  <si>
    <t xml:space="preserve">b-0443</t>
  </si>
  <si>
    <t xml:space="preserve">src-015-carrier-fee-savings</t>
  </si>
  <si>
    <t xml:space="preserve">b-0444</t>
  </si>
  <si>
    <t xml:space="preserve">b-0445</t>
  </si>
  <si>
    <t xml:space="preserve">b-0446</t>
  </si>
  <si>
    <t xml:space="preserve">b-0447</t>
  </si>
  <si>
    <t xml:space="preserve">b-0448</t>
  </si>
  <si>
    <t xml:space="preserve">b-0449</t>
  </si>
  <si>
    <t xml:space="preserve">b-0450</t>
  </si>
  <si>
    <t xml:space="preserve">b-0451</t>
  </si>
  <si>
    <t xml:space="preserve">b-0452</t>
  </si>
  <si>
    <t xml:space="preserve">b-0453</t>
  </si>
  <si>
    <t xml:space="preserve">b-0454</t>
  </si>
  <si>
    <t xml:space="preserve">b-0455</t>
  </si>
  <si>
    <t xml:space="preserve">src-015-rework-avoidance</t>
  </si>
  <si>
    <t xml:space="preserve">b-0456</t>
  </si>
  <si>
    <t xml:space="preserve">b-0457</t>
  </si>
  <si>
    <t xml:space="preserve">b-0458</t>
  </si>
  <si>
    <t xml:space="preserve">b-0459</t>
  </si>
  <si>
    <t xml:space="preserve">b-0460</t>
  </si>
  <si>
    <t xml:space="preserve">b-0461</t>
  </si>
  <si>
    <t xml:space="preserve">b-0462</t>
  </si>
  <si>
    <t xml:space="preserve">b-0463</t>
  </si>
  <si>
    <t xml:space="preserve">b-0464</t>
  </si>
  <si>
    <t xml:space="preserve">b-0465</t>
  </si>
  <si>
    <t xml:space="preserve">b-0466</t>
  </si>
  <si>
    <t xml:space="preserve">b-0467</t>
  </si>
  <si>
    <t xml:space="preserve">src-015-booking-time</t>
  </si>
  <si>
    <t xml:space="preserve">b-0468</t>
  </si>
  <si>
    <t xml:space="preserve">b-0469</t>
  </si>
  <si>
    <t xml:space="preserve">b-0470</t>
  </si>
  <si>
    <t xml:space="preserve">b-0471</t>
  </si>
  <si>
    <t xml:space="preserve">b-0472</t>
  </si>
  <si>
    <t xml:space="preserve">b-0473</t>
  </si>
  <si>
    <t xml:space="preserve">b-0474</t>
  </si>
  <si>
    <t xml:space="preserve">b-0475</t>
  </si>
  <si>
    <t xml:space="preserve">b-0476</t>
  </si>
  <si>
    <t xml:space="preserve">b-0477</t>
  </si>
  <si>
    <t xml:space="preserve">b-0478</t>
  </si>
  <si>
    <t xml:space="preserve">b-0479</t>
  </si>
  <si>
    <t xml:space="preserve">src-016-maverick-spend-reduction</t>
  </si>
  <si>
    <t xml:space="preserve">b-0480</t>
  </si>
  <si>
    <t xml:space="preserve">b-0481</t>
  </si>
  <si>
    <t xml:space="preserve">b-0482</t>
  </si>
  <si>
    <t xml:space="preserve">b-0483</t>
  </si>
  <si>
    <t xml:space="preserve">b-0484</t>
  </si>
  <si>
    <t xml:space="preserve">b-0485</t>
  </si>
  <si>
    <t xml:space="preserve">b-0486</t>
  </si>
  <si>
    <t xml:space="preserve">b-0487</t>
  </si>
  <si>
    <t xml:space="preserve">b-0488</t>
  </si>
  <si>
    <t xml:space="preserve">b-0489</t>
  </si>
  <si>
    <t xml:space="preserve">b-0490</t>
  </si>
  <si>
    <t xml:space="preserve">b-0491</t>
  </si>
  <si>
    <t xml:space="preserve">ev:budget-line-016-2</t>
  </si>
  <si>
    <t xml:space="preserve">src-016-duplicate-order-line</t>
  </si>
  <si>
    <t xml:space="preserve">b-0492</t>
  </si>
  <si>
    <t xml:space="preserve">b-0493</t>
  </si>
  <si>
    <t xml:space="preserve">b-0494</t>
  </si>
  <si>
    <t xml:space="preserve">b-0495</t>
  </si>
  <si>
    <t xml:space="preserve">b-0496</t>
  </si>
  <si>
    <t xml:space="preserve">b-0497</t>
  </si>
  <si>
    <t xml:space="preserve">b-0498</t>
  </si>
  <si>
    <t xml:space="preserve">b-0499</t>
  </si>
  <si>
    <t xml:space="preserve">b-0500</t>
  </si>
  <si>
    <t xml:space="preserve">b-0501</t>
  </si>
  <si>
    <t xml:space="preserve">b-0502</t>
  </si>
  <si>
    <t xml:space="preserve">b-0503</t>
  </si>
  <si>
    <t xml:space="preserve">src-016-approver-time</t>
  </si>
  <si>
    <t xml:space="preserve">b-0504</t>
  </si>
  <si>
    <t xml:space="preserve">b-0505</t>
  </si>
  <si>
    <t xml:space="preserve">b-0506</t>
  </si>
  <si>
    <t xml:space="preserve">b-0507</t>
  </si>
  <si>
    <t xml:space="preserve">b-0508</t>
  </si>
  <si>
    <t xml:space="preserve">b-0509</t>
  </si>
  <si>
    <t xml:space="preserve">b-0510</t>
  </si>
  <si>
    <t xml:space="preserve">b-0511</t>
  </si>
  <si>
    <t xml:space="preserve">b-0512</t>
  </si>
  <si>
    <t xml:space="preserve">b-0513</t>
  </si>
  <si>
    <t xml:space="preserve">b-0514</t>
  </si>
  <si>
    <t xml:space="preserve">b-0515</t>
  </si>
  <si>
    <t xml:space="preserve">ev:budget-line-017-1</t>
  </si>
  <si>
    <t xml:space="preserve">src-017-warranty-claims-line</t>
  </si>
  <si>
    <t xml:space="preserve">b-0516</t>
  </si>
  <si>
    <t xml:space="preserve">b-0517</t>
  </si>
  <si>
    <t xml:space="preserve">b-0518</t>
  </si>
  <si>
    <t xml:space="preserve">b-0519</t>
  </si>
  <si>
    <t xml:space="preserve">b-0520</t>
  </si>
  <si>
    <t xml:space="preserve">b-0521</t>
  </si>
  <si>
    <t xml:space="preserve">b-0522</t>
  </si>
  <si>
    <t xml:space="preserve">b-0523</t>
  </si>
  <si>
    <t xml:space="preserve">b-0524</t>
  </si>
  <si>
    <t xml:space="preserve">b-0525</t>
  </si>
  <si>
    <t xml:space="preserve">b-0526</t>
  </si>
  <si>
    <t xml:space="preserve">b-0527</t>
  </si>
  <si>
    <t xml:space="preserve">src-017-quality-review-time</t>
  </si>
  <si>
    <t xml:space="preserve">b-0528</t>
  </si>
  <si>
    <t xml:space="preserve">b-0529</t>
  </si>
  <si>
    <t xml:space="preserve">b-0530</t>
  </si>
  <si>
    <t xml:space="preserve">b-0531</t>
  </si>
  <si>
    <t xml:space="preserve">b-0532</t>
  </si>
  <si>
    <t xml:space="preserve">b-0533</t>
  </si>
  <si>
    <t xml:space="preserve">b-0534</t>
  </si>
  <si>
    <t xml:space="preserve">b-0535</t>
  </si>
  <si>
    <t xml:space="preserve">b-0536</t>
  </si>
  <si>
    <t xml:space="preserve">b-0537</t>
  </si>
  <si>
    <t xml:space="preserve">b-0538</t>
  </si>
  <si>
    <t xml:space="preserve">b-0539</t>
  </si>
  <si>
    <t xml:space="preserve">src-018-write-off-reduction</t>
  </si>
  <si>
    <t xml:space="preserve">b-0540</t>
  </si>
  <si>
    <t xml:space="preserve">b-0541</t>
  </si>
  <si>
    <t xml:space="preserve">b-0542</t>
  </si>
  <si>
    <t xml:space="preserve">b-0543</t>
  </si>
  <si>
    <t xml:space="preserve">b-0544</t>
  </si>
  <si>
    <t xml:space="preserve">b-0545</t>
  </si>
  <si>
    <t xml:space="preserve">b-0546</t>
  </si>
  <si>
    <t xml:space="preserve">b-0547</t>
  </si>
  <si>
    <t xml:space="preserve">b-0548</t>
  </si>
  <si>
    <t xml:space="preserve">b-0549</t>
  </si>
  <si>
    <t xml:space="preserve">b-0550</t>
  </si>
  <si>
    <t xml:space="preserve">src-019-case-handling-time</t>
  </si>
  <si>
    <t xml:space="preserve">b-0551</t>
  </si>
  <si>
    <t xml:space="preserve">b-0552</t>
  </si>
  <si>
    <t xml:space="preserve">b-0553</t>
  </si>
  <si>
    <t xml:space="preserve">b-0554</t>
  </si>
  <si>
    <t xml:space="preserve">b-0555</t>
  </si>
  <si>
    <t xml:space="preserve">b-0556</t>
  </si>
  <si>
    <t xml:space="preserve">b-0557</t>
  </si>
  <si>
    <t xml:space="preserve">b-0558</t>
  </si>
  <si>
    <t xml:space="preserve">b-0559</t>
  </si>
  <si>
    <t xml:space="preserve">b-0560</t>
  </si>
  <si>
    <t xml:space="preserve">b-0561</t>
  </si>
  <si>
    <t xml:space="preserve">b-0562</t>
  </si>
  <si>
    <t xml:space="preserve">src-019-external-counsel-avoidance</t>
  </si>
  <si>
    <t xml:space="preserve">b-0563</t>
  </si>
  <si>
    <t xml:space="preserve">b-0564</t>
  </si>
  <si>
    <t xml:space="preserve">b-0565</t>
  </si>
  <si>
    <t xml:space="preserve">b-0566</t>
  </si>
  <si>
    <t xml:space="preserve">b-0567</t>
  </si>
  <si>
    <t xml:space="preserve">b-0568</t>
  </si>
  <si>
    <t xml:space="preserve">b-0569</t>
  </si>
  <si>
    <t xml:space="preserve">b-0570</t>
  </si>
  <si>
    <t xml:space="preserve">b-0571</t>
  </si>
  <si>
    <t xml:space="preserve">b-0572</t>
  </si>
  <si>
    <t xml:space="preserve">b-0573</t>
  </si>
  <si>
    <t xml:space="preserve">b-0574</t>
  </si>
  <si>
    <t xml:space="preserve">src-020-onboarding-effort</t>
  </si>
  <si>
    <t xml:space="preserve">b-0575</t>
  </si>
  <si>
    <t xml:space="preserve">b-0576</t>
  </si>
  <si>
    <t xml:space="preserve">b-0577</t>
  </si>
  <si>
    <t xml:space="preserve">b-0578</t>
  </si>
  <si>
    <t xml:space="preserve">b-0579</t>
  </si>
  <si>
    <t xml:space="preserve">b-0580</t>
  </si>
  <si>
    <t xml:space="preserve">b-0581</t>
  </si>
  <si>
    <t xml:space="preserve">b-0582</t>
  </si>
  <si>
    <t xml:space="preserve">b-0583</t>
  </si>
  <si>
    <t xml:space="preserve">b-0584</t>
  </si>
  <si>
    <t xml:space="preserve">b-0585</t>
  </si>
  <si>
    <t xml:space="preserve">b-0586</t>
  </si>
  <si>
    <t xml:space="preserve">src-020-equipment-lead-time-saving</t>
  </si>
  <si>
    <t xml:space="preserve">b-0587</t>
  </si>
  <si>
    <t xml:space="preserve">b-0588</t>
  </si>
  <si>
    <t xml:space="preserve">b-0589</t>
  </si>
  <si>
    <t xml:space="preserve">b-0590</t>
  </si>
  <si>
    <t xml:space="preserve">b-0591</t>
  </si>
  <si>
    <t xml:space="preserve">b-0592</t>
  </si>
  <si>
    <t xml:space="preserve">b-0593</t>
  </si>
  <si>
    <t xml:space="preserve">b-0594</t>
  </si>
  <si>
    <t xml:space="preserve">b-0595</t>
  </si>
  <si>
    <t xml:space="preserve">b-0596</t>
  </si>
  <si>
    <t xml:space="preserve">b-0597</t>
  </si>
  <si>
    <t xml:space="preserve">b-0598</t>
  </si>
  <si>
    <t xml:space="preserve">src-021-space-cost-avoided</t>
  </si>
  <si>
    <t xml:space="preserve">b-0599</t>
  </si>
  <si>
    <t xml:space="preserve">b-0600</t>
  </si>
  <si>
    <t xml:space="preserve">b-0601</t>
  </si>
  <si>
    <t xml:space="preserve">b-0602</t>
  </si>
  <si>
    <t xml:space="preserve">b-0603</t>
  </si>
  <si>
    <t xml:space="preserve">b-0604</t>
  </si>
  <si>
    <t xml:space="preserve">b-0605</t>
  </si>
  <si>
    <t xml:space="preserve">b-0606</t>
  </si>
  <si>
    <t xml:space="preserve">b-0607</t>
  </si>
  <si>
    <t xml:space="preserve">b-0608</t>
  </si>
  <si>
    <t xml:space="preserve">b-0609</t>
  </si>
  <si>
    <t xml:space="preserve">src-021-booking-admin-time</t>
  </si>
  <si>
    <t xml:space="preserve">b-0610</t>
  </si>
  <si>
    <t xml:space="preserve">b-0611</t>
  </si>
  <si>
    <t xml:space="preserve">b-0612</t>
  </si>
  <si>
    <t xml:space="preserve">b-0613</t>
  </si>
  <si>
    <t xml:space="preserve">b-0614</t>
  </si>
  <si>
    <t xml:space="preserve">b-0615</t>
  </si>
  <si>
    <t xml:space="preserve">b-0616</t>
  </si>
  <si>
    <t xml:space="preserve">b-0617</t>
  </si>
  <si>
    <t xml:space="preserve">b-0618</t>
  </si>
  <si>
    <t xml:space="preserve">b-0619</t>
  </si>
  <si>
    <t xml:space="preserve">b-0620</t>
  </si>
  <si>
    <t xml:space="preserve">src-022-deflected-ticket-time</t>
  </si>
  <si>
    <t xml:space="preserve">b-0621</t>
  </si>
  <si>
    <t xml:space="preserve">b-0622</t>
  </si>
  <si>
    <t xml:space="preserve">b-0623</t>
  </si>
  <si>
    <t xml:space="preserve">b-0624</t>
  </si>
  <si>
    <t xml:space="preserve">b-0625</t>
  </si>
  <si>
    <t xml:space="preserve">b-0626</t>
  </si>
  <si>
    <t xml:space="preserve">b-0627</t>
  </si>
  <si>
    <t xml:space="preserve">b-0628</t>
  </si>
  <si>
    <t xml:space="preserve">b-0629</t>
  </si>
  <si>
    <t xml:space="preserve">b-0630</t>
  </si>
  <si>
    <t xml:space="preserve">b-0631</t>
  </si>
  <si>
    <t xml:space="preserve">src-022-vendor-support-fees</t>
  </si>
  <si>
    <t xml:space="preserve">b-0632</t>
  </si>
  <si>
    <t xml:space="preserve">b-0633</t>
  </si>
  <si>
    <t xml:space="preserve">b-0634</t>
  </si>
  <si>
    <t xml:space="preserve">b-0635</t>
  </si>
  <si>
    <t xml:space="preserve">b-0636</t>
  </si>
  <si>
    <t xml:space="preserve">b-0637</t>
  </si>
  <si>
    <t xml:space="preserve">b-0638</t>
  </si>
  <si>
    <t xml:space="preserve">b-0639</t>
  </si>
  <si>
    <t xml:space="preserve">b-0640</t>
  </si>
  <si>
    <t xml:space="preserve">b-0641</t>
  </si>
  <si>
    <t xml:space="preserve">ev:budget-line-023-1</t>
  </si>
  <si>
    <t xml:space="preserve">src-023-licence-consolidation</t>
  </si>
  <si>
    <t xml:space="preserve">b-0642</t>
  </si>
  <si>
    <t xml:space="preserve">b-0643</t>
  </si>
  <si>
    <t xml:space="preserve">b-0644</t>
  </si>
  <si>
    <t xml:space="preserve">b-0645</t>
  </si>
  <si>
    <t xml:space="preserve">b-0646</t>
  </si>
  <si>
    <t xml:space="preserve">b-0647</t>
  </si>
  <si>
    <t xml:space="preserve">b-0648</t>
  </si>
  <si>
    <t xml:space="preserve">b-0649</t>
  </si>
  <si>
    <t xml:space="preserve">b-0650</t>
  </si>
  <si>
    <t xml:space="preserve">b-0651</t>
  </si>
  <si>
    <t xml:space="preserve">b-0652</t>
  </si>
  <si>
    <t xml:space="preserve">b-0653</t>
  </si>
  <si>
    <t xml:space="preserve">src-023-hosting-savings</t>
  </si>
  <si>
    <t xml:space="preserve">b-0654</t>
  </si>
  <si>
    <t xml:space="preserve">b-0655</t>
  </si>
  <si>
    <t xml:space="preserve">b-0656</t>
  </si>
  <si>
    <t xml:space="preserve">b-0657</t>
  </si>
  <si>
    <t xml:space="preserve">b-0658</t>
  </si>
  <si>
    <t xml:space="preserve">b-0659</t>
  </si>
  <si>
    <t xml:space="preserve">b-0660</t>
  </si>
  <si>
    <t xml:space="preserve">b-0661</t>
  </si>
  <si>
    <t xml:space="preserve">b-0662</t>
  </si>
  <si>
    <t xml:space="preserve">b-0663</t>
  </si>
  <si>
    <t xml:space="preserve">b-0664</t>
  </si>
  <si>
    <t xml:space="preserve">b-0665</t>
  </si>
  <si>
    <t xml:space="preserve">src-024-access-review-effort-line</t>
  </si>
  <si>
    <t xml:space="preserve">b-0666</t>
  </si>
  <si>
    <t xml:space="preserve">b-0667</t>
  </si>
  <si>
    <t xml:space="preserve">b-0668</t>
  </si>
  <si>
    <t xml:space="preserve">b-0669</t>
  </si>
  <si>
    <t xml:space="preserve">b-0670</t>
  </si>
  <si>
    <t xml:space="preserve">b-0671</t>
  </si>
  <si>
    <t xml:space="preserve">b-0672</t>
  </si>
  <si>
    <t xml:space="preserve">b-0673</t>
  </si>
  <si>
    <t xml:space="preserve">b-0674</t>
  </si>
  <si>
    <t xml:space="preserve">b-0675</t>
  </si>
  <si>
    <t xml:space="preserve">b-0676</t>
  </si>
  <si>
    <t xml:space="preserve">b-0677</t>
  </si>
  <si>
    <t xml:space="preserve">src-024-audit-finding-avoidance</t>
  </si>
  <si>
    <t xml:space="preserve">b-0678</t>
  </si>
  <si>
    <t xml:space="preserve">b-0679</t>
  </si>
  <si>
    <t xml:space="preserve">b-0680</t>
  </si>
  <si>
    <t xml:space="preserve">b-0681</t>
  </si>
  <si>
    <t xml:space="preserve">b-0682</t>
  </si>
  <si>
    <t xml:space="preserve">b-0683</t>
  </si>
  <si>
    <t xml:space="preserve">b-0684</t>
  </si>
  <si>
    <t xml:space="preserve">b-0685</t>
  </si>
  <si>
    <t xml:space="preserve">b-0686</t>
  </si>
  <si>
    <t xml:space="preserve">b-0687</t>
  </si>
  <si>
    <t xml:space="preserve">b-0688</t>
  </si>
  <si>
    <t xml:space="preserve">b-0689</t>
  </si>
  <si>
    <t xml:space="preserve">src-024-provisioning-time</t>
  </si>
  <si>
    <t xml:space="preserve">b-0690</t>
  </si>
  <si>
    <t xml:space="preserve">b-0691</t>
  </si>
  <si>
    <t xml:space="preserve">b-0692</t>
  </si>
  <si>
    <t xml:space="preserve">b-0693</t>
  </si>
  <si>
    <t xml:space="preserve">b-0694</t>
  </si>
  <si>
    <t xml:space="preserve">b-0695</t>
  </si>
  <si>
    <t xml:space="preserve">b-0696</t>
  </si>
  <si>
    <t xml:space="preserve">b-0697</t>
  </si>
  <si>
    <t xml:space="preserve">b-0698</t>
  </si>
  <si>
    <t xml:space="preserve">b-0699</t>
  </si>
  <si>
    <t xml:space="preserve">b-0700</t>
  </si>
  <si>
    <t xml:space="preserve">900 cost rows (typed) and their half-open period range (formulas)</t>
  </si>
  <si>
    <t xml:space="preserve">first = period_index for a one-time cost, start_period for a recurring one; last_exclusive = period_index + 1 or end_period: a recurring cost is one row per period of [first, last_exclusive).</t>
  </si>
  <si>
    <t xml:space="preserve">cost_id</t>
  </si>
  <si>
    <t xml:space="preserve">cost_type</t>
  </si>
  <si>
    <t xml:space="preserve">cost_basis</t>
  </si>
  <si>
    <t xml:space="preserve">baseline_version</t>
  </si>
  <si>
    <t xml:space="preserve">start_period</t>
  </si>
  <si>
    <t xml:space="preserve">end_period</t>
  </si>
  <si>
    <t xml:space="preserve">first</t>
  </si>
  <si>
    <t xml:space="preserve">last_exclusive</t>
  </si>
  <si>
    <t xml:space="preserve">periods</t>
  </si>
  <si>
    <t xml:space="preserve">c-0001</t>
  </si>
  <si>
    <t xml:space="preserve">one_time</t>
  </si>
  <si>
    <t xml:space="preserve">actual</t>
  </si>
  <si>
    <t xml:space="preserve">c-0002</t>
  </si>
  <si>
    <t xml:space="preserve">c-0003</t>
  </si>
  <si>
    <t xml:space="preserve">c-0004</t>
  </si>
  <si>
    <t xml:space="preserve">c-0005</t>
  </si>
  <si>
    <t xml:space="preserve">c-0006</t>
  </si>
  <si>
    <t xml:space="preserve">c-0007</t>
  </si>
  <si>
    <t xml:space="preserve">c-0008</t>
  </si>
  <si>
    <t xml:space="preserve">c-0009</t>
  </si>
  <si>
    <t xml:space="preserve">c-0010</t>
  </si>
  <si>
    <t xml:space="preserve">c-0011</t>
  </si>
  <si>
    <t xml:space="preserve">c-0012</t>
  </si>
  <si>
    <t xml:space="preserve">c-0013</t>
  </si>
  <si>
    <t xml:space="preserve">c-0014</t>
  </si>
  <si>
    <t xml:space="preserve">c-0015</t>
  </si>
  <si>
    <t xml:space="preserve">c-0016</t>
  </si>
  <si>
    <t xml:space="preserve">c-0017</t>
  </si>
  <si>
    <t xml:space="preserve">c-0018</t>
  </si>
  <si>
    <t xml:space="preserve">c-0019</t>
  </si>
  <si>
    <t xml:space="preserve">c-0020</t>
  </si>
  <si>
    <t xml:space="preserve">c-0021</t>
  </si>
  <si>
    <t xml:space="preserve">c-0022</t>
  </si>
  <si>
    <t xml:space="preserve">c-0023</t>
  </si>
  <si>
    <t xml:space="preserve">c-0024</t>
  </si>
  <si>
    <t xml:space="preserve">c-0025</t>
  </si>
  <si>
    <t xml:space="preserve">c-0026</t>
  </si>
  <si>
    <t xml:space="preserve">c-0027</t>
  </si>
  <si>
    <t xml:space="preserve">c-0028</t>
  </si>
  <si>
    <t xml:space="preserve">planned</t>
  </si>
  <si>
    <t xml:space="preserve">v2</t>
  </si>
  <si>
    <t xml:space="preserve">c-0029</t>
  </si>
  <si>
    <t xml:space="preserve">c-0030</t>
  </si>
  <si>
    <t xml:space="preserve">c-0031</t>
  </si>
  <si>
    <t xml:space="preserve">c-0032</t>
  </si>
  <si>
    <t xml:space="preserve">c-0033</t>
  </si>
  <si>
    <t xml:space="preserve">c-0034</t>
  </si>
  <si>
    <t xml:space="preserve">c-0035</t>
  </si>
  <si>
    <t xml:space="preserve">c-0036</t>
  </si>
  <si>
    <t xml:space="preserve">c-0037</t>
  </si>
  <si>
    <t xml:space="preserve">c-0038</t>
  </si>
  <si>
    <t xml:space="preserve">c-0039</t>
  </si>
  <si>
    <t xml:space="preserve">c-0040</t>
  </si>
  <si>
    <t xml:space="preserve">c-0041</t>
  </si>
  <si>
    <t xml:space="preserve">c-0042</t>
  </si>
  <si>
    <t xml:space="preserve">c-0043</t>
  </si>
  <si>
    <t xml:space="preserve">c-0044</t>
  </si>
  <si>
    <t xml:space="preserve">c-0045</t>
  </si>
  <si>
    <t xml:space="preserve">c-0046</t>
  </si>
  <si>
    <t xml:space="preserve">c-0047</t>
  </si>
  <si>
    <t xml:space="preserve">c-0048</t>
  </si>
  <si>
    <t xml:space="preserve">c-0049</t>
  </si>
  <si>
    <t xml:space="preserve">recurring</t>
  </si>
  <si>
    <t xml:space="preserve">c-0050</t>
  </si>
  <si>
    <t xml:space="preserve">c-0051</t>
  </si>
  <si>
    <t xml:space="preserve">c-0052</t>
  </si>
  <si>
    <t xml:space="preserve">c-0053</t>
  </si>
  <si>
    <t xml:space="preserve">c-0054</t>
  </si>
  <si>
    <t xml:space="preserve">c-0055</t>
  </si>
  <si>
    <t xml:space="preserve">c-0056</t>
  </si>
  <si>
    <t xml:space="preserve">c-0057</t>
  </si>
  <si>
    <t xml:space="preserve">c-0058</t>
  </si>
  <si>
    <t xml:space="preserve">c-0059</t>
  </si>
  <si>
    <t xml:space="preserve">c-0060</t>
  </si>
  <si>
    <t xml:space="preserve">c-0061</t>
  </si>
  <si>
    <t xml:space="preserve">c-0062</t>
  </si>
  <si>
    <t xml:space="preserve">c-0063</t>
  </si>
  <si>
    <t xml:space="preserve">c-0064</t>
  </si>
  <si>
    <t xml:space="preserve">c-0065</t>
  </si>
  <si>
    <t xml:space="preserve">c-0066</t>
  </si>
  <si>
    <t xml:space="preserve">c-0067</t>
  </si>
  <si>
    <t xml:space="preserve">c-0068</t>
  </si>
  <si>
    <t xml:space="preserve">c-0069</t>
  </si>
  <si>
    <t xml:space="preserve">c-0070</t>
  </si>
  <si>
    <t xml:space="preserve">c-0071</t>
  </si>
  <si>
    <t xml:space="preserve">c-0072</t>
  </si>
  <si>
    <t xml:space="preserve">c-0073</t>
  </si>
  <si>
    <t xml:space="preserve">c-0074</t>
  </si>
  <si>
    <t xml:space="preserve">c-0075</t>
  </si>
  <si>
    <t xml:space="preserve">c-0076</t>
  </si>
  <si>
    <t xml:space="preserve">c-0077</t>
  </si>
  <si>
    <t xml:space="preserve">c-0078</t>
  </si>
  <si>
    <t xml:space="preserve">c-0079</t>
  </si>
  <si>
    <t xml:space="preserve">c-0080</t>
  </si>
  <si>
    <t xml:space="preserve">c-0081</t>
  </si>
  <si>
    <t xml:space="preserve">c-0082</t>
  </si>
  <si>
    <t xml:space="preserve">c-0083</t>
  </si>
  <si>
    <t xml:space="preserve">c-0084</t>
  </si>
  <si>
    <t xml:space="preserve">c-0085</t>
  </si>
  <si>
    <t xml:space="preserve">c-0086</t>
  </si>
  <si>
    <t xml:space="preserve">c-0087</t>
  </si>
  <si>
    <t xml:space="preserve">c-0088</t>
  </si>
  <si>
    <t xml:space="preserve">c-0089</t>
  </si>
  <si>
    <t xml:space="preserve">c-0090</t>
  </si>
  <si>
    <t xml:space="preserve">c-0091</t>
  </si>
  <si>
    <t xml:space="preserve">c-0092</t>
  </si>
  <si>
    <t xml:space="preserve">c-0093</t>
  </si>
  <si>
    <t xml:space="preserve">c-0094</t>
  </si>
  <si>
    <t xml:space="preserve">c-0095</t>
  </si>
  <si>
    <t xml:space="preserve">c-0096</t>
  </si>
  <si>
    <t xml:space="preserve">c-0097</t>
  </si>
  <si>
    <t xml:space="preserve">c-0098</t>
  </si>
  <si>
    <t xml:space="preserve">c-0099</t>
  </si>
  <si>
    <t xml:space="preserve">c-0100</t>
  </si>
  <si>
    <t xml:space="preserve">c-0101</t>
  </si>
  <si>
    <t xml:space="preserve">c-0102</t>
  </si>
  <si>
    <t xml:space="preserve">c-0103</t>
  </si>
  <si>
    <t xml:space="preserve">c-0104</t>
  </si>
  <si>
    <t xml:space="preserve">c-0105</t>
  </si>
  <si>
    <t xml:space="preserve">c-0106</t>
  </si>
  <si>
    <t xml:space="preserve">c-0107</t>
  </si>
  <si>
    <t xml:space="preserve">c-0108</t>
  </si>
  <si>
    <t xml:space="preserve">c-0109</t>
  </si>
  <si>
    <t xml:space="preserve">c-0110</t>
  </si>
  <si>
    <t xml:space="preserve">c-0111</t>
  </si>
  <si>
    <t xml:space="preserve">c-0112</t>
  </si>
  <si>
    <t xml:space="preserve">c-0113</t>
  </si>
  <si>
    <t xml:space="preserve">c-0114</t>
  </si>
  <si>
    <t xml:space="preserve">c-0115</t>
  </si>
  <si>
    <t xml:space="preserve">c-0116</t>
  </si>
  <si>
    <t xml:space="preserve">c-0117</t>
  </si>
  <si>
    <t xml:space="preserve">c-0118</t>
  </si>
  <si>
    <t xml:space="preserve">c-0119</t>
  </si>
  <si>
    <t xml:space="preserve">c-0120</t>
  </si>
  <si>
    <t xml:space="preserve">c-0121</t>
  </si>
  <si>
    <t xml:space="preserve">c-0122</t>
  </si>
  <si>
    <t xml:space="preserve">c-0123</t>
  </si>
  <si>
    <t xml:space="preserve">c-0124</t>
  </si>
  <si>
    <t xml:space="preserve">c-0125</t>
  </si>
  <si>
    <t xml:space="preserve">c-0126</t>
  </si>
  <si>
    <t xml:space="preserve">c-0127</t>
  </si>
  <si>
    <t xml:space="preserve">c-0128</t>
  </si>
  <si>
    <t xml:space="preserve">c-0129</t>
  </si>
  <si>
    <t xml:space="preserve">c-0130</t>
  </si>
  <si>
    <t xml:space="preserve">c-0131</t>
  </si>
  <si>
    <t xml:space="preserve">c-0132</t>
  </si>
  <si>
    <t xml:space="preserve">c-0133</t>
  </si>
  <si>
    <t xml:space="preserve">c-0134</t>
  </si>
  <si>
    <t xml:space="preserve">c-0135</t>
  </si>
  <si>
    <t xml:space="preserve">c-0136</t>
  </si>
  <si>
    <t xml:space="preserve">c-0137</t>
  </si>
  <si>
    <t xml:space="preserve">c-0138</t>
  </si>
  <si>
    <t xml:space="preserve">c-0139</t>
  </si>
  <si>
    <t xml:space="preserve">c-0140</t>
  </si>
  <si>
    <t xml:space="preserve">c-0141</t>
  </si>
  <si>
    <t xml:space="preserve">c-0142</t>
  </si>
  <si>
    <t xml:space="preserve">c-0143</t>
  </si>
  <si>
    <t xml:space="preserve">c-0144</t>
  </si>
  <si>
    <t xml:space="preserve">c-0145</t>
  </si>
  <si>
    <t xml:space="preserve">c-0146</t>
  </si>
  <si>
    <t xml:space="preserve">c-0147</t>
  </si>
  <si>
    <t xml:space="preserve">c-0148</t>
  </si>
  <si>
    <t xml:space="preserve">c-0149</t>
  </si>
  <si>
    <t xml:space="preserve">c-0150</t>
  </si>
  <si>
    <t xml:space="preserve">c-0151</t>
  </si>
  <si>
    <t xml:space="preserve">c-0152</t>
  </si>
  <si>
    <t xml:space="preserve">c-0153</t>
  </si>
  <si>
    <t xml:space="preserve">c-0154</t>
  </si>
  <si>
    <t xml:space="preserve">c-0155</t>
  </si>
  <si>
    <t xml:space="preserve">c-0156</t>
  </si>
  <si>
    <t xml:space="preserve">c-0157</t>
  </si>
  <si>
    <t xml:space="preserve">c-0158</t>
  </si>
  <si>
    <t xml:space="preserve">c-0159</t>
  </si>
  <si>
    <t xml:space="preserve">c-0160</t>
  </si>
  <si>
    <t xml:space="preserve">c-0161</t>
  </si>
  <si>
    <t xml:space="preserve">c-0162</t>
  </si>
  <si>
    <t xml:space="preserve">c-0163</t>
  </si>
  <si>
    <t xml:space="preserve">c-0164</t>
  </si>
  <si>
    <t xml:space="preserve">c-0165</t>
  </si>
  <si>
    <t xml:space="preserve">c-0166</t>
  </si>
  <si>
    <t xml:space="preserve">c-0167</t>
  </si>
  <si>
    <t xml:space="preserve">c-0168</t>
  </si>
  <si>
    <t xml:space="preserve">c-0169</t>
  </si>
  <si>
    <t xml:space="preserve">c-0170</t>
  </si>
  <si>
    <t xml:space="preserve">c-0171</t>
  </si>
  <si>
    <t xml:space="preserve">c-0172</t>
  </si>
  <si>
    <t xml:space="preserve">c-0173</t>
  </si>
  <si>
    <t xml:space="preserve">c-0174</t>
  </si>
  <si>
    <t xml:space="preserve">c-0175</t>
  </si>
  <si>
    <t xml:space="preserve">c-0176</t>
  </si>
  <si>
    <t xml:space="preserve">c-0177</t>
  </si>
  <si>
    <t xml:space="preserve">c-0178</t>
  </si>
  <si>
    <t xml:space="preserve">c-0179</t>
  </si>
  <si>
    <t xml:space="preserve">c-0180</t>
  </si>
  <si>
    <t xml:space="preserve">c-0181</t>
  </si>
  <si>
    <t xml:space="preserve">c-0182</t>
  </si>
  <si>
    <t xml:space="preserve">c-0183</t>
  </si>
  <si>
    <t xml:space="preserve">c-0184</t>
  </si>
  <si>
    <t xml:space="preserve">c-0185</t>
  </si>
  <si>
    <t xml:space="preserve">c-0186</t>
  </si>
  <si>
    <t xml:space="preserve">c-0187</t>
  </si>
  <si>
    <t xml:space="preserve">c-0188</t>
  </si>
  <si>
    <t xml:space="preserve">c-0189</t>
  </si>
  <si>
    <t xml:space="preserve">c-0190</t>
  </si>
  <si>
    <t xml:space="preserve">c-0191</t>
  </si>
  <si>
    <t xml:space="preserve">c-0192</t>
  </si>
  <si>
    <t xml:space="preserve">c-0193</t>
  </si>
  <si>
    <t xml:space="preserve">c-0194</t>
  </si>
  <si>
    <t xml:space="preserve">c-0195</t>
  </si>
  <si>
    <t xml:space="preserve">c-0196</t>
  </si>
  <si>
    <t xml:space="preserve">c-0197</t>
  </si>
  <si>
    <t xml:space="preserve">c-0198</t>
  </si>
  <si>
    <t xml:space="preserve">c-0199</t>
  </si>
  <si>
    <t xml:space="preserve">c-0200</t>
  </si>
  <si>
    <t xml:space="preserve">c-0201</t>
  </si>
  <si>
    <t xml:space="preserve">c-0202</t>
  </si>
  <si>
    <t xml:space="preserve">c-0203</t>
  </si>
  <si>
    <t xml:space="preserve">c-0204</t>
  </si>
  <si>
    <t xml:space="preserve">c-0205</t>
  </si>
  <si>
    <t xml:space="preserve">c-0206</t>
  </si>
  <si>
    <t xml:space="preserve">c-0207</t>
  </si>
  <si>
    <t xml:space="preserve">c-0208</t>
  </si>
  <si>
    <t xml:space="preserve">c-0209</t>
  </si>
  <si>
    <t xml:space="preserve">c-0210</t>
  </si>
  <si>
    <t xml:space="preserve">c-0211</t>
  </si>
  <si>
    <t xml:space="preserve">c-0212</t>
  </si>
  <si>
    <t xml:space="preserve">c-0213</t>
  </si>
  <si>
    <t xml:space="preserve">c-0214</t>
  </si>
  <si>
    <t xml:space="preserve">c-0215</t>
  </si>
  <si>
    <t xml:space="preserve">c-0216</t>
  </si>
  <si>
    <t xml:space="preserve">c-0217</t>
  </si>
  <si>
    <t xml:space="preserve">c-0218</t>
  </si>
  <si>
    <t xml:space="preserve">c-0219</t>
  </si>
  <si>
    <t xml:space="preserve">c-0220</t>
  </si>
  <si>
    <t xml:space="preserve">c-0221</t>
  </si>
  <si>
    <t xml:space="preserve">c-0222</t>
  </si>
  <si>
    <t xml:space="preserve">c-0223</t>
  </si>
  <si>
    <t xml:space="preserve">c-0224</t>
  </si>
  <si>
    <t xml:space="preserve">c-0225</t>
  </si>
  <si>
    <t xml:space="preserve">c-0226</t>
  </si>
  <si>
    <t xml:space="preserve">c-0227</t>
  </si>
  <si>
    <t xml:space="preserve">c-0228</t>
  </si>
  <si>
    <t xml:space="preserve">c-0229</t>
  </si>
  <si>
    <t xml:space="preserve">c-0230</t>
  </si>
  <si>
    <t xml:space="preserve">c-0231</t>
  </si>
  <si>
    <t xml:space="preserve">c-0232</t>
  </si>
  <si>
    <t xml:space="preserve">c-0233</t>
  </si>
  <si>
    <t xml:space="preserve">c-0234</t>
  </si>
  <si>
    <t xml:space="preserve">c-0235</t>
  </si>
  <si>
    <t xml:space="preserve">c-0236</t>
  </si>
  <si>
    <t xml:space="preserve">c-0237</t>
  </si>
  <si>
    <t xml:space="preserve">c-0238</t>
  </si>
  <si>
    <t xml:space="preserve">c-0239</t>
  </si>
  <si>
    <t xml:space="preserve">c-0240</t>
  </si>
  <si>
    <t xml:space="preserve">c-0241</t>
  </si>
  <si>
    <t xml:space="preserve">c-0242</t>
  </si>
  <si>
    <t xml:space="preserve">c-0243</t>
  </si>
  <si>
    <t xml:space="preserve">c-0244</t>
  </si>
  <si>
    <t xml:space="preserve">c-0245</t>
  </si>
  <si>
    <t xml:space="preserve">c-0246</t>
  </si>
  <si>
    <t xml:space="preserve">c-0247</t>
  </si>
  <si>
    <t xml:space="preserve">c-0248</t>
  </si>
  <si>
    <t xml:space="preserve">c-0249</t>
  </si>
  <si>
    <t xml:space="preserve">c-0250</t>
  </si>
  <si>
    <t xml:space="preserve">c-0251</t>
  </si>
  <si>
    <t xml:space="preserve">c-0252</t>
  </si>
  <si>
    <t xml:space="preserve">c-0253</t>
  </si>
  <si>
    <t xml:space="preserve">c-0254</t>
  </si>
  <si>
    <t xml:space="preserve">c-0255</t>
  </si>
  <si>
    <t xml:space="preserve">c-0256</t>
  </si>
  <si>
    <t xml:space="preserve">c-0257</t>
  </si>
  <si>
    <t xml:space="preserve">c-0258</t>
  </si>
  <si>
    <t xml:space="preserve">c-0259</t>
  </si>
  <si>
    <t xml:space="preserve">c-0260</t>
  </si>
  <si>
    <t xml:space="preserve">c-0261</t>
  </si>
  <si>
    <t xml:space="preserve">c-0262</t>
  </si>
  <si>
    <t xml:space="preserve">c-0263</t>
  </si>
  <si>
    <t xml:space="preserve">c-0264</t>
  </si>
  <si>
    <t xml:space="preserve">c-0265</t>
  </si>
  <si>
    <t xml:space="preserve">c-0266</t>
  </si>
  <si>
    <t xml:space="preserve">c-0267</t>
  </si>
  <si>
    <t xml:space="preserve">c-0268</t>
  </si>
  <si>
    <t xml:space="preserve">c-0269</t>
  </si>
  <si>
    <t xml:space="preserve">c-0270</t>
  </si>
  <si>
    <t xml:space="preserve">c-0271</t>
  </si>
  <si>
    <t xml:space="preserve">c-0272</t>
  </si>
  <si>
    <t xml:space="preserve">c-0273</t>
  </si>
  <si>
    <t xml:space="preserve">c-0274</t>
  </si>
  <si>
    <t xml:space="preserve">c-0275</t>
  </si>
  <si>
    <t xml:space="preserve">c-0276</t>
  </si>
  <si>
    <t xml:space="preserve">c-0277</t>
  </si>
  <si>
    <t xml:space="preserve">c-0278</t>
  </si>
  <si>
    <t xml:space="preserve">c-0279</t>
  </si>
  <si>
    <t xml:space="preserve">c-0280</t>
  </si>
  <si>
    <t xml:space="preserve">c-0281</t>
  </si>
  <si>
    <t xml:space="preserve">c-0282</t>
  </si>
  <si>
    <t xml:space="preserve">c-0283</t>
  </si>
  <si>
    <t xml:space="preserve">c-0284</t>
  </si>
  <si>
    <t xml:space="preserve">c-0285</t>
  </si>
  <si>
    <t xml:space="preserve">c-0286</t>
  </si>
  <si>
    <t xml:space="preserve">c-0287</t>
  </si>
  <si>
    <t xml:space="preserve">c-0288</t>
  </si>
  <si>
    <t xml:space="preserve">c-0289</t>
  </si>
  <si>
    <t xml:space="preserve">c-0290</t>
  </si>
  <si>
    <t xml:space="preserve">c-0291</t>
  </si>
  <si>
    <t xml:space="preserve">c-0292</t>
  </si>
  <si>
    <t xml:space="preserve">c-0293</t>
  </si>
  <si>
    <t xml:space="preserve">c-0294</t>
  </si>
  <si>
    <t xml:space="preserve">c-0295</t>
  </si>
  <si>
    <t xml:space="preserve">c-0296</t>
  </si>
  <si>
    <t xml:space="preserve">c-0297</t>
  </si>
  <si>
    <t xml:space="preserve">c-0298</t>
  </si>
  <si>
    <t xml:space="preserve">c-0299</t>
  </si>
  <si>
    <t xml:space="preserve">c-0300</t>
  </si>
  <si>
    <t xml:space="preserve">c-0301</t>
  </si>
  <si>
    <t xml:space="preserve">c-0302</t>
  </si>
  <si>
    <t xml:space="preserve">c-0303</t>
  </si>
  <si>
    <t xml:space="preserve">c-0304</t>
  </si>
  <si>
    <t xml:space="preserve">c-0305</t>
  </si>
  <si>
    <t xml:space="preserve">c-0306</t>
  </si>
  <si>
    <t xml:space="preserve">c-0307</t>
  </si>
  <si>
    <t xml:space="preserve">c-0308</t>
  </si>
  <si>
    <t xml:space="preserve">c-0309</t>
  </si>
  <si>
    <t xml:space="preserve">c-0310</t>
  </si>
  <si>
    <t xml:space="preserve">c-0311</t>
  </si>
  <si>
    <t xml:space="preserve">c-0312</t>
  </si>
  <si>
    <t xml:space="preserve">c-0313</t>
  </si>
  <si>
    <t xml:space="preserve">c-0314</t>
  </si>
  <si>
    <t xml:space="preserve">c-0315</t>
  </si>
  <si>
    <t xml:space="preserve">c-0316</t>
  </si>
  <si>
    <t xml:space="preserve">c-0317</t>
  </si>
  <si>
    <t xml:space="preserve">c-0318</t>
  </si>
  <si>
    <t xml:space="preserve">c-0319</t>
  </si>
  <si>
    <t xml:space="preserve">c-0320</t>
  </si>
  <si>
    <t xml:space="preserve">c-0321</t>
  </si>
  <si>
    <t xml:space="preserve">c-0322</t>
  </si>
  <si>
    <t xml:space="preserve">c-0323</t>
  </si>
  <si>
    <t xml:space="preserve">c-0324</t>
  </si>
  <si>
    <t xml:space="preserve">c-0325</t>
  </si>
  <si>
    <t xml:space="preserve">c-0326</t>
  </si>
  <si>
    <t xml:space="preserve">c-0327</t>
  </si>
  <si>
    <t xml:space="preserve">c-0328</t>
  </si>
  <si>
    <t xml:space="preserve">c-0329</t>
  </si>
  <si>
    <t xml:space="preserve">c-0330</t>
  </si>
  <si>
    <t xml:space="preserve">c-0331</t>
  </si>
  <si>
    <t xml:space="preserve">c-0332</t>
  </si>
  <si>
    <t xml:space="preserve">c-0333</t>
  </si>
  <si>
    <t xml:space="preserve">c-0334</t>
  </si>
  <si>
    <t xml:space="preserve">c-0335</t>
  </si>
  <si>
    <t xml:space="preserve">c-0336</t>
  </si>
  <si>
    <t xml:space="preserve">c-0337</t>
  </si>
  <si>
    <t xml:space="preserve">c-0338</t>
  </si>
  <si>
    <t xml:space="preserve">c-0339</t>
  </si>
  <si>
    <t xml:space="preserve">c-0340</t>
  </si>
  <si>
    <t xml:space="preserve">c-0341</t>
  </si>
  <si>
    <t xml:space="preserve">c-0342</t>
  </si>
  <si>
    <t xml:space="preserve">c-0343</t>
  </si>
  <si>
    <t xml:space="preserve">c-0344</t>
  </si>
  <si>
    <t xml:space="preserve">c-0345</t>
  </si>
  <si>
    <t xml:space="preserve">c-0346</t>
  </si>
  <si>
    <t xml:space="preserve">c-0347</t>
  </si>
  <si>
    <t xml:space="preserve">c-0348</t>
  </si>
  <si>
    <t xml:space="preserve">c-0349</t>
  </si>
  <si>
    <t xml:space="preserve">c-0350</t>
  </si>
  <si>
    <t xml:space="preserve">c-0351</t>
  </si>
  <si>
    <t xml:space="preserve">c-0352</t>
  </si>
  <si>
    <t xml:space="preserve">c-0353</t>
  </si>
  <si>
    <t xml:space="preserve">c-0354</t>
  </si>
  <si>
    <t xml:space="preserve">c-0355</t>
  </si>
  <si>
    <t xml:space="preserve">c-0356</t>
  </si>
  <si>
    <t xml:space="preserve">c-0357</t>
  </si>
  <si>
    <t xml:space="preserve">c-0358</t>
  </si>
  <si>
    <t xml:space="preserve">c-0359</t>
  </si>
  <si>
    <t xml:space="preserve">c-0360</t>
  </si>
  <si>
    <t xml:space="preserve">c-0361</t>
  </si>
  <si>
    <t xml:space="preserve">c-0362</t>
  </si>
  <si>
    <t xml:space="preserve">c-0363</t>
  </si>
  <si>
    <t xml:space="preserve">c-0364</t>
  </si>
  <si>
    <t xml:space="preserve">c-0365</t>
  </si>
  <si>
    <t xml:space="preserve">c-0366</t>
  </si>
  <si>
    <t xml:space="preserve">c-0367</t>
  </si>
  <si>
    <t xml:space="preserve">c-0368</t>
  </si>
  <si>
    <t xml:space="preserve">c-0369</t>
  </si>
  <si>
    <t xml:space="preserve">c-0370</t>
  </si>
  <si>
    <t xml:space="preserve">c-0371</t>
  </si>
  <si>
    <t xml:space="preserve">c-0372</t>
  </si>
  <si>
    <t xml:space="preserve">c-0373</t>
  </si>
  <si>
    <t xml:space="preserve">c-0374</t>
  </si>
  <si>
    <t xml:space="preserve">c-0375</t>
  </si>
  <si>
    <t xml:space="preserve">c-0376</t>
  </si>
  <si>
    <t xml:space="preserve">c-0377</t>
  </si>
  <si>
    <t xml:space="preserve">c-0378</t>
  </si>
  <si>
    <t xml:space="preserve">c-0379</t>
  </si>
  <si>
    <t xml:space="preserve">c-0380</t>
  </si>
  <si>
    <t xml:space="preserve">c-0381</t>
  </si>
  <si>
    <t xml:space="preserve">c-0382</t>
  </si>
  <si>
    <t xml:space="preserve">c-0383</t>
  </si>
  <si>
    <t xml:space="preserve">c-0384</t>
  </si>
  <si>
    <t xml:space="preserve">c-0385</t>
  </si>
  <si>
    <t xml:space="preserve">c-0386</t>
  </si>
  <si>
    <t xml:space="preserve">c-0387</t>
  </si>
  <si>
    <t xml:space="preserve">c-0388</t>
  </si>
  <si>
    <t xml:space="preserve">c-0389</t>
  </si>
  <si>
    <t xml:space="preserve">c-0390</t>
  </si>
  <si>
    <t xml:space="preserve">c-0391</t>
  </si>
  <si>
    <t xml:space="preserve">c-0392</t>
  </si>
  <si>
    <t xml:space="preserve">c-0393</t>
  </si>
  <si>
    <t xml:space="preserve">c-0394</t>
  </si>
  <si>
    <t xml:space="preserve">c-0395</t>
  </si>
  <si>
    <t xml:space="preserve">c-0396</t>
  </si>
  <si>
    <t xml:space="preserve">c-0397</t>
  </si>
  <si>
    <t xml:space="preserve">c-0398</t>
  </si>
  <si>
    <t xml:space="preserve">c-0399</t>
  </si>
  <si>
    <t xml:space="preserve">c-0400</t>
  </si>
  <si>
    <t xml:space="preserve">c-0401</t>
  </si>
  <si>
    <t xml:space="preserve">c-0402</t>
  </si>
  <si>
    <t xml:space="preserve">c-0403</t>
  </si>
  <si>
    <t xml:space="preserve">c-0404</t>
  </si>
  <si>
    <t xml:space="preserve">c-0405</t>
  </si>
  <si>
    <t xml:space="preserve">c-0406</t>
  </si>
  <si>
    <t xml:space="preserve">c-0407</t>
  </si>
  <si>
    <t xml:space="preserve">c-0408</t>
  </si>
  <si>
    <t xml:space="preserve">c-0409</t>
  </si>
  <si>
    <t xml:space="preserve">c-0410</t>
  </si>
  <si>
    <t xml:space="preserve">c-0411</t>
  </si>
  <si>
    <t xml:space="preserve">c-0412</t>
  </si>
  <si>
    <t xml:space="preserve">c-0413</t>
  </si>
  <si>
    <t xml:space="preserve">c-0414</t>
  </si>
  <si>
    <t xml:space="preserve">c-0415</t>
  </si>
  <si>
    <t xml:space="preserve">c-0416</t>
  </si>
  <si>
    <t xml:space="preserve">c-0417</t>
  </si>
  <si>
    <t xml:space="preserve">c-0418</t>
  </si>
  <si>
    <t xml:space="preserve">c-0419</t>
  </si>
  <si>
    <t xml:space="preserve">c-0420</t>
  </si>
  <si>
    <t xml:space="preserve">c-0421</t>
  </si>
  <si>
    <t xml:space="preserve">c-0422</t>
  </si>
  <si>
    <t xml:space="preserve">c-0423</t>
  </si>
  <si>
    <t xml:space="preserve">c-0424</t>
  </si>
  <si>
    <t xml:space="preserve">c-0425</t>
  </si>
  <si>
    <t xml:space="preserve">c-0426</t>
  </si>
  <si>
    <t xml:space="preserve">c-0427</t>
  </si>
  <si>
    <t xml:space="preserve">c-0428</t>
  </si>
  <si>
    <t xml:space="preserve">c-0429</t>
  </si>
  <si>
    <t xml:space="preserve">c-0430</t>
  </si>
  <si>
    <t xml:space="preserve">c-0431</t>
  </si>
  <si>
    <t xml:space="preserve">c-0432</t>
  </si>
  <si>
    <t xml:space="preserve">c-0433</t>
  </si>
  <si>
    <t xml:space="preserve">c-0434</t>
  </si>
  <si>
    <t xml:space="preserve">c-0435</t>
  </si>
  <si>
    <t xml:space="preserve">c-0436</t>
  </si>
  <si>
    <t xml:space="preserve">c-0437</t>
  </si>
  <si>
    <t xml:space="preserve">c-0438</t>
  </si>
  <si>
    <t xml:space="preserve">c-0439</t>
  </si>
  <si>
    <t xml:space="preserve">c-0440</t>
  </si>
  <si>
    <t xml:space="preserve">c-0441</t>
  </si>
  <si>
    <t xml:space="preserve">c-0442</t>
  </si>
  <si>
    <t xml:space="preserve">c-0443</t>
  </si>
  <si>
    <t xml:space="preserve">c-0444</t>
  </si>
  <si>
    <t xml:space="preserve">c-0445</t>
  </si>
  <si>
    <t xml:space="preserve">c-0446</t>
  </si>
  <si>
    <t xml:space="preserve">c-0447</t>
  </si>
  <si>
    <t xml:space="preserve">c-0448</t>
  </si>
  <si>
    <t xml:space="preserve">c-0449</t>
  </si>
  <si>
    <t xml:space="preserve">c-0450</t>
  </si>
  <si>
    <t xml:space="preserve">c-0451</t>
  </si>
  <si>
    <t xml:space="preserve">c-0452</t>
  </si>
  <si>
    <t xml:space="preserve">c-0453</t>
  </si>
  <si>
    <t xml:space="preserve">c-0454</t>
  </si>
  <si>
    <t xml:space="preserve">c-0455</t>
  </si>
  <si>
    <t xml:space="preserve">c-0456</t>
  </si>
  <si>
    <t xml:space="preserve">c-0457</t>
  </si>
  <si>
    <t xml:space="preserve">c-0458</t>
  </si>
  <si>
    <t xml:space="preserve">c-0459</t>
  </si>
  <si>
    <t xml:space="preserve">c-0460</t>
  </si>
  <si>
    <t xml:space="preserve">c-0461</t>
  </si>
  <si>
    <t xml:space="preserve">c-0462</t>
  </si>
  <si>
    <t xml:space="preserve">c-0463</t>
  </si>
  <si>
    <t xml:space="preserve">c-0464</t>
  </si>
  <si>
    <t xml:space="preserve">c-0465</t>
  </si>
  <si>
    <t xml:space="preserve">c-0466</t>
  </si>
  <si>
    <t xml:space="preserve">c-0467</t>
  </si>
  <si>
    <t xml:space="preserve">c-0468</t>
  </si>
  <si>
    <t xml:space="preserve">c-0469</t>
  </si>
  <si>
    <t xml:space="preserve">c-0470</t>
  </si>
  <si>
    <t xml:space="preserve">c-0471</t>
  </si>
  <si>
    <t xml:space="preserve">c-0472</t>
  </si>
  <si>
    <t xml:space="preserve">c-0473</t>
  </si>
  <si>
    <t xml:space="preserve">c-0474</t>
  </si>
  <si>
    <t xml:space="preserve">c-0475</t>
  </si>
  <si>
    <t xml:space="preserve">c-0476</t>
  </si>
  <si>
    <t xml:space="preserve">c-0477</t>
  </si>
  <si>
    <t xml:space="preserve">c-0478</t>
  </si>
  <si>
    <t xml:space="preserve">c-0479</t>
  </si>
  <si>
    <t xml:space="preserve">c-0480</t>
  </si>
  <si>
    <t xml:space="preserve">c-0481</t>
  </si>
  <si>
    <t xml:space="preserve">c-0482</t>
  </si>
  <si>
    <t xml:space="preserve">c-0483</t>
  </si>
  <si>
    <t xml:space="preserve">c-0484</t>
  </si>
  <si>
    <t xml:space="preserve">c-0485</t>
  </si>
  <si>
    <t xml:space="preserve">c-0486</t>
  </si>
  <si>
    <t xml:space="preserve">c-0487</t>
  </si>
  <si>
    <t xml:space="preserve">c-0488</t>
  </si>
  <si>
    <t xml:space="preserve">c-0489</t>
  </si>
  <si>
    <t xml:space="preserve">c-0490</t>
  </si>
  <si>
    <t xml:space="preserve">c-0491</t>
  </si>
  <si>
    <t xml:space="preserve">c-0492</t>
  </si>
  <si>
    <t xml:space="preserve">c-0493</t>
  </si>
  <si>
    <t xml:space="preserve">c-0494</t>
  </si>
  <si>
    <t xml:space="preserve">c-0495</t>
  </si>
  <si>
    <t xml:space="preserve">c-0496</t>
  </si>
  <si>
    <t xml:space="preserve">c-0497</t>
  </si>
  <si>
    <t xml:space="preserve">c-0498</t>
  </si>
  <si>
    <t xml:space="preserve">c-0499</t>
  </si>
  <si>
    <t xml:space="preserve">c-0500</t>
  </si>
  <si>
    <t xml:space="preserve">c-0501</t>
  </si>
  <si>
    <t xml:space="preserve">c-0502</t>
  </si>
  <si>
    <t xml:space="preserve">c-0503</t>
  </si>
  <si>
    <t xml:space="preserve">c-0504</t>
  </si>
  <si>
    <t xml:space="preserve">c-0505</t>
  </si>
  <si>
    <t xml:space="preserve">c-0506</t>
  </si>
  <si>
    <t xml:space="preserve">c-0507</t>
  </si>
  <si>
    <t xml:space="preserve">c-0508</t>
  </si>
  <si>
    <t xml:space="preserve">c-0509</t>
  </si>
  <si>
    <t xml:space="preserve">c-0510</t>
  </si>
  <si>
    <t xml:space="preserve">c-0511</t>
  </si>
  <si>
    <t xml:space="preserve">c-0512</t>
  </si>
  <si>
    <t xml:space="preserve">c-0513</t>
  </si>
  <si>
    <t xml:space="preserve">c-0514</t>
  </si>
  <si>
    <t xml:space="preserve">c-0515</t>
  </si>
  <si>
    <t xml:space="preserve">c-0516</t>
  </si>
  <si>
    <t xml:space="preserve">c-0517</t>
  </si>
  <si>
    <t xml:space="preserve">c-0518</t>
  </si>
  <si>
    <t xml:space="preserve">c-0519</t>
  </si>
  <si>
    <t xml:space="preserve">c-0520</t>
  </si>
  <si>
    <t xml:space="preserve">c-0521</t>
  </si>
  <si>
    <t xml:space="preserve">c-0522</t>
  </si>
  <si>
    <t xml:space="preserve">c-0523</t>
  </si>
  <si>
    <t xml:space="preserve">c-0524</t>
  </si>
  <si>
    <t xml:space="preserve">c-0525</t>
  </si>
  <si>
    <t xml:space="preserve">c-0526</t>
  </si>
  <si>
    <t xml:space="preserve">c-0527</t>
  </si>
  <si>
    <t xml:space="preserve">c-0528</t>
  </si>
  <si>
    <t xml:space="preserve">c-0529</t>
  </si>
  <si>
    <t xml:space="preserve">c-0530</t>
  </si>
  <si>
    <t xml:space="preserve">c-0531</t>
  </si>
  <si>
    <t xml:space="preserve">c-0532</t>
  </si>
  <si>
    <t xml:space="preserve">c-0533</t>
  </si>
  <si>
    <t xml:space="preserve">v1</t>
  </si>
  <si>
    <t xml:space="preserve">c-0534</t>
  </si>
  <si>
    <t xml:space="preserve">c-0535</t>
  </si>
  <si>
    <t xml:space="preserve">c-0536</t>
  </si>
  <si>
    <t xml:space="preserve">c-0537</t>
  </si>
  <si>
    <t xml:space="preserve">c-0538</t>
  </si>
  <si>
    <t xml:space="preserve">c-0539</t>
  </si>
  <si>
    <t xml:space="preserve">c-0540</t>
  </si>
  <si>
    <t xml:space="preserve">c-0541</t>
  </si>
  <si>
    <t xml:space="preserve">c-0542</t>
  </si>
  <si>
    <t xml:space="preserve">c-0543</t>
  </si>
  <si>
    <t xml:space="preserve">c-0544</t>
  </si>
  <si>
    <t xml:space="preserve">c-0545</t>
  </si>
  <si>
    <t xml:space="preserve">c-0546</t>
  </si>
  <si>
    <t xml:space="preserve">c-0547</t>
  </si>
  <si>
    <t xml:space="preserve">c-0548</t>
  </si>
  <si>
    <t xml:space="preserve">c-0549</t>
  </si>
  <si>
    <t xml:space="preserve">c-0550</t>
  </si>
  <si>
    <t xml:space="preserve">c-0551</t>
  </si>
  <si>
    <t xml:space="preserve">c-0552</t>
  </si>
  <si>
    <t xml:space="preserve">c-0553</t>
  </si>
  <si>
    <t xml:space="preserve">c-0554</t>
  </si>
  <si>
    <t xml:space="preserve">c-0555</t>
  </si>
  <si>
    <t xml:space="preserve">c-0556</t>
  </si>
  <si>
    <t xml:space="preserve">c-0557</t>
  </si>
  <si>
    <t xml:space="preserve">c-0558</t>
  </si>
  <si>
    <t xml:space="preserve">c-0559</t>
  </si>
  <si>
    <t xml:space="preserve">c-0560</t>
  </si>
  <si>
    <t xml:space="preserve">c-0561</t>
  </si>
  <si>
    <t xml:space="preserve">c-0562</t>
  </si>
  <si>
    <t xml:space="preserve">c-0563</t>
  </si>
  <si>
    <t xml:space="preserve">c-0564</t>
  </si>
  <si>
    <t xml:space="preserve">c-0565</t>
  </si>
  <si>
    <t xml:space="preserve">c-0566</t>
  </si>
  <si>
    <t xml:space="preserve">c-0567</t>
  </si>
  <si>
    <t xml:space="preserve">c-0568</t>
  </si>
  <si>
    <t xml:space="preserve">c-0569</t>
  </si>
  <si>
    <t xml:space="preserve">c-0570</t>
  </si>
  <si>
    <t xml:space="preserve">c-0571</t>
  </si>
  <si>
    <t xml:space="preserve">c-0572</t>
  </si>
  <si>
    <t xml:space="preserve">c-0573</t>
  </si>
  <si>
    <t xml:space="preserve">c-0574</t>
  </si>
  <si>
    <t xml:space="preserve">c-0575</t>
  </si>
  <si>
    <t xml:space="preserve">c-0576</t>
  </si>
  <si>
    <t xml:space="preserve">c-0577</t>
  </si>
  <si>
    <t xml:space="preserve">c-0578</t>
  </si>
  <si>
    <t xml:space="preserve">c-0579</t>
  </si>
  <si>
    <t xml:space="preserve">c-0580</t>
  </si>
  <si>
    <t xml:space="preserve">c-0581</t>
  </si>
  <si>
    <t xml:space="preserve">c-0582</t>
  </si>
  <si>
    <t xml:space="preserve">c-0583</t>
  </si>
  <si>
    <t xml:space="preserve">c-0584</t>
  </si>
  <si>
    <t xml:space="preserve">c-0585</t>
  </si>
  <si>
    <t xml:space="preserve">c-0586</t>
  </si>
  <si>
    <t xml:space="preserve">c-0587</t>
  </si>
  <si>
    <t xml:space="preserve">c-0588</t>
  </si>
  <si>
    <t xml:space="preserve">c-0589</t>
  </si>
  <si>
    <t xml:space="preserve">c-0590</t>
  </si>
  <si>
    <t xml:space="preserve">c-0591</t>
  </si>
  <si>
    <t xml:space="preserve">c-0592</t>
  </si>
  <si>
    <t xml:space="preserve">c-0593</t>
  </si>
  <si>
    <t xml:space="preserve">c-0594</t>
  </si>
  <si>
    <t xml:space="preserve">c-0595</t>
  </si>
  <si>
    <t xml:space="preserve">c-0596</t>
  </si>
  <si>
    <t xml:space="preserve">c-0597</t>
  </si>
  <si>
    <t xml:space="preserve">c-0598</t>
  </si>
  <si>
    <t xml:space="preserve">c-0599</t>
  </si>
  <si>
    <t xml:space="preserve">c-0600</t>
  </si>
  <si>
    <t xml:space="preserve">c-0601</t>
  </si>
  <si>
    <t xml:space="preserve">c-0602</t>
  </si>
  <si>
    <t xml:space="preserve">c-0603</t>
  </si>
  <si>
    <t xml:space="preserve">c-0604</t>
  </si>
  <si>
    <t xml:space="preserve">c-0605</t>
  </si>
  <si>
    <t xml:space="preserve">c-0606</t>
  </si>
  <si>
    <t xml:space="preserve">c-0607</t>
  </si>
  <si>
    <t xml:space="preserve">c-0608</t>
  </si>
  <si>
    <t xml:space="preserve">c-0609</t>
  </si>
  <si>
    <t xml:space="preserve">c-0610</t>
  </si>
  <si>
    <t xml:space="preserve">c-0611</t>
  </si>
  <si>
    <t xml:space="preserve">c-0612</t>
  </si>
  <si>
    <t xml:space="preserve">c-0613</t>
  </si>
  <si>
    <t xml:space="preserve">c-0614</t>
  </si>
  <si>
    <t xml:space="preserve">c-0615</t>
  </si>
  <si>
    <t xml:space="preserve">c-0616</t>
  </si>
  <si>
    <t xml:space="preserve">c-0617</t>
  </si>
  <si>
    <t xml:space="preserve">c-0618</t>
  </si>
  <si>
    <t xml:space="preserve">c-0619</t>
  </si>
  <si>
    <t xml:space="preserve">c-0620</t>
  </si>
  <si>
    <t xml:space="preserve">c-0621</t>
  </si>
  <si>
    <t xml:space="preserve">c-0622</t>
  </si>
  <si>
    <t xml:space="preserve">c-0623</t>
  </si>
  <si>
    <t xml:space="preserve">c-0624</t>
  </si>
  <si>
    <t xml:space="preserve">c-0625</t>
  </si>
  <si>
    <t xml:space="preserve">c-0626</t>
  </si>
  <si>
    <t xml:space="preserve">c-0627</t>
  </si>
  <si>
    <t xml:space="preserve">c-0628</t>
  </si>
  <si>
    <t xml:space="preserve">c-0629</t>
  </si>
  <si>
    <t xml:space="preserve">c-0630</t>
  </si>
  <si>
    <t xml:space="preserve">c-0631</t>
  </si>
  <si>
    <t xml:space="preserve">c-0632</t>
  </si>
  <si>
    <t xml:space="preserve">c-0633</t>
  </si>
  <si>
    <t xml:space="preserve">c-0634</t>
  </si>
  <si>
    <t xml:space="preserve">c-0635</t>
  </si>
  <si>
    <t xml:space="preserve">c-0636</t>
  </si>
  <si>
    <t xml:space="preserve">c-0637</t>
  </si>
  <si>
    <t xml:space="preserve">c-0638</t>
  </si>
  <si>
    <t xml:space="preserve">c-0639</t>
  </si>
  <si>
    <t xml:space="preserve">c-0640</t>
  </si>
  <si>
    <t xml:space="preserve">c-0641</t>
  </si>
  <si>
    <t xml:space="preserve">c-0642</t>
  </si>
  <si>
    <t xml:space="preserve">c-0643</t>
  </si>
  <si>
    <t xml:space="preserve">c-0644</t>
  </si>
  <si>
    <t xml:space="preserve">c-0645</t>
  </si>
  <si>
    <t xml:space="preserve">c-0646</t>
  </si>
  <si>
    <t xml:space="preserve">c-0647</t>
  </si>
  <si>
    <t xml:space="preserve">c-0648</t>
  </si>
  <si>
    <t xml:space="preserve">c-0649</t>
  </si>
  <si>
    <t xml:space="preserve">c-0650</t>
  </si>
  <si>
    <t xml:space="preserve">c-0651</t>
  </si>
  <si>
    <t xml:space="preserve">c-0652</t>
  </si>
  <si>
    <t xml:space="preserve">c-0653</t>
  </si>
  <si>
    <t xml:space="preserve">c-0654</t>
  </si>
  <si>
    <t xml:space="preserve">c-0655</t>
  </si>
  <si>
    <t xml:space="preserve">c-0656</t>
  </si>
  <si>
    <t xml:space="preserve">c-0657</t>
  </si>
  <si>
    <t xml:space="preserve">c-0658</t>
  </si>
  <si>
    <t xml:space="preserve">c-0659</t>
  </si>
  <si>
    <t xml:space="preserve">c-0660</t>
  </si>
  <si>
    <t xml:space="preserve">c-0661</t>
  </si>
  <si>
    <t xml:space="preserve">c-0662</t>
  </si>
  <si>
    <t xml:space="preserve">c-0663</t>
  </si>
  <si>
    <t xml:space="preserve">c-0664</t>
  </si>
  <si>
    <t xml:space="preserve">c-0665</t>
  </si>
  <si>
    <t xml:space="preserve">c-0666</t>
  </si>
  <si>
    <t xml:space="preserve">c-0667</t>
  </si>
  <si>
    <t xml:space="preserve">c-0668</t>
  </si>
  <si>
    <t xml:space="preserve">c-0669</t>
  </si>
  <si>
    <t xml:space="preserve">c-0670</t>
  </si>
  <si>
    <t xml:space="preserve">c-0671</t>
  </si>
  <si>
    <t xml:space="preserve">c-0672</t>
  </si>
  <si>
    <t xml:space="preserve">c-0673</t>
  </si>
  <si>
    <t xml:space="preserve">c-0674</t>
  </si>
  <si>
    <t xml:space="preserve">c-0675</t>
  </si>
  <si>
    <t xml:space="preserve">c-0676</t>
  </si>
  <si>
    <t xml:space="preserve">c-0677</t>
  </si>
  <si>
    <t xml:space="preserve">c-0678</t>
  </si>
  <si>
    <t xml:space="preserve">c-0679</t>
  </si>
  <si>
    <t xml:space="preserve">c-0680</t>
  </si>
  <si>
    <t xml:space="preserve">c-0681</t>
  </si>
  <si>
    <t xml:space="preserve">c-0682</t>
  </si>
  <si>
    <t xml:space="preserve">c-0683</t>
  </si>
  <si>
    <t xml:space="preserve">c-0684</t>
  </si>
  <si>
    <t xml:space="preserve">c-0685</t>
  </si>
  <si>
    <t xml:space="preserve">c-0686</t>
  </si>
  <si>
    <t xml:space="preserve">c-0687</t>
  </si>
  <si>
    <t xml:space="preserve">c-0688</t>
  </si>
  <si>
    <t xml:space="preserve">c-0689</t>
  </si>
  <si>
    <t xml:space="preserve">c-0690</t>
  </si>
  <si>
    <t xml:space="preserve">c-0691</t>
  </si>
  <si>
    <t xml:space="preserve">c-0692</t>
  </si>
  <si>
    <t xml:space="preserve">c-0693</t>
  </si>
  <si>
    <t xml:space="preserve">c-0694</t>
  </si>
  <si>
    <t xml:space="preserve">c-0695</t>
  </si>
  <si>
    <t xml:space="preserve">c-0696</t>
  </si>
  <si>
    <t xml:space="preserve">c-0697</t>
  </si>
  <si>
    <t xml:space="preserve">c-0698</t>
  </si>
  <si>
    <t xml:space="preserve">c-0699</t>
  </si>
  <si>
    <t xml:space="preserve">c-0700</t>
  </si>
  <si>
    <t xml:space="preserve">c-0701</t>
  </si>
  <si>
    <t xml:space="preserve">c-0702</t>
  </si>
  <si>
    <t xml:space="preserve">c-0703</t>
  </si>
  <si>
    <t xml:space="preserve">c-0704</t>
  </si>
  <si>
    <t xml:space="preserve">c-0705</t>
  </si>
  <si>
    <t xml:space="preserve">c-0706</t>
  </si>
  <si>
    <t xml:space="preserve">c-0707</t>
  </si>
  <si>
    <t xml:space="preserve">c-0708</t>
  </si>
  <si>
    <t xml:space="preserve">c-0709</t>
  </si>
  <si>
    <t xml:space="preserve">c-0710</t>
  </si>
  <si>
    <t xml:space="preserve">c-0711</t>
  </si>
  <si>
    <t xml:space="preserve">c-0712</t>
  </si>
  <si>
    <t xml:space="preserve">c-0713</t>
  </si>
  <si>
    <t xml:space="preserve">c-0714</t>
  </si>
  <si>
    <t xml:space="preserve">c-0715</t>
  </si>
  <si>
    <t xml:space="preserve">c-0716</t>
  </si>
  <si>
    <t xml:space="preserve">c-0717</t>
  </si>
  <si>
    <t xml:space="preserve">c-0718</t>
  </si>
  <si>
    <t xml:space="preserve">c-0719</t>
  </si>
  <si>
    <t xml:space="preserve">c-0720</t>
  </si>
  <si>
    <t xml:space="preserve">c-0721</t>
  </si>
  <si>
    <t xml:space="preserve">c-0722</t>
  </si>
  <si>
    <t xml:space="preserve">c-0723</t>
  </si>
  <si>
    <t xml:space="preserve">c-0724</t>
  </si>
  <si>
    <t xml:space="preserve">c-0725</t>
  </si>
  <si>
    <t xml:space="preserve">c-0726</t>
  </si>
  <si>
    <t xml:space="preserve">c-0727</t>
  </si>
  <si>
    <t xml:space="preserve">c-0728</t>
  </si>
  <si>
    <t xml:space="preserve">c-0729</t>
  </si>
  <si>
    <t xml:space="preserve">c-0730</t>
  </si>
  <si>
    <t xml:space="preserve">c-0731</t>
  </si>
  <si>
    <t xml:space="preserve">c-0732</t>
  </si>
  <si>
    <t xml:space="preserve">c-0733</t>
  </si>
  <si>
    <t xml:space="preserve">c-0734</t>
  </si>
  <si>
    <t xml:space="preserve">c-0735</t>
  </si>
  <si>
    <t xml:space="preserve">c-0736</t>
  </si>
  <si>
    <t xml:space="preserve">c-0737</t>
  </si>
  <si>
    <t xml:space="preserve">c-0738</t>
  </si>
  <si>
    <t xml:space="preserve">c-0739</t>
  </si>
  <si>
    <t xml:space="preserve">c-0740</t>
  </si>
  <si>
    <t xml:space="preserve">c-0741</t>
  </si>
  <si>
    <t xml:space="preserve">c-0742</t>
  </si>
  <si>
    <t xml:space="preserve">c-0743</t>
  </si>
  <si>
    <t xml:space="preserve">c-0744</t>
  </si>
  <si>
    <t xml:space="preserve">c-0745</t>
  </si>
  <si>
    <t xml:space="preserve">c-0746</t>
  </si>
  <si>
    <t xml:space="preserve">c-0747</t>
  </si>
  <si>
    <t xml:space="preserve">c-0748</t>
  </si>
  <si>
    <t xml:space="preserve">c-0749</t>
  </si>
  <si>
    <t xml:space="preserve">c-0750</t>
  </si>
  <si>
    <t xml:space="preserve">c-0751</t>
  </si>
  <si>
    <t xml:space="preserve">c-0752</t>
  </si>
  <si>
    <t xml:space="preserve">c-0753</t>
  </si>
  <si>
    <t xml:space="preserve">c-0754</t>
  </si>
  <si>
    <t xml:space="preserve">c-0755</t>
  </si>
  <si>
    <t xml:space="preserve">c-0756</t>
  </si>
  <si>
    <t xml:space="preserve">c-0757</t>
  </si>
  <si>
    <t xml:space="preserve">c-0758</t>
  </si>
  <si>
    <t xml:space="preserve">c-0759</t>
  </si>
  <si>
    <t xml:space="preserve">c-0760</t>
  </si>
  <si>
    <t xml:space="preserve">c-0761</t>
  </si>
  <si>
    <t xml:space="preserve">c-0762</t>
  </si>
  <si>
    <t xml:space="preserve">c-0763</t>
  </si>
  <si>
    <t xml:space="preserve">c-0764</t>
  </si>
  <si>
    <t xml:space="preserve">c-0765</t>
  </si>
  <si>
    <t xml:space="preserve">c-0766</t>
  </si>
  <si>
    <t xml:space="preserve">c-0767</t>
  </si>
  <si>
    <t xml:space="preserve">c-0768</t>
  </si>
  <si>
    <t xml:space="preserve">c-0769</t>
  </si>
  <si>
    <t xml:space="preserve">c-0770</t>
  </si>
  <si>
    <t xml:space="preserve">c-0771</t>
  </si>
  <si>
    <t xml:space="preserve">c-0772</t>
  </si>
  <si>
    <t xml:space="preserve">c-0773</t>
  </si>
  <si>
    <t xml:space="preserve">c-0774</t>
  </si>
  <si>
    <t xml:space="preserve">c-0775</t>
  </si>
  <si>
    <t xml:space="preserve">c-0776</t>
  </si>
  <si>
    <t xml:space="preserve">c-0777</t>
  </si>
  <si>
    <t xml:space="preserve">c-0778</t>
  </si>
  <si>
    <t xml:space="preserve">c-0779</t>
  </si>
  <si>
    <t xml:space="preserve">c-0780</t>
  </si>
  <si>
    <t xml:space="preserve">c-0781</t>
  </si>
  <si>
    <t xml:space="preserve">c-0782</t>
  </si>
  <si>
    <t xml:space="preserve">c-0783</t>
  </si>
  <si>
    <t xml:space="preserve">c-0784</t>
  </si>
  <si>
    <t xml:space="preserve">c-0785</t>
  </si>
  <si>
    <t xml:space="preserve">c-0786</t>
  </si>
  <si>
    <t xml:space="preserve">c-0787</t>
  </si>
  <si>
    <t xml:space="preserve">c-0788</t>
  </si>
  <si>
    <t xml:space="preserve">c-0789</t>
  </si>
  <si>
    <t xml:space="preserve">c-0790</t>
  </si>
  <si>
    <t xml:space="preserve">c-0791</t>
  </si>
  <si>
    <t xml:space="preserve">c-0792</t>
  </si>
  <si>
    <t xml:space="preserve">c-0793</t>
  </si>
  <si>
    <t xml:space="preserve">c-0794</t>
  </si>
  <si>
    <t xml:space="preserve">c-0795</t>
  </si>
  <si>
    <t xml:space="preserve">c-0796</t>
  </si>
  <si>
    <t xml:space="preserve">c-0797</t>
  </si>
  <si>
    <t xml:space="preserve">c-0798</t>
  </si>
  <si>
    <t xml:space="preserve">c-0799</t>
  </si>
  <si>
    <t xml:space="preserve">c-0800</t>
  </si>
  <si>
    <t xml:space="preserve">c-0801</t>
  </si>
  <si>
    <t xml:space="preserve">c-0802</t>
  </si>
  <si>
    <t xml:space="preserve">c-0803</t>
  </si>
  <si>
    <t xml:space="preserve">c-0804</t>
  </si>
  <si>
    <t xml:space="preserve">c-0805</t>
  </si>
  <si>
    <t xml:space="preserve">c-0806</t>
  </si>
  <si>
    <t xml:space="preserve">c-0807</t>
  </si>
  <si>
    <t xml:space="preserve">c-0808</t>
  </si>
  <si>
    <t xml:space="preserve">c-0809</t>
  </si>
  <si>
    <t xml:space="preserve">c-0810</t>
  </si>
  <si>
    <t xml:space="preserve">c-0811</t>
  </si>
  <si>
    <t xml:space="preserve">c-0812</t>
  </si>
  <si>
    <t xml:space="preserve">c-0813</t>
  </si>
  <si>
    <t xml:space="preserve">c-0814</t>
  </si>
  <si>
    <t xml:space="preserve">c-0815</t>
  </si>
  <si>
    <t xml:space="preserve">c-0816</t>
  </si>
  <si>
    <t xml:space="preserve">c-0817</t>
  </si>
  <si>
    <t xml:space="preserve">c-0818</t>
  </si>
  <si>
    <t xml:space="preserve">c-0819</t>
  </si>
  <si>
    <t xml:space="preserve">c-0820</t>
  </si>
  <si>
    <t xml:space="preserve">c-0821</t>
  </si>
  <si>
    <t xml:space="preserve">c-0822</t>
  </si>
  <si>
    <t xml:space="preserve">c-0823</t>
  </si>
  <si>
    <t xml:space="preserve">c-0824</t>
  </si>
  <si>
    <t xml:space="preserve">c-0825</t>
  </si>
  <si>
    <t xml:space="preserve">c-0826</t>
  </si>
  <si>
    <t xml:space="preserve">c-0827</t>
  </si>
  <si>
    <t xml:space="preserve">c-0828</t>
  </si>
  <si>
    <t xml:space="preserve">c-0829</t>
  </si>
  <si>
    <t xml:space="preserve">c-0830</t>
  </si>
  <si>
    <t xml:space="preserve">c-0831</t>
  </si>
  <si>
    <t xml:space="preserve">c-0832</t>
  </si>
  <si>
    <t xml:space="preserve">c-0833</t>
  </si>
  <si>
    <t xml:space="preserve">c-0834</t>
  </si>
  <si>
    <t xml:space="preserve">c-0835</t>
  </si>
  <si>
    <t xml:space="preserve">c-0836</t>
  </si>
  <si>
    <t xml:space="preserve">c-0837</t>
  </si>
  <si>
    <t xml:space="preserve">c-0838</t>
  </si>
  <si>
    <t xml:space="preserve">c-0839</t>
  </si>
  <si>
    <t xml:space="preserve">c-0840</t>
  </si>
  <si>
    <t xml:space="preserve">c-0841</t>
  </si>
  <si>
    <t xml:space="preserve">c-0842</t>
  </si>
  <si>
    <t xml:space="preserve">c-0843</t>
  </si>
  <si>
    <t xml:space="preserve">c-0844</t>
  </si>
  <si>
    <t xml:space="preserve">c-0845</t>
  </si>
  <si>
    <t xml:space="preserve">c-0846</t>
  </si>
  <si>
    <t xml:space="preserve">c-0847</t>
  </si>
  <si>
    <t xml:space="preserve">c-0848</t>
  </si>
  <si>
    <t xml:space="preserve">c-0849</t>
  </si>
  <si>
    <t xml:space="preserve">c-0850</t>
  </si>
  <si>
    <t xml:space="preserve">c-0851</t>
  </si>
  <si>
    <t xml:space="preserve">c-0852</t>
  </si>
  <si>
    <t xml:space="preserve">c-0853</t>
  </si>
  <si>
    <t xml:space="preserve">c-0854</t>
  </si>
  <si>
    <t xml:space="preserve">c-0855</t>
  </si>
  <si>
    <t xml:space="preserve">c-0856</t>
  </si>
  <si>
    <t xml:space="preserve">c-0857</t>
  </si>
  <si>
    <t xml:space="preserve">c-0858</t>
  </si>
  <si>
    <t xml:space="preserve">c-0859</t>
  </si>
  <si>
    <t xml:space="preserve">c-0860</t>
  </si>
  <si>
    <t xml:space="preserve">c-0861</t>
  </si>
  <si>
    <t xml:space="preserve">c-0862</t>
  </si>
  <si>
    <t xml:space="preserve">c-0863</t>
  </si>
  <si>
    <t xml:space="preserve">c-0864</t>
  </si>
  <si>
    <t xml:space="preserve">c-0865</t>
  </si>
  <si>
    <t xml:space="preserve">c-0866</t>
  </si>
  <si>
    <t xml:space="preserve">c-0867</t>
  </si>
  <si>
    <t xml:space="preserve">c-0868</t>
  </si>
  <si>
    <t xml:space="preserve">c-0869</t>
  </si>
  <si>
    <t xml:space="preserve">c-0870</t>
  </si>
  <si>
    <t xml:space="preserve">c-0871</t>
  </si>
  <si>
    <t xml:space="preserve">c-0872</t>
  </si>
  <si>
    <t xml:space="preserve">c-0873</t>
  </si>
  <si>
    <t xml:space="preserve">c-0874</t>
  </si>
  <si>
    <t xml:space="preserve">c-0875</t>
  </si>
  <si>
    <t xml:space="preserve">c-0876</t>
  </si>
  <si>
    <t xml:space="preserve">c-0877</t>
  </si>
  <si>
    <t xml:space="preserve">c-0878</t>
  </si>
  <si>
    <t xml:space="preserve">c-0879</t>
  </si>
  <si>
    <t xml:space="preserve">c-0880</t>
  </si>
  <si>
    <t xml:space="preserve">c-0881</t>
  </si>
  <si>
    <t xml:space="preserve">c-0882</t>
  </si>
  <si>
    <t xml:space="preserve">c-0883</t>
  </si>
  <si>
    <t xml:space="preserve">c-0884</t>
  </si>
  <si>
    <t xml:space="preserve">c-0885</t>
  </si>
  <si>
    <t xml:space="preserve">c-0886</t>
  </si>
  <si>
    <t xml:space="preserve">c-0887</t>
  </si>
  <si>
    <t xml:space="preserve">c-0888</t>
  </si>
  <si>
    <t xml:space="preserve">c-0889</t>
  </si>
  <si>
    <t xml:space="preserve">c-0890</t>
  </si>
  <si>
    <t xml:space="preserve">c-0891</t>
  </si>
  <si>
    <t xml:space="preserve">c-0892</t>
  </si>
  <si>
    <t xml:space="preserve">c-0893</t>
  </si>
  <si>
    <t xml:space="preserve">c-0894</t>
  </si>
  <si>
    <t xml:space="preserve">c-0895</t>
  </si>
  <si>
    <t xml:space="preserve">c-0896</t>
  </si>
  <si>
    <t xml:space="preserve">c-0897</t>
  </si>
  <si>
    <t xml:space="preserve">c-0898</t>
  </si>
  <si>
    <t xml:space="preserve">c-0899</t>
  </si>
  <si>
    <t xml:space="preserve">c-0900</t>
  </si>
  <si>
    <t xml:space="preserve">The assumption versions each scenario uses for each of its initiatives (TYPED: the pinned version, else the latest created by the scenario's created_at; W-02)</t>
  </si>
  <si>
    <t xml:space="preserve">ramp_1..ramp_8 = the adoption ramp (fractions per period from each benefit row's starts_period, the last value held); capacity_rate = USD per hour, only when a staffing_change_evidence_ref exists.</t>
  </si>
  <si>
    <t xml:space="preserve">key</t>
  </si>
  <si>
    <t xml:space="preserve">scenario_id</t>
  </si>
  <si>
    <t xml:space="preserve">ramp_assumption_id</t>
  </si>
  <si>
    <t xml:space="preserve">ramp_len</t>
  </si>
  <si>
    <t xml:space="preserve">ramp_1</t>
  </si>
  <si>
    <t xml:space="preserve">ramp_2</t>
  </si>
  <si>
    <t xml:space="preserve">ramp_3</t>
  </si>
  <si>
    <t xml:space="preserve">ramp_4</t>
  </si>
  <si>
    <t xml:space="preserve">ramp_5</t>
  </si>
  <si>
    <t xml:space="preserve">ramp_6</t>
  </si>
  <si>
    <t xml:space="preserve">ramp_7</t>
  </si>
  <si>
    <t xml:space="preserve">ramp_8</t>
  </si>
  <si>
    <t xml:space="preserve">scn-001|init-001</t>
  </si>
  <si>
    <t xml:space="preserve">scn-001</t>
  </si>
  <si>
    <t xml:space="preserve">a-001-adopti-1</t>
  </si>
  <si>
    <t xml:space="preserve">scn-001|init-002</t>
  </si>
  <si>
    <t xml:space="preserve">a-002-adopti-1</t>
  </si>
  <si>
    <t xml:space="preserve">scn-001|init-003</t>
  </si>
  <si>
    <t xml:space="preserve">a-003-adopti-1</t>
  </si>
  <si>
    <t xml:space="preserve">scn-001|init-004</t>
  </si>
  <si>
    <t xml:space="preserve">a-004-adopti-1</t>
  </si>
  <si>
    <t xml:space="preserve">scn-001|init-005</t>
  </si>
  <si>
    <t xml:space="preserve">a-005-adopti-1</t>
  </si>
  <si>
    <t xml:space="preserve">scn-001|init-006</t>
  </si>
  <si>
    <t xml:space="preserve">a-006-adopti-1</t>
  </si>
  <si>
    <t xml:space="preserve">scn-002|init-001</t>
  </si>
  <si>
    <t xml:space="preserve">scn-002</t>
  </si>
  <si>
    <t xml:space="preserve">scn-002|init-002</t>
  </si>
  <si>
    <t xml:space="preserve">scn-002|init-003</t>
  </si>
  <si>
    <t xml:space="preserve">scn-002|init-004</t>
  </si>
  <si>
    <t xml:space="preserve">a-004-adopti-2</t>
  </si>
  <si>
    <t xml:space="preserve">scn-002|init-005</t>
  </si>
  <si>
    <t xml:space="preserve">scn-002|init-006</t>
  </si>
  <si>
    <t xml:space="preserve">scn-003|init-001</t>
  </si>
  <si>
    <t xml:space="preserve">scn-003</t>
  </si>
  <si>
    <t xml:space="preserve">a-001-adopti-2</t>
  </si>
  <si>
    <t xml:space="preserve">scn-003|init-002</t>
  </si>
  <si>
    <t xml:space="preserve">scn-003|init-003</t>
  </si>
  <si>
    <t xml:space="preserve">scn-003|init-004</t>
  </si>
  <si>
    <t xml:space="preserve">scn-003|init-005</t>
  </si>
  <si>
    <t xml:space="preserve">scn-003|init-006</t>
  </si>
  <si>
    <t xml:space="preserve">scn-004|init-003</t>
  </si>
  <si>
    <t xml:space="preserve">scn-004</t>
  </si>
  <si>
    <t xml:space="preserve">scn-004|init-004</t>
  </si>
  <si>
    <t xml:space="preserve">scn-004|init-005</t>
  </si>
  <si>
    <t xml:space="preserve">scn-004|init-006</t>
  </si>
  <si>
    <t xml:space="preserve">scn-005|init-001</t>
  </si>
  <si>
    <t xml:space="preserve">scn-005</t>
  </si>
  <si>
    <t xml:space="preserve">scn-005|init-002</t>
  </si>
  <si>
    <t xml:space="preserve">scn-005|init-003</t>
  </si>
  <si>
    <t xml:space="preserve">scn-005|init-004</t>
  </si>
  <si>
    <t xml:space="preserve">scn-005|init-005</t>
  </si>
  <si>
    <t xml:space="preserve">scn-005|init-006</t>
  </si>
  <si>
    <t xml:space="preserve">scn-006|init-001</t>
  </si>
  <si>
    <t xml:space="preserve">scn-006</t>
  </si>
  <si>
    <t xml:space="preserve">scn-006|init-002</t>
  </si>
  <si>
    <t xml:space="preserve">a-002-adopti-2</t>
  </si>
  <si>
    <t xml:space="preserve">scn-006|init-003</t>
  </si>
  <si>
    <t xml:space="preserve">a-003-adopti-2</t>
  </si>
  <si>
    <t xml:space="preserve">scn-006|init-004</t>
  </si>
  <si>
    <t xml:space="preserve">scn-006|init-005</t>
  </si>
  <si>
    <t xml:space="preserve">scn-006|init-006</t>
  </si>
  <si>
    <t xml:space="preserve">scn-007|init-007</t>
  </si>
  <si>
    <t xml:space="preserve">scn-007</t>
  </si>
  <si>
    <t xml:space="preserve">a-007-adopti-1</t>
  </si>
  <si>
    <t xml:space="preserve">scn-007|init-008</t>
  </si>
  <si>
    <t xml:space="preserve">a-008-adopti-1</t>
  </si>
  <si>
    <t xml:space="preserve">scn-007|init-009</t>
  </si>
  <si>
    <t xml:space="preserve">a-009-adopti-1</t>
  </si>
  <si>
    <t xml:space="preserve">scn-007|init-010</t>
  </si>
  <si>
    <t xml:space="preserve">a-010-adopti-1</t>
  </si>
  <si>
    <t xml:space="preserve">scn-007|init-011</t>
  </si>
  <si>
    <t xml:space="preserve">a-011-adopti-1</t>
  </si>
  <si>
    <t xml:space="preserve">scn-007|init-012</t>
  </si>
  <si>
    <t xml:space="preserve">a-012-adopti-1</t>
  </si>
  <si>
    <t xml:space="preserve">scn-008|init-007</t>
  </si>
  <si>
    <t xml:space="preserve">scn-008</t>
  </si>
  <si>
    <t xml:space="preserve">scn-008|init-008</t>
  </si>
  <si>
    <t xml:space="preserve">scn-008|init-009</t>
  </si>
  <si>
    <t xml:space="preserve">scn-008|init-010</t>
  </si>
  <si>
    <t xml:space="preserve">scn-008|init-011</t>
  </si>
  <si>
    <t xml:space="preserve">scn-008|init-012</t>
  </si>
  <si>
    <t xml:space="preserve">scn-009|init-007</t>
  </si>
  <si>
    <t xml:space="preserve">scn-009</t>
  </si>
  <si>
    <t xml:space="preserve">scn-009|init-008</t>
  </si>
  <si>
    <t xml:space="preserve">a-008-adopti-2</t>
  </si>
  <si>
    <t xml:space="preserve">scn-009|init-009</t>
  </si>
  <si>
    <t xml:space="preserve">scn-009|init-010</t>
  </si>
  <si>
    <t xml:space="preserve">scn-009|init-011</t>
  </si>
  <si>
    <t xml:space="preserve">scn-009|init-012</t>
  </si>
  <si>
    <t xml:space="preserve">scn-010|init-009</t>
  </si>
  <si>
    <t xml:space="preserve">scn-010</t>
  </si>
  <si>
    <t xml:space="preserve">scn-010|init-010</t>
  </si>
  <si>
    <t xml:space="preserve">scn-011|init-007</t>
  </si>
  <si>
    <t xml:space="preserve">scn-011</t>
  </si>
  <si>
    <t xml:space="preserve">scn-011|init-008</t>
  </si>
  <si>
    <t xml:space="preserve">scn-011|init-009</t>
  </si>
  <si>
    <t xml:space="preserve">scn-011|init-010</t>
  </si>
  <si>
    <t xml:space="preserve">scn-011|init-011</t>
  </si>
  <si>
    <t xml:space="preserve">scn-011|init-012</t>
  </si>
  <si>
    <t xml:space="preserve">scn-012|init-007</t>
  </si>
  <si>
    <t xml:space="preserve">scn-012</t>
  </si>
  <si>
    <t xml:space="preserve">a-007-adopti-2</t>
  </si>
  <si>
    <t xml:space="preserve">scn-012|init-008</t>
  </si>
  <si>
    <t xml:space="preserve">scn-012|init-009</t>
  </si>
  <si>
    <t xml:space="preserve">a-009-adopti-2</t>
  </si>
  <si>
    <t xml:space="preserve">scn-012|init-010</t>
  </si>
  <si>
    <t xml:space="preserve">scn-012|init-011</t>
  </si>
  <si>
    <t xml:space="preserve">scn-012|init-012</t>
  </si>
  <si>
    <t xml:space="preserve">scn-013|init-013</t>
  </si>
  <si>
    <t xml:space="preserve">scn-013</t>
  </si>
  <si>
    <t xml:space="preserve">a-013-adopti-1</t>
  </si>
  <si>
    <t xml:space="preserve">scn-013|init-014</t>
  </si>
  <si>
    <t xml:space="preserve">a-014-adopti-1</t>
  </si>
  <si>
    <t xml:space="preserve">scn-013|init-015</t>
  </si>
  <si>
    <t xml:space="preserve">a-015-adopti-1</t>
  </si>
  <si>
    <t xml:space="preserve">scn-013|init-016</t>
  </si>
  <si>
    <t xml:space="preserve">a-016-adopti-1</t>
  </si>
  <si>
    <t xml:space="preserve">scn-013|init-017</t>
  </si>
  <si>
    <t xml:space="preserve">a-017-adopti-1</t>
  </si>
  <si>
    <t xml:space="preserve">scn-013|init-018</t>
  </si>
  <si>
    <t xml:space="preserve">a-018-adopti-1</t>
  </si>
  <si>
    <t xml:space="preserve">scn-014|init-013</t>
  </si>
  <si>
    <t xml:space="preserve">scn-014</t>
  </si>
  <si>
    <t xml:space="preserve">scn-014|init-014</t>
  </si>
  <si>
    <t xml:space="preserve">scn-014|init-015</t>
  </si>
  <si>
    <t xml:space="preserve">scn-014|init-016</t>
  </si>
  <si>
    <t xml:space="preserve">scn-014|init-017</t>
  </si>
  <si>
    <t xml:space="preserve">scn-014|init-018</t>
  </si>
  <si>
    <t xml:space="preserve">scn-015|init-013</t>
  </si>
  <si>
    <t xml:space="preserve">scn-015</t>
  </si>
  <si>
    <t xml:space="preserve">a-013-adopti-2</t>
  </si>
  <si>
    <t xml:space="preserve">scn-015|init-014</t>
  </si>
  <si>
    <t xml:space="preserve">scn-015|init-015</t>
  </si>
  <si>
    <t xml:space="preserve">a-015-adopti-2</t>
  </si>
  <si>
    <t xml:space="preserve">scn-015|init-016</t>
  </si>
  <si>
    <t xml:space="preserve">a-016-adopti-2</t>
  </si>
  <si>
    <t xml:space="preserve">scn-015|init-017</t>
  </si>
  <si>
    <t xml:space="preserve">scn-015|init-018</t>
  </si>
  <si>
    <t xml:space="preserve">scn-016|init-014</t>
  </si>
  <si>
    <t xml:space="preserve">scn-016</t>
  </si>
  <si>
    <t xml:space="preserve">scn-016|init-015</t>
  </si>
  <si>
    <t xml:space="preserve">scn-016|init-016</t>
  </si>
  <si>
    <t xml:space="preserve">scn-017|init-013</t>
  </si>
  <si>
    <t xml:space="preserve">scn-017</t>
  </si>
  <si>
    <t xml:space="preserve">scn-017|init-014</t>
  </si>
  <si>
    <t xml:space="preserve">scn-017|init-015</t>
  </si>
  <si>
    <t xml:space="preserve">scn-017|init-016</t>
  </si>
  <si>
    <t xml:space="preserve">scn-017|init-017</t>
  </si>
  <si>
    <t xml:space="preserve">scn-017|init-018</t>
  </si>
  <si>
    <t xml:space="preserve">scn-018|init-013</t>
  </si>
  <si>
    <t xml:space="preserve">scn-018</t>
  </si>
  <si>
    <t xml:space="preserve">scn-018|init-014</t>
  </si>
  <si>
    <t xml:space="preserve">a-014-adopti-2</t>
  </si>
  <si>
    <t xml:space="preserve">scn-018|init-015</t>
  </si>
  <si>
    <t xml:space="preserve">scn-018|init-016</t>
  </si>
  <si>
    <t xml:space="preserve">scn-018|init-017</t>
  </si>
  <si>
    <t xml:space="preserve">scn-018|init-018</t>
  </si>
  <si>
    <t xml:space="preserve">scn-019|init-019</t>
  </si>
  <si>
    <t xml:space="preserve">scn-019</t>
  </si>
  <si>
    <t xml:space="preserve">a-019-adopti-1</t>
  </si>
  <si>
    <t xml:space="preserve">scn-019|init-020</t>
  </si>
  <si>
    <t xml:space="preserve">a-020-adopti-1</t>
  </si>
  <si>
    <t xml:space="preserve">scn-019|init-021</t>
  </si>
  <si>
    <t xml:space="preserve">a-021-adopti-1</t>
  </si>
  <si>
    <t xml:space="preserve">scn-019|init-022</t>
  </si>
  <si>
    <t xml:space="preserve">a-022-adopti-1</t>
  </si>
  <si>
    <t xml:space="preserve">scn-019|init-023</t>
  </si>
  <si>
    <t xml:space="preserve">a-023-adopti-1</t>
  </si>
  <si>
    <t xml:space="preserve">scn-019|init-024</t>
  </si>
  <si>
    <t xml:space="preserve">a-024-adopti-1</t>
  </si>
  <si>
    <t xml:space="preserve">scn-020|init-019</t>
  </si>
  <si>
    <t xml:space="preserve">scn-020</t>
  </si>
  <si>
    <t xml:space="preserve">scn-020|init-020</t>
  </si>
  <si>
    <t xml:space="preserve">scn-020|init-021</t>
  </si>
  <si>
    <t xml:space="preserve">scn-020|init-022</t>
  </si>
  <si>
    <t xml:space="preserve">scn-020|init-023</t>
  </si>
  <si>
    <t xml:space="preserve">scn-020|init-024</t>
  </si>
  <si>
    <t xml:space="preserve">scn-021|init-019</t>
  </si>
  <si>
    <t xml:space="preserve">scn-021</t>
  </si>
  <si>
    <t xml:space="preserve">scn-021|init-020</t>
  </si>
  <si>
    <t xml:space="preserve">scn-021|init-021</t>
  </si>
  <si>
    <t xml:space="preserve">scn-021|init-022</t>
  </si>
  <si>
    <t xml:space="preserve">scn-021|init-023</t>
  </si>
  <si>
    <t xml:space="preserve">scn-021|init-024</t>
  </si>
  <si>
    <t xml:space="preserve">scn-022|init-023</t>
  </si>
  <si>
    <t xml:space="preserve">scn-022</t>
  </si>
  <si>
    <t xml:space="preserve">scn-022|init-024</t>
  </si>
  <si>
    <t xml:space="preserve">scn-023|init-019</t>
  </si>
  <si>
    <t xml:space="preserve">scn-023</t>
  </si>
  <si>
    <t xml:space="preserve">scn-023|init-020</t>
  </si>
  <si>
    <t xml:space="preserve">scn-023|init-021</t>
  </si>
  <si>
    <t xml:space="preserve">scn-023|init-022</t>
  </si>
  <si>
    <t xml:space="preserve">scn-023|init-023</t>
  </si>
  <si>
    <t xml:space="preserve">scn-023|init-024</t>
  </si>
  <si>
    <t xml:space="preserve">scn-024|init-019</t>
  </si>
  <si>
    <t xml:space="preserve">scn-024</t>
  </si>
  <si>
    <t xml:space="preserve">scn-024|init-020</t>
  </si>
  <si>
    <t xml:space="preserve">scn-024|init-021</t>
  </si>
  <si>
    <t xml:space="preserve">scn-024|init-022</t>
  </si>
  <si>
    <t xml:space="preserve">scn-024|init-023</t>
  </si>
  <si>
    <t xml:space="preserve">scn-024|init-024</t>
  </si>
  <si>
    <t xml:space="preserve">scn-025|init-001</t>
  </si>
  <si>
    <t xml:space="preserve">scn-025|init-002</t>
  </si>
  <si>
    <t xml:space="preserve">scn-025|init-003</t>
  </si>
  <si>
    <t xml:space="preserve">scn-025|init-004</t>
  </si>
  <si>
    <t xml:space="preserve">scn-025|init-005</t>
  </si>
  <si>
    <t xml:space="preserve">scn-025|init-006</t>
  </si>
  <si>
    <t xml:space="preserve">scn-025|init-007</t>
  </si>
  <si>
    <t xml:space="preserve">scn-025|init-008</t>
  </si>
  <si>
    <t xml:space="preserve">scn-025|init-009</t>
  </si>
  <si>
    <t xml:space="preserve">scn-025|init-010</t>
  </si>
  <si>
    <t xml:space="preserve">scn-025|init-011</t>
  </si>
  <si>
    <t xml:space="preserve">scn-025|init-012</t>
  </si>
  <si>
    <t xml:space="preserve">scn-025|init-013</t>
  </si>
  <si>
    <t xml:space="preserve">scn-025|init-014</t>
  </si>
  <si>
    <t xml:space="preserve">scn-025|init-015</t>
  </si>
  <si>
    <t xml:space="preserve">scn-025|init-016</t>
  </si>
  <si>
    <t xml:space="preserve">scn-025|init-017</t>
  </si>
  <si>
    <t xml:space="preserve">scn-025|init-018</t>
  </si>
  <si>
    <t xml:space="preserve">scn-025|init-019</t>
  </si>
  <si>
    <t xml:space="preserve">scn-025|init-020</t>
  </si>
  <si>
    <t xml:space="preserve">scn-025|init-021</t>
  </si>
  <si>
    <t xml:space="preserve">scn-025|init-022</t>
  </si>
  <si>
    <t xml:space="preserve">scn-025|init-023</t>
  </si>
  <si>
    <t xml:space="preserve">scn-025|init-024</t>
  </si>
  <si>
    <t xml:space="preserve">scn-026|init-001</t>
  </si>
  <si>
    <t xml:space="preserve">scn-026</t>
  </si>
  <si>
    <t xml:space="preserve">scn-026|init-003</t>
  </si>
  <si>
    <t xml:space="preserve">scn-026|init-004</t>
  </si>
  <si>
    <t xml:space="preserve">scn-026|init-005</t>
  </si>
  <si>
    <t xml:space="preserve">scn-026|init-006</t>
  </si>
  <si>
    <t xml:space="preserve">scn-026|init-007</t>
  </si>
  <si>
    <t xml:space="preserve">scn-026|init-008</t>
  </si>
  <si>
    <t xml:space="preserve">scn-026|init-009</t>
  </si>
  <si>
    <t xml:space="preserve">scn-026|init-010</t>
  </si>
  <si>
    <t xml:space="preserve">scn-026|init-011</t>
  </si>
  <si>
    <t xml:space="preserve">scn-026|init-012</t>
  </si>
  <si>
    <t xml:space="preserve">scn-026|init-013</t>
  </si>
  <si>
    <t xml:space="preserve">scn-026|init-014</t>
  </si>
  <si>
    <t xml:space="preserve">scn-026|init-015</t>
  </si>
  <si>
    <t xml:space="preserve">scn-026|init-016</t>
  </si>
  <si>
    <t xml:space="preserve">scn-026|init-017</t>
  </si>
  <si>
    <t xml:space="preserve">scn-026|init-018</t>
  </si>
  <si>
    <t xml:space="preserve">scn-026|init-019</t>
  </si>
  <si>
    <t xml:space="preserve">scn-026|init-020</t>
  </si>
  <si>
    <t xml:space="preserve">scn-026|init-021</t>
  </si>
  <si>
    <t xml:space="preserve">scn-026|init-022</t>
  </si>
  <si>
    <t xml:space="preserve">scn-026|init-023</t>
  </si>
  <si>
    <t xml:space="preserve">scn-026|init-024</t>
  </si>
  <si>
    <t xml:space="preserve">scn-027|init-001</t>
  </si>
  <si>
    <t xml:space="preserve">scn-027</t>
  </si>
  <si>
    <t xml:space="preserve">scn-027|init-002</t>
  </si>
  <si>
    <t xml:space="preserve">scn-027|init-007</t>
  </si>
  <si>
    <t xml:space="preserve">scn-027|init-008</t>
  </si>
  <si>
    <t xml:space="preserve">scn-027|init-013</t>
  </si>
  <si>
    <t xml:space="preserve">scn-028|init-005</t>
  </si>
  <si>
    <t xml:space="preserve">scn-028</t>
  </si>
  <si>
    <t xml:space="preserve">scn-028|init-011</t>
  </si>
  <si>
    <t xml:space="preserve">scn-028|init-017</t>
  </si>
  <si>
    <t xml:space="preserve">scn-028|init-019</t>
  </si>
  <si>
    <t xml:space="preserve">scn-028|init-020</t>
  </si>
  <si>
    <t xml:space="preserve">scn-028|init-023</t>
  </si>
  <si>
    <t xml:space="preserve">scn-028|init-024</t>
  </si>
  <si>
    <t xml:space="preserve">scn-029|init-005</t>
  </si>
  <si>
    <t xml:space="preserve">scn-029</t>
  </si>
  <si>
    <t xml:space="preserve">scn-029|init-006</t>
  </si>
  <si>
    <t xml:space="preserve">scn-029|init-011</t>
  </si>
  <si>
    <t xml:space="preserve">scn-029|init-012</t>
  </si>
  <si>
    <t xml:space="preserve">scn-029|init-017</t>
  </si>
  <si>
    <t xml:space="preserve">scn-029|init-018</t>
  </si>
  <si>
    <t xml:space="preserve">scn-029|init-019</t>
  </si>
  <si>
    <t xml:space="preserve">scn-029|init-020</t>
  </si>
  <si>
    <t xml:space="preserve">scn-029|init-021</t>
  </si>
  <si>
    <t xml:space="preserve">scn-029|init-022</t>
  </si>
  <si>
    <t xml:space="preserve">scn-030|init-003</t>
  </si>
  <si>
    <t xml:space="preserve">scn-030</t>
  </si>
  <si>
    <t xml:space="preserve">scn-030|init-004</t>
  </si>
  <si>
    <t xml:space="preserve">scn-030|init-008</t>
  </si>
  <si>
    <t xml:space="preserve">scn-030|init-009</t>
  </si>
  <si>
    <t xml:space="preserve">scn-030|init-010</t>
  </si>
  <si>
    <t xml:space="preserve">scn-030|init-013</t>
  </si>
  <si>
    <t xml:space="preserve">scn-030|init-014</t>
  </si>
  <si>
    <t xml:space="preserve">scn-030|init-016</t>
  </si>
  <si>
    <t xml:space="preserve">scn-030|init-023</t>
  </si>
  <si>
    <t xml:space="preserve">scn-030|init-024</t>
  </si>
  <si>
    <t xml:space="preserve">The 30 scenario versions (immutable; an edit is a new scenario_id)</t>
  </si>
  <si>
    <t xml:space="preserve">conversion_rate is the declared 6-place monthly conversion of an annual rate (an assumption version, D-P9-06); effective_rate is a formula.</t>
  </si>
  <si>
    <t xml:space="preserve">rate_basis</t>
  </si>
  <si>
    <t xml:space="preserve">declared_rate</t>
  </si>
  <si>
    <t xml:space="preserve">conversion_rate</t>
  </si>
  <si>
    <t xml:space="preserve">horizon_periods</t>
  </si>
  <si>
    <t xml:space="preserve">created_at (serial)</t>
  </si>
  <si>
    <t xml:space="preserve">initiatives</t>
  </si>
  <si>
    <t xml:space="preserve">effective_rate</t>
  </si>
  <si>
    <t xml:space="preserve">rate_source</t>
  </si>
  <si>
    <t xml:space="preserve">annual</t>
  </si>
  <si>
    <t xml:space="preserve">The 36 monthly periods from 2026-01-01; a period is matured when its end (the start of the next one) is on or before the as-of (D-P9-22)</t>
  </si>
  <si>
    <t xml:space="preserve">period_start</t>
  </si>
  <si>
    <t xml:space="preserve">period_end</t>
  </si>
  <si>
    <t xml:space="preserve">matured</t>
  </si>
  <si>
    <t xml:space="preserve">PASTED VALUES: what the Python domain (changeworks.run_pipeline) and the SQL ledger publish, per scenario and per scenario x initiative; used by the check columns only</t>
  </si>
  <si>
    <t xml:space="preserve">sum_of_initiatives</t>
  </si>
  <si>
    <t xml:space="preserve">double_counted_pv</t>
  </si>
  <si>
    <t xml:space="preserve">attributable_npv</t>
  </si>
  <si>
    <t xml:space="preserve">planned_benefits</t>
  </si>
  <si>
    <t xml:space="preserve">residual</t>
  </si>
  <si>
    <t xml:space="preserve">planned_hours</t>
  </si>
  <si>
    <t xml:space="preserve">hours_residual</t>
  </si>
  <si>
    <t xml:space="preserve">planned_costs (SQL 01)</t>
  </si>
  <si>
    <t xml:space="preserve">cash (SQL 01)</t>
  </si>
  <si>
    <t xml:space="preserve">revenue (SQL 01)</t>
  </si>
  <si>
    <t xml:space="preserve">avoided_cost_realised (SQL 01)</t>
  </si>
  <si>
    <t xml:space="preserve">capacity_converted (SQL 01)</t>
  </si>
  <si>
    <t xml:space="preserve">avoided_cost_beside (SQL 01)</t>
  </si>
  <si>
    <t xml:space="preserve">capacity_hours_not_converted (SQL 01)</t>
  </si>
  <si>
    <t xml:space="preserve">attributable_benefits</t>
  </si>
  <si>
    <t xml:space="preserve">per scenario x initiative (key = scenario|initiative): NPV, simple payback period, discounted payback period (-1 = null: no payback), simple reason, discounted reason</t>
  </si>
  <si>
    <t xml:space="preserve">NOT_RECOVERED</t>
  </si>
  <si>
    <t xml:space="preserve">PASTED VALUES from data/sql/analysis/run_all.py (artifacts/analysis-results.json)</t>
  </si>
  <si>
    <t xml:space="preserve">The headline result sets; reconciliation: every row equal across the SQL, the reference SQL, the Python domain, the manifests and the independent Python side.</t>
  </si>
  <si>
    <t xml:space="preserve">reconciliation rows 763, equal 763; result sets 56, rows 567; dataset cw-20261026-20261026 / 6bf7ebaad6bf75084c82c41de1031d6d585af730c8a22979ed7c77df2a38e3a9; code 29948f9</t>
  </si>
  <si>
    <t xml:space="preserve">02_initiative_npv__portfolio_scn025</t>
  </si>
  <si>
    <t xml:space="preserve">initiatives_with_flows</t>
  </si>
  <si>
    <t xml:space="preserve">plain_sum_overstates_by</t>
  </si>
  <si>
    <t xml:space="preserve">03_double_count__by_source_key</t>
  </si>
  <si>
    <t xml:space="preserve">rule</t>
  </si>
  <si>
    <t xml:space="preserve">overlapping_periods</t>
  </si>
  <si>
    <t xml:space="preserve">first_period</t>
  </si>
  <si>
    <t xml:space="preserve">last_period</t>
  </si>
  <si>
    <t xml:space="preserve">claimed</t>
  </si>
  <si>
    <t xml:space="preserve">counted_once</t>
  </si>
  <si>
    <t xml:space="preserve">money (USD)</t>
  </si>
  <si>
    <t xml:space="preserve">init-001,init-002</t>
  </si>
  <si>
    <t xml:space="preserve">hours</t>
  </si>
  <si>
    <t xml:space="preserve">04_payback__init015_by_scenario</t>
  </si>
  <si>
    <t xml:space="preserve">planned_cost</t>
  </si>
  <si>
    <t xml:space="preserve">benefits_entering_the_cash_flow</t>
  </si>
  <si>
    <t xml:space="preserve">benefit_to_cost</t>
  </si>
  <si>
    <t xml:space="preserve">simple_payback_period</t>
  </si>
  <si>
    <t xml:space="preserve">discounted_payback_period</t>
  </si>
  <si>
    <t xml:space="preserve">07_adoption_training__pooled</t>
  </si>
  <si>
    <t xml:space="preserve">initiatives_with_adoption</t>
  </si>
  <si>
    <t xml:space="preserve">adopted</t>
  </si>
  <si>
    <t xml:space="preserve">adoption_eligible</t>
  </si>
  <si>
    <t xml:space="preserve">adoption_rate_pooled</t>
  </si>
  <si>
    <t xml:space="preserve">initiatives_with_training</t>
  </si>
  <si>
    <t xml:space="preserve">training_completed</t>
  </si>
  <si>
    <t xml:space="preserve">training_eligible</t>
  </si>
  <si>
    <t xml:space="preserve">training_completion_pooled</t>
  </si>
  <si>
    <t xml:space="preserve">08_forecast_revisions__init003_versions</t>
  </si>
  <si>
    <t xml:space="preserve">version_number</t>
  </si>
  <si>
    <t xml:space="preserve">created_at</t>
  </si>
  <si>
    <t xml:space="preserve">total</t>
  </si>
  <si>
    <t xml:space="preserve">change_vs_original</t>
  </si>
  <si>
    <t xml:space="preserve">change_vs_previous</t>
  </si>
  <si>
    <t xml:space="preserve">reason</t>
  </si>
  <si>
    <t xml:space="preserve">2026-03-12T10:00:00Z</t>
  </si>
  <si>
    <t xml:space="preserve">Approved forecast</t>
  </si>
  <si>
    <t xml:space="preserve">2026-06-12T10:00:00Z</t>
  </si>
  <si>
    <t xml:space="preserve">Revised after April and May fell short of the approved forecast</t>
  </si>
  <si>
    <t xml:space="preserve">2026-09-09T10:00:00Z</t>
  </si>
  <si>
    <t xml:space="preserve">Revised again after June, July and August fell short of the revised forecast</t>
  </si>
  <si>
    <t xml:space="preserve">09_roadmap_capacity__deployment_before_feasible_start</t>
  </si>
  <si>
    <t xml:space="preserve">deployment_period</t>
  </si>
  <si>
    <t xml:space="preserve">dependency_feasible_start</t>
  </si>
  <si>
    <t xml:space="preserve">periods_early</t>
  </si>
  <si>
    <t xml:space="preserve">binding_dependency_id</t>
  </si>
  <si>
    <t xml:space="preserve">d-031</t>
  </si>
  <si>
    <t xml:space="preserve">d-033</t>
  </si>
  <si>
    <t xml:space="preserve">d-035</t>
  </si>
  <si>
    <t xml:space="preserve">11_proposal_screen__options</t>
  </si>
  <si>
    <t xml:space="preserve">option_id</t>
  </si>
  <si>
    <t xml:space="preserve">label</t>
  </si>
  <si>
    <t xml:space="preserve">kind</t>
  </si>
  <si>
    <t xml:space="preserve">prerequisites_outside_the_option</t>
  </si>
  <si>
    <t xml:space="preserve">shared_claims_crossing_the_boundary</t>
  </si>
  <si>
    <t xml:space="preserve">initiatives_with_a_negative_npv</t>
  </si>
  <si>
    <t xml:space="preserve">members</t>
  </si>
  <si>
    <t xml:space="preserve">A</t>
  </si>
  <si>
    <t xml:space="preserve">all 24 initiatives of scn-025</t>
  </si>
  <si>
    <t xml:space="preserve">stored scenario</t>
  </si>
  <si>
    <t xml:space="preserve">B</t>
  </si>
  <si>
    <t xml:space="preserve">the initiatives that carry a cash case</t>
  </si>
  <si>
    <t xml:space="preserve">constructed</t>
  </si>
  <si>
    <t xml:space="preserve">init-001,init-002,init-003,init-004,init-005,init-007,init-008,init-010,init-011,init-012,init-013,init-014,init-016,init-017,init-018,init-020,init-023,init-024</t>
  </si>
  <si>
    <t xml:space="preserve">C</t>
  </si>
  <si>
    <t xml:space="preserve">the carrying initiatives and the prerequisites they depend on</t>
  </si>
  <si>
    <t xml:space="preserve">init-001,init-002,init-003,init-004,init-005,init-007,init-008,init-009,init-010,init-011,init-012,init-013,init-014,init-015,init-016,init-017,init-018,init-019,init-020,init-023,init-024</t>
  </si>
  <si>
    <t xml:space="preserve">D</t>
  </si>
  <si>
    <t xml:space="preserve">the carrying initiatives that need no waiting prerequisite</t>
  </si>
  <si>
    <t xml:space="preserve">init-001,init-002,init-003,init-004,init-007,init-008,init-012,init-013,init-014,init-016</t>
  </si>
  <si>
    <t xml:space="preserve">10_golden_known_answer__init001_answer</t>
  </si>
  <si>
    <t xml:space="preserve">npv_exact</t>
  </si>
  <si>
    <t xml:space="preserve">simple_payback_interpolated</t>
  </si>
  <si>
    <t xml:space="preserve">discounted_payback_interpolated</t>
  </si>
  <si>
    <t xml:space="preserve">capacity_hours_excluded</t>
  </si>
  <si>
    <t xml:space="preserve">5000/121</t>
  </si>
</sst>
</file>

<file path=xl/styles.xml><?xml version="1.0" encoding="utf-8"?>
<styleSheet xmlns="http://schemas.openxmlformats.org/spreadsheetml/2006/main">
  <numFmts count="7">
    <numFmt numFmtId="164" formatCode="General"/>
    <numFmt numFmtId="165" formatCode="yyyy\-mm\-dd\ hh:mm"/>
    <numFmt numFmtId="166" formatCode="yyyy\-mm\-dd"/>
    <numFmt numFmtId="167" formatCode="0.000000"/>
    <numFmt numFmtId="168" formatCode="General"/>
    <numFmt numFmtId="169" formatCode="#,##0.00"/>
    <numFmt numFmtId="170" formatCode="0.0000"/>
  </numFmts>
  <fonts count="8">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sz val="11"/>
      <color rgb="FF0000FF"/>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1F3A33"/>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0"/>
  </cols>
  <sheetData>
    <row r="1" customFormat="false" ht="17.35" hidden="false" customHeight="false" outlineLevel="0" collapsed="false">
      <c r="A1" s="1" t="s">
        <v>0</v>
      </c>
    </row>
    <row r="3" customFormat="false" ht="41.75" hidden="false" customHeight="false" outlineLevel="0" collapsed="false">
      <c r="A3" s="2" t="s">
        <v>1</v>
      </c>
      <c r="B3" s="3" t="s">
        <v>2</v>
      </c>
    </row>
    <row r="4" customFormat="false" ht="28.35" hidden="false" customHeight="false" outlineLevel="0" collapsed="false">
      <c r="A4" s="2" t="s">
        <v>3</v>
      </c>
      <c r="B4" s="3" t="s">
        <v>4</v>
      </c>
    </row>
    <row r="5" customFormat="false" ht="28.35" hidden="false" customHeight="false" outlineLevel="0" collapsed="false">
      <c r="A5" s="2" t="s">
        <v>5</v>
      </c>
      <c r="B5" s="3" t="s">
        <v>6</v>
      </c>
    </row>
    <row r="6" customFormat="false" ht="28.35" hidden="false" customHeight="false" outlineLevel="0" collapsed="false">
      <c r="A6" s="2" t="s">
        <v>7</v>
      </c>
      <c r="B6" s="3" t="s">
        <v>8</v>
      </c>
    </row>
    <row r="7" customFormat="false" ht="28.35" hidden="false" customHeight="false" outlineLevel="0" collapsed="false">
      <c r="A7" s="2" t="s">
        <v>9</v>
      </c>
      <c r="B7" s="3" t="s">
        <v>10</v>
      </c>
    </row>
    <row r="8" customFormat="false" ht="28.35" hidden="false" customHeight="false" outlineLevel="0" collapsed="false">
      <c r="A8" s="2" t="s">
        <v>11</v>
      </c>
      <c r="B8" s="3" t="s">
        <v>12</v>
      </c>
    </row>
    <row r="9" customFormat="false" ht="15" hidden="false" customHeight="false" outlineLevel="0" collapsed="false">
      <c r="A9" s="2" t="s">
        <v>13</v>
      </c>
      <c r="B9" s="3"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26"/>
  </cols>
  <sheetData>
    <row r="1" customFormat="false" ht="17.35" hidden="false" customHeight="false" outlineLevel="0" collapsed="false">
      <c r="A1" s="1" t="s">
        <v>15</v>
      </c>
    </row>
    <row r="2" customFormat="false" ht="15" hidden="false" customHeight="false" outlineLevel="0" collapsed="false">
      <c r="A2" s="0" t="s">
        <v>16</v>
      </c>
    </row>
    <row r="3" customFormat="false" ht="15" hidden="false" customHeight="false" outlineLevel="0" collapsed="false">
      <c r="A3" s="0" t="s">
        <v>17</v>
      </c>
      <c r="B3" s="4" t="s">
        <v>18</v>
      </c>
    </row>
    <row r="4" customFormat="false" ht="15" hidden="false" customHeight="false" outlineLevel="0" collapsed="false">
      <c r="A4" s="0" t="s">
        <v>19</v>
      </c>
      <c r="B4" s="4"/>
    </row>
    <row r="5" customFormat="false" ht="15" hidden="false" customHeight="false" outlineLevel="0" collapsed="false">
      <c r="A5" s="0" t="s">
        <v>20</v>
      </c>
      <c r="B5" s="4" t="s">
        <v>21</v>
      </c>
    </row>
    <row r="6" customFormat="false" ht="15" hidden="false" customHeight="false" outlineLevel="0" collapsed="false">
      <c r="A6" s="0" t="s">
        <v>22</v>
      </c>
      <c r="B6" s="5" t="n">
        <v>46300</v>
      </c>
    </row>
    <row r="7" customFormat="false" ht="15" hidden="false" customHeight="false" outlineLevel="0" collapsed="false">
      <c r="A7" s="0" t="s">
        <v>23</v>
      </c>
      <c r="B7" s="6" t="n">
        <v>46023</v>
      </c>
    </row>
    <row r="9" customFormat="false" ht="15" hidden="false" customHeight="false" outlineLevel="0" collapsed="false">
      <c r="A9" s="0" t="s">
        <v>24</v>
      </c>
      <c r="B9" s="0" t="str">
        <f aca="false">INDEX(Scenarios!$D$4:$D$33,MATCH($B$3,Scenarios!$A$4:$A$33,0))&amp;" "&amp;INDEX(Scenarios!$C$4:$C$33,MATCH($B$3,Scenarios!$A$4:$A$33,0))</f>
        <v>0.08 annual</v>
      </c>
    </row>
    <row r="10" customFormat="false" ht="15" hidden="false" customHeight="false" outlineLevel="0" collapsed="false">
      <c r="A10" s="0" t="s">
        <v>25</v>
      </c>
      <c r="B10" s="0" t="str">
        <f aca="false">INDEX(Scenarios!$J$4:$J$33,MATCH($B$3,Scenarios!$A$4:$A$33,0))</f>
        <v>conversion</v>
      </c>
    </row>
    <row r="11" customFormat="false" ht="15" hidden="false" customHeight="false" outlineLevel="0" collapsed="false">
      <c r="A11" s="0" t="s">
        <v>26</v>
      </c>
      <c r="B11" s="7" t="n">
        <f aca="false">IF(LEN(B4)&gt;0,B4,INDEX(Scenarios!$I$4:$I$33,MATCH($B$3,Scenarios!$A$4:$A$33,0)))</f>
        <v>0.006434</v>
      </c>
    </row>
    <row r="12" customFormat="false" ht="15" hidden="false" customHeight="false" outlineLevel="0" collapsed="false">
      <c r="A12" s="0" t="s">
        <v>27</v>
      </c>
      <c r="B12" s="0" t="n">
        <f aca="false">INDEX(Scenarios!$F$4:$F$33,MATCH($B$3,Scenarios!$A$4:$A$33,0))</f>
        <v>36</v>
      </c>
    </row>
    <row r="13" customFormat="false" ht="15" hidden="false" customHeight="false" outlineLevel="0" collapsed="false">
      <c r="A13" s="0" t="s">
        <v>28</v>
      </c>
      <c r="B13" s="0" t="n">
        <f aca="false">SUM(Periods!D4:D39)</f>
        <v>9</v>
      </c>
    </row>
    <row r="15" customFormat="false" ht="15" hidden="false" customHeight="false" outlineLevel="0" collapsed="false">
      <c r="A15" s="2" t="s">
        <v>29</v>
      </c>
      <c r="B15" s="8" t="b">
        <f aca="false">Checks!B2</f>
        <v>1</v>
      </c>
    </row>
    <row r="16" customFormat="false" ht="15" hidden="false" customHeight="false" outlineLevel="0" collapsed="false">
      <c r="A16" s="0" t="s">
        <v>30</v>
      </c>
      <c r="B16" s="9" t="n">
        <f aca="false">Portfolio!B19</f>
        <v>1243149.05065988</v>
      </c>
    </row>
  </sheetData>
  <dataValidations count="1">
    <dataValidation allowBlank="false" errorStyle="stop" operator="between" showDropDown="false" showErrorMessage="false" showInputMessage="false" sqref="B3" type="list">
      <formula1>Scenarios!$A$4:$A$33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2"/>
  </cols>
  <sheetData>
    <row r="1" customFormat="false" ht="17.35" hidden="false" customHeight="false" outlineLevel="0" collapsed="false">
      <c r="A1" s="1" t="s">
        <v>31</v>
      </c>
    </row>
    <row r="2" customFormat="false" ht="15" hidden="false" customHeight="false" outlineLevel="0" collapsed="false">
      <c r="A2" s="2" t="s">
        <v>32</v>
      </c>
      <c r="B2" s="8" t="b">
        <f aca="false">AND(Portfolio!E4:E19,Initiatives!U4:U27,'Golden case'!E8,'Golden case'!E9,'Golden case'!E10,'Golden case'!E11,'Golden case'!E12,'Golden case'!E13,'Golden case'!E15,'Golden case'!E16,'Golden case'!E17,'Golden case'!E18,'Golden case'!E19,'Golden case'!E20,B5,B6,B7)</f>
        <v>1</v>
      </c>
    </row>
    <row r="4" customFormat="false" ht="15" hidden="false" customHeight="false" outlineLevel="0" collapsed="false">
      <c r="A4" s="2" t="s">
        <v>33</v>
      </c>
      <c r="B4" s="2" t="s">
        <v>34</v>
      </c>
    </row>
    <row r="5" customFormat="false" ht="15" hidden="false" customHeight="false" outlineLevel="0" collapsed="false">
      <c r="A5" s="0" t="s">
        <v>35</v>
      </c>
      <c r="B5" s="8" t="b">
        <f aca="false">SUMPRODUCT((Benefits!N4:N703=TRUE())*(Benefits!R4:R703=""))+SUMPRODUCT((Benefits!N4:N703=FALSE())*(Benefits!R4:R703&lt;&gt;""))=0</f>
        <v>1</v>
      </c>
    </row>
    <row r="6" customFormat="false" ht="15" hidden="false" customHeight="false" outlineLevel="0" collapsed="false">
      <c r="A6" s="0" t="s">
        <v>36</v>
      </c>
      <c r="B6" s="8" t="b">
        <f aca="false">SUMPRODUCT((Costs!C4:C903="one_time")*(Costs!L4:L903&lt;&gt;1))=0</f>
        <v>1</v>
      </c>
    </row>
    <row r="7" customFormat="false" ht="15" hidden="false" customHeight="false" outlineLevel="0" collapsed="false">
      <c r="A7" s="0" t="s">
        <v>37</v>
      </c>
      <c r="B7" s="8" t="b">
        <f aca="false">COUNTIF(Scenarios!A4:A33,Controls!B3)=1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8"/>
    <col collapsed="false" customWidth="true" hidden="false" outlineLevel="0" max="3" min="2" style="0" width="20"/>
    <col collapsed="false" customWidth="true" hidden="false" outlineLevel="0" max="5" min="5" style="0" width="8"/>
  </cols>
  <sheetData>
    <row r="1" customFormat="false" ht="17.35" hidden="false" customHeight="false" outlineLevel="0" collapsed="false">
      <c r="A1" s="1" t="s">
        <v>38</v>
      </c>
    </row>
    <row r="2" customFormat="false" ht="15" hidden="false" customHeight="false" outlineLevel="0" collapsed="false">
      <c r="A2" s="0" t="s">
        <v>39</v>
      </c>
    </row>
    <row r="3" customFormat="false" ht="28.35" hidden="false" customHeight="false" outlineLevel="0" collapsed="false">
      <c r="A3" s="10" t="s">
        <v>40</v>
      </c>
      <c r="B3" s="10" t="s">
        <v>41</v>
      </c>
      <c r="C3" s="10" t="s">
        <v>42</v>
      </c>
      <c r="D3" s="10" t="s">
        <v>43</v>
      </c>
      <c r="E3" s="10" t="s">
        <v>33</v>
      </c>
    </row>
    <row r="4" customFormat="false" ht="15" hidden="false" customHeight="false" outlineLevel="0" collapsed="false">
      <c r="A4" s="0" t="s">
        <v>44</v>
      </c>
      <c r="B4" s="9" t="n">
        <f aca="false">SUM(Initiatives!B4:B27)</f>
        <v>24</v>
      </c>
      <c r="C4" s="9" t="n">
        <f aca="false">INDEX(Scenarios!$H$4:$H$33,MATCH(Controls!$B$3,Scenarios!$A$4:$A$33,0))</f>
        <v>24</v>
      </c>
      <c r="D4" s="0" t="n">
        <v>0</v>
      </c>
      <c r="E4" s="8" t="b">
        <f aca="false">IF(LEN(Controls!$B$4)&gt;0,TRUE(),ABS(B4-C4)&lt;=D4)</f>
        <v>1</v>
      </c>
    </row>
    <row r="5" customFormat="false" ht="15" hidden="false" customHeight="false" outlineLevel="0" collapsed="false">
      <c r="A5" s="0" t="s">
        <v>45</v>
      </c>
      <c r="B5" s="9" t="n">
        <f aca="false">SUM('Cash flow'!E4:E867)</f>
        <v>25914200</v>
      </c>
      <c r="C5" s="9" t="n">
        <f aca="false">INDEX('Domain reference'!$I$4:$I$33,MATCH(Controls!$B$3,'Domain reference'!$A$4:$A$33,0))</f>
        <v>25914200</v>
      </c>
      <c r="D5" s="0" t="n">
        <v>0.005</v>
      </c>
      <c r="E5" s="8" t="b">
        <f aca="false">IF(LEN(Controls!$B$4)&gt;0,TRUE(),ABS(B5-C5)&lt;=D5)</f>
        <v>1</v>
      </c>
    </row>
    <row r="6" customFormat="false" ht="15" hidden="false" customHeight="false" outlineLevel="0" collapsed="false">
      <c r="A6" s="0" t="s">
        <v>46</v>
      </c>
      <c r="B6" s="9" t="n">
        <f aca="false">SUM('Cash flow'!F4:F867)</f>
        <v>15288067.1955</v>
      </c>
      <c r="C6" s="9" t="n">
        <f aca="false">INDEX('Domain reference'!$J$4:$J$33,MATCH(Controls!$B$3,'Domain reference'!$A$4:$A$33,0))</f>
        <v>15288067.2</v>
      </c>
      <c r="D6" s="0" t="n">
        <v>0.005</v>
      </c>
      <c r="E6" s="8" t="b">
        <f aca="false">IF(LEN(Controls!$B$4)&gt;0,TRUE(),ABS(B6-C6)&lt;=D6)</f>
        <v>1</v>
      </c>
    </row>
    <row r="7" customFormat="false" ht="15" hidden="false" customHeight="false" outlineLevel="0" collapsed="false">
      <c r="A7" s="0" t="s">
        <v>47</v>
      </c>
      <c r="B7" s="9" t="n">
        <f aca="false">SUM('Cash flow'!G4:G867)</f>
        <v>6074000.1312</v>
      </c>
      <c r="C7" s="9" t="n">
        <f aca="false">INDEX('Domain reference'!$K$4:$K$33,MATCH(Controls!$B$3,'Domain reference'!$A$4:$A$33,0))</f>
        <v>6074000.13</v>
      </c>
      <c r="D7" s="0" t="n">
        <v>0.005</v>
      </c>
      <c r="E7" s="8" t="b">
        <f aca="false">IF(LEN(Controls!$B$4)&gt;0,TRUE(),ABS(B7-C7)&lt;=D7)</f>
        <v>1</v>
      </c>
    </row>
    <row r="8" customFormat="false" ht="15" hidden="false" customHeight="false" outlineLevel="0" collapsed="false">
      <c r="A8" s="0" t="s">
        <v>48</v>
      </c>
      <c r="B8" s="9" t="n">
        <f aca="false">SUM('Cash flow'!H4:H867)</f>
        <v>5516433.3487</v>
      </c>
      <c r="C8" s="9" t="n">
        <f aca="false">INDEX('Domain reference'!$L$4:$L$33,MATCH(Controls!$B$3,'Domain reference'!$A$4:$A$33,0))</f>
        <v>5516433.35</v>
      </c>
      <c r="D8" s="0" t="n">
        <v>0.005</v>
      </c>
      <c r="E8" s="8" t="b">
        <f aca="false">IF(LEN(Controls!$B$4)&gt;0,TRUE(),ABS(B8-C8)&lt;=D8)</f>
        <v>1</v>
      </c>
    </row>
    <row r="9" customFormat="false" ht="15" hidden="false" customHeight="false" outlineLevel="0" collapsed="false">
      <c r="A9" s="0" t="s">
        <v>49</v>
      </c>
      <c r="B9" s="9" t="n">
        <f aca="false">SUM('Cash flow'!I4:I867)</f>
        <v>1774010.55127363</v>
      </c>
      <c r="C9" s="9" t="n">
        <f aca="false">INDEX('Domain reference'!$M$4:$M$33,MATCH(Controls!$B$3,'Domain reference'!$A$4:$A$33,0))</f>
        <v>1774010.55</v>
      </c>
      <c r="D9" s="0" t="n">
        <v>0.005</v>
      </c>
      <c r="E9" s="8" t="b">
        <f aca="false">IF(LEN(Controls!$B$4)&gt;0,TRUE(),ABS(B9-C9)&lt;=D9)</f>
        <v>1</v>
      </c>
    </row>
    <row r="10" customFormat="false" ht="15" hidden="false" customHeight="false" outlineLevel="0" collapsed="false">
      <c r="A10" s="0" t="s">
        <v>50</v>
      </c>
      <c r="B10" s="9" t="n">
        <f aca="false">SUMIFS(Benefits!S4:S703,Benefits!R4:R703,"avoided_cost_beside")</f>
        <v>4025383.4719</v>
      </c>
      <c r="C10" s="9" t="n">
        <f aca="false">INDEX('Domain reference'!$N$4:$N$33,MATCH(Controls!$B$3,'Domain reference'!$A$4:$A$33,0))</f>
        <v>4025383.47</v>
      </c>
      <c r="D10" s="0" t="n">
        <v>0.005</v>
      </c>
      <c r="E10" s="8" t="b">
        <f aca="false">IF(LEN(Controls!$B$4)&gt;0,TRUE(),ABS(B10-C10)&lt;=D10)</f>
        <v>1</v>
      </c>
    </row>
    <row r="11" customFormat="false" ht="15" hidden="false" customHeight="false" outlineLevel="0" collapsed="false">
      <c r="A11" s="0" t="s">
        <v>51</v>
      </c>
      <c r="B11" s="9" t="n">
        <f aca="false">SUMIFS(Benefits!P4:P703,Benefits!R4:R703,"capacity_hours")</f>
        <v>145045.61901992</v>
      </c>
      <c r="C11" s="9" t="n">
        <f aca="false">INDEX('Domain reference'!$O$4:$O$33,MATCH(Controls!$B$3,'Domain reference'!$A$4:$A$33,0))</f>
        <v>145045.62</v>
      </c>
      <c r="D11" s="0" t="n">
        <v>0.005</v>
      </c>
      <c r="E11" s="8" t="b">
        <f aca="false">IF(LEN(Controls!$B$4)&gt;0,TRUE(),ABS(B11-C11)&lt;=D11)</f>
        <v>1</v>
      </c>
    </row>
    <row r="12" customFormat="false" ht="15" hidden="false" customHeight="false" outlineLevel="0" collapsed="false">
      <c r="A12" s="0" t="s">
        <v>52</v>
      </c>
      <c r="B12" s="9" t="n">
        <f aca="false">SUM(B6:B9)+B10</f>
        <v>32677894.6985736</v>
      </c>
      <c r="C12" s="9" t="n">
        <f aca="false">INDEX('Domain reference'!$E$4:$E$33,MATCH(Controls!$B$3,'Domain reference'!$A$4:$A$33,0))</f>
        <v>32677894.7</v>
      </c>
      <c r="D12" s="0" t="n">
        <v>0.005</v>
      </c>
      <c r="E12" s="8" t="b">
        <f aca="false">IF(LEN(Controls!$B$4)&gt;0,TRUE(),ABS(B12-C12)&lt;=D12)</f>
        <v>1</v>
      </c>
    </row>
    <row r="13" customFormat="false" ht="15" hidden="false" customHeight="false" outlineLevel="0" collapsed="false">
      <c r="A13" s="0" t="s">
        <v>53</v>
      </c>
      <c r="B13" s="9" t="n">
        <f aca="false">SUM(Benefits!X4:X703)</f>
        <v>207146.316</v>
      </c>
      <c r="C13" s="9" t="n">
        <f aca="false">INDEX('Domain reference'!$F$4:$F$33,MATCH(Controls!$B$3,'Domain reference'!$A$4:$A$33,0))</f>
        <v>207146.32</v>
      </c>
      <c r="D13" s="0" t="n">
        <v>0.005</v>
      </c>
      <c r="E13" s="8" t="b">
        <f aca="false">IF(LEN(Controls!$B$4)&gt;0,TRUE(),ABS(B13-C13)&lt;=D13)</f>
        <v>1</v>
      </c>
    </row>
    <row r="14" customFormat="false" ht="15" hidden="false" customHeight="false" outlineLevel="0" collapsed="false">
      <c r="A14" s="0" t="s">
        <v>54</v>
      </c>
      <c r="B14" s="9" t="n">
        <f aca="false">B12-B13</f>
        <v>32470748.3825736</v>
      </c>
      <c r="C14" s="9" t="n">
        <f aca="false">INDEX('Domain reference'!$P$4:$P$33,MATCH(Controls!$B$3,'Domain reference'!$A$4:$A$33,0))</f>
        <v>32470748.38</v>
      </c>
      <c r="D14" s="0" t="n">
        <v>0.005</v>
      </c>
      <c r="E14" s="8" t="b">
        <f aca="false">IF(LEN(Controls!$B$4)&gt;0,TRUE(),ABS(B14-C14)&lt;=D14)</f>
        <v>1</v>
      </c>
    </row>
    <row r="15" customFormat="false" ht="15" hidden="false" customHeight="false" outlineLevel="0" collapsed="false">
      <c r="A15" s="0" t="s">
        <v>55</v>
      </c>
      <c r="B15" s="9" t="n">
        <f aca="false">SUMIFS(Benefits!P4:P703,Benefits!E4:E703,"capacity",Benefits!N4:N703,TRUE())</f>
        <v>194875.9151984</v>
      </c>
      <c r="C15" s="9" t="n">
        <f aca="false">INDEX('Domain reference'!$G$4:$G$33,MATCH(Controls!$B$3,'Domain reference'!$A$4:$A$33,0))</f>
        <v>194875.92</v>
      </c>
      <c r="D15" s="0" t="n">
        <v>0.005</v>
      </c>
      <c r="E15" s="8" t="b">
        <f aca="false">IF(LEN(Controls!$B$4)&gt;0,TRUE(),ABS(B15-C15)&lt;=D15)</f>
        <v>1</v>
      </c>
    </row>
    <row r="16" customFormat="false" ht="15" hidden="false" customHeight="false" outlineLevel="0" collapsed="false">
      <c r="A16" s="0" t="s">
        <v>56</v>
      </c>
      <c r="B16" s="9" t="n">
        <f aca="false">SUM(Benefits!AC4:AC703)</f>
        <v>5974.8</v>
      </c>
      <c r="C16" s="9" t="n">
        <f aca="false">INDEX('Domain reference'!$H$4:$H$33,MATCH(Controls!$B$3,'Domain reference'!$A$4:$A$33,0))</f>
        <v>5974.8</v>
      </c>
      <c r="D16" s="0" t="n">
        <v>0.005</v>
      </c>
      <c r="E16" s="8" t="b">
        <f aca="false">IF(LEN(Controls!$B$4)&gt;0,TRUE(),ABS(B16-C16)&lt;=D16)</f>
        <v>1</v>
      </c>
    </row>
    <row r="17" customFormat="false" ht="15" hidden="false" customHeight="false" outlineLevel="0" collapsed="false">
      <c r="A17" s="0" t="s">
        <v>57</v>
      </c>
      <c r="B17" s="9" t="n">
        <f aca="false">SUM(Initiatives!G4:G27)</f>
        <v>1438382.25187437</v>
      </c>
      <c r="C17" s="9" t="n">
        <f aca="false">INDEX('Domain reference'!$B$4:$B$33,MATCH(Controls!$B$3,'Domain reference'!$A$4:$A$33,0))</f>
        <v>1438382.25</v>
      </c>
      <c r="D17" s="0" t="n">
        <v>0.005</v>
      </c>
      <c r="E17" s="8" t="b">
        <f aca="false">IF(LEN(Controls!$B$4)&gt;0,TRUE(),ABS(B17-C17)&lt;=D17)</f>
        <v>1</v>
      </c>
    </row>
    <row r="18" customFormat="false" ht="15" hidden="false" customHeight="false" outlineLevel="0" collapsed="false">
      <c r="A18" s="0" t="s">
        <v>58</v>
      </c>
      <c r="B18" s="9" t="n">
        <f aca="false">SUM(Benefits!Y4:Y703)</f>
        <v>195233.201214481</v>
      </c>
      <c r="C18" s="9" t="n">
        <f aca="false">INDEX('Domain reference'!$C$4:$C$33,MATCH(Controls!$B$3,'Domain reference'!$A$4:$A$33,0))</f>
        <v>195233.2</v>
      </c>
      <c r="D18" s="0" t="n">
        <v>0.005</v>
      </c>
      <c r="E18" s="8" t="b">
        <f aca="false">IF(LEN(Controls!$B$4)&gt;0,TRUE(),ABS(B18-C18)&lt;=D18)</f>
        <v>1</v>
      </c>
    </row>
    <row r="19" customFormat="false" ht="15" hidden="false" customHeight="false" outlineLevel="0" collapsed="false">
      <c r="A19" s="0" t="s">
        <v>59</v>
      </c>
      <c r="B19" s="9" t="n">
        <f aca="false">B17-B18</f>
        <v>1243149.05065988</v>
      </c>
      <c r="C19" s="9" t="n">
        <f aca="false">INDEX('Domain reference'!$D$4:$D$33,MATCH(Controls!$B$3,'Domain reference'!$A$4:$A$33,0))</f>
        <v>1243149.05</v>
      </c>
      <c r="D19" s="0" t="n">
        <v>0.005</v>
      </c>
      <c r="E19" s="8" t="b">
        <f aca="false">IF(LEN(Controls!$B$4)&gt;0,TRUE(),ABS(B19-C19)&lt;=D19)</f>
        <v>1</v>
      </c>
    </row>
    <row r="20" customFormat="false" ht="15" hidden="false" customHeight="false" outlineLevel="0" collapsed="false">
      <c r="A20" s="0" t="s">
        <v>60</v>
      </c>
      <c r="B20" s="9" t="n">
        <f aca="false">SUMPRODUCT((Initiatives!B4:B27=1)*(Initiatives!K4:K27&lt;&gt;""))</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11" min="11" style="0" width="16"/>
    <col collapsed="false" customWidth="true" hidden="false" outlineLevel="0" max="16" min="16" style="0" width="16"/>
  </cols>
  <sheetData>
    <row r="1" customFormat="false" ht="17.35" hidden="false" customHeight="false" outlineLevel="0" collapsed="false">
      <c r="A1" s="1" t="s">
        <v>61</v>
      </c>
    </row>
    <row r="2" customFormat="false" ht="15" hidden="false" customHeight="false" outlineLevel="0" collapsed="false">
      <c r="A2" s="0" t="s">
        <v>62</v>
      </c>
    </row>
    <row r="3" customFormat="false" ht="55.2" hidden="false" customHeight="false" outlineLevel="0" collapsed="false">
      <c r="A3" s="10" t="s">
        <v>63</v>
      </c>
      <c r="B3" s="10" t="s">
        <v>64</v>
      </c>
      <c r="C3" s="10" t="s">
        <v>65</v>
      </c>
      <c r="D3" s="10" t="s">
        <v>66</v>
      </c>
      <c r="E3" s="10" t="s">
        <v>67</v>
      </c>
      <c r="F3" s="10" t="s">
        <v>68</v>
      </c>
      <c r="G3" s="10" t="s">
        <v>69</v>
      </c>
      <c r="H3" s="10" t="s">
        <v>70</v>
      </c>
      <c r="I3" s="10" t="s">
        <v>71</v>
      </c>
      <c r="J3" s="10" t="s">
        <v>72</v>
      </c>
      <c r="K3" s="10" t="s">
        <v>73</v>
      </c>
      <c r="L3" s="10" t="s">
        <v>74</v>
      </c>
      <c r="M3" s="10" t="s">
        <v>75</v>
      </c>
      <c r="N3" s="10" t="s">
        <v>76</v>
      </c>
      <c r="O3" s="10" t="s">
        <v>77</v>
      </c>
      <c r="P3" s="10" t="s">
        <v>78</v>
      </c>
      <c r="Q3" s="10" t="s">
        <v>79</v>
      </c>
      <c r="R3" s="10" t="s">
        <v>80</v>
      </c>
      <c r="S3" s="10" t="s">
        <v>81</v>
      </c>
      <c r="T3" s="10" t="s">
        <v>82</v>
      </c>
      <c r="U3" s="10" t="s">
        <v>33</v>
      </c>
    </row>
    <row r="4" customFormat="false" ht="15" hidden="false" customHeight="false" outlineLevel="0" collapsed="false">
      <c r="A4" s="4" t="s">
        <v>83</v>
      </c>
      <c r="B4" s="11" t="n">
        <f aca="false">IF(COUNTIF('Scenario inputs'!$A$4:$A$213,Controls!$B$3&amp;"|"&amp;A4)&gt;0,1,0)</f>
        <v>1</v>
      </c>
      <c r="C4" s="8" t="b">
        <f aca="false">IF(B4=1,OR(SUMPRODUCT((Costs!$B$4:$B$903=A4)*(Costs!$D$4:$D$903="planned")*(Costs!$J$4:$J$903&lt;Controls!$B$12)*(Costs!$K$4:$K$903&gt;Costs!$J$4:$J$903))&gt;0,SUMPRODUCT((Benefits!$B$4:$B$703=A4)*(Benefits!$T$4:$T$703=1))&gt;0),FALSE())</f>
        <v>1</v>
      </c>
      <c r="D4" s="9" t="n">
        <f aca="false">SUMIFS('Cash flow'!$E$4:$E$867,'Cash flow'!$A$4:$A$867,A4)</f>
        <v>1163100</v>
      </c>
      <c r="E4" s="9" t="n">
        <f aca="false">SUMIFS('Cash flow'!$J$4:$J$867,'Cash flow'!$A$4:$A$867,A4)</f>
        <v>1830605.4672</v>
      </c>
      <c r="F4" s="9" t="n">
        <f aca="false">SUMIFS('Cash flow'!$K$4:$K$867,'Cash flow'!$A$4:$A$867,A4)</f>
        <v>667505.4672</v>
      </c>
      <c r="G4" s="9" t="n">
        <f aca="false">IF(C4,SUMIFS('Cash flow'!$N$4:$N$867,'Cash flow'!$A$4:$A$867,A4),"")</f>
        <v>578533.263715637</v>
      </c>
      <c r="H4" s="11" t="n">
        <f aca="false">COUNTIFS('Cash flow'!$A$4:$A$867,A4,'Cash flow'!$P$4:$P$867,1)</f>
        <v>10</v>
      </c>
      <c r="I4" s="11" t="n">
        <f aca="false">SUMPRODUCT(MAX(('Cash flow'!$A$4:$A$867=A4)*('Cash flow'!$P$4:$P$867=1)*('Cash flow'!$B$4:$B$867+1)))</f>
        <v>10</v>
      </c>
      <c r="J4" s="11" t="n">
        <f aca="false">IF(OR(NOT(C4),H4=0,I4=Controls!$B$12),"",I4)</f>
        <v>10</v>
      </c>
      <c r="K4" s="0" t="str">
        <f aca="false">IF(NOT(C4),"NO_FLOWS",IF(H4=0,"NO_INVESTMENT",IF(I4=Controls!$B$12,"NOT_RECOVERED","")))</f>
        <v/>
      </c>
      <c r="L4" s="12" t="n">
        <f aca="false">IF(J4="","",(J4-1)+(-SUMIFS('Cash flow'!$L$4:$L$867,'Cash flow'!$A$4:$A$867,A4,'Cash flow'!$B$4:$B$867,J4-1))/(SUMIFS('Cash flow'!$L$4:$L$867,'Cash flow'!$A$4:$A$867,A4,'Cash flow'!$B$4:$B$867,J4)-SUMIFS('Cash flow'!$L$4:$L$867,'Cash flow'!$A$4:$A$867,A4,'Cash flow'!$B$4:$B$867,J4-1)))</f>
        <v>9.27512834569428</v>
      </c>
      <c r="M4" s="11" t="n">
        <f aca="false">COUNTIFS('Cash flow'!$A$4:$A$867,A4,'Cash flow'!$Q$4:$Q$867,1)</f>
        <v>10</v>
      </c>
      <c r="N4" s="11" t="n">
        <f aca="false">SUMPRODUCT(MAX(('Cash flow'!$A$4:$A$867=A4)*('Cash flow'!$Q$4:$Q$867=1)*('Cash flow'!$B$4:$B$867+1)))</f>
        <v>10</v>
      </c>
      <c r="O4" s="11" t="n">
        <f aca="false">IF(OR(NOT(C4),M4=0,N4=Controls!$B$12),"",N4)</f>
        <v>10</v>
      </c>
      <c r="P4" s="0" t="str">
        <f aca="false">IF(NOT(C4),"NO_FLOWS",IF(M4=0,"NO_INVESTMENT",IF(N4=Controls!$B$12,"NOT_RECOVERED","")))</f>
        <v/>
      </c>
      <c r="Q4" s="12" t="n">
        <f aca="false">IF(O4="","",(O4-1)+(-SUMIFS('Cash flow'!$O$4:$O$867,'Cash flow'!$A$4:$A$867,A4,'Cash flow'!$B$4:$B$867,O4-1))/(SUMIFS('Cash flow'!$O$4:$O$867,'Cash flow'!$A$4:$A$867,A4,'Cash flow'!$B$4:$B$867,O4)-SUMIFS('Cash flow'!$O$4:$O$867,'Cash flow'!$A$4:$A$867,A4,'Cash flow'!$B$4:$B$867,O4-1)))</f>
        <v>9.4880978253784</v>
      </c>
      <c r="R4" s="9" t="n">
        <f aca="false">IFERROR(INDEX('Domain reference'!$C$40:$C$249,MATCH(Controls!$B$3&amp;"|"&amp;A4,'Domain reference'!$A$40:$A$249,0)),"")</f>
        <v>578533.26</v>
      </c>
      <c r="S4" s="11" t="n">
        <f aca="false">IFERROR(INDEX('Domain reference'!$D$40:$D$249,MATCH(Controls!$B$3&amp;"|"&amp;A4,'Domain reference'!$A$40:$A$249,0)),"")</f>
        <v>10</v>
      </c>
      <c r="T4" s="11" t="n">
        <f aca="false">IFERROR(INDEX('Domain reference'!$E$40:$E$249,MATCH(Controls!$B$3&amp;"|"&amp;A4,'Domain reference'!$A$40:$A$249,0)),"")</f>
        <v>10</v>
      </c>
      <c r="U4" s="8" t="b">
        <f aca="false">IF(LEN(Controls!$B$4)&gt;0,TRUE(),IF(B4=0,AND(R4="",E4=0),AND(ABS(N(G4)-N(R4))&lt;0.005,ISNUMBER(G4)=ISNUMBER(R4),IF(S4=-1,J4="",J4=S4),IF(T4=-1,O4="",O4=T4))))</f>
        <v>1</v>
      </c>
    </row>
    <row r="5" customFormat="false" ht="15" hidden="false" customHeight="false" outlineLevel="0" collapsed="false">
      <c r="A5" s="4" t="s">
        <v>84</v>
      </c>
      <c r="B5" s="11" t="n">
        <f aca="false">IF(COUNTIF('Scenario inputs'!$A$4:$A$213,Controls!$B$3&amp;"|"&amp;A5)&gt;0,1,0)</f>
        <v>1</v>
      </c>
      <c r="C5" s="8" t="b">
        <f aca="false">IF(B5=1,OR(SUMPRODUCT((Costs!$B$4:$B$903=A5)*(Costs!$D$4:$D$903="planned")*(Costs!$J$4:$J$903&lt;Controls!$B$12)*(Costs!$K$4:$K$903&gt;Costs!$J$4:$J$903))&gt;0,SUMPRODUCT((Benefits!$B$4:$B$703=A5)*(Benefits!$T$4:$T$703=1))&gt;0),FALSE())</f>
        <v>1</v>
      </c>
      <c r="D5" s="9" t="n">
        <f aca="false">SUMIFS('Cash flow'!$E$4:$E$867,'Cash flow'!$A$4:$A$867,A5)</f>
        <v>830750</v>
      </c>
      <c r="E5" s="9" t="n">
        <f aca="false">SUMIFS('Cash flow'!$J$4:$J$867,'Cash flow'!$A$4:$A$867,A5)</f>
        <v>1308595.088</v>
      </c>
      <c r="F5" s="9" t="n">
        <f aca="false">SUMIFS('Cash flow'!$K$4:$K$867,'Cash flow'!$A$4:$A$867,A5)</f>
        <v>477845.088</v>
      </c>
      <c r="G5" s="9" t="n">
        <f aca="false">IF(C5,SUMIFS('Cash flow'!$N$4:$N$867,'Cash flow'!$A$4:$A$867,A5),"")</f>
        <v>413388.425096673</v>
      </c>
      <c r="H5" s="11" t="n">
        <f aca="false">COUNTIFS('Cash flow'!$A$4:$A$867,A5,'Cash flow'!$P$4:$P$867,1)</f>
        <v>10</v>
      </c>
      <c r="I5" s="11" t="n">
        <f aca="false">SUMPRODUCT(MAX(('Cash flow'!$A$4:$A$867=A5)*('Cash flow'!$P$4:$P$867=1)*('Cash flow'!$B$4:$B$867+1)))</f>
        <v>10</v>
      </c>
      <c r="J5" s="11" t="n">
        <f aca="false">IF(OR(NOT(C5),H5=0,I5=Controls!$B$12),"",I5)</f>
        <v>10</v>
      </c>
      <c r="K5" s="0" t="str">
        <f aca="false">IF(NOT(C5),"NO_FLOWS",IF(H5=0,"NO_INVESTMENT",IF(I5=Controls!$B$12,"NOT_RECOVERED","")))</f>
        <v/>
      </c>
      <c r="L5" s="12" t="n">
        <f aca="false">IF(J5="","",(J5-1)+(-SUMIFS('Cash flow'!$L$4:$L$867,'Cash flow'!$A$4:$A$867,A5,'Cash flow'!$B$4:$B$867,J5-1))/(SUMIFS('Cash flow'!$L$4:$L$867,'Cash flow'!$A$4:$A$867,A5,'Cash flow'!$B$4:$B$867,J5)-SUMIFS('Cash flow'!$L$4:$L$867,'Cash flow'!$A$4:$A$867,A5,'Cash flow'!$B$4:$B$867,J5-1)))</f>
        <v>9.97614746464143</v>
      </c>
      <c r="M5" s="11" t="n">
        <f aca="false">COUNTIFS('Cash flow'!$A$4:$A$867,A5,'Cash flow'!$Q$4:$Q$867,1)</f>
        <v>11</v>
      </c>
      <c r="N5" s="11" t="n">
        <f aca="false">SUMPRODUCT(MAX(('Cash flow'!$A$4:$A$867=A5)*('Cash flow'!$Q$4:$Q$867=1)*('Cash flow'!$B$4:$B$867+1)))</f>
        <v>11</v>
      </c>
      <c r="O5" s="11" t="n">
        <f aca="false">IF(OR(NOT(C5),M5=0,N5=Controls!$B$12),"",N5)</f>
        <v>11</v>
      </c>
      <c r="P5" s="0" t="str">
        <f aca="false">IF(NOT(C5),"NO_FLOWS",IF(M5=0,"NO_INVESTMENT",IF(N5=Controls!$B$12,"NOT_RECOVERED","")))</f>
        <v/>
      </c>
      <c r="Q5" s="12" t="n">
        <f aca="false">IF(O5="","",(O5-1)+(-SUMIFS('Cash flow'!$O$4:$O$867,'Cash flow'!$A$4:$A$867,A5,'Cash flow'!$B$4:$B$867,O5-1))/(SUMIFS('Cash flow'!$O$4:$O$867,'Cash flow'!$A$4:$A$867,A5,'Cash flow'!$B$4:$B$867,O5)-SUMIFS('Cash flow'!$O$4:$O$867,'Cash flow'!$A$4:$A$867,A5,'Cash flow'!$B$4:$B$867,O5-1)))</f>
        <v>10.1812769539421</v>
      </c>
      <c r="R5" s="9" t="n">
        <f aca="false">IFERROR(INDEX('Domain reference'!$C$40:$C$249,MATCH(Controls!$B$3&amp;"|"&amp;A5,'Domain reference'!$A$40:$A$249,0)),"")</f>
        <v>413388.43</v>
      </c>
      <c r="S5" s="11" t="n">
        <f aca="false">IFERROR(INDEX('Domain reference'!$D$40:$D$249,MATCH(Controls!$B$3&amp;"|"&amp;A5,'Domain reference'!$A$40:$A$249,0)),"")</f>
        <v>10</v>
      </c>
      <c r="T5" s="11" t="n">
        <f aca="false">IFERROR(INDEX('Domain reference'!$E$40:$E$249,MATCH(Controls!$B$3&amp;"|"&amp;A5,'Domain reference'!$A$40:$A$249,0)),"")</f>
        <v>11</v>
      </c>
      <c r="U5" s="8" t="b">
        <f aca="false">IF(LEN(Controls!$B$4)&gt;0,TRUE(),IF(B5=0,AND(R5="",E5=0),AND(ABS(N(G5)-N(R5))&lt;0.005,ISNUMBER(G5)=ISNUMBER(R5),IF(S5=-1,J5="",J5=S5),IF(T5=-1,O5="",O5=T5))))</f>
        <v>1</v>
      </c>
    </row>
    <row r="6" customFormat="false" ht="15" hidden="false" customHeight="false" outlineLevel="0" collapsed="false">
      <c r="A6" s="4" t="s">
        <v>85</v>
      </c>
      <c r="B6" s="11" t="n">
        <f aca="false">IF(COUNTIF('Scenario inputs'!$A$4:$A$213,Controls!$B$3&amp;"|"&amp;A6)&gt;0,1,0)</f>
        <v>1</v>
      </c>
      <c r="C6" s="8" t="b">
        <f aca="false">IF(B6=1,OR(SUMPRODUCT((Costs!$B$4:$B$903=A6)*(Costs!$D$4:$D$903="planned")*(Costs!$J$4:$J$903&lt;Controls!$B$12)*(Costs!$K$4:$K$903&gt;Costs!$J$4:$J$903))&gt;0,SUMPRODUCT((Benefits!$B$4:$B$703=A6)*(Benefits!$T$4:$T$703=1))&gt;0),FALSE())</f>
        <v>1</v>
      </c>
      <c r="D6" s="9" t="n">
        <f aca="false">SUMIFS('Cash flow'!$E$4:$E$867,'Cash flow'!$A$4:$A$867,A6)</f>
        <v>652800</v>
      </c>
      <c r="E6" s="9" t="n">
        <f aca="false">SUMIFS('Cash flow'!$J$4:$J$867,'Cash flow'!$A$4:$A$867,A6)</f>
        <v>1075421.27096556</v>
      </c>
      <c r="F6" s="9" t="n">
        <f aca="false">SUMIFS('Cash flow'!$K$4:$K$867,'Cash flow'!$A$4:$A$867,A6)</f>
        <v>422621.270965561</v>
      </c>
      <c r="G6" s="9" t="n">
        <f aca="false">IF(C6,SUMIFS('Cash flow'!$N$4:$N$867,'Cash flow'!$A$4:$A$867,A6),"")</f>
        <v>363049.677518799</v>
      </c>
      <c r="H6" s="11" t="n">
        <f aca="false">COUNTIFS('Cash flow'!$A$4:$A$867,A6,'Cash flow'!$P$4:$P$867,1)</f>
        <v>12</v>
      </c>
      <c r="I6" s="11" t="n">
        <f aca="false">SUMPRODUCT(MAX(('Cash flow'!$A$4:$A$867=A6)*('Cash flow'!$P$4:$P$867=1)*('Cash flow'!$B$4:$B$867+1)))</f>
        <v>12</v>
      </c>
      <c r="J6" s="11" t="n">
        <f aca="false">IF(OR(NOT(C6),H6=0,I6=Controls!$B$12),"",I6)</f>
        <v>12</v>
      </c>
      <c r="K6" s="0" t="str">
        <f aca="false">IF(NOT(C6),"NO_FLOWS",IF(H6=0,"NO_INVESTMENT",IF(I6=Controls!$B$12,"NOT_RECOVERED","")))</f>
        <v/>
      </c>
      <c r="L6" s="12" t="n">
        <f aca="false">IF(J6="","",(J6-1)+(-SUMIFS('Cash flow'!$L$4:$L$867,'Cash flow'!$A$4:$A$867,A6,'Cash flow'!$B$4:$B$867,J6-1))/(SUMIFS('Cash flow'!$L$4:$L$867,'Cash flow'!$A$4:$A$867,A6,'Cash flow'!$B$4:$B$867,J6)-SUMIFS('Cash flow'!$L$4:$L$867,'Cash flow'!$A$4:$A$867,A6,'Cash flow'!$B$4:$B$867,J6-1)))</f>
        <v>11.1517236537439</v>
      </c>
      <c r="M6" s="11" t="n">
        <f aca="false">COUNTIFS('Cash flow'!$A$4:$A$867,A6,'Cash flow'!$Q$4:$Q$867,1)</f>
        <v>12</v>
      </c>
      <c r="N6" s="11" t="n">
        <f aca="false">SUMPRODUCT(MAX(('Cash flow'!$A$4:$A$867=A6)*('Cash flow'!$Q$4:$Q$867=1)*('Cash flow'!$B$4:$B$867+1)))</f>
        <v>12</v>
      </c>
      <c r="O6" s="11" t="n">
        <f aca="false">IF(OR(NOT(C6),M6=0,N6=Controls!$B$12),"",N6)</f>
        <v>12</v>
      </c>
      <c r="P6" s="0" t="str">
        <f aca="false">IF(NOT(C6),"NO_FLOWS",IF(M6=0,"NO_INVESTMENT",IF(N6=Controls!$B$12,"NOT_RECOVERED","")))</f>
        <v/>
      </c>
      <c r="Q6" s="12" t="n">
        <f aca="false">IF(O6="","",(O6-1)+(-SUMIFS('Cash flow'!$O$4:$O$867,'Cash flow'!$A$4:$A$867,A6,'Cash flow'!$B$4:$B$867,O6-1))/(SUMIFS('Cash flow'!$O$4:$O$867,'Cash flow'!$A$4:$A$867,A6,'Cash flow'!$B$4:$B$867,O6)-SUMIFS('Cash flow'!$O$4:$O$867,'Cash flow'!$A$4:$A$867,A6,'Cash flow'!$B$4:$B$867,O6-1)))</f>
        <v>11.3518135239351</v>
      </c>
      <c r="R6" s="9" t="n">
        <f aca="false">IFERROR(INDEX('Domain reference'!$C$40:$C$249,MATCH(Controls!$B$3&amp;"|"&amp;A6,'Domain reference'!$A$40:$A$249,0)),"")</f>
        <v>363049.68</v>
      </c>
      <c r="S6" s="11" t="n">
        <f aca="false">IFERROR(INDEX('Domain reference'!$D$40:$D$249,MATCH(Controls!$B$3&amp;"|"&amp;A6,'Domain reference'!$A$40:$A$249,0)),"")</f>
        <v>12</v>
      </c>
      <c r="T6" s="11" t="n">
        <f aca="false">IFERROR(INDEX('Domain reference'!$E$40:$E$249,MATCH(Controls!$B$3&amp;"|"&amp;A6,'Domain reference'!$A$40:$A$249,0)),"")</f>
        <v>12</v>
      </c>
      <c r="U6" s="8" t="b">
        <f aca="false">IF(LEN(Controls!$B$4)&gt;0,TRUE(),IF(B6=0,AND(R6="",E6=0),AND(ABS(N(G6)-N(R6))&lt;0.005,ISNUMBER(G6)=ISNUMBER(R6),IF(S6=-1,J6="",J6=S6),IF(T6=-1,O6="",O6=T6))))</f>
        <v>1</v>
      </c>
    </row>
    <row r="7" customFormat="false" ht="15" hidden="false" customHeight="false" outlineLevel="0" collapsed="false">
      <c r="A7" s="4" t="s">
        <v>86</v>
      </c>
      <c r="B7" s="11" t="n">
        <f aca="false">IF(COUNTIF('Scenario inputs'!$A$4:$A$213,Controls!$B$3&amp;"|"&amp;A7)&gt;0,1,0)</f>
        <v>1</v>
      </c>
      <c r="C7" s="8" t="b">
        <f aca="false">IF(B7=1,OR(SUMPRODUCT((Costs!$B$4:$B$903=A7)*(Costs!$D$4:$D$903="planned")*(Costs!$J$4:$J$903&lt;Controls!$B$12)*(Costs!$K$4:$K$903&gt;Costs!$J$4:$J$903))&gt;0,SUMPRODUCT((Benefits!$B$4:$B$703=A7)*(Benefits!$T$4:$T$703=1))&gt;0),FALSE())</f>
        <v>1</v>
      </c>
      <c r="D7" s="9" t="n">
        <f aca="false">SUMIFS('Cash flow'!$E$4:$E$867,'Cash flow'!$A$4:$A$867,A7)</f>
        <v>1422150</v>
      </c>
      <c r="E7" s="9" t="n">
        <f aca="false">SUMIFS('Cash flow'!$J$4:$J$867,'Cash flow'!$A$4:$A$867,A7)</f>
        <v>2058532.39620596</v>
      </c>
      <c r="F7" s="9" t="n">
        <f aca="false">SUMIFS('Cash flow'!$K$4:$K$867,'Cash flow'!$A$4:$A$867,A7)</f>
        <v>636382.396205958</v>
      </c>
      <c r="G7" s="9" t="n">
        <f aca="false">IF(C7,SUMIFS('Cash flow'!$N$4:$N$867,'Cash flow'!$A$4:$A$867,A7),"")</f>
        <v>523302.077017944</v>
      </c>
      <c r="H7" s="11" t="n">
        <f aca="false">COUNTIFS('Cash flow'!$A$4:$A$867,A7,'Cash flow'!$P$4:$P$867,1)</f>
        <v>14</v>
      </c>
      <c r="I7" s="11" t="n">
        <f aca="false">SUMPRODUCT(MAX(('Cash flow'!$A$4:$A$867=A7)*('Cash flow'!$P$4:$P$867=1)*('Cash flow'!$B$4:$B$867+1)))</f>
        <v>14</v>
      </c>
      <c r="J7" s="11" t="n">
        <f aca="false">IF(OR(NOT(C7),H7=0,I7=Controls!$B$12),"",I7)</f>
        <v>14</v>
      </c>
      <c r="K7" s="0" t="str">
        <f aca="false">IF(NOT(C7),"NO_FLOWS",IF(H7=0,"NO_INVESTMENT",IF(I7=Controls!$B$12,"NOT_RECOVERED","")))</f>
        <v/>
      </c>
      <c r="L7" s="12" t="n">
        <f aca="false">IF(J7="","",(J7-1)+(-SUMIFS('Cash flow'!$L$4:$L$867,'Cash flow'!$A$4:$A$867,A7,'Cash flow'!$B$4:$B$867,J7-1))/(SUMIFS('Cash flow'!$L$4:$L$867,'Cash flow'!$A$4:$A$867,A7,'Cash flow'!$B$4:$B$867,J7)-SUMIFS('Cash flow'!$L$4:$L$867,'Cash flow'!$A$4:$A$867,A7,'Cash flow'!$B$4:$B$867,J7-1)))</f>
        <v>13.0991037012383</v>
      </c>
      <c r="M7" s="11" t="n">
        <f aca="false">COUNTIFS('Cash flow'!$A$4:$A$867,A7,'Cash flow'!$Q$4:$Q$867,1)</f>
        <v>14</v>
      </c>
      <c r="N7" s="11" t="n">
        <f aca="false">SUMPRODUCT(MAX(('Cash flow'!$A$4:$A$867=A7)*('Cash flow'!$Q$4:$Q$867=1)*('Cash flow'!$B$4:$B$867+1)))</f>
        <v>14</v>
      </c>
      <c r="O7" s="11" t="n">
        <f aca="false">IF(OR(NOT(C7),M7=0,N7=Controls!$B$12),"",N7)</f>
        <v>14</v>
      </c>
      <c r="P7" s="0" t="str">
        <f aca="false">IF(NOT(C7),"NO_FLOWS",IF(M7=0,"NO_INVESTMENT",IF(N7=Controls!$B$12,"NOT_RECOVERED","")))</f>
        <v/>
      </c>
      <c r="Q7" s="12" t="n">
        <f aca="false">IF(O7="","",(O7-1)+(-SUMIFS('Cash flow'!$O$4:$O$867,'Cash flow'!$A$4:$A$867,A7,'Cash flow'!$B$4:$B$867,O7-1))/(SUMIFS('Cash flow'!$O$4:$O$867,'Cash flow'!$A$4:$A$867,A7,'Cash flow'!$B$4:$B$867,O7)-SUMIFS('Cash flow'!$O$4:$O$867,'Cash flow'!$A$4:$A$867,A7,'Cash flow'!$B$4:$B$867,O7-1)))</f>
        <v>13.3330376504947</v>
      </c>
      <c r="R7" s="9" t="n">
        <f aca="false">IFERROR(INDEX('Domain reference'!$C$40:$C$249,MATCH(Controls!$B$3&amp;"|"&amp;A7,'Domain reference'!$A$40:$A$249,0)),"")</f>
        <v>523302.08</v>
      </c>
      <c r="S7" s="11" t="n">
        <f aca="false">IFERROR(INDEX('Domain reference'!$D$40:$D$249,MATCH(Controls!$B$3&amp;"|"&amp;A7,'Domain reference'!$A$40:$A$249,0)),"")</f>
        <v>14</v>
      </c>
      <c r="T7" s="11" t="n">
        <f aca="false">IFERROR(INDEX('Domain reference'!$E$40:$E$249,MATCH(Controls!$B$3&amp;"|"&amp;A7,'Domain reference'!$A$40:$A$249,0)),"")</f>
        <v>14</v>
      </c>
      <c r="U7" s="8" t="b">
        <f aca="false">IF(LEN(Controls!$B$4)&gt;0,TRUE(),IF(B7=0,AND(R7="",E7=0),AND(ABS(N(G7)-N(R7))&lt;0.005,ISNUMBER(G7)=ISNUMBER(R7),IF(S7=-1,J7="",J7=S7),IF(T7=-1,O7="",O7=T7))))</f>
        <v>1</v>
      </c>
    </row>
    <row r="8" customFormat="false" ht="15" hidden="false" customHeight="false" outlineLevel="0" collapsed="false">
      <c r="A8" s="4" t="s">
        <v>87</v>
      </c>
      <c r="B8" s="11" t="n">
        <f aca="false">IF(COUNTIF('Scenario inputs'!$A$4:$A$213,Controls!$B$3&amp;"|"&amp;A8)&gt;0,1,0)</f>
        <v>1</v>
      </c>
      <c r="C8" s="8" t="b">
        <f aca="false">IF(B8=1,OR(SUMPRODUCT((Costs!$B$4:$B$903=A8)*(Costs!$D$4:$D$903="planned")*(Costs!$J$4:$J$903&lt;Controls!$B$12)*(Costs!$K$4:$K$903&gt;Costs!$J$4:$J$903))&gt;0,SUMPRODUCT((Benefits!$B$4:$B$703=A8)*(Benefits!$T$4:$T$703=1))&gt;0),FALSE())</f>
        <v>1</v>
      </c>
      <c r="D8" s="9" t="n">
        <f aca="false">SUMIFS('Cash flow'!$E$4:$E$867,'Cash flow'!$A$4:$A$867,A8)</f>
        <v>907200</v>
      </c>
      <c r="E8" s="9" t="n">
        <f aca="false">SUMIFS('Cash flow'!$J$4:$J$867,'Cash flow'!$A$4:$A$867,A8)</f>
        <v>1179266.7509</v>
      </c>
      <c r="F8" s="9" t="n">
        <f aca="false">SUMIFS('Cash flow'!$K$4:$K$867,'Cash flow'!$A$4:$A$867,A8)</f>
        <v>272066.7509</v>
      </c>
      <c r="G8" s="9" t="n">
        <f aca="false">IF(C8,SUMIFS('Cash flow'!$N$4:$N$867,'Cash flow'!$A$4:$A$867,A8),"")</f>
        <v>209002.208735687</v>
      </c>
      <c r="H8" s="11" t="n">
        <f aca="false">COUNTIFS('Cash flow'!$A$4:$A$867,A8,'Cash flow'!$P$4:$P$867,1)</f>
        <v>19</v>
      </c>
      <c r="I8" s="11" t="n">
        <f aca="false">SUMPRODUCT(MAX(('Cash flow'!$A$4:$A$867=A8)*('Cash flow'!$P$4:$P$867=1)*('Cash flow'!$B$4:$B$867+1)))</f>
        <v>19</v>
      </c>
      <c r="J8" s="11" t="n">
        <f aca="false">IF(OR(NOT(C8),H8=0,I8=Controls!$B$12),"",I8)</f>
        <v>19</v>
      </c>
      <c r="K8" s="0" t="str">
        <f aca="false">IF(NOT(C8),"NO_FLOWS",IF(H8=0,"NO_INVESTMENT",IF(I8=Controls!$B$12,"NOT_RECOVERED","")))</f>
        <v/>
      </c>
      <c r="L8" s="12" t="n">
        <f aca="false">IF(J8="","",(J8-1)+(-SUMIFS('Cash flow'!$L$4:$L$867,'Cash flow'!$A$4:$A$867,A8,'Cash flow'!$B$4:$B$867,J8-1))/(SUMIFS('Cash flow'!$L$4:$L$867,'Cash flow'!$A$4:$A$867,A8,'Cash flow'!$B$4:$B$867,J8)-SUMIFS('Cash flow'!$L$4:$L$867,'Cash flow'!$A$4:$A$867,A8,'Cash flow'!$B$4:$B$867,J8-1)))</f>
        <v>18.4347494326622</v>
      </c>
      <c r="M8" s="11" t="n">
        <f aca="false">COUNTIFS('Cash flow'!$A$4:$A$867,A8,'Cash flow'!$Q$4:$Q$867,1)</f>
        <v>19</v>
      </c>
      <c r="N8" s="11" t="n">
        <f aca="false">SUMPRODUCT(MAX(('Cash flow'!$A$4:$A$867=A8)*('Cash flow'!$Q$4:$Q$867=1)*('Cash flow'!$B$4:$B$867+1)))</f>
        <v>19</v>
      </c>
      <c r="O8" s="11" t="n">
        <f aca="false">IF(OR(NOT(C8),M8=0,N8=Controls!$B$12),"",N8)</f>
        <v>19</v>
      </c>
      <c r="P8" s="0" t="str">
        <f aca="false">IF(NOT(C8),"NO_FLOWS",IF(M8=0,"NO_INVESTMENT",IF(N8=Controls!$B$12,"NOT_RECOVERED","")))</f>
        <v/>
      </c>
      <c r="Q8" s="12" t="n">
        <f aca="false">IF(O8="","",(O8-1)+(-SUMIFS('Cash flow'!$O$4:$O$867,'Cash flow'!$A$4:$A$867,A8,'Cash flow'!$B$4:$B$867,O8-1))/(SUMIFS('Cash flow'!$O$4:$O$867,'Cash flow'!$A$4:$A$867,A8,'Cash flow'!$B$4:$B$867,O8)-SUMIFS('Cash flow'!$O$4:$O$867,'Cash flow'!$A$4:$A$867,A8,'Cash flow'!$B$4:$B$867,O8-1)))</f>
        <v>18.7400702493003</v>
      </c>
      <c r="R8" s="9" t="n">
        <f aca="false">IFERROR(INDEX('Domain reference'!$C$40:$C$249,MATCH(Controls!$B$3&amp;"|"&amp;A8,'Domain reference'!$A$40:$A$249,0)),"")</f>
        <v>209002.21</v>
      </c>
      <c r="S8" s="11" t="n">
        <f aca="false">IFERROR(INDEX('Domain reference'!$D$40:$D$249,MATCH(Controls!$B$3&amp;"|"&amp;A8,'Domain reference'!$A$40:$A$249,0)),"")</f>
        <v>19</v>
      </c>
      <c r="T8" s="11" t="n">
        <f aca="false">IFERROR(INDEX('Domain reference'!$E$40:$E$249,MATCH(Controls!$B$3&amp;"|"&amp;A8,'Domain reference'!$A$40:$A$249,0)),"")</f>
        <v>19</v>
      </c>
      <c r="U8" s="8" t="b">
        <f aca="false">IF(LEN(Controls!$B$4)&gt;0,TRUE(),IF(B8=0,AND(R8="",E8=0),AND(ABS(N(G8)-N(R8))&lt;0.005,ISNUMBER(G8)=ISNUMBER(R8),IF(S8=-1,J8="",J8=S8),IF(T8=-1,O8="",O8=T8))))</f>
        <v>1</v>
      </c>
    </row>
    <row r="9" customFormat="false" ht="15" hidden="false" customHeight="false" outlineLevel="0" collapsed="false">
      <c r="A9" s="4" t="s">
        <v>88</v>
      </c>
      <c r="B9" s="11" t="n">
        <f aca="false">IF(COUNTIF('Scenario inputs'!$A$4:$A$213,Controls!$B$3&amp;"|"&amp;A9)&gt;0,1,0)</f>
        <v>1</v>
      </c>
      <c r="C9" s="8" t="b">
        <f aca="false">IF(B9=1,OR(SUMPRODUCT((Costs!$B$4:$B$903=A9)*(Costs!$D$4:$D$903="planned")*(Costs!$J$4:$J$903&lt;Controls!$B$12)*(Costs!$K$4:$K$903&gt;Costs!$J$4:$J$903))&gt;0,SUMPRODUCT((Benefits!$B$4:$B$703=A9)*(Benefits!$T$4:$T$703=1))&gt;0),FALSE())</f>
        <v>1</v>
      </c>
      <c r="D9" s="9" t="n">
        <f aca="false">SUMIFS('Cash flow'!$E$4:$E$867,'Cash flow'!$A$4:$A$867,A9)</f>
        <v>588850</v>
      </c>
      <c r="E9" s="9" t="n">
        <f aca="false">SUMIFS('Cash flow'!$J$4:$J$867,'Cash flow'!$A$4:$A$867,A9)</f>
        <v>0</v>
      </c>
      <c r="F9" s="9" t="n">
        <f aca="false">SUMIFS('Cash flow'!$K$4:$K$867,'Cash flow'!$A$4:$A$867,A9)</f>
        <v>-588850</v>
      </c>
      <c r="G9" s="9" t="n">
        <f aca="false">IF(C9,SUMIFS('Cash flow'!$N$4:$N$867,'Cash flow'!$A$4:$A$867,A9),"")</f>
        <v>-535631.922753389</v>
      </c>
      <c r="H9" s="11" t="n">
        <f aca="false">COUNTIFS('Cash flow'!$A$4:$A$867,A9,'Cash flow'!$P$4:$P$867,1)</f>
        <v>36</v>
      </c>
      <c r="I9" s="11" t="n">
        <f aca="false">SUMPRODUCT(MAX(('Cash flow'!$A$4:$A$867=A9)*('Cash flow'!$P$4:$P$867=1)*('Cash flow'!$B$4:$B$867+1)))</f>
        <v>36</v>
      </c>
      <c r="J9" s="0" t="str">
        <f aca="false">IF(OR(NOT(C9),H9=0,I9=Controls!$B$12),"",I9)</f>
        <v/>
      </c>
      <c r="K9" s="0" t="str">
        <f aca="false">IF(NOT(C9),"NO_FLOWS",IF(H9=0,"NO_INVESTMENT",IF(I9=Controls!$B$12,"NOT_RECOVERED","")))</f>
        <v>NOT_RECOVERED</v>
      </c>
      <c r="L9" s="12" t="str">
        <f aca="false">IF(J9="","",(J9-1)+(-SUMIFS('Cash flow'!$L$4:$L$867,'Cash flow'!$A$4:$A$867,A9,'Cash flow'!$B$4:$B$867,J9-1))/(SUMIFS('Cash flow'!$L$4:$L$867,'Cash flow'!$A$4:$A$867,A9,'Cash flow'!$B$4:$B$867,J9)-SUMIFS('Cash flow'!$L$4:$L$867,'Cash flow'!$A$4:$A$867,A9,'Cash flow'!$B$4:$B$867,J9-1)))</f>
        <v/>
      </c>
      <c r="M9" s="11" t="n">
        <f aca="false">COUNTIFS('Cash flow'!$A$4:$A$867,A9,'Cash flow'!$Q$4:$Q$867,1)</f>
        <v>36</v>
      </c>
      <c r="N9" s="11" t="n">
        <f aca="false">SUMPRODUCT(MAX(('Cash flow'!$A$4:$A$867=A9)*('Cash flow'!$Q$4:$Q$867=1)*('Cash flow'!$B$4:$B$867+1)))</f>
        <v>36</v>
      </c>
      <c r="O9" s="0" t="str">
        <f aca="false">IF(OR(NOT(C9),M9=0,N9=Controls!$B$12),"",N9)</f>
        <v/>
      </c>
      <c r="P9" s="0" t="str">
        <f aca="false">IF(NOT(C9),"NO_FLOWS",IF(M9=0,"NO_INVESTMENT",IF(N9=Controls!$B$12,"NOT_RECOVERED","")))</f>
        <v>NOT_RECOVERED</v>
      </c>
      <c r="Q9" s="12" t="str">
        <f aca="false">IF(O9="","",(O9-1)+(-SUMIFS('Cash flow'!$O$4:$O$867,'Cash flow'!$A$4:$A$867,A9,'Cash flow'!$B$4:$B$867,O9-1))/(SUMIFS('Cash flow'!$O$4:$O$867,'Cash flow'!$A$4:$A$867,A9,'Cash flow'!$B$4:$B$867,O9)-SUMIFS('Cash flow'!$O$4:$O$867,'Cash flow'!$A$4:$A$867,A9,'Cash flow'!$B$4:$B$867,O9-1)))</f>
        <v/>
      </c>
      <c r="R9" s="9" t="n">
        <f aca="false">IFERROR(INDEX('Domain reference'!$C$40:$C$249,MATCH(Controls!$B$3&amp;"|"&amp;A9,'Domain reference'!$A$40:$A$249,0)),"")</f>
        <v>-535631.92</v>
      </c>
      <c r="S9" s="11" t="n">
        <f aca="false">IFERROR(INDEX('Domain reference'!$D$40:$D$249,MATCH(Controls!$B$3&amp;"|"&amp;A9,'Domain reference'!$A$40:$A$249,0)),"")</f>
        <v>-1</v>
      </c>
      <c r="T9" s="11" t="n">
        <f aca="false">IFERROR(INDEX('Domain reference'!$E$40:$E$249,MATCH(Controls!$B$3&amp;"|"&amp;A9,'Domain reference'!$A$40:$A$249,0)),"")</f>
        <v>-1</v>
      </c>
      <c r="U9" s="8" t="b">
        <f aca="false">IF(LEN(Controls!$B$4)&gt;0,TRUE(),IF(B9=0,AND(R9="",E9=0),AND(ABS(N(G9)-N(R9))&lt;0.005,ISNUMBER(G9)=ISNUMBER(R9),IF(S9=-1,J9="",J9=S9),IF(T9=-1,O9="",O9=T9))))</f>
        <v>1</v>
      </c>
    </row>
    <row r="10" customFormat="false" ht="15" hidden="false" customHeight="false" outlineLevel="0" collapsed="false">
      <c r="A10" s="4" t="s">
        <v>89</v>
      </c>
      <c r="B10" s="11" t="n">
        <f aca="false">IF(COUNTIF('Scenario inputs'!$A$4:$A$213,Controls!$B$3&amp;"|"&amp;A10)&gt;0,1,0)</f>
        <v>1</v>
      </c>
      <c r="C10" s="8" t="b">
        <f aca="false">IF(B10=1,OR(SUMPRODUCT((Costs!$B$4:$B$903=A10)*(Costs!$D$4:$D$903="planned")*(Costs!$J$4:$J$903&lt;Controls!$B$12)*(Costs!$K$4:$K$903&gt;Costs!$J$4:$J$903))&gt;0,SUMPRODUCT((Benefits!$B$4:$B$703=A10)*(Benefits!$T$4:$T$703=1))&gt;0),FALSE())</f>
        <v>1</v>
      </c>
      <c r="D10" s="9" t="n">
        <f aca="false">SUMIFS('Cash flow'!$E$4:$E$867,'Cash flow'!$A$4:$A$867,A10)</f>
        <v>1961550</v>
      </c>
      <c r="E10" s="9" t="n">
        <f aca="false">SUMIFS('Cash flow'!$J$4:$J$867,'Cash flow'!$A$4:$A$867,A10)</f>
        <v>2489519.27445325</v>
      </c>
      <c r="F10" s="9" t="n">
        <f aca="false">SUMIFS('Cash flow'!$K$4:$K$867,'Cash flow'!$A$4:$A$867,A10)</f>
        <v>527969.274453247</v>
      </c>
      <c r="G10" s="9" t="n">
        <f aca="false">IF(C10,SUMIFS('Cash flow'!$N$4:$N$867,'Cash flow'!$A$4:$A$867,A10),"")</f>
        <v>415366.000839242</v>
      </c>
      <c r="H10" s="11" t="n">
        <f aca="false">COUNTIFS('Cash flow'!$A$4:$A$867,A10,'Cash flow'!$P$4:$P$867,1)</f>
        <v>11</v>
      </c>
      <c r="I10" s="11" t="n">
        <f aca="false">SUMPRODUCT(MAX(('Cash flow'!$A$4:$A$867=A10)*('Cash flow'!$P$4:$P$867=1)*('Cash flow'!$B$4:$B$867+1)))</f>
        <v>11</v>
      </c>
      <c r="J10" s="11" t="n">
        <f aca="false">IF(OR(NOT(C10),H10=0,I10=Controls!$B$12),"",I10)</f>
        <v>11</v>
      </c>
      <c r="K10" s="0" t="str">
        <f aca="false">IF(NOT(C10),"NO_FLOWS",IF(H10=0,"NO_INVESTMENT",IF(I10=Controls!$B$12,"NOT_RECOVERED","")))</f>
        <v/>
      </c>
      <c r="L10" s="12" t="n">
        <f aca="false">IF(J10="","",(J10-1)+(-SUMIFS('Cash flow'!$L$4:$L$867,'Cash flow'!$A$4:$A$867,A10,'Cash flow'!$B$4:$B$867,J10-1))/(SUMIFS('Cash flow'!$L$4:$L$867,'Cash flow'!$A$4:$A$867,A10,'Cash flow'!$B$4:$B$867,J10)-SUMIFS('Cash flow'!$L$4:$L$867,'Cash flow'!$A$4:$A$867,A10,'Cash flow'!$B$4:$B$867,J10-1)))</f>
        <v>10.2555643352467</v>
      </c>
      <c r="M10" s="11" t="n">
        <f aca="false">COUNTIFS('Cash flow'!$A$4:$A$867,A10,'Cash flow'!$Q$4:$Q$867,1)</f>
        <v>11</v>
      </c>
      <c r="N10" s="11" t="n">
        <f aca="false">SUMPRODUCT(MAX(('Cash flow'!$A$4:$A$867=A10)*('Cash flow'!$Q$4:$Q$867=1)*('Cash flow'!$B$4:$B$867+1)))</f>
        <v>11</v>
      </c>
      <c r="O10" s="11" t="n">
        <f aca="false">IF(OR(NOT(C10),M10=0,N10=Controls!$B$12),"",N10)</f>
        <v>11</v>
      </c>
      <c r="P10" s="0" t="str">
        <f aca="false">IF(NOT(C10),"NO_FLOWS",IF(M10=0,"NO_INVESTMENT",IF(N10=Controls!$B$12,"NOT_RECOVERED","")))</f>
        <v/>
      </c>
      <c r="Q10" s="12" t="n">
        <f aca="false">IF(O10="","",(O10-1)+(-SUMIFS('Cash flow'!$O$4:$O$867,'Cash flow'!$A$4:$A$867,A10,'Cash flow'!$B$4:$B$867,O10-1))/(SUMIFS('Cash flow'!$O$4:$O$867,'Cash flow'!$A$4:$A$867,A10,'Cash flow'!$B$4:$B$867,O10)-SUMIFS('Cash flow'!$O$4:$O$867,'Cash flow'!$A$4:$A$867,A10,'Cash flow'!$B$4:$B$867,O10-1)))</f>
        <v>10.5167118600369</v>
      </c>
      <c r="R10" s="9" t="n">
        <f aca="false">IFERROR(INDEX('Domain reference'!$C$40:$C$249,MATCH(Controls!$B$3&amp;"|"&amp;A10,'Domain reference'!$A$40:$A$249,0)),"")</f>
        <v>415366</v>
      </c>
      <c r="S10" s="11" t="n">
        <f aca="false">IFERROR(INDEX('Domain reference'!$D$40:$D$249,MATCH(Controls!$B$3&amp;"|"&amp;A10,'Domain reference'!$A$40:$A$249,0)),"")</f>
        <v>11</v>
      </c>
      <c r="T10" s="11" t="n">
        <f aca="false">IFERROR(INDEX('Domain reference'!$E$40:$E$249,MATCH(Controls!$B$3&amp;"|"&amp;A10,'Domain reference'!$A$40:$A$249,0)),"")</f>
        <v>11</v>
      </c>
      <c r="U10" s="8" t="b">
        <f aca="false">IF(LEN(Controls!$B$4)&gt;0,TRUE(),IF(B10=0,AND(R10="",E10=0),AND(ABS(N(G10)-N(R10))&lt;0.005,ISNUMBER(G10)=ISNUMBER(R10),IF(S10=-1,J10="",J10=S10),IF(T10=-1,O10="",O10=T10))))</f>
        <v>1</v>
      </c>
    </row>
    <row r="11" customFormat="false" ht="15" hidden="false" customHeight="false" outlineLevel="0" collapsed="false">
      <c r="A11" s="4" t="s">
        <v>90</v>
      </c>
      <c r="B11" s="11" t="n">
        <f aca="false">IF(COUNTIF('Scenario inputs'!$A$4:$A$213,Controls!$B$3&amp;"|"&amp;A11)&gt;0,1,0)</f>
        <v>1</v>
      </c>
      <c r="C11" s="8" t="b">
        <f aca="false">IF(B11=1,OR(SUMPRODUCT((Costs!$B$4:$B$903=A11)*(Costs!$D$4:$D$903="planned")*(Costs!$J$4:$J$903&lt;Controls!$B$12)*(Costs!$K$4:$K$903&gt;Costs!$J$4:$J$903))&gt;0,SUMPRODUCT((Benefits!$B$4:$B$703=A11)*(Benefits!$T$4:$T$703=1))&gt;0),FALSE())</f>
        <v>1</v>
      </c>
      <c r="D11" s="9" t="n">
        <f aca="false">SUMIFS('Cash flow'!$E$4:$E$867,'Cash flow'!$A$4:$A$867,A11)</f>
        <v>1039700</v>
      </c>
      <c r="E11" s="9" t="n">
        <f aca="false">SUMIFS('Cash flow'!$J$4:$J$867,'Cash flow'!$A$4:$A$867,A11)</f>
        <v>1158800</v>
      </c>
      <c r="F11" s="9" t="n">
        <f aca="false">SUMIFS('Cash flow'!$K$4:$K$867,'Cash flow'!$A$4:$A$867,A11)</f>
        <v>119100</v>
      </c>
      <c r="G11" s="9" t="n">
        <f aca="false">IF(C11,SUMIFS('Cash flow'!$N$4:$N$867,'Cash flow'!$A$4:$A$867,A11),"")</f>
        <v>65253.9062357884</v>
      </c>
      <c r="H11" s="11" t="n">
        <f aca="false">COUNTIFS('Cash flow'!$A$4:$A$867,A11,'Cash flow'!$P$4:$P$867,1)</f>
        <v>13</v>
      </c>
      <c r="I11" s="11" t="n">
        <f aca="false">SUMPRODUCT(MAX(('Cash flow'!$A$4:$A$867=A11)*('Cash flow'!$P$4:$P$867=1)*('Cash flow'!$B$4:$B$867+1)))</f>
        <v>13</v>
      </c>
      <c r="J11" s="11" t="n">
        <f aca="false">IF(OR(NOT(C11),H11=0,I11=Controls!$B$12),"",I11)</f>
        <v>13</v>
      </c>
      <c r="K11" s="0" t="str">
        <f aca="false">IF(NOT(C11),"NO_FLOWS",IF(H11=0,"NO_INVESTMENT",IF(I11=Controls!$B$12,"NOT_RECOVERED","")))</f>
        <v/>
      </c>
      <c r="L11" s="12" t="n">
        <f aca="false">IF(J11="","",(J11-1)+(-SUMIFS('Cash flow'!$L$4:$L$867,'Cash flow'!$A$4:$A$867,A11,'Cash flow'!$B$4:$B$867,J11-1))/(SUMIFS('Cash flow'!$L$4:$L$867,'Cash flow'!$A$4:$A$867,A11,'Cash flow'!$B$4:$B$867,J11)-SUMIFS('Cash flow'!$L$4:$L$867,'Cash flow'!$A$4:$A$867,A11,'Cash flow'!$B$4:$B$867,J11-1)))</f>
        <v>12.3874755381605</v>
      </c>
      <c r="M11" s="11" t="n">
        <f aca="false">COUNTIFS('Cash flow'!$A$4:$A$867,A11,'Cash flow'!$Q$4:$Q$867,1)</f>
        <v>13</v>
      </c>
      <c r="N11" s="11" t="n">
        <f aca="false">SUMPRODUCT(MAX(('Cash flow'!$A$4:$A$867=A11)*('Cash flow'!$Q$4:$Q$867=1)*('Cash flow'!$B$4:$B$867+1)))</f>
        <v>13</v>
      </c>
      <c r="O11" s="11" t="n">
        <f aca="false">IF(OR(NOT(C11),M11=0,N11=Controls!$B$12),"",N11)</f>
        <v>13</v>
      </c>
      <c r="P11" s="0" t="str">
        <f aca="false">IF(NOT(C11),"NO_FLOWS",IF(M11=0,"NO_INVESTMENT",IF(N11=Controls!$B$12,"NOT_RECOVERED","")))</f>
        <v/>
      </c>
      <c r="Q11" s="12" t="n">
        <f aca="false">IF(O11="","",(O11-1)+(-SUMIFS('Cash flow'!$O$4:$O$867,'Cash flow'!$A$4:$A$867,A11,'Cash flow'!$B$4:$B$867,O11-1))/(SUMIFS('Cash flow'!$O$4:$O$867,'Cash flow'!$A$4:$A$867,A11,'Cash flow'!$B$4:$B$867,O11)-SUMIFS('Cash flow'!$O$4:$O$867,'Cash flow'!$A$4:$A$867,A11,'Cash flow'!$B$4:$B$867,O11-1)))</f>
        <v>12.7625144965659</v>
      </c>
      <c r="R11" s="9" t="n">
        <f aca="false">IFERROR(INDEX('Domain reference'!$C$40:$C$249,MATCH(Controls!$B$3&amp;"|"&amp;A11,'Domain reference'!$A$40:$A$249,0)),"")</f>
        <v>65253.91</v>
      </c>
      <c r="S11" s="11" t="n">
        <f aca="false">IFERROR(INDEX('Domain reference'!$D$40:$D$249,MATCH(Controls!$B$3&amp;"|"&amp;A11,'Domain reference'!$A$40:$A$249,0)),"")</f>
        <v>13</v>
      </c>
      <c r="T11" s="11" t="n">
        <f aca="false">IFERROR(INDEX('Domain reference'!$E$40:$E$249,MATCH(Controls!$B$3&amp;"|"&amp;A11,'Domain reference'!$A$40:$A$249,0)),"")</f>
        <v>13</v>
      </c>
      <c r="U11" s="8" t="b">
        <f aca="false">IF(LEN(Controls!$B$4)&gt;0,TRUE(),IF(B11=0,AND(R11="",E11=0),AND(ABS(N(G11)-N(R11))&lt;0.005,ISNUMBER(G11)=ISNUMBER(R11),IF(S11=-1,J11="",J11=S11),IF(T11=-1,O11="",O11=T11))))</f>
        <v>1</v>
      </c>
    </row>
    <row r="12" customFormat="false" ht="15" hidden="false" customHeight="false" outlineLevel="0" collapsed="false">
      <c r="A12" s="4" t="s">
        <v>91</v>
      </c>
      <c r="B12" s="11" t="n">
        <f aca="false">IF(COUNTIF('Scenario inputs'!$A$4:$A$213,Controls!$B$3&amp;"|"&amp;A12)&gt;0,1,0)</f>
        <v>1</v>
      </c>
      <c r="C12" s="8" t="b">
        <f aca="false">IF(B12=1,OR(SUMPRODUCT((Costs!$B$4:$B$903=A12)*(Costs!$D$4:$D$903="planned")*(Costs!$J$4:$J$903&lt;Controls!$B$12)*(Costs!$K$4:$K$903&gt;Costs!$J$4:$J$903))&gt;0,SUMPRODUCT((Benefits!$B$4:$B$703=A12)*(Benefits!$T$4:$T$703=1))&gt;0),FALSE())</f>
        <v>1</v>
      </c>
      <c r="D12" s="9" t="n">
        <f aca="false">SUMIFS('Cash flow'!$E$4:$E$867,'Cash flow'!$A$4:$A$867,A12)</f>
        <v>775800</v>
      </c>
      <c r="E12" s="9" t="n">
        <f aca="false">SUMIFS('Cash flow'!$J$4:$J$867,'Cash flow'!$A$4:$A$867,A12)</f>
        <v>0</v>
      </c>
      <c r="F12" s="9" t="n">
        <f aca="false">SUMIFS('Cash flow'!$K$4:$K$867,'Cash flow'!$A$4:$A$867,A12)</f>
        <v>-775800</v>
      </c>
      <c r="G12" s="9" t="n">
        <f aca="false">IF(C12,SUMIFS('Cash flow'!$N$4:$N$867,'Cash flow'!$A$4:$A$867,A12),"")</f>
        <v>-761535.733449625</v>
      </c>
      <c r="H12" s="11" t="n">
        <f aca="false">COUNTIFS('Cash flow'!$A$4:$A$867,A12,'Cash flow'!$P$4:$P$867,1)</f>
        <v>36</v>
      </c>
      <c r="I12" s="11" t="n">
        <f aca="false">SUMPRODUCT(MAX(('Cash flow'!$A$4:$A$867=A12)*('Cash flow'!$P$4:$P$867=1)*('Cash flow'!$B$4:$B$867+1)))</f>
        <v>36</v>
      </c>
      <c r="J12" s="0" t="str">
        <f aca="false">IF(OR(NOT(C12),H12=0,I12=Controls!$B$12),"",I12)</f>
        <v/>
      </c>
      <c r="K12" s="0" t="str">
        <f aca="false">IF(NOT(C12),"NO_FLOWS",IF(H12=0,"NO_INVESTMENT",IF(I12=Controls!$B$12,"NOT_RECOVERED","")))</f>
        <v>NOT_RECOVERED</v>
      </c>
      <c r="L12" s="12" t="str">
        <f aca="false">IF(J12="","",(J12-1)+(-SUMIFS('Cash flow'!$L$4:$L$867,'Cash flow'!$A$4:$A$867,A12,'Cash flow'!$B$4:$B$867,J12-1))/(SUMIFS('Cash flow'!$L$4:$L$867,'Cash flow'!$A$4:$A$867,A12,'Cash flow'!$B$4:$B$867,J12)-SUMIFS('Cash flow'!$L$4:$L$867,'Cash flow'!$A$4:$A$867,A12,'Cash flow'!$B$4:$B$867,J12-1)))</f>
        <v/>
      </c>
      <c r="M12" s="11" t="n">
        <f aca="false">COUNTIFS('Cash flow'!$A$4:$A$867,A12,'Cash flow'!$Q$4:$Q$867,1)</f>
        <v>36</v>
      </c>
      <c r="N12" s="11" t="n">
        <f aca="false">SUMPRODUCT(MAX(('Cash flow'!$A$4:$A$867=A12)*('Cash flow'!$Q$4:$Q$867=1)*('Cash flow'!$B$4:$B$867+1)))</f>
        <v>36</v>
      </c>
      <c r="O12" s="0" t="str">
        <f aca="false">IF(OR(NOT(C12),M12=0,N12=Controls!$B$12),"",N12)</f>
        <v/>
      </c>
      <c r="P12" s="0" t="str">
        <f aca="false">IF(NOT(C12),"NO_FLOWS",IF(M12=0,"NO_INVESTMENT",IF(N12=Controls!$B$12,"NOT_RECOVERED","")))</f>
        <v>NOT_RECOVERED</v>
      </c>
      <c r="Q12" s="12" t="str">
        <f aca="false">IF(O12="","",(O12-1)+(-SUMIFS('Cash flow'!$O$4:$O$867,'Cash flow'!$A$4:$A$867,A12,'Cash flow'!$B$4:$B$867,O12-1))/(SUMIFS('Cash flow'!$O$4:$O$867,'Cash flow'!$A$4:$A$867,A12,'Cash flow'!$B$4:$B$867,O12)-SUMIFS('Cash flow'!$O$4:$O$867,'Cash flow'!$A$4:$A$867,A12,'Cash flow'!$B$4:$B$867,O12-1)))</f>
        <v/>
      </c>
      <c r="R12" s="9" t="n">
        <f aca="false">IFERROR(INDEX('Domain reference'!$C$40:$C$249,MATCH(Controls!$B$3&amp;"|"&amp;A12,'Domain reference'!$A$40:$A$249,0)),"")</f>
        <v>-761535.73</v>
      </c>
      <c r="S12" s="11" t="n">
        <f aca="false">IFERROR(INDEX('Domain reference'!$D$40:$D$249,MATCH(Controls!$B$3&amp;"|"&amp;A12,'Domain reference'!$A$40:$A$249,0)),"")</f>
        <v>-1</v>
      </c>
      <c r="T12" s="11" t="n">
        <f aca="false">IFERROR(INDEX('Domain reference'!$E$40:$E$249,MATCH(Controls!$B$3&amp;"|"&amp;A12,'Domain reference'!$A$40:$A$249,0)),"")</f>
        <v>-1</v>
      </c>
      <c r="U12" s="8" t="b">
        <f aca="false">IF(LEN(Controls!$B$4)&gt;0,TRUE(),IF(B12=0,AND(R12="",E12=0),AND(ABS(N(G12)-N(R12))&lt;0.005,ISNUMBER(G12)=ISNUMBER(R12),IF(S12=-1,J12="",J12=S12),IF(T12=-1,O12="",O12=T12))))</f>
        <v>1</v>
      </c>
    </row>
    <row r="13" customFormat="false" ht="15" hidden="false" customHeight="false" outlineLevel="0" collapsed="false">
      <c r="A13" s="4" t="s">
        <v>92</v>
      </c>
      <c r="B13" s="11" t="n">
        <f aca="false">IF(COUNTIF('Scenario inputs'!$A$4:$A$213,Controls!$B$3&amp;"|"&amp;A13)&gt;0,1,0)</f>
        <v>1</v>
      </c>
      <c r="C13" s="8" t="b">
        <f aca="false">IF(B13=1,OR(SUMPRODUCT((Costs!$B$4:$B$903=A13)*(Costs!$D$4:$D$903="planned")*(Costs!$J$4:$J$903&lt;Controls!$B$12)*(Costs!$K$4:$K$903&gt;Costs!$J$4:$J$903))&gt;0,SUMPRODUCT((Benefits!$B$4:$B$703=A13)*(Benefits!$T$4:$T$703=1))&gt;0),FALSE())</f>
        <v>1</v>
      </c>
      <c r="D13" s="9" t="n">
        <f aca="false">SUMIFS('Cash flow'!$E$4:$E$867,'Cash flow'!$A$4:$A$867,A13)</f>
        <v>1571900</v>
      </c>
      <c r="E13" s="9" t="n">
        <f aca="false">SUMIFS('Cash flow'!$J$4:$J$867,'Cash flow'!$A$4:$A$867,A13)</f>
        <v>2122033.1701</v>
      </c>
      <c r="F13" s="9" t="n">
        <f aca="false">SUMIFS('Cash flow'!$K$4:$K$867,'Cash flow'!$A$4:$A$867,A13)</f>
        <v>550133.1701</v>
      </c>
      <c r="G13" s="9" t="n">
        <f aca="false">IF(C13,SUMIFS('Cash flow'!$N$4:$N$867,'Cash flow'!$A$4:$A$867,A13),"")</f>
        <v>423409.73597048</v>
      </c>
      <c r="H13" s="11" t="n">
        <f aca="false">COUNTIFS('Cash flow'!$A$4:$A$867,A13,'Cash flow'!$P$4:$P$867,1)</f>
        <v>18</v>
      </c>
      <c r="I13" s="11" t="n">
        <f aca="false">SUMPRODUCT(MAX(('Cash flow'!$A$4:$A$867=A13)*('Cash flow'!$P$4:$P$867=1)*('Cash flow'!$B$4:$B$867+1)))</f>
        <v>18</v>
      </c>
      <c r="J13" s="11" t="n">
        <f aca="false">IF(OR(NOT(C13),H13=0,I13=Controls!$B$12),"",I13)</f>
        <v>18</v>
      </c>
      <c r="K13" s="0" t="str">
        <f aca="false">IF(NOT(C13),"NO_FLOWS",IF(H13=0,"NO_INVESTMENT",IF(I13=Controls!$B$12,"NOT_RECOVERED","")))</f>
        <v/>
      </c>
      <c r="L13" s="12" t="n">
        <f aca="false">IF(J13="","",(J13-1)+(-SUMIFS('Cash flow'!$L$4:$L$867,'Cash flow'!$A$4:$A$867,A13,'Cash flow'!$B$4:$B$867,J13-1))/(SUMIFS('Cash flow'!$L$4:$L$867,'Cash flow'!$A$4:$A$867,A13,'Cash flow'!$B$4:$B$867,J13)-SUMIFS('Cash flow'!$L$4:$L$867,'Cash flow'!$A$4:$A$867,A13,'Cash flow'!$B$4:$B$867,J13-1)))</f>
        <v>17.3724245033082</v>
      </c>
      <c r="M13" s="11" t="n">
        <f aca="false">COUNTIFS('Cash flow'!$A$4:$A$867,A13,'Cash flow'!$Q$4:$Q$867,1)</f>
        <v>18</v>
      </c>
      <c r="N13" s="11" t="n">
        <f aca="false">SUMPRODUCT(MAX(('Cash flow'!$A$4:$A$867=A13)*('Cash flow'!$Q$4:$Q$867=1)*('Cash flow'!$B$4:$B$867+1)))</f>
        <v>18</v>
      </c>
      <c r="O13" s="11" t="n">
        <f aca="false">IF(OR(NOT(C13),M13=0,N13=Controls!$B$12),"",N13)</f>
        <v>18</v>
      </c>
      <c r="P13" s="0" t="str">
        <f aca="false">IF(NOT(C13),"NO_FLOWS",IF(M13=0,"NO_INVESTMENT",IF(N13=Controls!$B$12,"NOT_RECOVERED","")))</f>
        <v/>
      </c>
      <c r="Q13" s="12" t="n">
        <f aca="false">IF(O13="","",(O13-1)+(-SUMIFS('Cash flow'!$O$4:$O$867,'Cash flow'!$A$4:$A$867,A13,'Cash flow'!$B$4:$B$867,O13-1))/(SUMIFS('Cash flow'!$O$4:$O$867,'Cash flow'!$A$4:$A$867,A13,'Cash flow'!$B$4:$B$867,O13)-SUMIFS('Cash flow'!$O$4:$O$867,'Cash flow'!$A$4:$A$867,A13,'Cash flow'!$B$4:$B$867,O13-1)))</f>
        <v>17.6973490187064</v>
      </c>
      <c r="R13" s="9" t="n">
        <f aca="false">IFERROR(INDEX('Domain reference'!$C$40:$C$249,MATCH(Controls!$B$3&amp;"|"&amp;A13,'Domain reference'!$A$40:$A$249,0)),"")</f>
        <v>423409.74</v>
      </c>
      <c r="S13" s="11" t="n">
        <f aca="false">IFERROR(INDEX('Domain reference'!$D$40:$D$249,MATCH(Controls!$B$3&amp;"|"&amp;A13,'Domain reference'!$A$40:$A$249,0)),"")</f>
        <v>18</v>
      </c>
      <c r="T13" s="11" t="n">
        <f aca="false">IFERROR(INDEX('Domain reference'!$E$40:$E$249,MATCH(Controls!$B$3&amp;"|"&amp;A13,'Domain reference'!$A$40:$A$249,0)),"")</f>
        <v>18</v>
      </c>
      <c r="U13" s="8" t="b">
        <f aca="false">IF(LEN(Controls!$B$4)&gt;0,TRUE(),IF(B13=0,AND(R13="",E13=0),AND(ABS(N(G13)-N(R13))&lt;0.005,ISNUMBER(G13)=ISNUMBER(R13),IF(S13=-1,J13="",J13=S13),IF(T13=-1,O13="",O13=T13))))</f>
        <v>1</v>
      </c>
    </row>
    <row r="14" customFormat="false" ht="15" hidden="false" customHeight="false" outlineLevel="0" collapsed="false">
      <c r="A14" s="4" t="s">
        <v>93</v>
      </c>
      <c r="B14" s="11" t="n">
        <f aca="false">IF(COUNTIF('Scenario inputs'!$A$4:$A$213,Controls!$B$3&amp;"|"&amp;A14)&gt;0,1,0)</f>
        <v>1</v>
      </c>
      <c r="C14" s="8" t="b">
        <f aca="false">IF(B14=1,OR(SUMPRODUCT((Costs!$B$4:$B$903=A14)*(Costs!$D$4:$D$903="planned")*(Costs!$J$4:$J$903&lt;Controls!$B$12)*(Costs!$K$4:$K$903&gt;Costs!$J$4:$J$903))&gt;0,SUMPRODUCT((Benefits!$B$4:$B$703=A14)*(Benefits!$T$4:$T$703=1))&gt;0),FALSE())</f>
        <v>1</v>
      </c>
      <c r="D14" s="9" t="n">
        <f aca="false">SUMIFS('Cash flow'!$E$4:$E$867,'Cash flow'!$A$4:$A$867,A14)</f>
        <v>452900</v>
      </c>
      <c r="E14" s="9" t="n">
        <f aca="false">SUMIFS('Cash flow'!$J$4:$J$867,'Cash flow'!$A$4:$A$867,A14)</f>
        <v>566000</v>
      </c>
      <c r="F14" s="9" t="n">
        <f aca="false">SUMIFS('Cash flow'!$K$4:$K$867,'Cash flow'!$A$4:$A$867,A14)</f>
        <v>113100</v>
      </c>
      <c r="G14" s="9" t="n">
        <f aca="false">IF(C14,SUMIFS('Cash flow'!$N$4:$N$867,'Cash flow'!$A$4:$A$867,A14),"")</f>
        <v>84012.7587897637</v>
      </c>
      <c r="H14" s="11" t="n">
        <f aca="false">COUNTIFS('Cash flow'!$A$4:$A$867,A14,'Cash flow'!$P$4:$P$867,1)</f>
        <v>21</v>
      </c>
      <c r="I14" s="11" t="n">
        <f aca="false">SUMPRODUCT(MAX(('Cash flow'!$A$4:$A$867=A14)*('Cash flow'!$P$4:$P$867=1)*('Cash flow'!$B$4:$B$867+1)))</f>
        <v>21</v>
      </c>
      <c r="J14" s="11" t="n">
        <f aca="false">IF(OR(NOT(C14),H14=0,I14=Controls!$B$12),"",I14)</f>
        <v>21</v>
      </c>
      <c r="K14" s="0" t="str">
        <f aca="false">IF(NOT(C14),"NO_FLOWS",IF(H14=0,"NO_INVESTMENT",IF(I14=Controls!$B$12,"NOT_RECOVERED","")))</f>
        <v/>
      </c>
      <c r="L14" s="12" t="n">
        <f aca="false">IF(J14="","",(J14-1)+(-SUMIFS('Cash flow'!$L$4:$L$867,'Cash flow'!$A$4:$A$867,A14,'Cash flow'!$B$4:$B$867,J14-1))/(SUMIFS('Cash flow'!$L$4:$L$867,'Cash flow'!$A$4:$A$867,A14,'Cash flow'!$B$4:$B$867,J14)-SUMIFS('Cash flow'!$L$4:$L$867,'Cash flow'!$A$4:$A$867,A14,'Cash flow'!$B$4:$B$867,J14-1)))</f>
        <v>20.5647773279352</v>
      </c>
      <c r="M14" s="11" t="n">
        <f aca="false">COUNTIFS('Cash flow'!$A$4:$A$867,A14,'Cash flow'!$Q$4:$Q$867,1)</f>
        <v>21</v>
      </c>
      <c r="N14" s="11" t="n">
        <f aca="false">SUMPRODUCT(MAX(('Cash flow'!$A$4:$A$867=A14)*('Cash flow'!$Q$4:$Q$867=1)*('Cash flow'!$B$4:$B$867+1)))</f>
        <v>21</v>
      </c>
      <c r="O14" s="11" t="n">
        <f aca="false">IF(OR(NOT(C14),M14=0,N14=Controls!$B$12),"",N14)</f>
        <v>21</v>
      </c>
      <c r="P14" s="0" t="str">
        <f aca="false">IF(NOT(C14),"NO_FLOWS",IF(M14=0,"NO_INVESTMENT",IF(N14=Controls!$B$12,"NOT_RECOVERED","")))</f>
        <v/>
      </c>
      <c r="Q14" s="12" t="n">
        <f aca="false">IF(O14="","",(O14-1)+(-SUMIFS('Cash flow'!$O$4:$O$867,'Cash flow'!$A$4:$A$867,A14,'Cash flow'!$B$4:$B$867,O14-1))/(SUMIFS('Cash flow'!$O$4:$O$867,'Cash flow'!$A$4:$A$867,A14,'Cash flow'!$B$4:$B$867,O14)-SUMIFS('Cash flow'!$O$4:$O$867,'Cash flow'!$A$4:$A$867,A14,'Cash flow'!$B$4:$B$867,O14-1)))</f>
        <v>20.8920396411099</v>
      </c>
      <c r="R14" s="9" t="n">
        <f aca="false">IFERROR(INDEX('Domain reference'!$C$40:$C$249,MATCH(Controls!$B$3&amp;"|"&amp;A14,'Domain reference'!$A$40:$A$249,0)),"")</f>
        <v>84012.76</v>
      </c>
      <c r="S14" s="11" t="n">
        <f aca="false">IFERROR(INDEX('Domain reference'!$D$40:$D$249,MATCH(Controls!$B$3&amp;"|"&amp;A14,'Domain reference'!$A$40:$A$249,0)),"")</f>
        <v>21</v>
      </c>
      <c r="T14" s="11" t="n">
        <f aca="false">IFERROR(INDEX('Domain reference'!$E$40:$E$249,MATCH(Controls!$B$3&amp;"|"&amp;A14,'Domain reference'!$A$40:$A$249,0)),"")</f>
        <v>21</v>
      </c>
      <c r="U14" s="8" t="b">
        <f aca="false">IF(LEN(Controls!$B$4)&gt;0,TRUE(),IF(B14=0,AND(R14="",E14=0),AND(ABS(N(G14)-N(R14))&lt;0.005,ISNUMBER(G14)=ISNUMBER(R14),IF(S14=-1,J14="",J14=S14),IF(T14=-1,O14="",O14=T14))))</f>
        <v>1</v>
      </c>
    </row>
    <row r="15" customFormat="false" ht="15" hidden="false" customHeight="false" outlineLevel="0" collapsed="false">
      <c r="A15" s="4" t="s">
        <v>94</v>
      </c>
      <c r="B15" s="11" t="n">
        <f aca="false">IF(COUNTIF('Scenario inputs'!$A$4:$A$213,Controls!$B$3&amp;"|"&amp;A15)&gt;0,1,0)</f>
        <v>1</v>
      </c>
      <c r="C15" s="8" t="b">
        <f aca="false">IF(B15=1,OR(SUMPRODUCT((Costs!$B$4:$B$903=A15)*(Costs!$D$4:$D$903="planned")*(Costs!$J$4:$J$903&lt;Controls!$B$12)*(Costs!$K$4:$K$903&gt;Costs!$J$4:$J$903))&gt;0,SUMPRODUCT((Benefits!$B$4:$B$703=A15)*(Benefits!$T$4:$T$703=1))&gt;0),FALSE())</f>
        <v>1</v>
      </c>
      <c r="D15" s="9" t="n">
        <f aca="false">SUMIFS('Cash flow'!$E$4:$E$867,'Cash flow'!$A$4:$A$867,A15)</f>
        <v>970800</v>
      </c>
      <c r="E15" s="9" t="n">
        <f aca="false">SUMIFS('Cash flow'!$J$4:$J$867,'Cash flow'!$A$4:$A$867,A15)</f>
        <v>1164800.0832</v>
      </c>
      <c r="F15" s="9" t="n">
        <f aca="false">SUMIFS('Cash flow'!$K$4:$K$867,'Cash flow'!$A$4:$A$867,A15)</f>
        <v>194000.0832</v>
      </c>
      <c r="G15" s="9" t="n">
        <f aca="false">IF(C15,SUMIFS('Cash flow'!$N$4:$N$867,'Cash flow'!$A$4:$A$867,A15),"")</f>
        <v>126524.019193324</v>
      </c>
      <c r="H15" s="11" t="n">
        <f aca="false">COUNTIFS('Cash flow'!$A$4:$A$867,A15,'Cash flow'!$P$4:$P$867,1)</f>
        <v>27</v>
      </c>
      <c r="I15" s="11" t="n">
        <f aca="false">SUMPRODUCT(MAX(('Cash flow'!$A$4:$A$867=A15)*('Cash flow'!$P$4:$P$867=1)*('Cash flow'!$B$4:$B$867+1)))</f>
        <v>27</v>
      </c>
      <c r="J15" s="11" t="n">
        <f aca="false">IF(OR(NOT(C15),H15=0,I15=Controls!$B$12),"",I15)</f>
        <v>27</v>
      </c>
      <c r="K15" s="0" t="str">
        <f aca="false">IF(NOT(C15),"NO_FLOWS",IF(H15=0,"NO_INVESTMENT",IF(I15=Controls!$B$12,"NOT_RECOVERED","")))</f>
        <v/>
      </c>
      <c r="L15" s="12" t="n">
        <f aca="false">IF(J15="","",(J15-1)+(-SUMIFS('Cash flow'!$L$4:$L$867,'Cash flow'!$A$4:$A$867,A15,'Cash flow'!$B$4:$B$867,J15-1))/(SUMIFS('Cash flow'!$L$4:$L$867,'Cash flow'!$A$4:$A$867,A15,'Cash flow'!$B$4:$B$867,J15)-SUMIFS('Cash flow'!$L$4:$L$867,'Cash flow'!$A$4:$A$867,A15,'Cash flow'!$B$4:$B$867,J15-1)))</f>
        <v>26.2242555313501</v>
      </c>
      <c r="M15" s="11" t="n">
        <f aca="false">COUNTIFS('Cash flow'!$A$4:$A$867,A15,'Cash flow'!$Q$4:$Q$867,1)</f>
        <v>27</v>
      </c>
      <c r="N15" s="11" t="n">
        <f aca="false">SUMPRODUCT(MAX(('Cash flow'!$A$4:$A$867=A15)*('Cash flow'!$Q$4:$Q$867=1)*('Cash flow'!$B$4:$B$867+1)))</f>
        <v>27</v>
      </c>
      <c r="O15" s="11" t="n">
        <f aca="false">IF(OR(NOT(C15),M15=0,N15=Controls!$B$12),"",N15)</f>
        <v>27</v>
      </c>
      <c r="P15" s="0" t="str">
        <f aca="false">IF(NOT(C15),"NO_FLOWS",IF(M15=0,"NO_INVESTMENT",IF(N15=Controls!$B$12,"NOT_RECOVERED","")))</f>
        <v/>
      </c>
      <c r="Q15" s="12" t="n">
        <f aca="false">IF(O15="","",(O15-1)+(-SUMIFS('Cash flow'!$O$4:$O$867,'Cash flow'!$A$4:$A$867,A15,'Cash flow'!$B$4:$B$867,O15-1))/(SUMIFS('Cash flow'!$O$4:$O$867,'Cash flow'!$A$4:$A$867,A15,'Cash flow'!$B$4:$B$867,O15)-SUMIFS('Cash flow'!$O$4:$O$867,'Cash flow'!$A$4:$A$867,A15,'Cash flow'!$B$4:$B$867,O15-1)))</f>
        <v>26.6165415212641</v>
      </c>
      <c r="R15" s="9" t="n">
        <f aca="false">IFERROR(INDEX('Domain reference'!$C$40:$C$249,MATCH(Controls!$B$3&amp;"|"&amp;A15,'Domain reference'!$A$40:$A$249,0)),"")</f>
        <v>126524.02</v>
      </c>
      <c r="S15" s="11" t="n">
        <f aca="false">IFERROR(INDEX('Domain reference'!$D$40:$D$249,MATCH(Controls!$B$3&amp;"|"&amp;A15,'Domain reference'!$A$40:$A$249,0)),"")</f>
        <v>27</v>
      </c>
      <c r="T15" s="11" t="n">
        <f aca="false">IFERROR(INDEX('Domain reference'!$E$40:$E$249,MATCH(Controls!$B$3&amp;"|"&amp;A15,'Domain reference'!$A$40:$A$249,0)),"")</f>
        <v>27</v>
      </c>
      <c r="U15" s="8" t="b">
        <f aca="false">IF(LEN(Controls!$B$4)&gt;0,TRUE(),IF(B15=0,AND(R15="",E15=0),AND(ABS(N(G15)-N(R15))&lt;0.005,ISNUMBER(G15)=ISNUMBER(R15),IF(S15=-1,J15="",J15=S15),IF(T15=-1,O15="",O15=T15))))</f>
        <v>1</v>
      </c>
    </row>
    <row r="16" customFormat="false" ht="15" hidden="false" customHeight="false" outlineLevel="0" collapsed="false">
      <c r="A16" s="4" t="s">
        <v>95</v>
      </c>
      <c r="B16" s="11" t="n">
        <f aca="false">IF(COUNTIF('Scenario inputs'!$A$4:$A$213,Controls!$B$3&amp;"|"&amp;A16)&gt;0,1,0)</f>
        <v>1</v>
      </c>
      <c r="C16" s="8" t="b">
        <f aca="false">IF(B16=1,OR(SUMPRODUCT((Costs!$B$4:$B$903=A16)*(Costs!$D$4:$D$903="planned")*(Costs!$J$4:$J$903&lt;Controls!$B$12)*(Costs!$K$4:$K$903&gt;Costs!$J$4:$J$903))&gt;0,SUMPRODUCT((Benefits!$B$4:$B$703=A16)*(Benefits!$T$4:$T$703=1))&gt;0),FALSE())</f>
        <v>1</v>
      </c>
      <c r="D16" s="9" t="n">
        <f aca="false">SUMIFS('Cash flow'!$E$4:$E$867,'Cash flow'!$A$4:$A$867,A16)</f>
        <v>1708950</v>
      </c>
      <c r="E16" s="9" t="n">
        <f aca="false">SUMIFS('Cash flow'!$J$4:$J$867,'Cash flow'!$A$4:$A$867,A16)</f>
        <v>2281204.33404886</v>
      </c>
      <c r="F16" s="9" t="n">
        <f aca="false">SUMIFS('Cash flow'!$K$4:$K$867,'Cash flow'!$A$4:$A$867,A16)</f>
        <v>572254.33404886</v>
      </c>
      <c r="G16" s="9" t="n">
        <f aca="false">IF(C16,SUMIFS('Cash flow'!$N$4:$N$867,'Cash flow'!$A$4:$A$867,A16),"")</f>
        <v>463582.296123725</v>
      </c>
      <c r="H16" s="11" t="n">
        <f aca="false">COUNTIFS('Cash flow'!$A$4:$A$867,A16,'Cash flow'!$P$4:$P$867,1)</f>
        <v>11</v>
      </c>
      <c r="I16" s="11" t="n">
        <f aca="false">SUMPRODUCT(MAX(('Cash flow'!$A$4:$A$867=A16)*('Cash flow'!$P$4:$P$867=1)*('Cash flow'!$B$4:$B$867+1)))</f>
        <v>11</v>
      </c>
      <c r="J16" s="11" t="n">
        <f aca="false">IF(OR(NOT(C16),H16=0,I16=Controls!$B$12),"",I16)</f>
        <v>11</v>
      </c>
      <c r="K16" s="0" t="str">
        <f aca="false">IF(NOT(C16),"NO_FLOWS",IF(H16=0,"NO_INVESTMENT",IF(I16=Controls!$B$12,"NOT_RECOVERED","")))</f>
        <v/>
      </c>
      <c r="L16" s="12" t="n">
        <f aca="false">IF(J16="","",(J16-1)+(-SUMIFS('Cash flow'!$L$4:$L$867,'Cash flow'!$A$4:$A$867,A16,'Cash flow'!$B$4:$B$867,J16-1))/(SUMIFS('Cash flow'!$L$4:$L$867,'Cash flow'!$A$4:$A$867,A16,'Cash flow'!$B$4:$B$867,J16)-SUMIFS('Cash flow'!$L$4:$L$867,'Cash flow'!$A$4:$A$867,A16,'Cash flow'!$B$4:$B$867,J16-1)))</f>
        <v>10.3101981401705</v>
      </c>
      <c r="M16" s="11" t="n">
        <f aca="false">COUNTIFS('Cash flow'!$A$4:$A$867,A16,'Cash flow'!$Q$4:$Q$867,1)</f>
        <v>11</v>
      </c>
      <c r="N16" s="11" t="n">
        <f aca="false">SUMPRODUCT(MAX(('Cash flow'!$A$4:$A$867=A16)*('Cash flow'!$Q$4:$Q$867=1)*('Cash flow'!$B$4:$B$867+1)))</f>
        <v>11</v>
      </c>
      <c r="O16" s="11" t="n">
        <f aca="false">IF(OR(NOT(C16),M16=0,N16=Controls!$B$12),"",N16)</f>
        <v>11</v>
      </c>
      <c r="P16" s="0" t="str">
        <f aca="false">IF(NOT(C16),"NO_FLOWS",IF(M16=0,"NO_INVESTMENT",IF(N16=Controls!$B$12,"NOT_RECOVERED","")))</f>
        <v/>
      </c>
      <c r="Q16" s="12" t="n">
        <f aca="false">IF(O16="","",(O16-1)+(-SUMIFS('Cash flow'!$O$4:$O$867,'Cash flow'!$A$4:$A$867,A16,'Cash flow'!$B$4:$B$867,O16-1))/(SUMIFS('Cash flow'!$O$4:$O$867,'Cash flow'!$A$4:$A$867,A16,'Cash flow'!$B$4:$B$867,O16)-SUMIFS('Cash flow'!$O$4:$O$867,'Cash flow'!$A$4:$A$867,A16,'Cash flow'!$B$4:$B$867,O16-1)))</f>
        <v>10.5628064100813</v>
      </c>
      <c r="R16" s="9" t="n">
        <f aca="false">IFERROR(INDEX('Domain reference'!$C$40:$C$249,MATCH(Controls!$B$3&amp;"|"&amp;A16,'Domain reference'!$A$40:$A$249,0)),"")</f>
        <v>463582.3</v>
      </c>
      <c r="S16" s="11" t="n">
        <f aca="false">IFERROR(INDEX('Domain reference'!$D$40:$D$249,MATCH(Controls!$B$3&amp;"|"&amp;A16,'Domain reference'!$A$40:$A$249,0)),"")</f>
        <v>11</v>
      </c>
      <c r="T16" s="11" t="n">
        <f aca="false">IFERROR(INDEX('Domain reference'!$E$40:$E$249,MATCH(Controls!$B$3&amp;"|"&amp;A16,'Domain reference'!$A$40:$A$249,0)),"")</f>
        <v>11</v>
      </c>
      <c r="U16" s="8" t="b">
        <f aca="false">IF(LEN(Controls!$B$4)&gt;0,TRUE(),IF(B16=0,AND(R16="",E16=0),AND(ABS(N(G16)-N(R16))&lt;0.005,ISNUMBER(G16)=ISNUMBER(R16),IF(S16=-1,J16="",J16=S16),IF(T16=-1,O16="",O16=T16))))</f>
        <v>1</v>
      </c>
    </row>
    <row r="17" customFormat="false" ht="15" hidden="false" customHeight="false" outlineLevel="0" collapsed="false">
      <c r="A17" s="4" t="s">
        <v>96</v>
      </c>
      <c r="B17" s="11" t="n">
        <f aca="false">IF(COUNTIF('Scenario inputs'!$A$4:$A$213,Controls!$B$3&amp;"|"&amp;A17)&gt;0,1,0)</f>
        <v>1</v>
      </c>
      <c r="C17" s="8" t="b">
        <f aca="false">IF(B17=1,OR(SUMPRODUCT((Costs!$B$4:$B$903=A17)*(Costs!$D$4:$D$903="planned")*(Costs!$J$4:$J$903&lt;Controls!$B$12)*(Costs!$K$4:$K$903&gt;Costs!$J$4:$J$903))&gt;0,SUMPRODUCT((Benefits!$B$4:$B$703=A17)*(Benefits!$T$4:$T$703=1))&gt;0),FALSE())</f>
        <v>1</v>
      </c>
      <c r="D17" s="9" t="n">
        <f aca="false">SUMIFS('Cash flow'!$E$4:$E$867,'Cash flow'!$A$4:$A$867,A17)</f>
        <v>1247650</v>
      </c>
      <c r="E17" s="9" t="n">
        <f aca="false">SUMIFS('Cash flow'!$J$4:$J$867,'Cash flow'!$A$4:$A$867,A17)</f>
        <v>1390400</v>
      </c>
      <c r="F17" s="9" t="n">
        <f aca="false">SUMIFS('Cash flow'!$K$4:$K$867,'Cash flow'!$A$4:$A$867,A17)</f>
        <v>142750</v>
      </c>
      <c r="G17" s="9" t="n">
        <f aca="false">IF(C17,SUMIFS('Cash flow'!$N$4:$N$867,'Cash flow'!$A$4:$A$867,A17),"")</f>
        <v>76930.7753920917</v>
      </c>
      <c r="H17" s="11" t="n">
        <f aca="false">COUNTIFS('Cash flow'!$A$4:$A$867,A17,'Cash flow'!$P$4:$P$867,1)</f>
        <v>15</v>
      </c>
      <c r="I17" s="11" t="n">
        <f aca="false">SUMPRODUCT(MAX(('Cash flow'!$A$4:$A$867=A17)*('Cash flow'!$P$4:$P$867=1)*('Cash flow'!$B$4:$B$867+1)))</f>
        <v>15</v>
      </c>
      <c r="J17" s="11" t="n">
        <f aca="false">IF(OR(NOT(C17),H17=0,I17=Controls!$B$12),"",I17)</f>
        <v>15</v>
      </c>
      <c r="K17" s="0" t="str">
        <f aca="false">IF(NOT(C17),"NO_FLOWS",IF(H17=0,"NO_INVESTMENT",IF(I17=Controls!$B$12,"NOT_RECOVERED","")))</f>
        <v/>
      </c>
      <c r="L17" s="12" t="n">
        <f aca="false">IF(J17="","",(J17-1)+(-SUMIFS('Cash flow'!$L$4:$L$867,'Cash flow'!$A$4:$A$867,A17,'Cash flow'!$B$4:$B$867,J17-1))/(SUMIFS('Cash flow'!$L$4:$L$867,'Cash flow'!$A$4:$A$867,A17,'Cash flow'!$B$4:$B$867,J17)-SUMIFS('Cash flow'!$L$4:$L$867,'Cash flow'!$A$4:$A$867,A17,'Cash flow'!$B$4:$B$867,J17-1)))</f>
        <v>14.9491415613865</v>
      </c>
      <c r="M17" s="11" t="n">
        <f aca="false">COUNTIFS('Cash flow'!$A$4:$A$867,A17,'Cash flow'!$Q$4:$Q$867,1)</f>
        <v>16</v>
      </c>
      <c r="N17" s="11" t="n">
        <f aca="false">SUMPRODUCT(MAX(('Cash flow'!$A$4:$A$867=A17)*('Cash flow'!$Q$4:$Q$867=1)*('Cash flow'!$B$4:$B$867+1)))</f>
        <v>16</v>
      </c>
      <c r="O17" s="11" t="n">
        <f aca="false">IF(OR(NOT(C17),M17=0,N17=Controls!$B$12),"",N17)</f>
        <v>16</v>
      </c>
      <c r="P17" s="0" t="str">
        <f aca="false">IF(NOT(C17),"NO_FLOWS",IF(M17=0,"NO_INVESTMENT",IF(N17=Controls!$B$12,"NOT_RECOVERED","")))</f>
        <v/>
      </c>
      <c r="Q17" s="12" t="n">
        <f aca="false">IF(O17="","",(O17-1)+(-SUMIFS('Cash flow'!$O$4:$O$867,'Cash flow'!$A$4:$A$867,A17,'Cash flow'!$B$4:$B$867,O17-1))/(SUMIFS('Cash flow'!$O$4:$O$867,'Cash flow'!$A$4:$A$867,A17,'Cash flow'!$B$4:$B$867,O17)-SUMIFS('Cash flow'!$O$4:$O$867,'Cash flow'!$A$4:$A$867,A17,'Cash flow'!$B$4:$B$867,O17-1)))</f>
        <v>15.3225145939881</v>
      </c>
      <c r="R17" s="9" t="n">
        <f aca="false">IFERROR(INDEX('Domain reference'!$C$40:$C$249,MATCH(Controls!$B$3&amp;"|"&amp;A17,'Domain reference'!$A$40:$A$249,0)),"")</f>
        <v>76930.78</v>
      </c>
      <c r="S17" s="11" t="n">
        <f aca="false">IFERROR(INDEX('Domain reference'!$D$40:$D$249,MATCH(Controls!$B$3&amp;"|"&amp;A17,'Domain reference'!$A$40:$A$249,0)),"")</f>
        <v>15</v>
      </c>
      <c r="T17" s="11" t="n">
        <f aca="false">IFERROR(INDEX('Domain reference'!$E$40:$E$249,MATCH(Controls!$B$3&amp;"|"&amp;A17,'Domain reference'!$A$40:$A$249,0)),"")</f>
        <v>16</v>
      </c>
      <c r="U17" s="8" t="b">
        <f aca="false">IF(LEN(Controls!$B$4)&gt;0,TRUE(),IF(B17=0,AND(R17="",E17=0),AND(ABS(N(G17)-N(R17))&lt;0.005,ISNUMBER(G17)=ISNUMBER(R17),IF(S17=-1,J17="",J17=S17),IF(T17=-1,O17="",O17=T17))))</f>
        <v>1</v>
      </c>
    </row>
    <row r="18" customFormat="false" ht="15" hidden="false" customHeight="false" outlineLevel="0" collapsed="false">
      <c r="A18" s="4" t="s">
        <v>97</v>
      </c>
      <c r="B18" s="11" t="n">
        <f aca="false">IF(COUNTIF('Scenario inputs'!$A$4:$A$213,Controls!$B$3&amp;"|"&amp;A18)&gt;0,1,0)</f>
        <v>1</v>
      </c>
      <c r="C18" s="8" t="b">
        <f aca="false">IF(B18=1,OR(SUMPRODUCT((Costs!$B$4:$B$903=A18)*(Costs!$D$4:$D$903="planned")*(Costs!$J$4:$J$903&lt;Controls!$B$12)*(Costs!$K$4:$K$903&gt;Costs!$J$4:$J$903))&gt;0,SUMPRODUCT((Benefits!$B$4:$B$703=A18)*(Benefits!$T$4:$T$703=1))&gt;0),FALSE())</f>
        <v>1</v>
      </c>
      <c r="D18" s="9" t="n">
        <f aca="false">SUMIFS('Cash flow'!$E$4:$E$867,'Cash flow'!$A$4:$A$867,A18)</f>
        <v>1299050</v>
      </c>
      <c r="E18" s="9" t="n">
        <f aca="false">SUMIFS('Cash flow'!$J$4:$J$867,'Cash flow'!$A$4:$A$867,A18)</f>
        <v>690400</v>
      </c>
      <c r="F18" s="9" t="n">
        <f aca="false">SUMIFS('Cash flow'!$K$4:$K$867,'Cash flow'!$A$4:$A$867,A18)</f>
        <v>-608650</v>
      </c>
      <c r="G18" s="9" t="n">
        <f aca="false">IF(C18,SUMIFS('Cash flow'!$N$4:$N$867,'Cash flow'!$A$4:$A$867,A18),"")</f>
        <v>-618556.034531596</v>
      </c>
      <c r="H18" s="11" t="n">
        <f aca="false">COUNTIFS('Cash flow'!$A$4:$A$867,A18,'Cash flow'!$P$4:$P$867,1)</f>
        <v>36</v>
      </c>
      <c r="I18" s="11" t="n">
        <f aca="false">SUMPRODUCT(MAX(('Cash flow'!$A$4:$A$867=A18)*('Cash flow'!$P$4:$P$867=1)*('Cash flow'!$B$4:$B$867+1)))</f>
        <v>36</v>
      </c>
      <c r="J18" s="0" t="str">
        <f aca="false">IF(OR(NOT(C18),H18=0,I18=Controls!$B$12),"",I18)</f>
        <v/>
      </c>
      <c r="K18" s="0" t="str">
        <f aca="false">IF(NOT(C18),"NO_FLOWS",IF(H18=0,"NO_INVESTMENT",IF(I18=Controls!$B$12,"NOT_RECOVERED","")))</f>
        <v>NOT_RECOVERED</v>
      </c>
      <c r="L18" s="12" t="str">
        <f aca="false">IF(J18="","",(J18-1)+(-SUMIFS('Cash flow'!$L$4:$L$867,'Cash flow'!$A$4:$A$867,A18,'Cash flow'!$B$4:$B$867,J18-1))/(SUMIFS('Cash flow'!$L$4:$L$867,'Cash flow'!$A$4:$A$867,A18,'Cash flow'!$B$4:$B$867,J18)-SUMIFS('Cash flow'!$L$4:$L$867,'Cash flow'!$A$4:$A$867,A18,'Cash flow'!$B$4:$B$867,J18-1)))</f>
        <v/>
      </c>
      <c r="M18" s="11" t="n">
        <f aca="false">COUNTIFS('Cash flow'!$A$4:$A$867,A18,'Cash flow'!$Q$4:$Q$867,1)</f>
        <v>36</v>
      </c>
      <c r="N18" s="11" t="n">
        <f aca="false">SUMPRODUCT(MAX(('Cash flow'!$A$4:$A$867=A18)*('Cash flow'!$Q$4:$Q$867=1)*('Cash flow'!$B$4:$B$867+1)))</f>
        <v>36</v>
      </c>
      <c r="O18" s="0" t="str">
        <f aca="false">IF(OR(NOT(C18),M18=0,N18=Controls!$B$12),"",N18)</f>
        <v/>
      </c>
      <c r="P18" s="0" t="str">
        <f aca="false">IF(NOT(C18),"NO_FLOWS",IF(M18=0,"NO_INVESTMENT",IF(N18=Controls!$B$12,"NOT_RECOVERED","")))</f>
        <v>NOT_RECOVERED</v>
      </c>
      <c r="Q18" s="12" t="str">
        <f aca="false">IF(O18="","",(O18-1)+(-SUMIFS('Cash flow'!$O$4:$O$867,'Cash flow'!$A$4:$A$867,A18,'Cash flow'!$B$4:$B$867,O18-1))/(SUMIFS('Cash flow'!$O$4:$O$867,'Cash flow'!$A$4:$A$867,A18,'Cash flow'!$B$4:$B$867,O18)-SUMIFS('Cash flow'!$O$4:$O$867,'Cash flow'!$A$4:$A$867,A18,'Cash flow'!$B$4:$B$867,O18-1)))</f>
        <v/>
      </c>
      <c r="R18" s="9" t="n">
        <f aca="false">IFERROR(INDEX('Domain reference'!$C$40:$C$249,MATCH(Controls!$B$3&amp;"|"&amp;A18,'Domain reference'!$A$40:$A$249,0)),"")</f>
        <v>-618556.03</v>
      </c>
      <c r="S18" s="11" t="n">
        <f aca="false">IFERROR(INDEX('Domain reference'!$D$40:$D$249,MATCH(Controls!$B$3&amp;"|"&amp;A18,'Domain reference'!$A$40:$A$249,0)),"")</f>
        <v>-1</v>
      </c>
      <c r="T18" s="11" t="n">
        <f aca="false">IFERROR(INDEX('Domain reference'!$E$40:$E$249,MATCH(Controls!$B$3&amp;"|"&amp;A18,'Domain reference'!$A$40:$A$249,0)),"")</f>
        <v>-1</v>
      </c>
      <c r="U18" s="8" t="b">
        <f aca="false">IF(LEN(Controls!$B$4)&gt;0,TRUE(),IF(B18=0,AND(R18="",E18=0),AND(ABS(N(G18)-N(R18))&lt;0.005,ISNUMBER(G18)=ISNUMBER(R18),IF(S18=-1,J18="",J18=S18),IF(T18=-1,O18="",O18=T18))))</f>
        <v>1</v>
      </c>
    </row>
    <row r="19" customFormat="false" ht="15" hidden="false" customHeight="false" outlineLevel="0" collapsed="false">
      <c r="A19" s="4" t="s">
        <v>98</v>
      </c>
      <c r="B19" s="11" t="n">
        <f aca="false">IF(COUNTIF('Scenario inputs'!$A$4:$A$213,Controls!$B$3&amp;"|"&amp;A19)&gt;0,1,0)</f>
        <v>1</v>
      </c>
      <c r="C19" s="8" t="b">
        <f aca="false">IF(B19=1,OR(SUMPRODUCT((Costs!$B$4:$B$903=A19)*(Costs!$D$4:$D$903="planned")*(Costs!$J$4:$J$903&lt;Controls!$B$12)*(Costs!$K$4:$K$903&gt;Costs!$J$4:$J$903))&gt;0,SUMPRODUCT((Benefits!$B$4:$B$703=A19)*(Benefits!$T$4:$T$703=1))&gt;0),FALSE())</f>
        <v>1</v>
      </c>
      <c r="D19" s="9" t="n">
        <f aca="false">SUMIFS('Cash flow'!$E$4:$E$867,'Cash flow'!$A$4:$A$867,A19)</f>
        <v>782100</v>
      </c>
      <c r="E19" s="9" t="n">
        <f aca="false">SUMIFS('Cash flow'!$J$4:$J$867,'Cash flow'!$A$4:$A$867,A19)</f>
        <v>871200</v>
      </c>
      <c r="F19" s="9" t="n">
        <f aca="false">SUMIFS('Cash flow'!$K$4:$K$867,'Cash flow'!$A$4:$A$867,A19)</f>
        <v>89100</v>
      </c>
      <c r="G19" s="9" t="n">
        <f aca="false">IF(C19,SUMIFS('Cash flow'!$N$4:$N$867,'Cash flow'!$A$4:$A$867,A19),"")</f>
        <v>46285.3960022987</v>
      </c>
      <c r="H19" s="11" t="n">
        <f aca="false">COUNTIFS('Cash flow'!$A$4:$A$867,A19,'Cash flow'!$P$4:$P$867,1)</f>
        <v>17</v>
      </c>
      <c r="I19" s="11" t="n">
        <f aca="false">SUMPRODUCT(MAX(('Cash flow'!$A$4:$A$867=A19)*('Cash flow'!$P$4:$P$867=1)*('Cash flow'!$B$4:$B$867+1)))</f>
        <v>17</v>
      </c>
      <c r="J19" s="11" t="n">
        <f aca="false">IF(OR(NOT(C19),H19=0,I19=Controls!$B$12),"",I19)</f>
        <v>17</v>
      </c>
      <c r="K19" s="0" t="str">
        <f aca="false">IF(NOT(C19),"NO_FLOWS",IF(H19=0,"NO_INVESTMENT",IF(I19=Controls!$B$12,"NOT_RECOVERED","")))</f>
        <v/>
      </c>
      <c r="L19" s="12" t="n">
        <f aca="false">IF(J19="","",(J19-1)+(-SUMIFS('Cash flow'!$L$4:$L$867,'Cash flow'!$A$4:$A$867,A19,'Cash flow'!$B$4:$B$867,J19-1))/(SUMIFS('Cash flow'!$L$4:$L$867,'Cash flow'!$A$4:$A$867,A19,'Cash flow'!$B$4:$B$867,J19)-SUMIFS('Cash flow'!$L$4:$L$867,'Cash flow'!$A$4:$A$867,A19,'Cash flow'!$B$4:$B$867,J19-1)))</f>
        <v>16.4575569358178</v>
      </c>
      <c r="M19" s="11" t="n">
        <f aca="false">COUNTIFS('Cash flow'!$A$4:$A$867,A19,'Cash flow'!$Q$4:$Q$867,1)</f>
        <v>17</v>
      </c>
      <c r="N19" s="11" t="n">
        <f aca="false">SUMPRODUCT(MAX(('Cash flow'!$A$4:$A$867=A19)*('Cash flow'!$Q$4:$Q$867=1)*('Cash flow'!$B$4:$B$867+1)))</f>
        <v>17</v>
      </c>
      <c r="O19" s="11" t="n">
        <f aca="false">IF(OR(NOT(C19),M19=0,N19=Controls!$B$12),"",N19)</f>
        <v>17</v>
      </c>
      <c r="P19" s="0" t="str">
        <f aca="false">IF(NOT(C19),"NO_FLOWS",IF(M19=0,"NO_INVESTMENT",IF(N19=Controls!$B$12,"NOT_RECOVERED","")))</f>
        <v/>
      </c>
      <c r="Q19" s="12" t="n">
        <f aca="false">IF(O19="","",(O19-1)+(-SUMIFS('Cash flow'!$O$4:$O$867,'Cash flow'!$A$4:$A$867,A19,'Cash flow'!$B$4:$B$867,O19-1))/(SUMIFS('Cash flow'!$O$4:$O$867,'Cash flow'!$A$4:$A$867,A19,'Cash flow'!$B$4:$B$867,O19)-SUMIFS('Cash flow'!$O$4:$O$867,'Cash flow'!$A$4:$A$867,A19,'Cash flow'!$B$4:$B$867,O19-1)))</f>
        <v>16.8431493211564</v>
      </c>
      <c r="R19" s="9" t="n">
        <f aca="false">IFERROR(INDEX('Domain reference'!$C$40:$C$249,MATCH(Controls!$B$3&amp;"|"&amp;A19,'Domain reference'!$A$40:$A$249,0)),"")</f>
        <v>46285.4</v>
      </c>
      <c r="S19" s="11" t="n">
        <f aca="false">IFERROR(INDEX('Domain reference'!$D$40:$D$249,MATCH(Controls!$B$3&amp;"|"&amp;A19,'Domain reference'!$A$40:$A$249,0)),"")</f>
        <v>17</v>
      </c>
      <c r="T19" s="11" t="n">
        <f aca="false">IFERROR(INDEX('Domain reference'!$E$40:$E$249,MATCH(Controls!$B$3&amp;"|"&amp;A19,'Domain reference'!$A$40:$A$249,0)),"")</f>
        <v>17</v>
      </c>
      <c r="U19" s="8" t="b">
        <f aca="false">IF(LEN(Controls!$B$4)&gt;0,TRUE(),IF(B19=0,AND(R19="",E19=0),AND(ABS(N(G19)-N(R19))&lt;0.005,ISNUMBER(G19)=ISNUMBER(R19),IF(S19=-1,J19="",J19=S19),IF(T19=-1,O19="",O19=T19))))</f>
        <v>1</v>
      </c>
    </row>
    <row r="20" customFormat="false" ht="15" hidden="false" customHeight="false" outlineLevel="0" collapsed="false">
      <c r="A20" s="4" t="s">
        <v>99</v>
      </c>
      <c r="B20" s="11" t="n">
        <f aca="false">IF(COUNTIF('Scenario inputs'!$A$4:$A$213,Controls!$B$3&amp;"|"&amp;A20)&gt;0,1,0)</f>
        <v>1</v>
      </c>
      <c r="C20" s="8" t="b">
        <f aca="false">IF(B20=1,OR(SUMPRODUCT((Costs!$B$4:$B$903=A20)*(Costs!$D$4:$D$903="planned")*(Costs!$J$4:$J$903&lt;Controls!$B$12)*(Costs!$K$4:$K$903&gt;Costs!$J$4:$J$903))&gt;0,SUMPRODUCT((Benefits!$B$4:$B$703=A20)*(Benefits!$T$4:$T$703=1))&gt;0),FALSE())</f>
        <v>1</v>
      </c>
      <c r="D20" s="9" t="n">
        <f aca="false">SUMIFS('Cash flow'!$E$4:$E$867,'Cash flow'!$A$4:$A$867,A20)</f>
        <v>525050</v>
      </c>
      <c r="E20" s="9" t="n">
        <f aca="false">SUMIFS('Cash flow'!$J$4:$J$867,'Cash flow'!$A$4:$A$867,A20)</f>
        <v>656133.3802</v>
      </c>
      <c r="F20" s="9" t="n">
        <f aca="false">SUMIFS('Cash flow'!$K$4:$K$867,'Cash flow'!$A$4:$A$867,A20)</f>
        <v>131083.3802</v>
      </c>
      <c r="G20" s="9" t="n">
        <f aca="false">IF(C20,SUMIFS('Cash flow'!$N$4:$N$867,'Cash flow'!$A$4:$A$867,A20),"")</f>
        <v>93546.2917622137</v>
      </c>
      <c r="H20" s="11" t="n">
        <f aca="false">COUNTIFS('Cash flow'!$A$4:$A$867,A20,'Cash flow'!$P$4:$P$867,1)</f>
        <v>22</v>
      </c>
      <c r="I20" s="11" t="n">
        <f aca="false">SUMPRODUCT(MAX(('Cash flow'!$A$4:$A$867=A20)*('Cash flow'!$P$4:$P$867=1)*('Cash flow'!$B$4:$B$867+1)))</f>
        <v>22</v>
      </c>
      <c r="J20" s="11" t="n">
        <f aca="false">IF(OR(NOT(C20),H20=0,I20=Controls!$B$12),"",I20)</f>
        <v>22</v>
      </c>
      <c r="K20" s="0" t="str">
        <f aca="false">IF(NOT(C20),"NO_FLOWS",IF(H20=0,"NO_INVESTMENT",IF(I20=Controls!$B$12,"NOT_RECOVERED","")))</f>
        <v/>
      </c>
      <c r="L20" s="12" t="n">
        <f aca="false">IF(J20="","",(J20-1)+(-SUMIFS('Cash flow'!$L$4:$L$867,'Cash flow'!$A$4:$A$867,A20,'Cash flow'!$B$4:$B$867,J20-1))/(SUMIFS('Cash flow'!$L$4:$L$867,'Cash flow'!$A$4:$A$867,A20,'Cash flow'!$B$4:$B$867,J20)-SUMIFS('Cash flow'!$L$4:$L$867,'Cash flow'!$A$4:$A$867,A20,'Cash flow'!$B$4:$B$867,J20-1)))</f>
        <v>21.7597203507643</v>
      </c>
      <c r="M20" s="11" t="n">
        <f aca="false">COUNTIFS('Cash flow'!$A$4:$A$867,A20,'Cash flow'!$Q$4:$Q$867,1)</f>
        <v>23</v>
      </c>
      <c r="N20" s="11" t="n">
        <f aca="false">SUMPRODUCT(MAX(('Cash flow'!$A$4:$A$867=A20)*('Cash flow'!$Q$4:$Q$867=1)*('Cash flow'!$B$4:$B$867+1)))</f>
        <v>23</v>
      </c>
      <c r="O20" s="11" t="n">
        <f aca="false">IF(OR(NOT(C20),M20=0,N20=Controls!$B$12),"",N20)</f>
        <v>23</v>
      </c>
      <c r="P20" s="0" t="str">
        <f aca="false">IF(NOT(C20),"NO_FLOWS",IF(M20=0,"NO_INVESTMENT",IF(N20=Controls!$B$12,"NOT_RECOVERED","")))</f>
        <v/>
      </c>
      <c r="Q20" s="12" t="n">
        <f aca="false">IF(O20="","",(O20-1)+(-SUMIFS('Cash flow'!$O$4:$O$867,'Cash flow'!$A$4:$A$867,A20,'Cash flow'!$B$4:$B$867,O20-1))/(SUMIFS('Cash flow'!$O$4:$O$867,'Cash flow'!$A$4:$A$867,A20,'Cash flow'!$B$4:$B$867,O20)-SUMIFS('Cash flow'!$O$4:$O$867,'Cash flow'!$A$4:$A$867,A20,'Cash flow'!$B$4:$B$867,O20-1)))</f>
        <v>22.1197389896858</v>
      </c>
      <c r="R20" s="9" t="n">
        <f aca="false">IFERROR(INDEX('Domain reference'!$C$40:$C$249,MATCH(Controls!$B$3&amp;"|"&amp;A20,'Domain reference'!$A$40:$A$249,0)),"")</f>
        <v>93546.29</v>
      </c>
      <c r="S20" s="11" t="n">
        <f aca="false">IFERROR(INDEX('Domain reference'!$D$40:$D$249,MATCH(Controls!$B$3&amp;"|"&amp;A20,'Domain reference'!$A$40:$A$249,0)),"")</f>
        <v>22</v>
      </c>
      <c r="T20" s="11" t="n">
        <f aca="false">IFERROR(INDEX('Domain reference'!$E$40:$E$249,MATCH(Controls!$B$3&amp;"|"&amp;A20,'Domain reference'!$A$40:$A$249,0)),"")</f>
        <v>23</v>
      </c>
      <c r="U20" s="8" t="b">
        <f aca="false">IF(LEN(Controls!$B$4)&gt;0,TRUE(),IF(B20=0,AND(R20="",E20=0),AND(ABS(N(G20)-N(R20))&lt;0.005,ISNUMBER(G20)=ISNUMBER(R20),IF(S20=-1,J20="",J20=S20),IF(T20=-1,O20="",O20=T20))))</f>
        <v>1</v>
      </c>
    </row>
    <row r="21" customFormat="false" ht="15" hidden="false" customHeight="false" outlineLevel="0" collapsed="false">
      <c r="A21" s="4" t="s">
        <v>100</v>
      </c>
      <c r="B21" s="11" t="n">
        <f aca="false">IF(COUNTIF('Scenario inputs'!$A$4:$A$213,Controls!$B$3&amp;"|"&amp;A21)&gt;0,1,0)</f>
        <v>1</v>
      </c>
      <c r="C21" s="8" t="b">
        <f aca="false">IF(B21=1,OR(SUMPRODUCT((Costs!$B$4:$B$903=A21)*(Costs!$D$4:$D$903="planned")*(Costs!$J$4:$J$903&lt;Controls!$B$12)*(Costs!$K$4:$K$903&gt;Costs!$J$4:$J$903))&gt;0,SUMPRODUCT((Benefits!$B$4:$B$703=A21)*(Benefits!$T$4:$T$703=1))&gt;0),FALSE())</f>
        <v>1</v>
      </c>
      <c r="D21" s="9" t="n">
        <f aca="false">SUMIFS('Cash flow'!$E$4:$E$867,'Cash flow'!$A$4:$A$867,A21)</f>
        <v>626750</v>
      </c>
      <c r="E21" s="9" t="n">
        <f aca="false">SUMIFS('Cash flow'!$J$4:$J$867,'Cash flow'!$A$4:$A$867,A21)</f>
        <v>671666.7204</v>
      </c>
      <c r="F21" s="9" t="n">
        <f aca="false">SUMIFS('Cash flow'!$K$4:$K$867,'Cash flow'!$A$4:$A$867,A21)</f>
        <v>44916.7204</v>
      </c>
      <c r="G21" s="9" t="n">
        <f aca="false">IF(C21,SUMIFS('Cash flow'!$N$4:$N$867,'Cash flow'!$A$4:$A$867,A21),"")</f>
        <v>15040.0809397955</v>
      </c>
      <c r="H21" s="11" t="n">
        <f aca="false">COUNTIFS('Cash flow'!$A$4:$A$867,A21,'Cash flow'!$P$4:$P$867,1)</f>
        <v>28</v>
      </c>
      <c r="I21" s="11" t="n">
        <f aca="false">SUMPRODUCT(MAX(('Cash flow'!$A$4:$A$867=A21)*('Cash flow'!$P$4:$P$867=1)*('Cash flow'!$B$4:$B$867+1)))</f>
        <v>28</v>
      </c>
      <c r="J21" s="11" t="n">
        <f aca="false">IF(OR(NOT(C21),H21=0,I21=Controls!$B$12),"",I21)</f>
        <v>28</v>
      </c>
      <c r="K21" s="0" t="str">
        <f aca="false">IF(NOT(C21),"NO_FLOWS",IF(H21=0,"NO_INVESTMENT",IF(I21=Controls!$B$12,"NOT_RECOVERED","")))</f>
        <v/>
      </c>
      <c r="L21" s="12" t="n">
        <f aca="false">IF(J21="","",(J21-1)+(-SUMIFS('Cash flow'!$L$4:$L$867,'Cash flow'!$A$4:$A$867,A21,'Cash flow'!$B$4:$B$867,J21-1))/(SUMIFS('Cash flow'!$L$4:$L$867,'Cash flow'!$A$4:$A$867,A21,'Cash flow'!$B$4:$B$867,J21)-SUMIFS('Cash flow'!$L$4:$L$867,'Cash flow'!$A$4:$A$867,A21,'Cash flow'!$B$4:$B$867,J21-1)))</f>
        <v>27.3606160797153</v>
      </c>
      <c r="M21" s="11" t="n">
        <f aca="false">COUNTIFS('Cash flow'!$A$4:$A$867,A21,'Cash flow'!$Q$4:$Q$867,1)</f>
        <v>28</v>
      </c>
      <c r="N21" s="11" t="n">
        <f aca="false">SUMPRODUCT(MAX(('Cash flow'!$A$4:$A$867=A21)*('Cash flow'!$Q$4:$Q$867=1)*('Cash flow'!$B$4:$B$867+1)))</f>
        <v>28</v>
      </c>
      <c r="O21" s="11" t="n">
        <f aca="false">IF(OR(NOT(C21),M21=0,N21=Controls!$B$12),"",N21)</f>
        <v>28</v>
      </c>
      <c r="P21" s="0" t="str">
        <f aca="false">IF(NOT(C21),"NO_FLOWS",IF(M21=0,"NO_INVESTMENT",IF(N21=Controls!$B$12,"NOT_RECOVERED","")))</f>
        <v/>
      </c>
      <c r="Q21" s="12" t="n">
        <f aca="false">IF(O21="","",(O21-1)+(-SUMIFS('Cash flow'!$O$4:$O$867,'Cash flow'!$A$4:$A$867,A21,'Cash flow'!$B$4:$B$867,O21-1))/(SUMIFS('Cash flow'!$O$4:$O$867,'Cash flow'!$A$4:$A$867,A21,'Cash flow'!$B$4:$B$867,O21)-SUMIFS('Cash flow'!$O$4:$O$867,'Cash flow'!$A$4:$A$867,A21,'Cash flow'!$B$4:$B$867,O21-1)))</f>
        <v>27.7437922610012</v>
      </c>
      <c r="R21" s="9" t="n">
        <f aca="false">IFERROR(INDEX('Domain reference'!$C$40:$C$249,MATCH(Controls!$B$3&amp;"|"&amp;A21,'Domain reference'!$A$40:$A$249,0)),"")</f>
        <v>15040.08</v>
      </c>
      <c r="S21" s="11" t="n">
        <f aca="false">IFERROR(INDEX('Domain reference'!$D$40:$D$249,MATCH(Controls!$B$3&amp;"|"&amp;A21,'Domain reference'!$A$40:$A$249,0)),"")</f>
        <v>28</v>
      </c>
      <c r="T21" s="11" t="n">
        <f aca="false">IFERROR(INDEX('Domain reference'!$E$40:$E$249,MATCH(Controls!$B$3&amp;"|"&amp;A21,'Domain reference'!$A$40:$A$249,0)),"")</f>
        <v>28</v>
      </c>
      <c r="U21" s="8" t="b">
        <f aca="false">IF(LEN(Controls!$B$4)&gt;0,TRUE(),IF(B21=0,AND(R21="",E21=0),AND(ABS(N(G21)-N(R21))&lt;0.005,ISNUMBER(G21)=ISNUMBER(R21),IF(S21=-1,J21="",J21=S21),IF(T21=-1,O21="",O21=T21))))</f>
        <v>1</v>
      </c>
    </row>
    <row r="22" customFormat="false" ht="15" hidden="false" customHeight="false" outlineLevel="0" collapsed="false">
      <c r="A22" s="4" t="s">
        <v>101</v>
      </c>
      <c r="B22" s="11" t="n">
        <f aca="false">IF(COUNTIF('Scenario inputs'!$A$4:$A$213,Controls!$B$3&amp;"|"&amp;A22)&gt;0,1,0)</f>
        <v>1</v>
      </c>
      <c r="C22" s="8" t="b">
        <f aca="false">IF(B22=1,OR(SUMPRODUCT((Costs!$B$4:$B$903=A22)*(Costs!$D$4:$D$903="planned")*(Costs!$J$4:$J$903&lt;Controls!$B$12)*(Costs!$K$4:$K$903&gt;Costs!$J$4:$J$903))&gt;0,SUMPRODUCT((Benefits!$B$4:$B$703=A22)*(Benefits!$T$4:$T$703=1))&gt;0),FALSE())</f>
        <v>1</v>
      </c>
      <c r="D22" s="9" t="n">
        <f aca="false">SUMIFS('Cash flow'!$E$4:$E$867,'Cash flow'!$A$4:$A$867,A22)</f>
        <v>1093600</v>
      </c>
      <c r="E22" s="9" t="n">
        <f aca="false">SUMIFS('Cash flow'!$J$4:$J$867,'Cash flow'!$A$4:$A$867,A22)</f>
        <v>0</v>
      </c>
      <c r="F22" s="9" t="n">
        <f aca="false">SUMIFS('Cash flow'!$K$4:$K$867,'Cash flow'!$A$4:$A$867,A22)</f>
        <v>-1093600</v>
      </c>
      <c r="G22" s="9" t="n">
        <f aca="false">IF(C22,SUMIFS('Cash flow'!$N$4:$N$867,'Cash flow'!$A$4:$A$867,A22),"")</f>
        <v>-1002807.00893059</v>
      </c>
      <c r="H22" s="11" t="n">
        <f aca="false">COUNTIFS('Cash flow'!$A$4:$A$867,A22,'Cash flow'!$P$4:$P$867,1)</f>
        <v>36</v>
      </c>
      <c r="I22" s="11" t="n">
        <f aca="false">SUMPRODUCT(MAX(('Cash flow'!$A$4:$A$867=A22)*('Cash flow'!$P$4:$P$867=1)*('Cash flow'!$B$4:$B$867+1)))</f>
        <v>36</v>
      </c>
      <c r="J22" s="0" t="str">
        <f aca="false">IF(OR(NOT(C22),H22=0,I22=Controls!$B$12),"",I22)</f>
        <v/>
      </c>
      <c r="K22" s="0" t="str">
        <f aca="false">IF(NOT(C22),"NO_FLOWS",IF(H22=0,"NO_INVESTMENT",IF(I22=Controls!$B$12,"NOT_RECOVERED","")))</f>
        <v>NOT_RECOVERED</v>
      </c>
      <c r="L22" s="12" t="str">
        <f aca="false">IF(J22="","",(J22-1)+(-SUMIFS('Cash flow'!$L$4:$L$867,'Cash flow'!$A$4:$A$867,A22,'Cash flow'!$B$4:$B$867,J22-1))/(SUMIFS('Cash flow'!$L$4:$L$867,'Cash flow'!$A$4:$A$867,A22,'Cash flow'!$B$4:$B$867,J22)-SUMIFS('Cash flow'!$L$4:$L$867,'Cash flow'!$A$4:$A$867,A22,'Cash flow'!$B$4:$B$867,J22-1)))</f>
        <v/>
      </c>
      <c r="M22" s="11" t="n">
        <f aca="false">COUNTIFS('Cash flow'!$A$4:$A$867,A22,'Cash flow'!$Q$4:$Q$867,1)</f>
        <v>36</v>
      </c>
      <c r="N22" s="11" t="n">
        <f aca="false">SUMPRODUCT(MAX(('Cash flow'!$A$4:$A$867=A22)*('Cash flow'!$Q$4:$Q$867=1)*('Cash flow'!$B$4:$B$867+1)))</f>
        <v>36</v>
      </c>
      <c r="O22" s="0" t="str">
        <f aca="false">IF(OR(NOT(C22),M22=0,N22=Controls!$B$12),"",N22)</f>
        <v/>
      </c>
      <c r="P22" s="0" t="str">
        <f aca="false">IF(NOT(C22),"NO_FLOWS",IF(M22=0,"NO_INVESTMENT",IF(N22=Controls!$B$12,"NOT_RECOVERED","")))</f>
        <v>NOT_RECOVERED</v>
      </c>
      <c r="Q22" s="12" t="str">
        <f aca="false">IF(O22="","",(O22-1)+(-SUMIFS('Cash flow'!$O$4:$O$867,'Cash flow'!$A$4:$A$867,A22,'Cash flow'!$B$4:$B$867,O22-1))/(SUMIFS('Cash flow'!$O$4:$O$867,'Cash flow'!$A$4:$A$867,A22,'Cash flow'!$B$4:$B$867,O22)-SUMIFS('Cash flow'!$O$4:$O$867,'Cash flow'!$A$4:$A$867,A22,'Cash flow'!$B$4:$B$867,O22-1)))</f>
        <v/>
      </c>
      <c r="R22" s="9" t="n">
        <f aca="false">IFERROR(INDEX('Domain reference'!$C$40:$C$249,MATCH(Controls!$B$3&amp;"|"&amp;A22,'Domain reference'!$A$40:$A$249,0)),"")</f>
        <v>-1002807.01</v>
      </c>
      <c r="S22" s="11" t="n">
        <f aca="false">IFERROR(INDEX('Domain reference'!$D$40:$D$249,MATCH(Controls!$B$3&amp;"|"&amp;A22,'Domain reference'!$A$40:$A$249,0)),"")</f>
        <v>-1</v>
      </c>
      <c r="T22" s="11" t="n">
        <f aca="false">IFERROR(INDEX('Domain reference'!$E$40:$E$249,MATCH(Controls!$B$3&amp;"|"&amp;A22,'Domain reference'!$A$40:$A$249,0)),"")</f>
        <v>-1</v>
      </c>
      <c r="U22" s="8" t="b">
        <f aca="false">IF(LEN(Controls!$B$4)&gt;0,TRUE(),IF(B22=0,AND(R22="",E22=0),AND(ABS(N(G22)-N(R22))&lt;0.005,ISNUMBER(G22)=ISNUMBER(R22),IF(S22=-1,J22="",J22=S22),IF(T22=-1,O22="",O22=T22))))</f>
        <v>1</v>
      </c>
    </row>
    <row r="23" customFormat="false" ht="15" hidden="false" customHeight="false" outlineLevel="0" collapsed="false">
      <c r="A23" s="4" t="s">
        <v>102</v>
      </c>
      <c r="B23" s="11" t="n">
        <f aca="false">IF(COUNTIF('Scenario inputs'!$A$4:$A$213,Controls!$B$3&amp;"|"&amp;A23)&gt;0,1,0)</f>
        <v>1</v>
      </c>
      <c r="C23" s="8" t="b">
        <f aca="false">IF(B23=1,OR(SUMPRODUCT((Costs!$B$4:$B$903=A23)*(Costs!$D$4:$D$903="planned")*(Costs!$J$4:$J$903&lt;Controls!$B$12)*(Costs!$K$4:$K$903&gt;Costs!$J$4:$J$903))&gt;0,SUMPRODUCT((Benefits!$B$4:$B$703=A23)*(Benefits!$T$4:$T$703=1))&gt;0),FALSE())</f>
        <v>1</v>
      </c>
      <c r="D23" s="9" t="n">
        <f aca="false">SUMIFS('Cash flow'!$E$4:$E$867,'Cash flow'!$A$4:$A$867,A23)</f>
        <v>899850</v>
      </c>
      <c r="E23" s="9" t="n">
        <f aca="false">SUMIFS('Cash flow'!$J$4:$J$867,'Cash flow'!$A$4:$A$867,A23)</f>
        <v>1079866.7438</v>
      </c>
      <c r="F23" s="9" t="n">
        <f aca="false">SUMIFS('Cash flow'!$K$4:$K$867,'Cash flow'!$A$4:$A$867,A23)</f>
        <v>180016.7438</v>
      </c>
      <c r="G23" s="9" t="n">
        <f aca="false">IF(C23,SUMIFS('Cash flow'!$N$4:$N$867,'Cash flow'!$A$4:$A$867,A23),"")</f>
        <v>112711.772659692</v>
      </c>
      <c r="H23" s="11" t="n">
        <f aca="false">COUNTIFS('Cash flow'!$A$4:$A$867,A23,'Cash flow'!$P$4:$P$867,1)</f>
        <v>27</v>
      </c>
      <c r="I23" s="11" t="n">
        <f aca="false">SUMPRODUCT(MAX(('Cash flow'!$A$4:$A$867=A23)*('Cash flow'!$P$4:$P$867=1)*('Cash flow'!$B$4:$B$867+1)))</f>
        <v>27</v>
      </c>
      <c r="J23" s="11" t="n">
        <f aca="false">IF(OR(NOT(C23),H23=0,I23=Controls!$B$12),"",I23)</f>
        <v>27</v>
      </c>
      <c r="K23" s="0" t="str">
        <f aca="false">IF(NOT(C23),"NO_FLOWS",IF(H23=0,"NO_INVESTMENT",IF(I23=Controls!$B$12,"NOT_RECOVERED","")))</f>
        <v/>
      </c>
      <c r="L23" s="12" t="n">
        <f aca="false">IF(J23="","",(J23-1)+(-SUMIFS('Cash flow'!$L$4:$L$867,'Cash flow'!$A$4:$A$867,A23,'Cash flow'!$B$4:$B$867,J23-1))/(SUMIFS('Cash flow'!$L$4:$L$867,'Cash flow'!$A$4:$A$867,A23,'Cash flow'!$B$4:$B$867,J23)-SUMIFS('Cash flow'!$L$4:$L$867,'Cash flow'!$A$4:$A$867,A23,'Cash flow'!$B$4:$B$867,J23-1)))</f>
        <v>26.2202991220959</v>
      </c>
      <c r="M23" s="11" t="n">
        <f aca="false">COUNTIFS('Cash flow'!$A$4:$A$867,A23,'Cash flow'!$Q$4:$Q$867,1)</f>
        <v>27</v>
      </c>
      <c r="N23" s="11" t="n">
        <f aca="false">SUMPRODUCT(MAX(('Cash flow'!$A$4:$A$867=A23)*('Cash flow'!$Q$4:$Q$867=1)*('Cash flow'!$B$4:$B$867+1)))</f>
        <v>27</v>
      </c>
      <c r="O23" s="11" t="n">
        <f aca="false">IF(OR(NOT(C23),M23=0,N23=Controls!$B$12),"",N23)</f>
        <v>27</v>
      </c>
      <c r="P23" s="0" t="str">
        <f aca="false">IF(NOT(C23),"NO_FLOWS",IF(M23=0,"NO_INVESTMENT",IF(N23=Controls!$B$12,"NOT_RECOVERED","")))</f>
        <v/>
      </c>
      <c r="Q23" s="12" t="n">
        <f aca="false">IF(O23="","",(O23-1)+(-SUMIFS('Cash flow'!$O$4:$O$867,'Cash flow'!$A$4:$A$867,A23,'Cash flow'!$B$4:$B$867,O23-1))/(SUMIFS('Cash flow'!$O$4:$O$867,'Cash flow'!$A$4:$A$867,A23,'Cash flow'!$B$4:$B$867,O23)-SUMIFS('Cash flow'!$O$4:$O$867,'Cash flow'!$A$4:$A$867,A23,'Cash flow'!$B$4:$B$867,O23-1)))</f>
        <v>26.6686357679959</v>
      </c>
      <c r="R23" s="9" t="n">
        <f aca="false">IFERROR(INDEX('Domain reference'!$C$40:$C$249,MATCH(Controls!$B$3&amp;"|"&amp;A23,'Domain reference'!$A$40:$A$249,0)),"")</f>
        <v>112711.77</v>
      </c>
      <c r="S23" s="11" t="n">
        <f aca="false">IFERROR(INDEX('Domain reference'!$D$40:$D$249,MATCH(Controls!$B$3&amp;"|"&amp;A23,'Domain reference'!$A$40:$A$249,0)),"")</f>
        <v>27</v>
      </c>
      <c r="T23" s="11" t="n">
        <f aca="false">IFERROR(INDEX('Domain reference'!$E$40:$E$249,MATCH(Controls!$B$3&amp;"|"&amp;A23,'Domain reference'!$A$40:$A$249,0)),"")</f>
        <v>27</v>
      </c>
      <c r="U23" s="8" t="b">
        <f aca="false">IF(LEN(Controls!$B$4)&gt;0,TRUE(),IF(B23=0,AND(R23="",E23=0),AND(ABS(N(G23)-N(R23))&lt;0.005,ISNUMBER(G23)=ISNUMBER(R23),IF(S23=-1,J23="",J23=S23),IF(T23=-1,O23="",O23=T23))))</f>
        <v>1</v>
      </c>
    </row>
    <row r="24" customFormat="false" ht="15" hidden="false" customHeight="false" outlineLevel="0" collapsed="false">
      <c r="A24" s="4" t="s">
        <v>103</v>
      </c>
      <c r="B24" s="11" t="n">
        <f aca="false">IF(COUNTIF('Scenario inputs'!$A$4:$A$213,Controls!$B$3&amp;"|"&amp;A24)&gt;0,1,0)</f>
        <v>1</v>
      </c>
      <c r="C24" s="8" t="b">
        <f aca="false">IF(B24=1,OR(SUMPRODUCT((Costs!$B$4:$B$903=A24)*(Costs!$D$4:$D$903="planned")*(Costs!$J$4:$J$903&lt;Controls!$B$12)*(Costs!$K$4:$K$903&gt;Costs!$J$4:$J$903))&gt;0,SUMPRODUCT((Benefits!$B$4:$B$703=A24)*(Benefits!$T$4:$T$703=1))&gt;0),FALSE())</f>
        <v>1</v>
      </c>
      <c r="D24" s="9" t="n">
        <f aca="false">SUMIFS('Cash flow'!$E$4:$E$867,'Cash flow'!$A$4:$A$867,A24)</f>
        <v>379200</v>
      </c>
      <c r="E24" s="9" t="n">
        <f aca="false">SUMIFS('Cash flow'!$J$4:$J$867,'Cash flow'!$A$4:$A$867,A24)</f>
        <v>0</v>
      </c>
      <c r="F24" s="9" t="n">
        <f aca="false">SUMIFS('Cash flow'!$K$4:$K$867,'Cash flow'!$A$4:$A$867,A24)</f>
        <v>-379200</v>
      </c>
      <c r="G24" s="9" t="n">
        <f aca="false">IF(C24,SUMIFS('Cash flow'!$N$4:$N$867,'Cash flow'!$A$4:$A$867,A24),"")</f>
        <v>-337229.75266595</v>
      </c>
      <c r="H24" s="11" t="n">
        <f aca="false">COUNTIFS('Cash flow'!$A$4:$A$867,A24,'Cash flow'!$P$4:$P$867,1)</f>
        <v>36</v>
      </c>
      <c r="I24" s="11" t="n">
        <f aca="false">SUMPRODUCT(MAX(('Cash flow'!$A$4:$A$867=A24)*('Cash flow'!$P$4:$P$867=1)*('Cash flow'!$B$4:$B$867+1)))</f>
        <v>36</v>
      </c>
      <c r="J24" s="0" t="str">
        <f aca="false">IF(OR(NOT(C24),H24=0,I24=Controls!$B$12),"",I24)</f>
        <v/>
      </c>
      <c r="K24" s="0" t="str">
        <f aca="false">IF(NOT(C24),"NO_FLOWS",IF(H24=0,"NO_INVESTMENT",IF(I24=Controls!$B$12,"NOT_RECOVERED","")))</f>
        <v>NOT_RECOVERED</v>
      </c>
      <c r="L24" s="12" t="str">
        <f aca="false">IF(J24="","",(J24-1)+(-SUMIFS('Cash flow'!$L$4:$L$867,'Cash flow'!$A$4:$A$867,A24,'Cash flow'!$B$4:$B$867,J24-1))/(SUMIFS('Cash flow'!$L$4:$L$867,'Cash flow'!$A$4:$A$867,A24,'Cash flow'!$B$4:$B$867,J24)-SUMIFS('Cash flow'!$L$4:$L$867,'Cash flow'!$A$4:$A$867,A24,'Cash flow'!$B$4:$B$867,J24-1)))</f>
        <v/>
      </c>
      <c r="M24" s="11" t="n">
        <f aca="false">COUNTIFS('Cash flow'!$A$4:$A$867,A24,'Cash flow'!$Q$4:$Q$867,1)</f>
        <v>36</v>
      </c>
      <c r="N24" s="11" t="n">
        <f aca="false">SUMPRODUCT(MAX(('Cash flow'!$A$4:$A$867=A24)*('Cash flow'!$Q$4:$Q$867=1)*('Cash flow'!$B$4:$B$867+1)))</f>
        <v>36</v>
      </c>
      <c r="O24" s="0" t="str">
        <f aca="false">IF(OR(NOT(C24),M24=0,N24=Controls!$B$12),"",N24)</f>
        <v/>
      </c>
      <c r="P24" s="0" t="str">
        <f aca="false">IF(NOT(C24),"NO_FLOWS",IF(M24=0,"NO_INVESTMENT",IF(N24=Controls!$B$12,"NOT_RECOVERED","")))</f>
        <v>NOT_RECOVERED</v>
      </c>
      <c r="Q24" s="12" t="str">
        <f aca="false">IF(O24="","",(O24-1)+(-SUMIFS('Cash flow'!$O$4:$O$867,'Cash flow'!$A$4:$A$867,A24,'Cash flow'!$B$4:$B$867,O24-1))/(SUMIFS('Cash flow'!$O$4:$O$867,'Cash flow'!$A$4:$A$867,A24,'Cash flow'!$B$4:$B$867,O24)-SUMIFS('Cash flow'!$O$4:$O$867,'Cash flow'!$A$4:$A$867,A24,'Cash flow'!$B$4:$B$867,O24-1)))</f>
        <v/>
      </c>
      <c r="R24" s="9" t="n">
        <f aca="false">IFERROR(INDEX('Domain reference'!$C$40:$C$249,MATCH(Controls!$B$3&amp;"|"&amp;A24,'Domain reference'!$A$40:$A$249,0)),"")</f>
        <v>-337229.75</v>
      </c>
      <c r="S24" s="11" t="n">
        <f aca="false">IFERROR(INDEX('Domain reference'!$D$40:$D$249,MATCH(Controls!$B$3&amp;"|"&amp;A24,'Domain reference'!$A$40:$A$249,0)),"")</f>
        <v>-1</v>
      </c>
      <c r="T24" s="11" t="n">
        <f aca="false">IFERROR(INDEX('Domain reference'!$E$40:$E$249,MATCH(Controls!$B$3&amp;"|"&amp;A24,'Domain reference'!$A$40:$A$249,0)),"")</f>
        <v>-1</v>
      </c>
      <c r="U24" s="8" t="b">
        <f aca="false">IF(LEN(Controls!$B$4)&gt;0,TRUE(),IF(B24=0,AND(R24="",E24=0),AND(ABS(N(G24)-N(R24))&lt;0.005,ISNUMBER(G24)=ISNUMBER(R24),IF(S24=-1,J24="",J24=S24),IF(T24=-1,O24="",O24=T24))))</f>
        <v>1</v>
      </c>
    </row>
    <row r="25" customFormat="false" ht="15" hidden="false" customHeight="false" outlineLevel="0" collapsed="false">
      <c r="A25" s="4" t="s">
        <v>104</v>
      </c>
      <c r="B25" s="11" t="n">
        <f aca="false">IF(COUNTIF('Scenario inputs'!$A$4:$A$213,Controls!$B$3&amp;"|"&amp;A25)&gt;0,1,0)</f>
        <v>1</v>
      </c>
      <c r="C25" s="8" t="b">
        <f aca="false">IF(B25=1,OR(SUMPRODUCT((Costs!$B$4:$B$903=A25)*(Costs!$D$4:$D$903="planned")*(Costs!$J$4:$J$903&lt;Controls!$B$12)*(Costs!$K$4:$K$903&gt;Costs!$J$4:$J$903))&gt;0,SUMPRODUCT((Benefits!$B$4:$B$703=A25)*(Benefits!$T$4:$T$703=1))&gt;0),FALSE())</f>
        <v>1</v>
      </c>
      <c r="D25" s="9" t="n">
        <f aca="false">SUMIFS('Cash flow'!$E$4:$E$867,'Cash flow'!$A$4:$A$867,A25)</f>
        <v>684000</v>
      </c>
      <c r="E25" s="9" t="n">
        <f aca="false">SUMIFS('Cash flow'!$J$4:$J$867,'Cash flow'!$A$4:$A$867,A25)</f>
        <v>644966.7253</v>
      </c>
      <c r="F25" s="9" t="n">
        <f aca="false">SUMIFS('Cash flow'!$K$4:$K$867,'Cash flow'!$A$4:$A$867,A25)</f>
        <v>-39033.2747</v>
      </c>
      <c r="G25" s="9" t="n">
        <f aca="false">IF(C25,SUMIFS('Cash flow'!$N$4:$N$867,'Cash flow'!$A$4:$A$867,A25),"")</f>
        <v>-61430.835731712</v>
      </c>
      <c r="H25" s="11" t="n">
        <f aca="false">COUNTIFS('Cash flow'!$A$4:$A$867,A25,'Cash flow'!$P$4:$P$867,1)</f>
        <v>36</v>
      </c>
      <c r="I25" s="11" t="n">
        <f aca="false">SUMPRODUCT(MAX(('Cash flow'!$A$4:$A$867=A25)*('Cash flow'!$P$4:$P$867=1)*('Cash flow'!$B$4:$B$867+1)))</f>
        <v>36</v>
      </c>
      <c r="J25" s="0" t="str">
        <f aca="false">IF(OR(NOT(C25),H25=0,I25=Controls!$B$12),"",I25)</f>
        <v/>
      </c>
      <c r="K25" s="0" t="str">
        <f aca="false">IF(NOT(C25),"NO_FLOWS",IF(H25=0,"NO_INVESTMENT",IF(I25=Controls!$B$12,"NOT_RECOVERED","")))</f>
        <v>NOT_RECOVERED</v>
      </c>
      <c r="L25" s="12" t="str">
        <f aca="false">IF(J25="","",(J25-1)+(-SUMIFS('Cash flow'!$L$4:$L$867,'Cash flow'!$A$4:$A$867,A25,'Cash flow'!$B$4:$B$867,J25-1))/(SUMIFS('Cash flow'!$L$4:$L$867,'Cash flow'!$A$4:$A$867,A25,'Cash flow'!$B$4:$B$867,J25)-SUMIFS('Cash flow'!$L$4:$L$867,'Cash flow'!$A$4:$A$867,A25,'Cash flow'!$B$4:$B$867,J25-1)))</f>
        <v/>
      </c>
      <c r="M25" s="11" t="n">
        <f aca="false">COUNTIFS('Cash flow'!$A$4:$A$867,A25,'Cash flow'!$Q$4:$Q$867,1)</f>
        <v>36</v>
      </c>
      <c r="N25" s="11" t="n">
        <f aca="false">SUMPRODUCT(MAX(('Cash flow'!$A$4:$A$867=A25)*('Cash flow'!$Q$4:$Q$867=1)*('Cash flow'!$B$4:$B$867+1)))</f>
        <v>36</v>
      </c>
      <c r="O25" s="0" t="str">
        <f aca="false">IF(OR(NOT(C25),M25=0,N25=Controls!$B$12),"",N25)</f>
        <v/>
      </c>
      <c r="P25" s="0" t="str">
        <f aca="false">IF(NOT(C25),"NO_FLOWS",IF(M25=0,"NO_INVESTMENT",IF(N25=Controls!$B$12,"NOT_RECOVERED","")))</f>
        <v>NOT_RECOVERED</v>
      </c>
      <c r="Q25" s="12" t="str">
        <f aca="false">IF(O25="","",(O25-1)+(-SUMIFS('Cash flow'!$O$4:$O$867,'Cash flow'!$A$4:$A$867,A25,'Cash flow'!$B$4:$B$867,O25-1))/(SUMIFS('Cash flow'!$O$4:$O$867,'Cash flow'!$A$4:$A$867,A25,'Cash flow'!$B$4:$B$867,O25)-SUMIFS('Cash flow'!$O$4:$O$867,'Cash flow'!$A$4:$A$867,A25,'Cash flow'!$B$4:$B$867,O25-1)))</f>
        <v/>
      </c>
      <c r="R25" s="9" t="n">
        <f aca="false">IFERROR(INDEX('Domain reference'!$C$40:$C$249,MATCH(Controls!$B$3&amp;"|"&amp;A25,'Domain reference'!$A$40:$A$249,0)),"")</f>
        <v>-61430.84</v>
      </c>
      <c r="S25" s="11" t="n">
        <f aca="false">IFERROR(INDEX('Domain reference'!$D$40:$D$249,MATCH(Controls!$B$3&amp;"|"&amp;A25,'Domain reference'!$A$40:$A$249,0)),"")</f>
        <v>-1</v>
      </c>
      <c r="T25" s="11" t="n">
        <f aca="false">IFERROR(INDEX('Domain reference'!$E$40:$E$249,MATCH(Controls!$B$3&amp;"|"&amp;A25,'Domain reference'!$A$40:$A$249,0)),"")</f>
        <v>-1</v>
      </c>
      <c r="U25" s="8" t="b">
        <f aca="false">IF(LEN(Controls!$B$4)&gt;0,TRUE(),IF(B25=0,AND(R25="",E25=0),AND(ABS(N(G25)-N(R25))&lt;0.005,ISNUMBER(G25)=ISNUMBER(R25),IF(S25=-1,J25="",J25=S25),IF(T25=-1,O25="",O25=T25))))</f>
        <v>1</v>
      </c>
    </row>
    <row r="26" customFormat="false" ht="15" hidden="false" customHeight="false" outlineLevel="0" collapsed="false">
      <c r="A26" s="4" t="s">
        <v>105</v>
      </c>
      <c r="B26" s="11" t="n">
        <f aca="false">IF(COUNTIF('Scenario inputs'!$A$4:$A$213,Controls!$B$3&amp;"|"&amp;A26)&gt;0,1,0)</f>
        <v>1</v>
      </c>
      <c r="C26" s="8" t="b">
        <f aca="false">IF(B26=1,OR(SUMPRODUCT((Costs!$B$4:$B$903=A26)*(Costs!$D$4:$D$903="planned")*(Costs!$J$4:$J$903&lt;Controls!$B$12)*(Costs!$K$4:$K$903&gt;Costs!$J$4:$J$903))&gt;0,SUMPRODUCT((Benefits!$B$4:$B$703=A26)*(Benefits!$T$4:$T$703=1))&gt;0),FALSE())</f>
        <v>1</v>
      </c>
      <c r="D26" s="9" t="n">
        <f aca="false">SUMIFS('Cash flow'!$E$4:$E$867,'Cash flow'!$A$4:$A$867,A26)</f>
        <v>3045600</v>
      </c>
      <c r="E26" s="9" t="n">
        <f aca="false">SUMIFS('Cash flow'!$J$4:$J$867,'Cash flow'!$A$4:$A$867,A26)</f>
        <v>3806833.0405</v>
      </c>
      <c r="F26" s="9" t="n">
        <f aca="false">SUMIFS('Cash flow'!$K$4:$K$867,'Cash flow'!$A$4:$A$867,A26)</f>
        <v>761233.0405</v>
      </c>
      <c r="G26" s="9" t="n">
        <f aca="false">IF(C26,SUMIFS('Cash flow'!$N$4:$N$867,'Cash flow'!$A$4:$A$867,A26),"")</f>
        <v>515502.068215072</v>
      </c>
      <c r="H26" s="11" t="n">
        <f aca="false">COUNTIFS('Cash flow'!$A$4:$A$867,A26,'Cash flow'!$P$4:$P$867,1)</f>
        <v>22</v>
      </c>
      <c r="I26" s="11" t="n">
        <f aca="false">SUMPRODUCT(MAX(('Cash flow'!$A$4:$A$867=A26)*('Cash flow'!$P$4:$P$867=1)*('Cash flow'!$B$4:$B$867+1)))</f>
        <v>22</v>
      </c>
      <c r="J26" s="11" t="n">
        <f aca="false">IF(OR(NOT(C26),H26=0,I26=Controls!$B$12),"",I26)</f>
        <v>22</v>
      </c>
      <c r="K26" s="0" t="str">
        <f aca="false">IF(NOT(C26),"NO_FLOWS",IF(H26=0,"NO_INVESTMENT",IF(I26=Controls!$B$12,"NOT_RECOVERED","")))</f>
        <v/>
      </c>
      <c r="L26" s="12" t="n">
        <f aca="false">IF(J26="","",(J26-1)+(-SUMIFS('Cash flow'!$L$4:$L$867,'Cash flow'!$A$4:$A$867,A26,'Cash flow'!$B$4:$B$867,J26-1))/(SUMIFS('Cash flow'!$L$4:$L$867,'Cash flow'!$A$4:$A$867,A26,'Cash flow'!$B$4:$B$867,J26)-SUMIFS('Cash flow'!$L$4:$L$867,'Cash flow'!$A$4:$A$867,A26,'Cash flow'!$B$4:$B$867,J26-1)))</f>
        <v>21.3887551522487</v>
      </c>
      <c r="M26" s="11" t="n">
        <f aca="false">COUNTIFS('Cash flow'!$A$4:$A$867,A26,'Cash flow'!$Q$4:$Q$867,1)</f>
        <v>22</v>
      </c>
      <c r="N26" s="11" t="n">
        <f aca="false">SUMPRODUCT(MAX(('Cash flow'!$A$4:$A$867=A26)*('Cash flow'!$Q$4:$Q$867=1)*('Cash flow'!$B$4:$B$867+1)))</f>
        <v>22</v>
      </c>
      <c r="O26" s="11" t="n">
        <f aca="false">IF(OR(NOT(C26),M26=0,N26=Controls!$B$12),"",N26)</f>
        <v>22</v>
      </c>
      <c r="P26" s="0" t="str">
        <f aca="false">IF(NOT(C26),"NO_FLOWS",IF(M26=0,"NO_INVESTMENT",IF(N26=Controls!$B$12,"NOT_RECOVERED","")))</f>
        <v/>
      </c>
      <c r="Q26" s="12" t="n">
        <f aca="false">IF(O26="","",(O26-1)+(-SUMIFS('Cash flow'!$O$4:$O$867,'Cash flow'!$A$4:$A$867,A26,'Cash flow'!$B$4:$B$867,O26-1))/(SUMIFS('Cash flow'!$O$4:$O$867,'Cash flow'!$A$4:$A$867,A26,'Cash flow'!$B$4:$B$867,O26)-SUMIFS('Cash flow'!$O$4:$O$867,'Cash flow'!$A$4:$A$867,A26,'Cash flow'!$B$4:$B$867,O26-1)))</f>
        <v>21.8052755100237</v>
      </c>
      <c r="R26" s="9" t="n">
        <f aca="false">IFERROR(INDEX('Domain reference'!$C$40:$C$249,MATCH(Controls!$B$3&amp;"|"&amp;A26,'Domain reference'!$A$40:$A$249,0)),"")</f>
        <v>515502.07</v>
      </c>
      <c r="S26" s="11" t="n">
        <f aca="false">IFERROR(INDEX('Domain reference'!$D$40:$D$249,MATCH(Controls!$B$3&amp;"|"&amp;A26,'Domain reference'!$A$40:$A$249,0)),"")</f>
        <v>22</v>
      </c>
      <c r="T26" s="11" t="n">
        <f aca="false">IFERROR(INDEX('Domain reference'!$E$40:$E$249,MATCH(Controls!$B$3&amp;"|"&amp;A26,'Domain reference'!$A$40:$A$249,0)),"")</f>
        <v>22</v>
      </c>
      <c r="U26" s="8" t="b">
        <f aca="false">IF(LEN(Controls!$B$4)&gt;0,TRUE(),IF(B26=0,AND(R26="",E26=0),AND(ABS(N(G26)-N(R26))&lt;0.005,ISNUMBER(G26)=ISNUMBER(R26),IF(S26=-1,J26="",J26=S26),IF(T26=-1,O26="",O26=T26))))</f>
        <v>1</v>
      </c>
    </row>
    <row r="27" customFormat="false" ht="15" hidden="false" customHeight="false" outlineLevel="0" collapsed="false">
      <c r="A27" s="4" t="s">
        <v>106</v>
      </c>
      <c r="B27" s="11" t="n">
        <f aca="false">IF(COUNTIF('Scenario inputs'!$A$4:$A$213,Controls!$B$3&amp;"|"&amp;A27)&gt;0,1,0)</f>
        <v>1</v>
      </c>
      <c r="C27" s="8" t="b">
        <f aca="false">IF(B27=1,OR(SUMPRODUCT((Costs!$B$4:$B$903=A27)*(Costs!$D$4:$D$903="planned")*(Costs!$J$4:$J$903&lt;Controls!$B$12)*(Costs!$K$4:$K$903&gt;Costs!$J$4:$J$903))&gt;0,SUMPRODUCT((Benefits!$B$4:$B$703=A27)*(Benefits!$T$4:$T$703=1))&gt;0),FALSE())</f>
        <v>1</v>
      </c>
      <c r="D27" s="9" t="n">
        <f aca="false">SUMIFS('Cash flow'!$E$4:$E$867,'Cash flow'!$A$4:$A$867,A27)</f>
        <v>1284900</v>
      </c>
      <c r="E27" s="9" t="n">
        <f aca="false">SUMIFS('Cash flow'!$J$4:$J$867,'Cash flow'!$A$4:$A$867,A27)</f>
        <v>1606266.7814</v>
      </c>
      <c r="F27" s="9" t="n">
        <f aca="false">SUMIFS('Cash flow'!$K$4:$K$867,'Cash flow'!$A$4:$A$867,A27)</f>
        <v>321366.7814</v>
      </c>
      <c r="G27" s="9" t="n">
        <f aca="false">IF(C27,SUMIFS('Cash flow'!$N$4:$N$867,'Cash flow'!$A$4:$A$867,A27),"")</f>
        <v>230132.785729</v>
      </c>
      <c r="H27" s="11" t="n">
        <f aca="false">COUNTIFS('Cash flow'!$A$4:$A$867,A27,'Cash flow'!$P$4:$P$867,1)</f>
        <v>20</v>
      </c>
      <c r="I27" s="11" t="n">
        <f aca="false">SUMPRODUCT(MAX(('Cash flow'!$A$4:$A$867=A27)*('Cash flow'!$P$4:$P$867=1)*('Cash flow'!$B$4:$B$867+1)))</f>
        <v>20</v>
      </c>
      <c r="J27" s="11" t="n">
        <f aca="false">IF(OR(NOT(C27),H27=0,I27=Controls!$B$12),"",I27)</f>
        <v>20</v>
      </c>
      <c r="K27" s="0" t="str">
        <f aca="false">IF(NOT(C27),"NO_FLOWS",IF(H27=0,"NO_INVESTMENT",IF(I27=Controls!$B$12,"NOT_RECOVERED","")))</f>
        <v/>
      </c>
      <c r="L27" s="12" t="n">
        <f aca="false">IF(J27="","",(J27-1)+(-SUMIFS('Cash flow'!$L$4:$L$867,'Cash flow'!$A$4:$A$867,A27,'Cash flow'!$B$4:$B$867,J27-1))/(SUMIFS('Cash flow'!$L$4:$L$867,'Cash flow'!$A$4:$A$867,A27,'Cash flow'!$B$4:$B$867,J27)-SUMIFS('Cash flow'!$L$4:$L$867,'Cash flow'!$A$4:$A$867,A27,'Cash flow'!$B$4:$B$867,J27-1)))</f>
        <v>19.7406421307794</v>
      </c>
      <c r="M27" s="11" t="n">
        <f aca="false">COUNTIFS('Cash flow'!$A$4:$A$867,A27,'Cash flow'!$Q$4:$Q$867,1)</f>
        <v>21</v>
      </c>
      <c r="N27" s="11" t="n">
        <f aca="false">SUMPRODUCT(MAX(('Cash flow'!$A$4:$A$867=A27)*('Cash flow'!$Q$4:$Q$867=1)*('Cash flow'!$B$4:$B$867+1)))</f>
        <v>21</v>
      </c>
      <c r="O27" s="11" t="n">
        <f aca="false">IF(OR(NOT(C27),M27=0,N27=Controls!$B$12),"",N27)</f>
        <v>21</v>
      </c>
      <c r="P27" s="0" t="str">
        <f aca="false">IF(NOT(C27),"NO_FLOWS",IF(M27=0,"NO_INVESTMENT",IF(N27=Controls!$B$12,"NOT_RECOVERED","")))</f>
        <v/>
      </c>
      <c r="Q27" s="12" t="n">
        <f aca="false">IF(O27="","",(O27-1)+(-SUMIFS('Cash flow'!$O$4:$O$867,'Cash flow'!$A$4:$A$867,A27,'Cash flow'!$B$4:$B$867,O27-1))/(SUMIFS('Cash flow'!$O$4:$O$867,'Cash flow'!$A$4:$A$867,A27,'Cash flow'!$B$4:$B$867,O27)-SUMIFS('Cash flow'!$O$4:$O$867,'Cash flow'!$A$4:$A$867,A27,'Cash flow'!$B$4:$B$867,O27-1)))</f>
        <v>20.1194482079849</v>
      </c>
      <c r="R27" s="9" t="n">
        <f aca="false">IFERROR(INDEX('Domain reference'!$C$40:$C$249,MATCH(Controls!$B$3&amp;"|"&amp;A27,'Domain reference'!$A$40:$A$249,0)),"")</f>
        <v>230132.79</v>
      </c>
      <c r="S27" s="11" t="n">
        <f aca="false">IFERROR(INDEX('Domain reference'!$D$40:$D$249,MATCH(Controls!$B$3&amp;"|"&amp;A27,'Domain reference'!$A$40:$A$249,0)),"")</f>
        <v>20</v>
      </c>
      <c r="T27" s="11" t="n">
        <f aca="false">IFERROR(INDEX('Domain reference'!$E$40:$E$249,MATCH(Controls!$B$3&amp;"|"&amp;A27,'Domain reference'!$A$40:$A$249,0)),"")</f>
        <v>21</v>
      </c>
      <c r="U27" s="8" t="b">
        <f aca="false">IF(LEN(Controls!$B$4)&gt;0,TRUE(),IF(B27=0,AND(R27="",E27=0),AND(ABS(N(G27)-N(R27))&lt;0.005,ISNUMBER(G27)=ISNUMBER(R27),IF(S27=-1,J27="",J27=S27),IF(T27=-1,O27="",O27=T27))))</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s>
  <sheetData>
    <row r="1" customFormat="false" ht="17.35" hidden="false" customHeight="false" outlineLevel="0" collapsed="false">
      <c r="A1" s="1" t="s">
        <v>107</v>
      </c>
    </row>
    <row r="2" customFormat="false" ht="15" hidden="false" customHeight="false" outlineLevel="0" collapsed="false">
      <c r="A2" s="0" t="s">
        <v>108</v>
      </c>
    </row>
    <row r="3" customFormat="false" ht="41.75" hidden="false" customHeight="false" outlineLevel="0" collapsed="false">
      <c r="A3" s="10" t="s">
        <v>63</v>
      </c>
      <c r="B3" s="10" t="s">
        <v>109</v>
      </c>
      <c r="C3" s="10" t="s">
        <v>64</v>
      </c>
      <c r="D3" s="10" t="s">
        <v>110</v>
      </c>
      <c r="E3" s="10" t="s">
        <v>111</v>
      </c>
      <c r="F3" s="10" t="s">
        <v>112</v>
      </c>
      <c r="G3" s="10" t="s">
        <v>113</v>
      </c>
      <c r="H3" s="10" t="s">
        <v>114</v>
      </c>
      <c r="I3" s="10" t="s">
        <v>115</v>
      </c>
      <c r="J3" s="10" t="s">
        <v>116</v>
      </c>
      <c r="K3" s="10" t="s">
        <v>117</v>
      </c>
      <c r="L3" s="10" t="s">
        <v>118</v>
      </c>
      <c r="M3" s="10" t="s">
        <v>119</v>
      </c>
      <c r="N3" s="10" t="s">
        <v>120</v>
      </c>
      <c r="O3" s="10" t="s">
        <v>121</v>
      </c>
      <c r="P3" s="10" t="s">
        <v>122</v>
      </c>
      <c r="Q3" s="10" t="s">
        <v>123</v>
      </c>
    </row>
    <row r="4" customFormat="false" ht="15" hidden="false" customHeight="false" outlineLevel="0" collapsed="false">
      <c r="A4" s="4" t="s">
        <v>83</v>
      </c>
      <c r="B4" s="4" t="n">
        <v>0</v>
      </c>
      <c r="C4" s="11" t="n">
        <f aca="false">IF(COUNTIF('Scenario inputs'!$A$4:$A$213,Controls!$B$3&amp;"|"&amp;A4)&gt;0,1,0)</f>
        <v>1</v>
      </c>
      <c r="D4" s="11" t="n">
        <f aca="false">IF(AND(C4=1,B4&lt;Controls!$B$12),1,0)</f>
        <v>1</v>
      </c>
      <c r="E4" s="11" t="n">
        <f aca="false">IF(D4=1,SUMPRODUCT((Costs!$B$4:$B$903=A4)*(Costs!$D$4:$D$903="planned")*(Costs!$J$4:$J$903&lt;=B4)*(Costs!$K$4:$K$903&gt;B4)*Costs!$E$4:$E$903),0)</f>
        <v>783200</v>
      </c>
      <c r="F4" s="11" t="n">
        <f aca="false">IF(D4=1,SUMIFS(Benefits!$S$4:$S$703,Benefits!$B$4:$B$703,A4,Benefits!$F$4:$F$703,B4,Benefits!$R$4:$R$703,"cash"),0)</f>
        <v>0</v>
      </c>
      <c r="G4" s="11" t="n">
        <f aca="false">IF(D4=1,SUMIFS(Benefits!$S$4:$S$703,Benefits!$B$4:$B$703,A4,Benefits!$F$4:$F$703,B4,Benefits!$R$4:$R$703,"revenue"),0)</f>
        <v>0</v>
      </c>
      <c r="H4" s="11" t="n">
        <f aca="false">IF(D4=1,SUMIFS(Benefits!$S$4:$S$703,Benefits!$B$4:$B$703,A4,Benefits!$F$4:$F$703,B4,Benefits!$R$4:$R$703,"avoided_cost_realised"),0)</f>
        <v>0</v>
      </c>
      <c r="I4" s="11" t="n">
        <f aca="false">IF(D4=1,SUMIFS(Benefits!$S$4:$S$703,Benefits!$B$4:$B$703,A4,Benefits!$F$4:$F$703,B4,Benefits!$R$4:$R$703,"capacity_converted"),0)</f>
        <v>0</v>
      </c>
      <c r="J4" s="11" t="n">
        <f aca="false">SUM(F4:I4)</f>
        <v>0</v>
      </c>
      <c r="K4" s="11" t="n">
        <f aca="false">J4-E4</f>
        <v>-783200</v>
      </c>
      <c r="L4" s="11" t="n">
        <f aca="false">IF(D4=1,K4,0)</f>
        <v>-783200</v>
      </c>
      <c r="M4" s="11" t="n">
        <f aca="false">IF(D4=1,1/(1+Controls!$B$11)^B4,0)</f>
        <v>1</v>
      </c>
      <c r="N4" s="11" t="n">
        <f aca="false">K4*M4</f>
        <v>-783200</v>
      </c>
      <c r="O4" s="11" t="n">
        <f aca="false">IF(D4=1,N4,0)</f>
        <v>-783200</v>
      </c>
      <c r="P4" s="11" t="n">
        <f aca="false">IF(AND(D4=1,L4&lt;0),1,0)</f>
        <v>1</v>
      </c>
      <c r="Q4" s="11" t="n">
        <f aca="false">IF(AND(D4=1,O4&lt;0),1,0)</f>
        <v>1</v>
      </c>
    </row>
    <row r="5" customFormat="false" ht="15" hidden="false" customHeight="false" outlineLevel="0" collapsed="false">
      <c r="A5" s="4" t="s">
        <v>83</v>
      </c>
      <c r="B5" s="4" t="n">
        <v>1</v>
      </c>
      <c r="C5" s="11" t="n">
        <f aca="false">IF(COUNTIF('Scenario inputs'!$A$4:$A$213,Controls!$B$3&amp;"|"&amp;A5)&gt;0,1,0)</f>
        <v>1</v>
      </c>
      <c r="D5" s="11" t="n">
        <f aca="false">IF(AND(C5=1,B5&lt;Controls!$B$12),1,0)</f>
        <v>1</v>
      </c>
      <c r="E5" s="11" t="n">
        <f aca="false">IF(D5=1,SUMPRODUCT((Costs!$B$4:$B$903=A5)*(Costs!$D$4:$D$903="planned")*(Costs!$J$4:$J$903&lt;=B5)*(Costs!$K$4:$K$903&gt;B5)*Costs!$E$4:$E$903),0)</f>
        <v>161800</v>
      </c>
      <c r="F5" s="11" t="n">
        <f aca="false">IF(D5=1,SUMIFS(Benefits!$S$4:$S$703,Benefits!$B$4:$B$703,A5,Benefits!$F$4:$F$703,B5,Benefits!$R$4:$R$703,"cash"),0)</f>
        <v>0</v>
      </c>
      <c r="G5" s="11" t="n">
        <f aca="false">IF(D5=1,SUMIFS(Benefits!$S$4:$S$703,Benefits!$B$4:$B$703,A5,Benefits!$F$4:$F$703,B5,Benefits!$R$4:$R$703,"revenue"),0)</f>
        <v>0</v>
      </c>
      <c r="H5" s="11" t="n">
        <f aca="false">IF(D5=1,SUMIFS(Benefits!$S$4:$S$703,Benefits!$B$4:$B$703,A5,Benefits!$F$4:$F$703,B5,Benefits!$R$4:$R$703,"avoided_cost_realised"),0)</f>
        <v>2669.6215</v>
      </c>
      <c r="I5" s="11" t="n">
        <f aca="false">IF(D5=1,SUMIFS(Benefits!$S$4:$S$703,Benefits!$B$4:$B$703,A5,Benefits!$F$4:$F$703,B5,Benefits!$R$4:$R$703,"capacity_converted"),0)</f>
        <v>1497.3338569476</v>
      </c>
      <c r="J5" s="11" t="n">
        <f aca="false">SUM(F5:I5)</f>
        <v>4166.9553569476</v>
      </c>
      <c r="K5" s="11" t="n">
        <f aca="false">J5-E5</f>
        <v>-157633.044643052</v>
      </c>
      <c r="L5" s="11" t="n">
        <f aca="false">IF(D5=1,L4+K5,0)</f>
        <v>-940833.044643052</v>
      </c>
      <c r="M5" s="11" t="n">
        <f aca="false">IF(D5=1,1/(1+Controls!$B$11)^B5,0)</f>
        <v>0.993607131714549</v>
      </c>
      <c r="N5" s="11" t="n">
        <f aca="false">K5*M5</f>
        <v>-156625.317351215</v>
      </c>
      <c r="O5" s="11" t="n">
        <f aca="false">IF(D5=1,O4+N5,0)</f>
        <v>-939825.317351215</v>
      </c>
      <c r="P5" s="11" t="n">
        <f aca="false">IF(AND(D5=1,L5&lt;0),1,0)</f>
        <v>1</v>
      </c>
      <c r="Q5" s="11" t="n">
        <f aca="false">IF(AND(D5=1,O5&lt;0),1,0)</f>
        <v>1</v>
      </c>
    </row>
    <row r="6" customFormat="false" ht="15" hidden="false" customHeight="false" outlineLevel="0" collapsed="false">
      <c r="A6" s="4" t="s">
        <v>83</v>
      </c>
      <c r="B6" s="4" t="n">
        <v>2</v>
      </c>
      <c r="C6" s="11" t="n">
        <f aca="false">IF(COUNTIF('Scenario inputs'!$A$4:$A$213,Controls!$B$3&amp;"|"&amp;A6)&gt;0,1,0)</f>
        <v>1</v>
      </c>
      <c r="D6" s="11" t="n">
        <f aca="false">IF(AND(C6=1,B6&lt;Controls!$B$12),1,0)</f>
        <v>1</v>
      </c>
      <c r="E6" s="11" t="n">
        <f aca="false">IF(D6=1,SUMPRODUCT((Costs!$B$4:$B$903=A6)*(Costs!$D$4:$D$903="planned")*(Costs!$J$4:$J$903&lt;=B6)*(Costs!$K$4:$K$903&gt;B6)*Costs!$E$4:$E$903),0)</f>
        <v>18000</v>
      </c>
      <c r="F6" s="11" t="n">
        <f aca="false">IF(D6=1,SUMIFS(Benefits!$S$4:$S$703,Benefits!$B$4:$B$703,A6,Benefits!$F$4:$F$703,B6,Benefits!$R$4:$R$703,"cash"),0)</f>
        <v>4005.3251</v>
      </c>
      <c r="G6" s="11" t="n">
        <f aca="false">IF(D6=1,SUMIFS(Benefits!$S$4:$S$703,Benefits!$B$4:$B$703,A6,Benefits!$F$4:$F$703,B6,Benefits!$R$4:$R$703,"revenue"),0)</f>
        <v>0</v>
      </c>
      <c r="H6" s="11" t="n">
        <f aca="false">IF(D6=1,SUMIFS(Benefits!$S$4:$S$703,Benefits!$B$4:$B$703,A6,Benefits!$F$4:$F$703,B6,Benefits!$R$4:$R$703,"avoided_cost_realised"),0)</f>
        <v>8008.93925</v>
      </c>
      <c r="I6" s="11" t="n">
        <f aca="false">IF(D6=1,SUMIFS(Benefits!$S$4:$S$703,Benefits!$B$4:$B$703,A6,Benefits!$F$4:$F$703,B6,Benefits!$R$4:$R$703,"capacity_converted"),0)</f>
        <v>4492.0434965262</v>
      </c>
      <c r="J6" s="11" t="n">
        <f aca="false">SUM(F6:I6)</f>
        <v>16506.3078465262</v>
      </c>
      <c r="K6" s="11" t="n">
        <f aca="false">J6-E6</f>
        <v>-1493.6921534738</v>
      </c>
      <c r="L6" s="11" t="n">
        <f aca="false">IF(D6=1,L5+K6,0)</f>
        <v>-942326.736796526</v>
      </c>
      <c r="M6" s="11" t="n">
        <f aca="false">IF(D6=1,1/(1+Controls!$B$11)^B6,0)</f>
        <v>0.987255132194012</v>
      </c>
      <c r="N6" s="11" t="n">
        <f aca="false">K6*M6</f>
        <v>-1474.65524443493</v>
      </c>
      <c r="O6" s="11" t="n">
        <f aca="false">IF(D6=1,O5+N6,0)</f>
        <v>-941299.97259565</v>
      </c>
      <c r="P6" s="11" t="n">
        <f aca="false">IF(AND(D6=1,L6&lt;0),1,0)</f>
        <v>1</v>
      </c>
      <c r="Q6" s="11" t="n">
        <f aca="false">IF(AND(D6=1,O6&lt;0),1,0)</f>
        <v>1</v>
      </c>
    </row>
    <row r="7" customFormat="false" ht="15" hidden="false" customHeight="false" outlineLevel="0" collapsed="false">
      <c r="A7" s="4" t="s">
        <v>83</v>
      </c>
      <c r="B7" s="4" t="n">
        <v>3</v>
      </c>
      <c r="C7" s="11" t="n">
        <f aca="false">IF(COUNTIF('Scenario inputs'!$A$4:$A$213,Controls!$B$3&amp;"|"&amp;A7)&gt;0,1,0)</f>
        <v>1</v>
      </c>
      <c r="D7" s="11" t="n">
        <f aca="false">IF(AND(C7=1,B7&lt;Controls!$B$12),1,0)</f>
        <v>1</v>
      </c>
      <c r="E7" s="11" t="n">
        <f aca="false">IF(D7=1,SUMPRODUCT((Costs!$B$4:$B$903=A7)*(Costs!$D$4:$D$903="planned")*(Costs!$J$4:$J$903&lt;=B7)*(Costs!$K$4:$K$903&gt;B7)*Costs!$E$4:$E$903),0)</f>
        <v>18000</v>
      </c>
      <c r="F7" s="11" t="n">
        <f aca="false">IF(D7=1,SUMIFS(Benefits!$S$4:$S$703,Benefits!$B$4:$B$703,A7,Benefits!$F$4:$F$703,B7,Benefits!$R$4:$R$703,"cash"),0)</f>
        <v>12016.08745</v>
      </c>
      <c r="G7" s="11" t="n">
        <f aca="false">IF(D7=1,SUMIFS(Benefits!$S$4:$S$703,Benefits!$B$4:$B$703,A7,Benefits!$F$4:$F$703,B7,Benefits!$R$4:$R$703,"revenue"),0)</f>
        <v>0</v>
      </c>
      <c r="H7" s="11" t="n">
        <f aca="false">IF(D7=1,SUMIFS(Benefits!$S$4:$S$703,Benefits!$B$4:$B$703,A7,Benefits!$F$4:$F$703,B7,Benefits!$R$4:$R$703,"avoided_cost_realised"),0)</f>
        <v>16017.8785</v>
      </c>
      <c r="I7" s="11" t="n">
        <f aca="false">IF(D7=1,SUMIFS(Benefits!$S$4:$S$703,Benefits!$B$4:$B$703,A7,Benefits!$F$4:$F$703,B7,Benefits!$R$4:$R$703,"capacity_converted"),0)</f>
        <v>8984.0869930524</v>
      </c>
      <c r="J7" s="11" t="n">
        <f aca="false">SUM(F7:I7)</f>
        <v>37018.0529430524</v>
      </c>
      <c r="K7" s="11" t="n">
        <f aca="false">J7-E7</f>
        <v>19018.0529430524</v>
      </c>
      <c r="L7" s="11" t="n">
        <f aca="false">IF(D7=1,L6+K7,0)</f>
        <v>-923308.683853474</v>
      </c>
      <c r="M7" s="11" t="n">
        <f aca="false">IF(D7=1,1/(1+Controls!$B$11)^B7,0)</f>
        <v>0.98094374016976</v>
      </c>
      <c r="N7" s="11" t="n">
        <f aca="false">K7*M7</f>
        <v>18655.6399847043</v>
      </c>
      <c r="O7" s="11" t="n">
        <f aca="false">IF(D7=1,O6+N7,0)</f>
        <v>-922644.332610945</v>
      </c>
      <c r="P7" s="11" t="n">
        <f aca="false">IF(AND(D7=1,L7&lt;0),1,0)</f>
        <v>1</v>
      </c>
      <c r="Q7" s="11" t="n">
        <f aca="false">IF(AND(D7=1,O7&lt;0),1,0)</f>
        <v>1</v>
      </c>
    </row>
    <row r="8" customFormat="false" ht="15" hidden="false" customHeight="false" outlineLevel="0" collapsed="false">
      <c r="A8" s="4" t="s">
        <v>83</v>
      </c>
      <c r="B8" s="4" t="n">
        <v>4</v>
      </c>
      <c r="C8" s="11" t="n">
        <f aca="false">IF(COUNTIF('Scenario inputs'!$A$4:$A$213,Controls!$B$3&amp;"|"&amp;A8)&gt;0,1,0)</f>
        <v>1</v>
      </c>
      <c r="D8" s="11" t="n">
        <f aca="false">IF(AND(C8=1,B8&lt;Controls!$B$12),1,0)</f>
        <v>1</v>
      </c>
      <c r="E8" s="11" t="n">
        <f aca="false">IF(D8=1,SUMPRODUCT((Costs!$B$4:$B$903=A8)*(Costs!$D$4:$D$903="planned")*(Costs!$J$4:$J$903&lt;=B8)*(Costs!$K$4:$K$903&gt;B8)*Costs!$E$4:$E$903),0)</f>
        <v>18000</v>
      </c>
      <c r="F8" s="11" t="n">
        <f aca="false">IF(D8=1,SUMIFS(Benefits!$S$4:$S$703,Benefits!$B$4:$B$703,A8,Benefits!$F$4:$F$703,B8,Benefits!$R$4:$R$703,"cash"),0)</f>
        <v>24032.1749</v>
      </c>
      <c r="G8" s="11" t="n">
        <f aca="false">IF(D8=1,SUMIFS(Benefits!$S$4:$S$703,Benefits!$B$4:$B$703,A8,Benefits!$F$4:$F$703,B8,Benefits!$R$4:$R$703,"revenue"),0)</f>
        <v>0</v>
      </c>
      <c r="H8" s="11" t="n">
        <f aca="false">IF(D8=1,SUMIFS(Benefits!$S$4:$S$703,Benefits!$B$4:$B$703,A8,Benefits!$F$4:$F$703,B8,Benefits!$R$4:$R$703,"avoided_cost_realised"),0)</f>
        <v>26696.43925</v>
      </c>
      <c r="I8" s="11" t="n">
        <f aca="false">IF(D8=1,SUMIFS(Benefits!$S$4:$S$703,Benefits!$B$4:$B$703,A8,Benefits!$F$4:$F$703,B8,Benefits!$R$4:$R$703,"capacity_converted"),0)</f>
        <v>14973.4643465262</v>
      </c>
      <c r="J8" s="11" t="n">
        <f aca="false">SUM(F8:I8)</f>
        <v>65702.0784965262</v>
      </c>
      <c r="K8" s="11" t="n">
        <f aca="false">J8-E8</f>
        <v>47702.0784965262</v>
      </c>
      <c r="L8" s="11" t="n">
        <f aca="false">IF(D8=1,L7+K8,0)</f>
        <v>-875606.605356948</v>
      </c>
      <c r="M8" s="11" t="n">
        <f aca="false">IF(D8=1,1/(1+Controls!$B$11)^B8,0)</f>
        <v>0.974672696043417</v>
      </c>
      <c r="N8" s="11" t="n">
        <f aca="false">K8*M8</f>
        <v>46493.9134550839</v>
      </c>
      <c r="O8" s="11" t="n">
        <f aca="false">IF(D8=1,O7+N8,0)</f>
        <v>-876150.419155861</v>
      </c>
      <c r="P8" s="11" t="n">
        <f aca="false">IF(AND(D8=1,L8&lt;0),1,0)</f>
        <v>1</v>
      </c>
      <c r="Q8" s="11" t="n">
        <f aca="false">IF(AND(D8=1,O8&lt;0),1,0)</f>
        <v>1</v>
      </c>
    </row>
    <row r="9" customFormat="false" ht="15" hidden="false" customHeight="false" outlineLevel="0" collapsed="false">
      <c r="A9" s="4" t="s">
        <v>83</v>
      </c>
      <c r="B9" s="4" t="n">
        <v>5</v>
      </c>
      <c r="C9" s="11" t="n">
        <f aca="false">IF(COUNTIF('Scenario inputs'!$A$4:$A$213,Controls!$B$3&amp;"|"&amp;A9)&gt;0,1,0)</f>
        <v>1</v>
      </c>
      <c r="D9" s="11" t="n">
        <f aca="false">IF(AND(C9=1,B9&lt;Controls!$B$12),1,0)</f>
        <v>1</v>
      </c>
      <c r="E9" s="11" t="n">
        <f aca="false">IF(D9=1,SUMPRODUCT((Costs!$B$4:$B$903=A9)*(Costs!$D$4:$D$903="planned")*(Costs!$J$4:$J$903&lt;=B9)*(Costs!$K$4:$K$903&gt;B9)*Costs!$E$4:$E$903),0)</f>
        <v>18000</v>
      </c>
      <c r="F9" s="11" t="n">
        <f aca="false">IF(D9=1,SUMIFS(Benefits!$S$4:$S$703,Benefits!$B$4:$B$703,A9,Benefits!$F$4:$F$703,B9,Benefits!$R$4:$R$703,"cash"),0)</f>
        <v>40053.58745</v>
      </c>
      <c r="G9" s="11" t="n">
        <f aca="false">IF(D9=1,SUMIFS(Benefits!$S$4:$S$703,Benefits!$B$4:$B$703,A9,Benefits!$F$4:$F$703,B9,Benefits!$R$4:$R$703,"revenue"),0)</f>
        <v>0</v>
      </c>
      <c r="H9" s="11" t="n">
        <f aca="false">IF(D9=1,SUMIFS(Benefits!$S$4:$S$703,Benefits!$B$4:$B$703,A9,Benefits!$F$4:$F$703,B9,Benefits!$R$4:$R$703,"avoided_cost_realised"),0)</f>
        <v>40044.6215</v>
      </c>
      <c r="I9" s="11" t="n">
        <f aca="false">IF(D9=1,SUMIFS(Benefits!$S$4:$S$703,Benefits!$B$4:$B$703,A9,Benefits!$F$4:$F$703,B9,Benefits!$R$4:$R$703,"capacity_converted"),0)</f>
        <v>22460.1755569476</v>
      </c>
      <c r="J9" s="11" t="n">
        <f aca="false">SUM(F9:I9)</f>
        <v>102558.384506948</v>
      </c>
      <c r="K9" s="11" t="n">
        <f aca="false">J9-E9</f>
        <v>84558.3845069476</v>
      </c>
      <c r="L9" s="11" t="n">
        <f aca="false">IF(D9=1,L8+K9,0)</f>
        <v>-791048.22085</v>
      </c>
      <c r="M9" s="11" t="n">
        <f aca="false">IF(D9=1,1/(1+Controls!$B$11)^B9,0)</f>
        <v>0.968441741876185</v>
      </c>
      <c r="N9" s="11" t="n">
        <f aca="false">K9*M9</f>
        <v>81889.8691821446</v>
      </c>
      <c r="O9" s="11" t="n">
        <f aca="false">IF(D9=1,O8+N9,0)</f>
        <v>-794260.549973717</v>
      </c>
      <c r="P9" s="11" t="n">
        <f aca="false">IF(AND(D9=1,L9&lt;0),1,0)</f>
        <v>1</v>
      </c>
      <c r="Q9" s="11" t="n">
        <f aca="false">IF(AND(D9=1,O9&lt;0),1,0)</f>
        <v>1</v>
      </c>
    </row>
    <row r="10" customFormat="false" ht="15" hidden="false" customHeight="false" outlineLevel="0" collapsed="false">
      <c r="A10" s="4" t="s">
        <v>83</v>
      </c>
      <c r="B10" s="4" t="n">
        <v>6</v>
      </c>
      <c r="C10" s="11" t="n">
        <f aca="false">IF(COUNTIF('Scenario inputs'!$A$4:$A$213,Controls!$B$3&amp;"|"&amp;A10)&gt;0,1,0)</f>
        <v>1</v>
      </c>
      <c r="D10" s="11" t="n">
        <f aca="false">IF(AND(C10=1,B10&lt;Controls!$B$12),1,0)</f>
        <v>1</v>
      </c>
      <c r="E10" s="11" t="n">
        <f aca="false">IF(D10=1,SUMPRODUCT((Costs!$B$4:$B$903=A10)*(Costs!$D$4:$D$903="planned")*(Costs!$J$4:$J$903&lt;=B10)*(Costs!$K$4:$K$903&gt;B10)*Costs!$E$4:$E$903),0)</f>
        <v>18000</v>
      </c>
      <c r="F10" s="11" t="n">
        <f aca="false">IF(D10=1,SUMIFS(Benefits!$S$4:$S$703,Benefits!$B$4:$B$703,A10,Benefits!$F$4:$F$703,B10,Benefits!$R$4:$R$703,"cash"),0)</f>
        <v>60080.3251</v>
      </c>
      <c r="G10" s="11" t="n">
        <f aca="false">IF(D10=1,SUMIFS(Benefits!$S$4:$S$703,Benefits!$B$4:$B$703,A10,Benefits!$F$4:$F$703,B10,Benefits!$R$4:$R$703,"revenue"),0)</f>
        <v>0</v>
      </c>
      <c r="H10" s="11" t="n">
        <f aca="false">IF(D10=1,SUMIFS(Benefits!$S$4:$S$703,Benefits!$B$4:$B$703,A10,Benefits!$F$4:$F$703,B10,Benefits!$R$4:$R$703,"avoided_cost_realised"),0)</f>
        <v>56062.5</v>
      </c>
      <c r="I10" s="11" t="n">
        <f aca="false">IF(D10=1,SUMIFS(Benefits!$S$4:$S$703,Benefits!$B$4:$B$703,A10,Benefits!$F$4:$F$703,B10,Benefits!$R$4:$R$703,"capacity_converted"),0)</f>
        <v>31444.26255</v>
      </c>
      <c r="J10" s="11" t="n">
        <f aca="false">SUM(F10:I10)</f>
        <v>147587.08765</v>
      </c>
      <c r="K10" s="11" t="n">
        <f aca="false">J10-E10</f>
        <v>129587.08765</v>
      </c>
      <c r="L10" s="11" t="n">
        <f aca="false">IF(D10=1,L9+K10,0)</f>
        <v>-661461.1332</v>
      </c>
      <c r="M10" s="11" t="n">
        <f aca="false">IF(D10=1,1/(1+Controls!$B$11)^B10,0)</f>
        <v>0.962250621378238</v>
      </c>
      <c r="N10" s="11" t="n">
        <f aca="false">K10*M10</f>
        <v>124695.255613809</v>
      </c>
      <c r="O10" s="11" t="n">
        <f aca="false">IF(D10=1,O9+N10,0)</f>
        <v>-669565.294359908</v>
      </c>
      <c r="P10" s="11" t="n">
        <f aca="false">IF(AND(D10=1,L10&lt;0),1,0)</f>
        <v>1</v>
      </c>
      <c r="Q10" s="11" t="n">
        <f aca="false">IF(AND(D10=1,O10&lt;0),1,0)</f>
        <v>1</v>
      </c>
    </row>
    <row r="11" customFormat="false" ht="15" hidden="false" customHeight="false" outlineLevel="0" collapsed="false">
      <c r="A11" s="4" t="s">
        <v>83</v>
      </c>
      <c r="B11" s="4" t="n">
        <v>7</v>
      </c>
      <c r="C11" s="11" t="n">
        <f aca="false">IF(COUNTIF('Scenario inputs'!$A$4:$A$213,Controls!$B$3&amp;"|"&amp;A11)&gt;0,1,0)</f>
        <v>1</v>
      </c>
      <c r="D11" s="11" t="n">
        <f aca="false">IF(AND(C11=1,B11&lt;Controls!$B$12),1,0)</f>
        <v>1</v>
      </c>
      <c r="E11" s="11" t="n">
        <f aca="false">IF(D11=1,SUMPRODUCT((Costs!$B$4:$B$903=A11)*(Costs!$D$4:$D$903="planned")*(Costs!$J$4:$J$903&lt;=B11)*(Costs!$K$4:$K$903&gt;B11)*Costs!$E$4:$E$903),0)</f>
        <v>18300</v>
      </c>
      <c r="F11" s="11" t="n">
        <f aca="false">IF(D11=1,SUMIFS(Benefits!$S$4:$S$703,Benefits!$B$4:$B$703,A11,Benefits!$F$4:$F$703,B11,Benefits!$R$4:$R$703,"cash"),0)</f>
        <v>84112.5</v>
      </c>
      <c r="G11" s="11" t="n">
        <f aca="false">IF(D11=1,SUMIFS(Benefits!$S$4:$S$703,Benefits!$B$4:$B$703,A11,Benefits!$F$4:$F$703,B11,Benefits!$R$4:$R$703,"revenue"),0)</f>
        <v>0</v>
      </c>
      <c r="H11" s="11" t="n">
        <f aca="false">IF(D11=1,SUMIFS(Benefits!$S$4:$S$703,Benefits!$B$4:$B$703,A11,Benefits!$F$4:$F$703,B11,Benefits!$R$4:$R$703,"avoided_cost_realised"),0)</f>
        <v>74750</v>
      </c>
      <c r="I11" s="11" t="n">
        <f aca="false">IF(D11=1,SUMIFS(Benefits!$S$4:$S$703,Benefits!$B$4:$B$703,A11,Benefits!$F$4:$F$703,B11,Benefits!$R$4:$R$703,"capacity_converted"),0)</f>
        <v>41925.6834</v>
      </c>
      <c r="J11" s="11" t="n">
        <f aca="false">SUM(F11:I11)</f>
        <v>200788.1834</v>
      </c>
      <c r="K11" s="11" t="n">
        <f aca="false">J11-E11</f>
        <v>182488.1834</v>
      </c>
      <c r="L11" s="11" t="n">
        <f aca="false">IF(D11=1,L10+K11,0)</f>
        <v>-478972.9498</v>
      </c>
      <c r="M11" s="11" t="n">
        <f aca="false">IF(D11=1,1/(1+Controls!$B$11)^B11,0)</f>
        <v>0.956099079898173</v>
      </c>
      <c r="N11" s="11" t="n">
        <f aca="false">K11*M11</f>
        <v>174476.784241029</v>
      </c>
      <c r="O11" s="11" t="n">
        <f aca="false">IF(D11=1,O10+N11,0)</f>
        <v>-495088.510118879</v>
      </c>
      <c r="P11" s="11" t="n">
        <f aca="false">IF(AND(D11=1,L11&lt;0),1,0)</f>
        <v>1</v>
      </c>
      <c r="Q11" s="11" t="n">
        <f aca="false">IF(AND(D11=1,O11&lt;0),1,0)</f>
        <v>1</v>
      </c>
    </row>
    <row r="12" customFormat="false" ht="15" hidden="false" customHeight="false" outlineLevel="0" collapsed="false">
      <c r="A12" s="4" t="s">
        <v>83</v>
      </c>
      <c r="B12" s="4" t="n">
        <v>8</v>
      </c>
      <c r="C12" s="11" t="n">
        <f aca="false">IF(COUNTIF('Scenario inputs'!$A$4:$A$213,Controls!$B$3&amp;"|"&amp;A12)&gt;0,1,0)</f>
        <v>1</v>
      </c>
      <c r="D12" s="11" t="n">
        <f aca="false">IF(AND(C12=1,B12&lt;Controls!$B$12),1,0)</f>
        <v>1</v>
      </c>
      <c r="E12" s="11" t="n">
        <f aca="false">IF(D12=1,SUMPRODUCT((Costs!$B$4:$B$903=A12)*(Costs!$D$4:$D$903="planned")*(Costs!$J$4:$J$903&lt;=B12)*(Costs!$K$4:$K$903&gt;B12)*Costs!$E$4:$E$903),0)</f>
        <v>18300</v>
      </c>
      <c r="F12" s="11" t="n">
        <f aca="false">IF(D12=1,SUMIFS(Benefits!$S$4:$S$703,Benefits!$B$4:$B$703,A12,Benefits!$F$4:$F$703,B12,Benefits!$R$4:$R$703,"cash"),0)</f>
        <v>112150</v>
      </c>
      <c r="G12" s="11" t="n">
        <f aca="false">IF(D12=1,SUMIFS(Benefits!$S$4:$S$703,Benefits!$B$4:$B$703,A12,Benefits!$F$4:$F$703,B12,Benefits!$R$4:$R$703,"revenue"),0)</f>
        <v>0</v>
      </c>
      <c r="H12" s="11" t="n">
        <f aca="false">IF(D12=1,SUMIFS(Benefits!$S$4:$S$703,Benefits!$B$4:$B$703,A12,Benefits!$F$4:$F$703,B12,Benefits!$R$4:$R$703,"avoided_cost_realised"),0)</f>
        <v>74750</v>
      </c>
      <c r="I12" s="11" t="n">
        <f aca="false">IF(D12=1,SUMIFS(Benefits!$S$4:$S$703,Benefits!$B$4:$B$703,A12,Benefits!$F$4:$F$703,B12,Benefits!$R$4:$R$703,"capacity_converted"),0)</f>
        <v>41925.6834</v>
      </c>
      <c r="J12" s="11" t="n">
        <f aca="false">SUM(F12:I12)</f>
        <v>228825.6834</v>
      </c>
      <c r="K12" s="11" t="n">
        <f aca="false">J12-E12</f>
        <v>210525.6834</v>
      </c>
      <c r="L12" s="11" t="n">
        <f aca="false">IF(D12=1,L11+K12,0)</f>
        <v>-268447.2664</v>
      </c>
      <c r="M12" s="11" t="n">
        <f aca="false">IF(D12=1,1/(1+Controls!$B$11)^B12,0)</f>
        <v>0.949986864412542</v>
      </c>
      <c r="N12" s="11" t="n">
        <f aca="false">K12*M12</f>
        <v>199996.633851474</v>
      </c>
      <c r="O12" s="11" t="n">
        <f aca="false">IF(D12=1,O11+N12,0)</f>
        <v>-295091.876267406</v>
      </c>
      <c r="P12" s="11" t="n">
        <f aca="false">IF(AND(D12=1,L12&lt;0),1,0)</f>
        <v>1</v>
      </c>
      <c r="Q12" s="11" t="n">
        <f aca="false">IF(AND(D12=1,O12&lt;0),1,0)</f>
        <v>1</v>
      </c>
    </row>
    <row r="13" customFormat="false" ht="15" hidden="false" customHeight="false" outlineLevel="0" collapsed="false">
      <c r="A13" s="4" t="s">
        <v>83</v>
      </c>
      <c r="B13" s="4" t="n">
        <v>9</v>
      </c>
      <c r="C13" s="11" t="n">
        <f aca="false">IF(COUNTIF('Scenario inputs'!$A$4:$A$213,Controls!$B$3&amp;"|"&amp;A13)&gt;0,1,0)</f>
        <v>1</v>
      </c>
      <c r="D13" s="11" t="n">
        <f aca="false">IF(AND(C13=1,B13&lt;Controls!$B$12),1,0)</f>
        <v>1</v>
      </c>
      <c r="E13" s="11" t="n">
        <f aca="false">IF(D13=1,SUMPRODUCT((Costs!$B$4:$B$903=A13)*(Costs!$D$4:$D$903="planned")*(Costs!$J$4:$J$903&lt;=B13)*(Costs!$K$4:$K$903&gt;B13)*Costs!$E$4:$E$903),0)</f>
        <v>18300</v>
      </c>
      <c r="F13" s="11" t="n">
        <f aca="false">IF(D13=1,SUMIFS(Benefits!$S$4:$S$703,Benefits!$B$4:$B$703,A13,Benefits!$F$4:$F$703,B13,Benefits!$R$4:$R$703,"cash"),0)</f>
        <v>112150</v>
      </c>
      <c r="G13" s="11" t="n">
        <f aca="false">IF(D13=1,SUMIFS(Benefits!$S$4:$S$703,Benefits!$B$4:$B$703,A13,Benefits!$F$4:$F$703,B13,Benefits!$R$4:$R$703,"revenue"),0)</f>
        <v>0</v>
      </c>
      <c r="H13" s="11" t="n">
        <f aca="false">IF(D13=1,SUMIFS(Benefits!$S$4:$S$703,Benefits!$B$4:$B$703,A13,Benefits!$F$4:$F$703,B13,Benefits!$R$4:$R$703,"avoided_cost_realised"),0)</f>
        <v>74750</v>
      </c>
      <c r="I13" s="11" t="n">
        <f aca="false">IF(D13=1,SUMIFS(Benefits!$S$4:$S$703,Benefits!$B$4:$B$703,A13,Benefits!$F$4:$F$703,B13,Benefits!$R$4:$R$703,"capacity_converted"),0)</f>
        <v>41925.6834</v>
      </c>
      <c r="J13" s="11" t="n">
        <f aca="false">SUM(F13:I13)</f>
        <v>228825.6834</v>
      </c>
      <c r="K13" s="11" t="n">
        <f aca="false">J13-E13</f>
        <v>210525.6834</v>
      </c>
      <c r="L13" s="11" t="n">
        <f aca="false">IF(D13=1,L12+K13,0)</f>
        <v>-57921.5830000001</v>
      </c>
      <c r="M13" s="11" t="n">
        <f aca="false">IF(D13=1,1/(1+Controls!$B$11)^B13,0)</f>
        <v>0.943913723515444</v>
      </c>
      <c r="N13" s="11" t="n">
        <f aca="false">K13*M13</f>
        <v>198718.081713727</v>
      </c>
      <c r="O13" s="11" t="n">
        <f aca="false">IF(D13=1,O12+N13,0)</f>
        <v>-96373.7945536782</v>
      </c>
      <c r="P13" s="11" t="n">
        <f aca="false">IF(AND(D13=1,L13&lt;0),1,0)</f>
        <v>1</v>
      </c>
      <c r="Q13" s="11" t="n">
        <f aca="false">IF(AND(D13=1,O13&lt;0),1,0)</f>
        <v>1</v>
      </c>
    </row>
    <row r="14" customFormat="false" ht="15" hidden="false" customHeight="false" outlineLevel="0" collapsed="false">
      <c r="A14" s="4" t="s">
        <v>83</v>
      </c>
      <c r="B14" s="4" t="n">
        <v>10</v>
      </c>
      <c r="C14" s="11" t="n">
        <f aca="false">IF(COUNTIF('Scenario inputs'!$A$4:$A$213,Controls!$B$3&amp;"|"&amp;A14)&gt;0,1,0)</f>
        <v>1</v>
      </c>
      <c r="D14" s="11" t="n">
        <f aca="false">IF(AND(C14=1,B14&lt;Controls!$B$12),1,0)</f>
        <v>1</v>
      </c>
      <c r="E14" s="11" t="n">
        <f aca="false">IF(D14=1,SUMPRODUCT((Costs!$B$4:$B$903=A14)*(Costs!$D$4:$D$903="planned")*(Costs!$J$4:$J$903&lt;=B14)*(Costs!$K$4:$K$903&gt;B14)*Costs!$E$4:$E$903),0)</f>
        <v>18300</v>
      </c>
      <c r="F14" s="11" t="n">
        <f aca="false">IF(D14=1,SUMIFS(Benefits!$S$4:$S$703,Benefits!$B$4:$B$703,A14,Benefits!$F$4:$F$703,B14,Benefits!$R$4:$R$703,"cash"),0)</f>
        <v>112150</v>
      </c>
      <c r="G14" s="11" t="n">
        <f aca="false">IF(D14=1,SUMIFS(Benefits!$S$4:$S$703,Benefits!$B$4:$B$703,A14,Benefits!$F$4:$F$703,B14,Benefits!$R$4:$R$703,"revenue"),0)</f>
        <v>0</v>
      </c>
      <c r="H14" s="11" t="n">
        <f aca="false">IF(D14=1,SUMIFS(Benefits!$S$4:$S$703,Benefits!$B$4:$B$703,A14,Benefits!$F$4:$F$703,B14,Benefits!$R$4:$R$703,"avoided_cost_realised"),0)</f>
        <v>74750</v>
      </c>
      <c r="I14" s="11" t="n">
        <f aca="false">IF(D14=1,SUMIFS(Benefits!$S$4:$S$703,Benefits!$B$4:$B$703,A14,Benefits!$F$4:$F$703,B14,Benefits!$R$4:$R$703,"capacity_converted"),0)</f>
        <v>41925.6834</v>
      </c>
      <c r="J14" s="11" t="n">
        <f aca="false">SUM(F14:I14)</f>
        <v>228825.6834</v>
      </c>
      <c r="K14" s="11" t="n">
        <f aca="false">J14-E14</f>
        <v>210525.6834</v>
      </c>
      <c r="L14" s="11" t="n">
        <f aca="false">IF(D14=1,L13+K14,0)</f>
        <v>152604.1004</v>
      </c>
      <c r="M14" s="11" t="n">
        <f aca="false">IF(D14=1,1/(1+Controls!$B$11)^B14,0)</f>
        <v>0.93787940740818</v>
      </c>
      <c r="N14" s="11" t="n">
        <f aca="false">K14*M14</f>
        <v>197447.703191394</v>
      </c>
      <c r="O14" s="11" t="n">
        <f aca="false">IF(D14=1,O13+N14,0)</f>
        <v>101073.908637716</v>
      </c>
      <c r="P14" s="11" t="n">
        <f aca="false">IF(AND(D14=1,L14&lt;0),1,0)</f>
        <v>0</v>
      </c>
      <c r="Q14" s="11" t="n">
        <f aca="false">IF(AND(D14=1,O14&lt;0),1,0)</f>
        <v>0</v>
      </c>
    </row>
    <row r="15" customFormat="false" ht="15" hidden="false" customHeight="false" outlineLevel="0" collapsed="false">
      <c r="A15" s="4" t="s">
        <v>83</v>
      </c>
      <c r="B15" s="4" t="n">
        <v>11</v>
      </c>
      <c r="C15" s="11" t="n">
        <f aca="false">IF(COUNTIF('Scenario inputs'!$A$4:$A$213,Controls!$B$3&amp;"|"&amp;A15)&gt;0,1,0)</f>
        <v>1</v>
      </c>
      <c r="D15" s="11" t="n">
        <f aca="false">IF(AND(C15=1,B15&lt;Controls!$B$12),1,0)</f>
        <v>1</v>
      </c>
      <c r="E15" s="11" t="n">
        <f aca="false">IF(D15=1,SUMPRODUCT((Costs!$B$4:$B$903=A15)*(Costs!$D$4:$D$903="planned")*(Costs!$J$4:$J$903&lt;=B15)*(Costs!$K$4:$K$903&gt;B15)*Costs!$E$4:$E$903),0)</f>
        <v>18300</v>
      </c>
      <c r="F15" s="11" t="n">
        <f aca="false">IF(D15=1,SUMIFS(Benefits!$S$4:$S$703,Benefits!$B$4:$B$703,A15,Benefits!$F$4:$F$703,B15,Benefits!$R$4:$R$703,"cash"),0)</f>
        <v>112150</v>
      </c>
      <c r="G15" s="11" t="n">
        <f aca="false">IF(D15=1,SUMIFS(Benefits!$S$4:$S$703,Benefits!$B$4:$B$703,A15,Benefits!$F$4:$F$703,B15,Benefits!$R$4:$R$703,"revenue"),0)</f>
        <v>0</v>
      </c>
      <c r="H15" s="11" t="n">
        <f aca="false">IF(D15=1,SUMIFS(Benefits!$S$4:$S$703,Benefits!$B$4:$B$703,A15,Benefits!$F$4:$F$703,B15,Benefits!$R$4:$R$703,"avoided_cost_realised"),0)</f>
        <v>74750</v>
      </c>
      <c r="I15" s="11" t="n">
        <f aca="false">IF(D15=1,SUMIFS(Benefits!$S$4:$S$703,Benefits!$B$4:$B$703,A15,Benefits!$F$4:$F$703,B15,Benefits!$R$4:$R$703,"capacity_converted"),0)</f>
        <v>41925.6834</v>
      </c>
      <c r="J15" s="11" t="n">
        <f aca="false">SUM(F15:I15)</f>
        <v>228825.6834</v>
      </c>
      <c r="K15" s="11" t="n">
        <f aca="false">J15-E15</f>
        <v>210525.6834</v>
      </c>
      <c r="L15" s="11" t="n">
        <f aca="false">IF(D15=1,L14+K15,0)</f>
        <v>363129.7838</v>
      </c>
      <c r="M15" s="11" t="n">
        <f aca="false">IF(D15=1,1/(1+Controls!$B$11)^B15,0)</f>
        <v>0.931883667888982</v>
      </c>
      <c r="N15" s="11" t="n">
        <f aca="false">K15*M15</f>
        <v>196185.446031627</v>
      </c>
      <c r="O15" s="11" t="n">
        <f aca="false">IF(D15=1,O14+N15,0)</f>
        <v>297259.354669342</v>
      </c>
      <c r="P15" s="11" t="n">
        <f aca="false">IF(AND(D15=1,L15&lt;0),1,0)</f>
        <v>0</v>
      </c>
      <c r="Q15" s="11" t="n">
        <f aca="false">IF(AND(D15=1,O15&lt;0),1,0)</f>
        <v>0</v>
      </c>
    </row>
    <row r="16" customFormat="false" ht="15" hidden="false" customHeight="false" outlineLevel="0" collapsed="false">
      <c r="A16" s="4" t="s">
        <v>83</v>
      </c>
      <c r="B16" s="4" t="n">
        <v>12</v>
      </c>
      <c r="C16" s="11" t="n">
        <f aca="false">IF(COUNTIF('Scenario inputs'!$A$4:$A$213,Controls!$B$3&amp;"|"&amp;A16)&gt;0,1,0)</f>
        <v>1</v>
      </c>
      <c r="D16" s="11" t="n">
        <f aca="false">IF(AND(C16=1,B16&lt;Controls!$B$12),1,0)</f>
        <v>1</v>
      </c>
      <c r="E16" s="11" t="n">
        <f aca="false">IF(D16=1,SUMPRODUCT((Costs!$B$4:$B$903=A16)*(Costs!$D$4:$D$903="planned")*(Costs!$J$4:$J$903&lt;=B16)*(Costs!$K$4:$K$903&gt;B16)*Costs!$E$4:$E$903),0)</f>
        <v>18300</v>
      </c>
      <c r="F16" s="11" t="n">
        <f aca="false">IF(D16=1,SUMIFS(Benefits!$S$4:$S$703,Benefits!$B$4:$B$703,A16,Benefits!$F$4:$F$703,B16,Benefits!$R$4:$R$703,"cash"),0)</f>
        <v>112150</v>
      </c>
      <c r="G16" s="11" t="n">
        <f aca="false">IF(D16=1,SUMIFS(Benefits!$S$4:$S$703,Benefits!$B$4:$B$703,A16,Benefits!$F$4:$F$703,B16,Benefits!$R$4:$R$703,"revenue"),0)</f>
        <v>0</v>
      </c>
      <c r="H16" s="11" t="n">
        <f aca="false">IF(D16=1,SUMIFS(Benefits!$S$4:$S$703,Benefits!$B$4:$B$703,A16,Benefits!$F$4:$F$703,B16,Benefits!$R$4:$R$703,"avoided_cost_realised"),0)</f>
        <v>74750</v>
      </c>
      <c r="I16" s="11" t="n">
        <f aca="false">IF(D16=1,SUMIFS(Benefits!$S$4:$S$703,Benefits!$B$4:$B$703,A16,Benefits!$F$4:$F$703,B16,Benefits!$R$4:$R$703,"capacity_converted"),0)</f>
        <v>41925.6834</v>
      </c>
      <c r="J16" s="11" t="n">
        <f aca="false">SUM(F16:I16)</f>
        <v>228825.6834</v>
      </c>
      <c r="K16" s="11" t="n">
        <f aca="false">J16-E16</f>
        <v>210525.6834</v>
      </c>
      <c r="L16" s="11" t="n">
        <f aca="false">IF(D16=1,L15+K16,0)</f>
        <v>573655.4672</v>
      </c>
      <c r="M16" s="11" t="n">
        <f aca="false">IF(D16=1,1/(1+Controls!$B$11)^B16,0)</f>
        <v>0.925926258342804</v>
      </c>
      <c r="N16" s="11" t="n">
        <f aca="false">K16*M16</f>
        <v>194931.258315624</v>
      </c>
      <c r="O16" s="11" t="n">
        <f aca="false">IF(D16=1,O15+N16,0)</f>
        <v>492190.612984966</v>
      </c>
      <c r="P16" s="11" t="n">
        <f aca="false">IF(AND(D16=1,L16&lt;0),1,0)</f>
        <v>0</v>
      </c>
      <c r="Q16" s="11" t="n">
        <f aca="false">IF(AND(D16=1,O16&lt;0),1,0)</f>
        <v>0</v>
      </c>
    </row>
    <row r="17" customFormat="false" ht="15" hidden="false" customHeight="false" outlineLevel="0" collapsed="false">
      <c r="A17" s="4" t="s">
        <v>83</v>
      </c>
      <c r="B17" s="4" t="n">
        <v>13</v>
      </c>
      <c r="C17" s="11" t="n">
        <f aca="false">IF(COUNTIF('Scenario inputs'!$A$4:$A$213,Controls!$B$3&amp;"|"&amp;A17)&gt;0,1,0)</f>
        <v>1</v>
      </c>
      <c r="D17" s="11" t="n">
        <f aca="false">IF(AND(C17=1,B17&lt;Controls!$B$12),1,0)</f>
        <v>1</v>
      </c>
      <c r="E17" s="11" t="n">
        <f aca="false">IF(D17=1,SUMPRODUCT((Costs!$B$4:$B$903=A17)*(Costs!$D$4:$D$903="planned")*(Costs!$J$4:$J$903&lt;=B17)*(Costs!$K$4:$K$903&gt;B17)*Costs!$E$4:$E$903),0)</f>
        <v>18300</v>
      </c>
      <c r="F17" s="11" t="n">
        <f aca="false">IF(D17=1,SUMIFS(Benefits!$S$4:$S$703,Benefits!$B$4:$B$703,A17,Benefits!$F$4:$F$703,B17,Benefits!$R$4:$R$703,"cash"),0)</f>
        <v>112150</v>
      </c>
      <c r="G17" s="11" t="n">
        <f aca="false">IF(D17=1,SUMIFS(Benefits!$S$4:$S$703,Benefits!$B$4:$B$703,A17,Benefits!$F$4:$F$703,B17,Benefits!$R$4:$R$703,"revenue"),0)</f>
        <v>0</v>
      </c>
      <c r="H17" s="11" t="n">
        <f aca="false">IF(D17=1,SUMIFS(Benefits!$S$4:$S$703,Benefits!$B$4:$B$703,A17,Benefits!$F$4:$F$703,B17,Benefits!$R$4:$R$703,"avoided_cost_realised"),0)</f>
        <v>0</v>
      </c>
      <c r="I17" s="11" t="n">
        <f aca="false">IF(D17=1,SUMIFS(Benefits!$S$4:$S$703,Benefits!$B$4:$B$703,A17,Benefits!$F$4:$F$703,B17,Benefits!$R$4:$R$703,"capacity_converted"),0)</f>
        <v>0</v>
      </c>
      <c r="J17" s="11" t="n">
        <f aca="false">SUM(F17:I17)</f>
        <v>112150</v>
      </c>
      <c r="K17" s="11" t="n">
        <f aca="false">J17-E17</f>
        <v>93850</v>
      </c>
      <c r="L17" s="11" t="n">
        <f aca="false">IF(D17=1,L16+K17,0)</f>
        <v>667505.4672</v>
      </c>
      <c r="M17" s="11" t="n">
        <f aca="false">IF(D17=1,1/(1+Controls!$B$11)^B17,0)</f>
        <v>0.920006933731178</v>
      </c>
      <c r="N17" s="11" t="n">
        <f aca="false">K17*M17</f>
        <v>86342.650730671</v>
      </c>
      <c r="O17" s="11" t="n">
        <f aca="false">IF(D17=1,O16+N17,0)</f>
        <v>578533.263715637</v>
      </c>
      <c r="P17" s="11" t="n">
        <f aca="false">IF(AND(D17=1,L17&lt;0),1,0)</f>
        <v>0</v>
      </c>
      <c r="Q17" s="11" t="n">
        <f aca="false">IF(AND(D17=1,O17&lt;0),1,0)</f>
        <v>0</v>
      </c>
    </row>
    <row r="18" customFormat="false" ht="15" hidden="false" customHeight="false" outlineLevel="0" collapsed="false">
      <c r="A18" s="4" t="s">
        <v>83</v>
      </c>
      <c r="B18" s="4" t="n">
        <v>14</v>
      </c>
      <c r="C18" s="11" t="n">
        <f aca="false">IF(COUNTIF('Scenario inputs'!$A$4:$A$213,Controls!$B$3&amp;"|"&amp;A18)&gt;0,1,0)</f>
        <v>1</v>
      </c>
      <c r="D18" s="11" t="n">
        <f aca="false">IF(AND(C18=1,B18&lt;Controls!$B$12),1,0)</f>
        <v>1</v>
      </c>
      <c r="E18" s="11" t="n">
        <f aca="false">IF(D18=1,SUMPRODUCT((Costs!$B$4:$B$903=A18)*(Costs!$D$4:$D$903="planned")*(Costs!$J$4:$J$903&lt;=B18)*(Costs!$K$4:$K$903&gt;B18)*Costs!$E$4:$E$903),0)</f>
        <v>0</v>
      </c>
      <c r="F18" s="11" t="n">
        <f aca="false">IF(D18=1,SUMIFS(Benefits!$S$4:$S$703,Benefits!$B$4:$B$703,A18,Benefits!$F$4:$F$703,B18,Benefits!$R$4:$R$703,"cash"),0)</f>
        <v>0</v>
      </c>
      <c r="G18" s="11" t="n">
        <f aca="false">IF(D18=1,SUMIFS(Benefits!$S$4:$S$703,Benefits!$B$4:$B$703,A18,Benefits!$F$4:$F$703,B18,Benefits!$R$4:$R$703,"revenue"),0)</f>
        <v>0</v>
      </c>
      <c r="H18" s="11" t="n">
        <f aca="false">IF(D18=1,SUMIFS(Benefits!$S$4:$S$703,Benefits!$B$4:$B$703,A18,Benefits!$F$4:$F$703,B18,Benefits!$R$4:$R$703,"avoided_cost_realised"),0)</f>
        <v>0</v>
      </c>
      <c r="I18" s="11" t="n">
        <f aca="false">IF(D18=1,SUMIFS(Benefits!$S$4:$S$703,Benefits!$B$4:$B$703,A18,Benefits!$F$4:$F$703,B18,Benefits!$R$4:$R$703,"capacity_converted"),0)</f>
        <v>0</v>
      </c>
      <c r="J18" s="11" t="n">
        <f aca="false">SUM(F18:I18)</f>
        <v>0</v>
      </c>
      <c r="K18" s="11" t="n">
        <f aca="false">J18-E18</f>
        <v>0</v>
      </c>
      <c r="L18" s="11" t="n">
        <f aca="false">IF(D18=1,L17+K18,0)</f>
        <v>667505.4672</v>
      </c>
      <c r="M18" s="11" t="n">
        <f aca="false">IF(D18=1,1/(1+Controls!$B$11)^B18,0)</f>
        <v>0.914125450582132</v>
      </c>
      <c r="N18" s="11" t="n">
        <f aca="false">K18*M18</f>
        <v>0</v>
      </c>
      <c r="O18" s="11" t="n">
        <f aca="false">IF(D18=1,O17+N18,0)</f>
        <v>578533.263715637</v>
      </c>
      <c r="P18" s="11" t="n">
        <f aca="false">IF(AND(D18=1,L18&lt;0),1,0)</f>
        <v>0</v>
      </c>
      <c r="Q18" s="11" t="n">
        <f aca="false">IF(AND(D18=1,O18&lt;0),1,0)</f>
        <v>0</v>
      </c>
    </row>
    <row r="19" customFormat="false" ht="15" hidden="false" customHeight="false" outlineLevel="0" collapsed="false">
      <c r="A19" s="4" t="s">
        <v>83</v>
      </c>
      <c r="B19" s="4" t="n">
        <v>15</v>
      </c>
      <c r="C19" s="11" t="n">
        <f aca="false">IF(COUNTIF('Scenario inputs'!$A$4:$A$213,Controls!$B$3&amp;"|"&amp;A19)&gt;0,1,0)</f>
        <v>1</v>
      </c>
      <c r="D19" s="11" t="n">
        <f aca="false">IF(AND(C19=1,B19&lt;Controls!$B$12),1,0)</f>
        <v>1</v>
      </c>
      <c r="E19" s="11" t="n">
        <f aca="false">IF(D19=1,SUMPRODUCT((Costs!$B$4:$B$903=A19)*(Costs!$D$4:$D$903="planned")*(Costs!$J$4:$J$903&lt;=B19)*(Costs!$K$4:$K$903&gt;B19)*Costs!$E$4:$E$903),0)</f>
        <v>0</v>
      </c>
      <c r="F19" s="11" t="n">
        <f aca="false">IF(D19=1,SUMIFS(Benefits!$S$4:$S$703,Benefits!$B$4:$B$703,A19,Benefits!$F$4:$F$703,B19,Benefits!$R$4:$R$703,"cash"),0)</f>
        <v>0</v>
      </c>
      <c r="G19" s="11" t="n">
        <f aca="false">IF(D19=1,SUMIFS(Benefits!$S$4:$S$703,Benefits!$B$4:$B$703,A19,Benefits!$F$4:$F$703,B19,Benefits!$R$4:$R$703,"revenue"),0)</f>
        <v>0</v>
      </c>
      <c r="H19" s="11" t="n">
        <f aca="false">IF(D19=1,SUMIFS(Benefits!$S$4:$S$703,Benefits!$B$4:$B$703,A19,Benefits!$F$4:$F$703,B19,Benefits!$R$4:$R$703,"avoided_cost_realised"),0)</f>
        <v>0</v>
      </c>
      <c r="I19" s="11" t="n">
        <f aca="false">IF(D19=1,SUMIFS(Benefits!$S$4:$S$703,Benefits!$B$4:$B$703,A19,Benefits!$F$4:$F$703,B19,Benefits!$R$4:$R$703,"capacity_converted"),0)</f>
        <v>0</v>
      </c>
      <c r="J19" s="11" t="n">
        <f aca="false">SUM(F19:I19)</f>
        <v>0</v>
      </c>
      <c r="K19" s="11" t="n">
        <f aca="false">J19-E19</f>
        <v>0</v>
      </c>
      <c r="L19" s="11" t="n">
        <f aca="false">IF(D19=1,L18+K19,0)</f>
        <v>667505.4672</v>
      </c>
      <c r="M19" s="11" t="n">
        <f aca="false">IF(D19=1,1/(1+Controls!$B$11)^B19,0)</f>
        <v>0.908281566980182</v>
      </c>
      <c r="N19" s="11" t="n">
        <f aca="false">K19*M19</f>
        <v>0</v>
      </c>
      <c r="O19" s="11" t="n">
        <f aca="false">IF(D19=1,O18+N19,0)</f>
        <v>578533.263715637</v>
      </c>
      <c r="P19" s="11" t="n">
        <f aca="false">IF(AND(D19=1,L19&lt;0),1,0)</f>
        <v>0</v>
      </c>
      <c r="Q19" s="11" t="n">
        <f aca="false">IF(AND(D19=1,O19&lt;0),1,0)</f>
        <v>0</v>
      </c>
    </row>
    <row r="20" customFormat="false" ht="15" hidden="false" customHeight="false" outlineLevel="0" collapsed="false">
      <c r="A20" s="4" t="s">
        <v>83</v>
      </c>
      <c r="B20" s="4" t="n">
        <v>16</v>
      </c>
      <c r="C20" s="11" t="n">
        <f aca="false">IF(COUNTIF('Scenario inputs'!$A$4:$A$213,Controls!$B$3&amp;"|"&amp;A20)&gt;0,1,0)</f>
        <v>1</v>
      </c>
      <c r="D20" s="11" t="n">
        <f aca="false">IF(AND(C20=1,B20&lt;Controls!$B$12),1,0)</f>
        <v>1</v>
      </c>
      <c r="E20" s="11" t="n">
        <f aca="false">IF(D20=1,SUMPRODUCT((Costs!$B$4:$B$903=A20)*(Costs!$D$4:$D$903="planned")*(Costs!$J$4:$J$903&lt;=B20)*(Costs!$K$4:$K$903&gt;B20)*Costs!$E$4:$E$903),0)</f>
        <v>0</v>
      </c>
      <c r="F20" s="11" t="n">
        <f aca="false">IF(D20=1,SUMIFS(Benefits!$S$4:$S$703,Benefits!$B$4:$B$703,A20,Benefits!$F$4:$F$703,B20,Benefits!$R$4:$R$703,"cash"),0)</f>
        <v>0</v>
      </c>
      <c r="G20" s="11" t="n">
        <f aca="false">IF(D20=1,SUMIFS(Benefits!$S$4:$S$703,Benefits!$B$4:$B$703,A20,Benefits!$F$4:$F$703,B20,Benefits!$R$4:$R$703,"revenue"),0)</f>
        <v>0</v>
      </c>
      <c r="H20" s="11" t="n">
        <f aca="false">IF(D20=1,SUMIFS(Benefits!$S$4:$S$703,Benefits!$B$4:$B$703,A20,Benefits!$F$4:$F$703,B20,Benefits!$R$4:$R$703,"avoided_cost_realised"),0)</f>
        <v>0</v>
      </c>
      <c r="I20" s="11" t="n">
        <f aca="false">IF(D20=1,SUMIFS(Benefits!$S$4:$S$703,Benefits!$B$4:$B$703,A20,Benefits!$F$4:$F$703,B20,Benefits!$R$4:$R$703,"capacity_converted"),0)</f>
        <v>0</v>
      </c>
      <c r="J20" s="11" t="n">
        <f aca="false">SUM(F20:I20)</f>
        <v>0</v>
      </c>
      <c r="K20" s="11" t="n">
        <f aca="false">J20-E20</f>
        <v>0</v>
      </c>
      <c r="L20" s="11" t="n">
        <f aca="false">IF(D20=1,L19+K20,0)</f>
        <v>667505.4672</v>
      </c>
      <c r="M20" s="11" t="n">
        <f aca="false">IF(D20=1,1/(1+Controls!$B$11)^B20,0)</f>
        <v>0.902475042556374</v>
      </c>
      <c r="N20" s="11" t="n">
        <f aca="false">K20*M20</f>
        <v>0</v>
      </c>
      <c r="O20" s="11" t="n">
        <f aca="false">IF(D20=1,O19+N20,0)</f>
        <v>578533.263715637</v>
      </c>
      <c r="P20" s="11" t="n">
        <f aca="false">IF(AND(D20=1,L20&lt;0),1,0)</f>
        <v>0</v>
      </c>
      <c r="Q20" s="11" t="n">
        <f aca="false">IF(AND(D20=1,O20&lt;0),1,0)</f>
        <v>0</v>
      </c>
    </row>
    <row r="21" customFormat="false" ht="15" hidden="false" customHeight="false" outlineLevel="0" collapsed="false">
      <c r="A21" s="4" t="s">
        <v>83</v>
      </c>
      <c r="B21" s="4" t="n">
        <v>17</v>
      </c>
      <c r="C21" s="11" t="n">
        <f aca="false">IF(COUNTIF('Scenario inputs'!$A$4:$A$213,Controls!$B$3&amp;"|"&amp;A21)&gt;0,1,0)</f>
        <v>1</v>
      </c>
      <c r="D21" s="11" t="n">
        <f aca="false">IF(AND(C21=1,B21&lt;Controls!$B$12),1,0)</f>
        <v>1</v>
      </c>
      <c r="E21" s="11" t="n">
        <f aca="false">IF(D21=1,SUMPRODUCT((Costs!$B$4:$B$903=A21)*(Costs!$D$4:$D$903="planned")*(Costs!$J$4:$J$903&lt;=B21)*(Costs!$K$4:$K$903&gt;B21)*Costs!$E$4:$E$903),0)</f>
        <v>0</v>
      </c>
      <c r="F21" s="11" t="n">
        <f aca="false">IF(D21=1,SUMIFS(Benefits!$S$4:$S$703,Benefits!$B$4:$B$703,A21,Benefits!$F$4:$F$703,B21,Benefits!$R$4:$R$703,"cash"),0)</f>
        <v>0</v>
      </c>
      <c r="G21" s="11" t="n">
        <f aca="false">IF(D21=1,SUMIFS(Benefits!$S$4:$S$703,Benefits!$B$4:$B$703,A21,Benefits!$F$4:$F$703,B21,Benefits!$R$4:$R$703,"revenue"),0)</f>
        <v>0</v>
      </c>
      <c r="H21" s="11" t="n">
        <f aca="false">IF(D21=1,SUMIFS(Benefits!$S$4:$S$703,Benefits!$B$4:$B$703,A21,Benefits!$F$4:$F$703,B21,Benefits!$R$4:$R$703,"avoided_cost_realised"),0)</f>
        <v>0</v>
      </c>
      <c r="I21" s="11" t="n">
        <f aca="false">IF(D21=1,SUMIFS(Benefits!$S$4:$S$703,Benefits!$B$4:$B$703,A21,Benefits!$F$4:$F$703,B21,Benefits!$R$4:$R$703,"capacity_converted"),0)</f>
        <v>0</v>
      </c>
      <c r="J21" s="11" t="n">
        <f aca="false">SUM(F21:I21)</f>
        <v>0</v>
      </c>
      <c r="K21" s="11" t="n">
        <f aca="false">J21-E21</f>
        <v>0</v>
      </c>
      <c r="L21" s="11" t="n">
        <f aca="false">IF(D21=1,L20+K21,0)</f>
        <v>667505.4672</v>
      </c>
      <c r="M21" s="11" t="n">
        <f aca="false">IF(D21=1,1/(1+Controls!$B$11)^B21,0)</f>
        <v>0.896705638478404</v>
      </c>
      <c r="N21" s="11" t="n">
        <f aca="false">K21*M21</f>
        <v>0</v>
      </c>
      <c r="O21" s="11" t="n">
        <f aca="false">IF(D21=1,O20+N21,0)</f>
        <v>578533.263715637</v>
      </c>
      <c r="P21" s="11" t="n">
        <f aca="false">IF(AND(D21=1,L21&lt;0),1,0)</f>
        <v>0</v>
      </c>
      <c r="Q21" s="11" t="n">
        <f aca="false">IF(AND(D21=1,O21&lt;0),1,0)</f>
        <v>0</v>
      </c>
    </row>
    <row r="22" customFormat="false" ht="15" hidden="false" customHeight="false" outlineLevel="0" collapsed="false">
      <c r="A22" s="4" t="s">
        <v>83</v>
      </c>
      <c r="B22" s="4" t="n">
        <v>18</v>
      </c>
      <c r="C22" s="11" t="n">
        <f aca="false">IF(COUNTIF('Scenario inputs'!$A$4:$A$213,Controls!$B$3&amp;"|"&amp;A22)&gt;0,1,0)</f>
        <v>1</v>
      </c>
      <c r="D22" s="11" t="n">
        <f aca="false">IF(AND(C22=1,B22&lt;Controls!$B$12),1,0)</f>
        <v>1</v>
      </c>
      <c r="E22" s="11" t="n">
        <f aca="false">IF(D22=1,SUMPRODUCT((Costs!$B$4:$B$903=A22)*(Costs!$D$4:$D$903="planned")*(Costs!$J$4:$J$903&lt;=B22)*(Costs!$K$4:$K$903&gt;B22)*Costs!$E$4:$E$903),0)</f>
        <v>0</v>
      </c>
      <c r="F22" s="11" t="n">
        <f aca="false">IF(D22=1,SUMIFS(Benefits!$S$4:$S$703,Benefits!$B$4:$B$703,A22,Benefits!$F$4:$F$703,B22,Benefits!$R$4:$R$703,"cash"),0)</f>
        <v>0</v>
      </c>
      <c r="G22" s="11" t="n">
        <f aca="false">IF(D22=1,SUMIFS(Benefits!$S$4:$S$703,Benefits!$B$4:$B$703,A22,Benefits!$F$4:$F$703,B22,Benefits!$R$4:$R$703,"revenue"),0)</f>
        <v>0</v>
      </c>
      <c r="H22" s="11" t="n">
        <f aca="false">IF(D22=1,SUMIFS(Benefits!$S$4:$S$703,Benefits!$B$4:$B$703,A22,Benefits!$F$4:$F$703,B22,Benefits!$R$4:$R$703,"avoided_cost_realised"),0)</f>
        <v>0</v>
      </c>
      <c r="I22" s="11" t="n">
        <f aca="false">IF(D22=1,SUMIFS(Benefits!$S$4:$S$703,Benefits!$B$4:$B$703,A22,Benefits!$F$4:$F$703,B22,Benefits!$R$4:$R$703,"capacity_converted"),0)</f>
        <v>0</v>
      </c>
      <c r="J22" s="11" t="n">
        <f aca="false">SUM(F22:I22)</f>
        <v>0</v>
      </c>
      <c r="K22" s="11" t="n">
        <f aca="false">J22-E22</f>
        <v>0</v>
      </c>
      <c r="L22" s="11" t="n">
        <f aca="false">IF(D22=1,L21+K22,0)</f>
        <v>667505.4672</v>
      </c>
      <c r="M22" s="11" t="n">
        <f aca="false">IF(D22=1,1/(1+Controls!$B$11)^B22,0)</f>
        <v>0.89097311744079</v>
      </c>
      <c r="N22" s="11" t="n">
        <f aca="false">K22*M22</f>
        <v>0</v>
      </c>
      <c r="O22" s="11" t="n">
        <f aca="false">IF(D22=1,O21+N22,0)</f>
        <v>578533.263715637</v>
      </c>
      <c r="P22" s="11" t="n">
        <f aca="false">IF(AND(D22=1,L22&lt;0),1,0)</f>
        <v>0</v>
      </c>
      <c r="Q22" s="11" t="n">
        <f aca="false">IF(AND(D22=1,O22&lt;0),1,0)</f>
        <v>0</v>
      </c>
    </row>
    <row r="23" customFormat="false" ht="15" hidden="false" customHeight="false" outlineLevel="0" collapsed="false">
      <c r="A23" s="4" t="s">
        <v>83</v>
      </c>
      <c r="B23" s="4" t="n">
        <v>19</v>
      </c>
      <c r="C23" s="11" t="n">
        <f aca="false">IF(COUNTIF('Scenario inputs'!$A$4:$A$213,Controls!$B$3&amp;"|"&amp;A23)&gt;0,1,0)</f>
        <v>1</v>
      </c>
      <c r="D23" s="11" t="n">
        <f aca="false">IF(AND(C23=1,B23&lt;Controls!$B$12),1,0)</f>
        <v>1</v>
      </c>
      <c r="E23" s="11" t="n">
        <f aca="false">IF(D23=1,SUMPRODUCT((Costs!$B$4:$B$903=A23)*(Costs!$D$4:$D$903="planned")*(Costs!$J$4:$J$903&lt;=B23)*(Costs!$K$4:$K$903&gt;B23)*Costs!$E$4:$E$903),0)</f>
        <v>0</v>
      </c>
      <c r="F23" s="11" t="n">
        <f aca="false">IF(D23=1,SUMIFS(Benefits!$S$4:$S$703,Benefits!$B$4:$B$703,A23,Benefits!$F$4:$F$703,B23,Benefits!$R$4:$R$703,"cash"),0)</f>
        <v>0</v>
      </c>
      <c r="G23" s="11" t="n">
        <f aca="false">IF(D23=1,SUMIFS(Benefits!$S$4:$S$703,Benefits!$B$4:$B$703,A23,Benefits!$F$4:$F$703,B23,Benefits!$R$4:$R$703,"revenue"),0)</f>
        <v>0</v>
      </c>
      <c r="H23" s="11" t="n">
        <f aca="false">IF(D23=1,SUMIFS(Benefits!$S$4:$S$703,Benefits!$B$4:$B$703,A23,Benefits!$F$4:$F$703,B23,Benefits!$R$4:$R$703,"avoided_cost_realised"),0)</f>
        <v>0</v>
      </c>
      <c r="I23" s="11" t="n">
        <f aca="false">IF(D23=1,SUMIFS(Benefits!$S$4:$S$703,Benefits!$B$4:$B$703,A23,Benefits!$F$4:$F$703,B23,Benefits!$R$4:$R$703,"capacity_converted"),0)</f>
        <v>0</v>
      </c>
      <c r="J23" s="11" t="n">
        <f aca="false">SUM(F23:I23)</f>
        <v>0</v>
      </c>
      <c r="K23" s="11" t="n">
        <f aca="false">J23-E23</f>
        <v>0</v>
      </c>
      <c r="L23" s="11" t="n">
        <f aca="false">IF(D23=1,L22+K23,0)</f>
        <v>667505.4672</v>
      </c>
      <c r="M23" s="11" t="n">
        <f aca="false">IF(D23=1,1/(1+Controls!$B$11)^B23,0)</f>
        <v>0.885277243655113</v>
      </c>
      <c r="N23" s="11" t="n">
        <f aca="false">K23*M23</f>
        <v>0</v>
      </c>
      <c r="O23" s="11" t="n">
        <f aca="false">IF(D23=1,O22+N23,0)</f>
        <v>578533.263715637</v>
      </c>
      <c r="P23" s="11" t="n">
        <f aca="false">IF(AND(D23=1,L23&lt;0),1,0)</f>
        <v>0</v>
      </c>
      <c r="Q23" s="11" t="n">
        <f aca="false">IF(AND(D23=1,O23&lt;0),1,0)</f>
        <v>0</v>
      </c>
    </row>
    <row r="24" customFormat="false" ht="15" hidden="false" customHeight="false" outlineLevel="0" collapsed="false">
      <c r="A24" s="4" t="s">
        <v>83</v>
      </c>
      <c r="B24" s="4" t="n">
        <v>20</v>
      </c>
      <c r="C24" s="11" t="n">
        <f aca="false">IF(COUNTIF('Scenario inputs'!$A$4:$A$213,Controls!$B$3&amp;"|"&amp;A24)&gt;0,1,0)</f>
        <v>1</v>
      </c>
      <c r="D24" s="11" t="n">
        <f aca="false">IF(AND(C24=1,B24&lt;Controls!$B$12),1,0)</f>
        <v>1</v>
      </c>
      <c r="E24" s="11" t="n">
        <f aca="false">IF(D24=1,SUMPRODUCT((Costs!$B$4:$B$903=A24)*(Costs!$D$4:$D$903="planned")*(Costs!$J$4:$J$903&lt;=B24)*(Costs!$K$4:$K$903&gt;B24)*Costs!$E$4:$E$903),0)</f>
        <v>0</v>
      </c>
      <c r="F24" s="11" t="n">
        <f aca="false">IF(D24=1,SUMIFS(Benefits!$S$4:$S$703,Benefits!$B$4:$B$703,A24,Benefits!$F$4:$F$703,B24,Benefits!$R$4:$R$703,"cash"),0)</f>
        <v>0</v>
      </c>
      <c r="G24" s="11" t="n">
        <f aca="false">IF(D24=1,SUMIFS(Benefits!$S$4:$S$703,Benefits!$B$4:$B$703,A24,Benefits!$F$4:$F$703,B24,Benefits!$R$4:$R$703,"revenue"),0)</f>
        <v>0</v>
      </c>
      <c r="H24" s="11" t="n">
        <f aca="false">IF(D24=1,SUMIFS(Benefits!$S$4:$S$703,Benefits!$B$4:$B$703,A24,Benefits!$F$4:$F$703,B24,Benefits!$R$4:$R$703,"avoided_cost_realised"),0)</f>
        <v>0</v>
      </c>
      <c r="I24" s="11" t="n">
        <f aca="false">IF(D24=1,SUMIFS(Benefits!$S$4:$S$703,Benefits!$B$4:$B$703,A24,Benefits!$F$4:$F$703,B24,Benefits!$R$4:$R$703,"capacity_converted"),0)</f>
        <v>0</v>
      </c>
      <c r="J24" s="11" t="n">
        <f aca="false">SUM(F24:I24)</f>
        <v>0</v>
      </c>
      <c r="K24" s="11" t="n">
        <f aca="false">J24-E24</f>
        <v>0</v>
      </c>
      <c r="L24" s="11" t="n">
        <f aca="false">IF(D24=1,L23+K24,0)</f>
        <v>667505.4672</v>
      </c>
      <c r="M24" s="11" t="n">
        <f aca="false">IF(D24=1,1/(1+Controls!$B$11)^B24,0)</f>
        <v>0.879617782840318</v>
      </c>
      <c r="N24" s="11" t="n">
        <f aca="false">K24*M24</f>
        <v>0</v>
      </c>
      <c r="O24" s="11" t="n">
        <f aca="false">IF(D24=1,O23+N24,0)</f>
        <v>578533.263715637</v>
      </c>
      <c r="P24" s="11" t="n">
        <f aca="false">IF(AND(D24=1,L24&lt;0),1,0)</f>
        <v>0</v>
      </c>
      <c r="Q24" s="11" t="n">
        <f aca="false">IF(AND(D24=1,O24&lt;0),1,0)</f>
        <v>0</v>
      </c>
    </row>
    <row r="25" customFormat="false" ht="15" hidden="false" customHeight="false" outlineLevel="0" collapsed="false">
      <c r="A25" s="4" t="s">
        <v>83</v>
      </c>
      <c r="B25" s="4" t="n">
        <v>21</v>
      </c>
      <c r="C25" s="11" t="n">
        <f aca="false">IF(COUNTIF('Scenario inputs'!$A$4:$A$213,Controls!$B$3&amp;"|"&amp;A25)&gt;0,1,0)</f>
        <v>1</v>
      </c>
      <c r="D25" s="11" t="n">
        <f aca="false">IF(AND(C25=1,B25&lt;Controls!$B$12),1,0)</f>
        <v>1</v>
      </c>
      <c r="E25" s="11" t="n">
        <f aca="false">IF(D25=1,SUMPRODUCT((Costs!$B$4:$B$903=A25)*(Costs!$D$4:$D$903="planned")*(Costs!$J$4:$J$903&lt;=B25)*(Costs!$K$4:$K$903&gt;B25)*Costs!$E$4:$E$903),0)</f>
        <v>0</v>
      </c>
      <c r="F25" s="11" t="n">
        <f aca="false">IF(D25=1,SUMIFS(Benefits!$S$4:$S$703,Benefits!$B$4:$B$703,A25,Benefits!$F$4:$F$703,B25,Benefits!$R$4:$R$703,"cash"),0)</f>
        <v>0</v>
      </c>
      <c r="G25" s="11" t="n">
        <f aca="false">IF(D25=1,SUMIFS(Benefits!$S$4:$S$703,Benefits!$B$4:$B$703,A25,Benefits!$F$4:$F$703,B25,Benefits!$R$4:$R$703,"revenue"),0)</f>
        <v>0</v>
      </c>
      <c r="H25" s="11" t="n">
        <f aca="false">IF(D25=1,SUMIFS(Benefits!$S$4:$S$703,Benefits!$B$4:$B$703,A25,Benefits!$F$4:$F$703,B25,Benefits!$R$4:$R$703,"avoided_cost_realised"),0)</f>
        <v>0</v>
      </c>
      <c r="I25" s="11" t="n">
        <f aca="false">IF(D25=1,SUMIFS(Benefits!$S$4:$S$703,Benefits!$B$4:$B$703,A25,Benefits!$F$4:$F$703,B25,Benefits!$R$4:$R$703,"capacity_converted"),0)</f>
        <v>0</v>
      </c>
      <c r="J25" s="11" t="n">
        <f aca="false">SUM(F25:I25)</f>
        <v>0</v>
      </c>
      <c r="K25" s="11" t="n">
        <f aca="false">J25-E25</f>
        <v>0</v>
      </c>
      <c r="L25" s="11" t="n">
        <f aca="false">IF(D25=1,L24+K25,0)</f>
        <v>667505.4672</v>
      </c>
      <c r="M25" s="11" t="n">
        <f aca="false">IF(D25=1,1/(1+Controls!$B$11)^B25,0)</f>
        <v>0.873994502213079</v>
      </c>
      <c r="N25" s="11" t="n">
        <f aca="false">K25*M25</f>
        <v>0</v>
      </c>
      <c r="O25" s="11" t="n">
        <f aca="false">IF(D25=1,O24+N25,0)</f>
        <v>578533.263715637</v>
      </c>
      <c r="P25" s="11" t="n">
        <f aca="false">IF(AND(D25=1,L25&lt;0),1,0)</f>
        <v>0</v>
      </c>
      <c r="Q25" s="11" t="n">
        <f aca="false">IF(AND(D25=1,O25&lt;0),1,0)</f>
        <v>0</v>
      </c>
    </row>
    <row r="26" customFormat="false" ht="15" hidden="false" customHeight="false" outlineLevel="0" collapsed="false">
      <c r="A26" s="4" t="s">
        <v>83</v>
      </c>
      <c r="B26" s="4" t="n">
        <v>22</v>
      </c>
      <c r="C26" s="11" t="n">
        <f aca="false">IF(COUNTIF('Scenario inputs'!$A$4:$A$213,Controls!$B$3&amp;"|"&amp;A26)&gt;0,1,0)</f>
        <v>1</v>
      </c>
      <c r="D26" s="11" t="n">
        <f aca="false">IF(AND(C26=1,B26&lt;Controls!$B$12),1,0)</f>
        <v>1</v>
      </c>
      <c r="E26" s="11" t="n">
        <f aca="false">IF(D26=1,SUMPRODUCT((Costs!$B$4:$B$903=A26)*(Costs!$D$4:$D$903="planned")*(Costs!$J$4:$J$903&lt;=B26)*(Costs!$K$4:$K$903&gt;B26)*Costs!$E$4:$E$903),0)</f>
        <v>0</v>
      </c>
      <c r="F26" s="11" t="n">
        <f aca="false">IF(D26=1,SUMIFS(Benefits!$S$4:$S$703,Benefits!$B$4:$B$703,A26,Benefits!$F$4:$F$703,B26,Benefits!$R$4:$R$703,"cash"),0)</f>
        <v>0</v>
      </c>
      <c r="G26" s="11" t="n">
        <f aca="false">IF(D26=1,SUMIFS(Benefits!$S$4:$S$703,Benefits!$B$4:$B$703,A26,Benefits!$F$4:$F$703,B26,Benefits!$R$4:$R$703,"revenue"),0)</f>
        <v>0</v>
      </c>
      <c r="H26" s="11" t="n">
        <f aca="false">IF(D26=1,SUMIFS(Benefits!$S$4:$S$703,Benefits!$B$4:$B$703,A26,Benefits!$F$4:$F$703,B26,Benefits!$R$4:$R$703,"avoided_cost_realised"),0)</f>
        <v>0</v>
      </c>
      <c r="I26" s="11" t="n">
        <f aca="false">IF(D26=1,SUMIFS(Benefits!$S$4:$S$703,Benefits!$B$4:$B$703,A26,Benefits!$F$4:$F$703,B26,Benefits!$R$4:$R$703,"capacity_converted"),0)</f>
        <v>0</v>
      </c>
      <c r="J26" s="11" t="n">
        <f aca="false">SUM(F26:I26)</f>
        <v>0</v>
      </c>
      <c r="K26" s="11" t="n">
        <f aca="false">J26-E26</f>
        <v>0</v>
      </c>
      <c r="L26" s="11" t="n">
        <f aca="false">IF(D26=1,L25+K26,0)</f>
        <v>667505.4672</v>
      </c>
      <c r="M26" s="11" t="n">
        <f aca="false">IF(D26=1,1/(1+Controls!$B$11)^B26,0)</f>
        <v>0.868407170478222</v>
      </c>
      <c r="N26" s="11" t="n">
        <f aca="false">K26*M26</f>
        <v>0</v>
      </c>
      <c r="O26" s="11" t="n">
        <f aca="false">IF(D26=1,O25+N26,0)</f>
        <v>578533.263715637</v>
      </c>
      <c r="P26" s="11" t="n">
        <f aca="false">IF(AND(D26=1,L26&lt;0),1,0)</f>
        <v>0</v>
      </c>
      <c r="Q26" s="11" t="n">
        <f aca="false">IF(AND(D26=1,O26&lt;0),1,0)</f>
        <v>0</v>
      </c>
    </row>
    <row r="27" customFormat="false" ht="15" hidden="false" customHeight="false" outlineLevel="0" collapsed="false">
      <c r="A27" s="4" t="s">
        <v>83</v>
      </c>
      <c r="B27" s="4" t="n">
        <v>23</v>
      </c>
      <c r="C27" s="11" t="n">
        <f aca="false">IF(COUNTIF('Scenario inputs'!$A$4:$A$213,Controls!$B$3&amp;"|"&amp;A27)&gt;0,1,0)</f>
        <v>1</v>
      </c>
      <c r="D27" s="11" t="n">
        <f aca="false">IF(AND(C27=1,B27&lt;Controls!$B$12),1,0)</f>
        <v>1</v>
      </c>
      <c r="E27" s="11" t="n">
        <f aca="false">IF(D27=1,SUMPRODUCT((Costs!$B$4:$B$903=A27)*(Costs!$D$4:$D$903="planned")*(Costs!$J$4:$J$903&lt;=B27)*(Costs!$K$4:$K$903&gt;B27)*Costs!$E$4:$E$903),0)</f>
        <v>0</v>
      </c>
      <c r="F27" s="11" t="n">
        <f aca="false">IF(D27=1,SUMIFS(Benefits!$S$4:$S$703,Benefits!$B$4:$B$703,A27,Benefits!$F$4:$F$703,B27,Benefits!$R$4:$R$703,"cash"),0)</f>
        <v>0</v>
      </c>
      <c r="G27" s="11" t="n">
        <f aca="false">IF(D27=1,SUMIFS(Benefits!$S$4:$S$703,Benefits!$B$4:$B$703,A27,Benefits!$F$4:$F$703,B27,Benefits!$R$4:$R$703,"revenue"),0)</f>
        <v>0</v>
      </c>
      <c r="H27" s="11" t="n">
        <f aca="false">IF(D27=1,SUMIFS(Benefits!$S$4:$S$703,Benefits!$B$4:$B$703,A27,Benefits!$F$4:$F$703,B27,Benefits!$R$4:$R$703,"avoided_cost_realised"),0)</f>
        <v>0</v>
      </c>
      <c r="I27" s="11" t="n">
        <f aca="false">IF(D27=1,SUMIFS(Benefits!$S$4:$S$703,Benefits!$B$4:$B$703,A27,Benefits!$F$4:$F$703,B27,Benefits!$R$4:$R$703,"capacity_converted"),0)</f>
        <v>0</v>
      </c>
      <c r="J27" s="11" t="n">
        <f aca="false">SUM(F27:I27)</f>
        <v>0</v>
      </c>
      <c r="K27" s="11" t="n">
        <f aca="false">J27-E27</f>
        <v>0</v>
      </c>
      <c r="L27" s="11" t="n">
        <f aca="false">IF(D27=1,L26+K27,0)</f>
        <v>667505.4672</v>
      </c>
      <c r="M27" s="11" t="n">
        <f aca="false">IF(D27=1,1/(1+Controls!$B$11)^B27,0)</f>
        <v>0.862855557819213</v>
      </c>
      <c r="N27" s="11" t="n">
        <f aca="false">K27*M27</f>
        <v>0</v>
      </c>
      <c r="O27" s="11" t="n">
        <f aca="false">IF(D27=1,O26+N27,0)</f>
        <v>578533.263715637</v>
      </c>
      <c r="P27" s="11" t="n">
        <f aca="false">IF(AND(D27=1,L27&lt;0),1,0)</f>
        <v>0</v>
      </c>
      <c r="Q27" s="11" t="n">
        <f aca="false">IF(AND(D27=1,O27&lt;0),1,0)</f>
        <v>0</v>
      </c>
    </row>
    <row r="28" customFormat="false" ht="15" hidden="false" customHeight="false" outlineLevel="0" collapsed="false">
      <c r="A28" s="4" t="s">
        <v>83</v>
      </c>
      <c r="B28" s="4" t="n">
        <v>24</v>
      </c>
      <c r="C28" s="11" t="n">
        <f aca="false">IF(COUNTIF('Scenario inputs'!$A$4:$A$213,Controls!$B$3&amp;"|"&amp;A28)&gt;0,1,0)</f>
        <v>1</v>
      </c>
      <c r="D28" s="11" t="n">
        <f aca="false">IF(AND(C28=1,B28&lt;Controls!$B$12),1,0)</f>
        <v>1</v>
      </c>
      <c r="E28" s="11" t="n">
        <f aca="false">IF(D28=1,SUMPRODUCT((Costs!$B$4:$B$903=A28)*(Costs!$D$4:$D$903="planned")*(Costs!$J$4:$J$903&lt;=B28)*(Costs!$K$4:$K$903&gt;B28)*Costs!$E$4:$E$903),0)</f>
        <v>0</v>
      </c>
      <c r="F28" s="11" t="n">
        <f aca="false">IF(D28=1,SUMIFS(Benefits!$S$4:$S$703,Benefits!$B$4:$B$703,A28,Benefits!$F$4:$F$703,B28,Benefits!$R$4:$R$703,"cash"),0)</f>
        <v>0</v>
      </c>
      <c r="G28" s="11" t="n">
        <f aca="false">IF(D28=1,SUMIFS(Benefits!$S$4:$S$703,Benefits!$B$4:$B$703,A28,Benefits!$F$4:$F$703,B28,Benefits!$R$4:$R$703,"revenue"),0)</f>
        <v>0</v>
      </c>
      <c r="H28" s="11" t="n">
        <f aca="false">IF(D28=1,SUMIFS(Benefits!$S$4:$S$703,Benefits!$B$4:$B$703,A28,Benefits!$F$4:$F$703,B28,Benefits!$R$4:$R$703,"avoided_cost_realised"),0)</f>
        <v>0</v>
      </c>
      <c r="I28" s="11" t="n">
        <f aca="false">IF(D28=1,SUMIFS(Benefits!$S$4:$S$703,Benefits!$B$4:$B$703,A28,Benefits!$F$4:$F$703,B28,Benefits!$R$4:$R$703,"capacity_converted"),0)</f>
        <v>0</v>
      </c>
      <c r="J28" s="11" t="n">
        <f aca="false">SUM(F28:I28)</f>
        <v>0</v>
      </c>
      <c r="K28" s="11" t="n">
        <f aca="false">J28-E28</f>
        <v>0</v>
      </c>
      <c r="L28" s="11" t="n">
        <f aca="false">IF(D28=1,L27+K28,0)</f>
        <v>667505.4672</v>
      </c>
      <c r="M28" s="11" t="n">
        <f aca="false">IF(D28=1,1/(1+Controls!$B$11)^B28,0)</f>
        <v>0.857339435888705</v>
      </c>
      <c r="N28" s="11" t="n">
        <f aca="false">K28*M28</f>
        <v>0</v>
      </c>
      <c r="O28" s="11" t="n">
        <f aca="false">IF(D28=1,O27+N28,0)</f>
        <v>578533.263715637</v>
      </c>
      <c r="P28" s="11" t="n">
        <f aca="false">IF(AND(D28=1,L28&lt;0),1,0)</f>
        <v>0</v>
      </c>
      <c r="Q28" s="11" t="n">
        <f aca="false">IF(AND(D28=1,O28&lt;0),1,0)</f>
        <v>0</v>
      </c>
    </row>
    <row r="29" customFormat="false" ht="15" hidden="false" customHeight="false" outlineLevel="0" collapsed="false">
      <c r="A29" s="4" t="s">
        <v>83</v>
      </c>
      <c r="B29" s="4" t="n">
        <v>25</v>
      </c>
      <c r="C29" s="11" t="n">
        <f aca="false">IF(COUNTIF('Scenario inputs'!$A$4:$A$213,Controls!$B$3&amp;"|"&amp;A29)&gt;0,1,0)</f>
        <v>1</v>
      </c>
      <c r="D29" s="11" t="n">
        <f aca="false">IF(AND(C29=1,B29&lt;Controls!$B$12),1,0)</f>
        <v>1</v>
      </c>
      <c r="E29" s="11" t="n">
        <f aca="false">IF(D29=1,SUMPRODUCT((Costs!$B$4:$B$903=A29)*(Costs!$D$4:$D$903="planned")*(Costs!$J$4:$J$903&lt;=B29)*(Costs!$K$4:$K$903&gt;B29)*Costs!$E$4:$E$903),0)</f>
        <v>0</v>
      </c>
      <c r="F29" s="11" t="n">
        <f aca="false">IF(D29=1,SUMIFS(Benefits!$S$4:$S$703,Benefits!$B$4:$B$703,A29,Benefits!$F$4:$F$703,B29,Benefits!$R$4:$R$703,"cash"),0)</f>
        <v>0</v>
      </c>
      <c r="G29" s="11" t="n">
        <f aca="false">IF(D29=1,SUMIFS(Benefits!$S$4:$S$703,Benefits!$B$4:$B$703,A29,Benefits!$F$4:$F$703,B29,Benefits!$R$4:$R$703,"revenue"),0)</f>
        <v>0</v>
      </c>
      <c r="H29" s="11" t="n">
        <f aca="false">IF(D29=1,SUMIFS(Benefits!$S$4:$S$703,Benefits!$B$4:$B$703,A29,Benefits!$F$4:$F$703,B29,Benefits!$R$4:$R$703,"avoided_cost_realised"),0)</f>
        <v>0</v>
      </c>
      <c r="I29" s="11" t="n">
        <f aca="false">IF(D29=1,SUMIFS(Benefits!$S$4:$S$703,Benefits!$B$4:$B$703,A29,Benefits!$F$4:$F$703,B29,Benefits!$R$4:$R$703,"capacity_converted"),0)</f>
        <v>0</v>
      </c>
      <c r="J29" s="11" t="n">
        <f aca="false">SUM(F29:I29)</f>
        <v>0</v>
      </c>
      <c r="K29" s="11" t="n">
        <f aca="false">J29-E29</f>
        <v>0</v>
      </c>
      <c r="L29" s="11" t="n">
        <f aca="false">IF(D29=1,L28+K29,0)</f>
        <v>667505.4672</v>
      </c>
      <c r="M29" s="11" t="n">
        <f aca="false">IF(D29=1,1/(1+Controls!$B$11)^B29,0)</f>
        <v>0.851858577799146</v>
      </c>
      <c r="N29" s="11" t="n">
        <f aca="false">K29*M29</f>
        <v>0</v>
      </c>
      <c r="O29" s="11" t="n">
        <f aca="false">IF(D29=1,O28+N29,0)</f>
        <v>578533.263715637</v>
      </c>
      <c r="P29" s="11" t="n">
        <f aca="false">IF(AND(D29=1,L29&lt;0),1,0)</f>
        <v>0</v>
      </c>
      <c r="Q29" s="11" t="n">
        <f aca="false">IF(AND(D29=1,O29&lt;0),1,0)</f>
        <v>0</v>
      </c>
    </row>
    <row r="30" customFormat="false" ht="15" hidden="false" customHeight="false" outlineLevel="0" collapsed="false">
      <c r="A30" s="4" t="s">
        <v>83</v>
      </c>
      <c r="B30" s="4" t="n">
        <v>26</v>
      </c>
      <c r="C30" s="11" t="n">
        <f aca="false">IF(COUNTIF('Scenario inputs'!$A$4:$A$213,Controls!$B$3&amp;"|"&amp;A30)&gt;0,1,0)</f>
        <v>1</v>
      </c>
      <c r="D30" s="11" t="n">
        <f aca="false">IF(AND(C30=1,B30&lt;Controls!$B$12),1,0)</f>
        <v>1</v>
      </c>
      <c r="E30" s="11" t="n">
        <f aca="false">IF(D30=1,SUMPRODUCT((Costs!$B$4:$B$903=A30)*(Costs!$D$4:$D$903="planned")*(Costs!$J$4:$J$903&lt;=B30)*(Costs!$K$4:$K$903&gt;B30)*Costs!$E$4:$E$903),0)</f>
        <v>0</v>
      </c>
      <c r="F30" s="11" t="n">
        <f aca="false">IF(D30=1,SUMIFS(Benefits!$S$4:$S$703,Benefits!$B$4:$B$703,A30,Benefits!$F$4:$F$703,B30,Benefits!$R$4:$R$703,"cash"),0)</f>
        <v>0</v>
      </c>
      <c r="G30" s="11" t="n">
        <f aca="false">IF(D30=1,SUMIFS(Benefits!$S$4:$S$703,Benefits!$B$4:$B$703,A30,Benefits!$F$4:$F$703,B30,Benefits!$R$4:$R$703,"revenue"),0)</f>
        <v>0</v>
      </c>
      <c r="H30" s="11" t="n">
        <f aca="false">IF(D30=1,SUMIFS(Benefits!$S$4:$S$703,Benefits!$B$4:$B$703,A30,Benefits!$F$4:$F$703,B30,Benefits!$R$4:$R$703,"avoided_cost_realised"),0)</f>
        <v>0</v>
      </c>
      <c r="I30" s="11" t="n">
        <f aca="false">IF(D30=1,SUMIFS(Benefits!$S$4:$S$703,Benefits!$B$4:$B$703,A30,Benefits!$F$4:$F$703,B30,Benefits!$R$4:$R$703,"capacity_converted"),0)</f>
        <v>0</v>
      </c>
      <c r="J30" s="11" t="n">
        <f aca="false">SUM(F30:I30)</f>
        <v>0</v>
      </c>
      <c r="K30" s="11" t="n">
        <f aca="false">J30-E30</f>
        <v>0</v>
      </c>
      <c r="L30" s="11" t="n">
        <f aca="false">IF(D30=1,L29+K30,0)</f>
        <v>667505.4672</v>
      </c>
      <c r="M30" s="11" t="n">
        <f aca="false">IF(D30=1,1/(1+Controls!$B$11)^B30,0)</f>
        <v>0.846412758113444</v>
      </c>
      <c r="N30" s="11" t="n">
        <f aca="false">K30*M30</f>
        <v>0</v>
      </c>
      <c r="O30" s="11" t="n">
        <f aca="false">IF(D30=1,O29+N30,0)</f>
        <v>578533.263715637</v>
      </c>
      <c r="P30" s="11" t="n">
        <f aca="false">IF(AND(D30=1,L30&lt;0),1,0)</f>
        <v>0</v>
      </c>
      <c r="Q30" s="11" t="n">
        <f aca="false">IF(AND(D30=1,O30&lt;0),1,0)</f>
        <v>0</v>
      </c>
    </row>
    <row r="31" customFormat="false" ht="15" hidden="false" customHeight="false" outlineLevel="0" collapsed="false">
      <c r="A31" s="4" t="s">
        <v>83</v>
      </c>
      <c r="B31" s="4" t="n">
        <v>27</v>
      </c>
      <c r="C31" s="11" t="n">
        <f aca="false">IF(COUNTIF('Scenario inputs'!$A$4:$A$213,Controls!$B$3&amp;"|"&amp;A31)&gt;0,1,0)</f>
        <v>1</v>
      </c>
      <c r="D31" s="11" t="n">
        <f aca="false">IF(AND(C31=1,B31&lt;Controls!$B$12),1,0)</f>
        <v>1</v>
      </c>
      <c r="E31" s="11" t="n">
        <f aca="false">IF(D31=1,SUMPRODUCT((Costs!$B$4:$B$903=A31)*(Costs!$D$4:$D$903="planned")*(Costs!$J$4:$J$903&lt;=B31)*(Costs!$K$4:$K$903&gt;B31)*Costs!$E$4:$E$903),0)</f>
        <v>0</v>
      </c>
      <c r="F31" s="11" t="n">
        <f aca="false">IF(D31=1,SUMIFS(Benefits!$S$4:$S$703,Benefits!$B$4:$B$703,A31,Benefits!$F$4:$F$703,B31,Benefits!$R$4:$R$703,"cash"),0)</f>
        <v>0</v>
      </c>
      <c r="G31" s="11" t="n">
        <f aca="false">IF(D31=1,SUMIFS(Benefits!$S$4:$S$703,Benefits!$B$4:$B$703,A31,Benefits!$F$4:$F$703,B31,Benefits!$R$4:$R$703,"revenue"),0)</f>
        <v>0</v>
      </c>
      <c r="H31" s="11" t="n">
        <f aca="false">IF(D31=1,SUMIFS(Benefits!$S$4:$S$703,Benefits!$B$4:$B$703,A31,Benefits!$F$4:$F$703,B31,Benefits!$R$4:$R$703,"avoided_cost_realised"),0)</f>
        <v>0</v>
      </c>
      <c r="I31" s="11" t="n">
        <f aca="false">IF(D31=1,SUMIFS(Benefits!$S$4:$S$703,Benefits!$B$4:$B$703,A31,Benefits!$F$4:$F$703,B31,Benefits!$R$4:$R$703,"capacity_converted"),0)</f>
        <v>0</v>
      </c>
      <c r="J31" s="11" t="n">
        <f aca="false">SUM(F31:I31)</f>
        <v>0</v>
      </c>
      <c r="K31" s="11" t="n">
        <f aca="false">J31-E31</f>
        <v>0</v>
      </c>
      <c r="L31" s="11" t="n">
        <f aca="false">IF(D31=1,L30+K31,0)</f>
        <v>667505.4672</v>
      </c>
      <c r="M31" s="11" t="n">
        <f aca="false">IF(D31=1,1/(1+Controls!$B$11)^B31,0)</f>
        <v>0.841001752835699</v>
      </c>
      <c r="N31" s="11" t="n">
        <f aca="false">K31*M31</f>
        <v>0</v>
      </c>
      <c r="O31" s="11" t="n">
        <f aca="false">IF(D31=1,O30+N31,0)</f>
        <v>578533.263715637</v>
      </c>
      <c r="P31" s="11" t="n">
        <f aca="false">IF(AND(D31=1,L31&lt;0),1,0)</f>
        <v>0</v>
      </c>
      <c r="Q31" s="11" t="n">
        <f aca="false">IF(AND(D31=1,O31&lt;0),1,0)</f>
        <v>0</v>
      </c>
    </row>
    <row r="32" customFormat="false" ht="15" hidden="false" customHeight="false" outlineLevel="0" collapsed="false">
      <c r="A32" s="4" t="s">
        <v>83</v>
      </c>
      <c r="B32" s="4" t="n">
        <v>28</v>
      </c>
      <c r="C32" s="11" t="n">
        <f aca="false">IF(COUNTIF('Scenario inputs'!$A$4:$A$213,Controls!$B$3&amp;"|"&amp;A32)&gt;0,1,0)</f>
        <v>1</v>
      </c>
      <c r="D32" s="11" t="n">
        <f aca="false">IF(AND(C32=1,B32&lt;Controls!$B$12),1,0)</f>
        <v>1</v>
      </c>
      <c r="E32" s="11" t="n">
        <f aca="false">IF(D32=1,SUMPRODUCT((Costs!$B$4:$B$903=A32)*(Costs!$D$4:$D$903="planned")*(Costs!$J$4:$J$903&lt;=B32)*(Costs!$K$4:$K$903&gt;B32)*Costs!$E$4:$E$903),0)</f>
        <v>0</v>
      </c>
      <c r="F32" s="11" t="n">
        <f aca="false">IF(D32=1,SUMIFS(Benefits!$S$4:$S$703,Benefits!$B$4:$B$703,A32,Benefits!$F$4:$F$703,B32,Benefits!$R$4:$R$703,"cash"),0)</f>
        <v>0</v>
      </c>
      <c r="G32" s="11" t="n">
        <f aca="false">IF(D32=1,SUMIFS(Benefits!$S$4:$S$703,Benefits!$B$4:$B$703,A32,Benefits!$F$4:$F$703,B32,Benefits!$R$4:$R$703,"revenue"),0)</f>
        <v>0</v>
      </c>
      <c r="H32" s="11" t="n">
        <f aca="false">IF(D32=1,SUMIFS(Benefits!$S$4:$S$703,Benefits!$B$4:$B$703,A32,Benefits!$F$4:$F$703,B32,Benefits!$R$4:$R$703,"avoided_cost_realised"),0)</f>
        <v>0</v>
      </c>
      <c r="I32" s="11" t="n">
        <f aca="false">IF(D32=1,SUMIFS(Benefits!$S$4:$S$703,Benefits!$B$4:$B$703,A32,Benefits!$F$4:$F$703,B32,Benefits!$R$4:$R$703,"capacity_converted"),0)</f>
        <v>0</v>
      </c>
      <c r="J32" s="11" t="n">
        <f aca="false">SUM(F32:I32)</f>
        <v>0</v>
      </c>
      <c r="K32" s="11" t="n">
        <f aca="false">J32-E32</f>
        <v>0</v>
      </c>
      <c r="L32" s="11" t="n">
        <f aca="false">IF(D32=1,L31+K32,0)</f>
        <v>667505.4672</v>
      </c>
      <c r="M32" s="11" t="n">
        <f aca="false">IF(D32=1,1/(1+Controls!$B$11)^B32,0)</f>
        <v>0.835625339401986</v>
      </c>
      <c r="N32" s="11" t="n">
        <f aca="false">K32*M32</f>
        <v>0</v>
      </c>
      <c r="O32" s="11" t="n">
        <f aca="false">IF(D32=1,O31+N32,0)</f>
        <v>578533.263715637</v>
      </c>
      <c r="P32" s="11" t="n">
        <f aca="false">IF(AND(D32=1,L32&lt;0),1,0)</f>
        <v>0</v>
      </c>
      <c r="Q32" s="11" t="n">
        <f aca="false">IF(AND(D32=1,O32&lt;0),1,0)</f>
        <v>0</v>
      </c>
    </row>
    <row r="33" customFormat="false" ht="15" hidden="false" customHeight="false" outlineLevel="0" collapsed="false">
      <c r="A33" s="4" t="s">
        <v>83</v>
      </c>
      <c r="B33" s="4" t="n">
        <v>29</v>
      </c>
      <c r="C33" s="11" t="n">
        <f aca="false">IF(COUNTIF('Scenario inputs'!$A$4:$A$213,Controls!$B$3&amp;"|"&amp;A33)&gt;0,1,0)</f>
        <v>1</v>
      </c>
      <c r="D33" s="11" t="n">
        <f aca="false">IF(AND(C33=1,B33&lt;Controls!$B$12),1,0)</f>
        <v>1</v>
      </c>
      <c r="E33" s="11" t="n">
        <f aca="false">IF(D33=1,SUMPRODUCT((Costs!$B$4:$B$903=A33)*(Costs!$D$4:$D$903="planned")*(Costs!$J$4:$J$903&lt;=B33)*(Costs!$K$4:$K$903&gt;B33)*Costs!$E$4:$E$903),0)</f>
        <v>0</v>
      </c>
      <c r="F33" s="11" t="n">
        <f aca="false">IF(D33=1,SUMIFS(Benefits!$S$4:$S$703,Benefits!$B$4:$B$703,A33,Benefits!$F$4:$F$703,B33,Benefits!$R$4:$R$703,"cash"),0)</f>
        <v>0</v>
      </c>
      <c r="G33" s="11" t="n">
        <f aca="false">IF(D33=1,SUMIFS(Benefits!$S$4:$S$703,Benefits!$B$4:$B$703,A33,Benefits!$F$4:$F$703,B33,Benefits!$R$4:$R$703,"revenue"),0)</f>
        <v>0</v>
      </c>
      <c r="H33" s="11" t="n">
        <f aca="false">IF(D33=1,SUMIFS(Benefits!$S$4:$S$703,Benefits!$B$4:$B$703,A33,Benefits!$F$4:$F$703,B33,Benefits!$R$4:$R$703,"avoided_cost_realised"),0)</f>
        <v>0</v>
      </c>
      <c r="I33" s="11" t="n">
        <f aca="false">IF(D33=1,SUMIFS(Benefits!$S$4:$S$703,Benefits!$B$4:$B$703,A33,Benefits!$F$4:$F$703,B33,Benefits!$R$4:$R$703,"capacity_converted"),0)</f>
        <v>0</v>
      </c>
      <c r="J33" s="11" t="n">
        <f aca="false">SUM(F33:I33)</f>
        <v>0</v>
      </c>
      <c r="K33" s="11" t="n">
        <f aca="false">J33-E33</f>
        <v>0</v>
      </c>
      <c r="L33" s="11" t="n">
        <f aca="false">IF(D33=1,L32+K33,0)</f>
        <v>667505.4672</v>
      </c>
      <c r="M33" s="11" t="n">
        <f aca="false">IF(D33=1,1/(1+Controls!$B$11)^B33,0)</f>
        <v>0.830283296671204</v>
      </c>
      <c r="N33" s="11" t="n">
        <f aca="false">K33*M33</f>
        <v>0</v>
      </c>
      <c r="O33" s="11" t="n">
        <f aca="false">IF(D33=1,O32+N33,0)</f>
        <v>578533.263715637</v>
      </c>
      <c r="P33" s="11" t="n">
        <f aca="false">IF(AND(D33=1,L33&lt;0),1,0)</f>
        <v>0</v>
      </c>
      <c r="Q33" s="11" t="n">
        <f aca="false">IF(AND(D33=1,O33&lt;0),1,0)</f>
        <v>0</v>
      </c>
    </row>
    <row r="34" customFormat="false" ht="15" hidden="false" customHeight="false" outlineLevel="0" collapsed="false">
      <c r="A34" s="4" t="s">
        <v>83</v>
      </c>
      <c r="B34" s="4" t="n">
        <v>30</v>
      </c>
      <c r="C34" s="11" t="n">
        <f aca="false">IF(COUNTIF('Scenario inputs'!$A$4:$A$213,Controls!$B$3&amp;"|"&amp;A34)&gt;0,1,0)</f>
        <v>1</v>
      </c>
      <c r="D34" s="11" t="n">
        <f aca="false">IF(AND(C34=1,B34&lt;Controls!$B$12),1,0)</f>
        <v>1</v>
      </c>
      <c r="E34" s="11" t="n">
        <f aca="false">IF(D34=1,SUMPRODUCT((Costs!$B$4:$B$903=A34)*(Costs!$D$4:$D$903="planned")*(Costs!$J$4:$J$903&lt;=B34)*(Costs!$K$4:$K$903&gt;B34)*Costs!$E$4:$E$903),0)</f>
        <v>0</v>
      </c>
      <c r="F34" s="11" t="n">
        <f aca="false">IF(D34=1,SUMIFS(Benefits!$S$4:$S$703,Benefits!$B$4:$B$703,A34,Benefits!$F$4:$F$703,B34,Benefits!$R$4:$R$703,"cash"),0)</f>
        <v>0</v>
      </c>
      <c r="G34" s="11" t="n">
        <f aca="false">IF(D34=1,SUMIFS(Benefits!$S$4:$S$703,Benefits!$B$4:$B$703,A34,Benefits!$F$4:$F$703,B34,Benefits!$R$4:$R$703,"revenue"),0)</f>
        <v>0</v>
      </c>
      <c r="H34" s="11" t="n">
        <f aca="false">IF(D34=1,SUMIFS(Benefits!$S$4:$S$703,Benefits!$B$4:$B$703,A34,Benefits!$F$4:$F$703,B34,Benefits!$R$4:$R$703,"avoided_cost_realised"),0)</f>
        <v>0</v>
      </c>
      <c r="I34" s="11" t="n">
        <f aca="false">IF(D34=1,SUMIFS(Benefits!$S$4:$S$703,Benefits!$B$4:$B$703,A34,Benefits!$F$4:$F$703,B34,Benefits!$R$4:$R$703,"capacity_converted"),0)</f>
        <v>0</v>
      </c>
      <c r="J34" s="11" t="n">
        <f aca="false">SUM(F34:I34)</f>
        <v>0</v>
      </c>
      <c r="K34" s="11" t="n">
        <f aca="false">J34-E34</f>
        <v>0</v>
      </c>
      <c r="L34" s="11" t="n">
        <f aca="false">IF(D34=1,L33+K34,0)</f>
        <v>667505.4672</v>
      </c>
      <c r="M34" s="11" t="n">
        <f aca="false">IF(D34=1,1/(1+Controls!$B$11)^B34,0)</f>
        <v>0.824975404915974</v>
      </c>
      <c r="N34" s="11" t="n">
        <f aca="false">K34*M34</f>
        <v>0</v>
      </c>
      <c r="O34" s="11" t="n">
        <f aca="false">IF(D34=1,O33+N34,0)</f>
        <v>578533.263715637</v>
      </c>
      <c r="P34" s="11" t="n">
        <f aca="false">IF(AND(D34=1,L34&lt;0),1,0)</f>
        <v>0</v>
      </c>
      <c r="Q34" s="11" t="n">
        <f aca="false">IF(AND(D34=1,O34&lt;0),1,0)</f>
        <v>0</v>
      </c>
    </row>
    <row r="35" customFormat="false" ht="15" hidden="false" customHeight="false" outlineLevel="0" collapsed="false">
      <c r="A35" s="4" t="s">
        <v>83</v>
      </c>
      <c r="B35" s="4" t="n">
        <v>31</v>
      </c>
      <c r="C35" s="11" t="n">
        <f aca="false">IF(COUNTIF('Scenario inputs'!$A$4:$A$213,Controls!$B$3&amp;"|"&amp;A35)&gt;0,1,0)</f>
        <v>1</v>
      </c>
      <c r="D35" s="11" t="n">
        <f aca="false">IF(AND(C35=1,B35&lt;Controls!$B$12),1,0)</f>
        <v>1</v>
      </c>
      <c r="E35" s="11" t="n">
        <f aca="false">IF(D35=1,SUMPRODUCT((Costs!$B$4:$B$903=A35)*(Costs!$D$4:$D$903="planned")*(Costs!$J$4:$J$903&lt;=B35)*(Costs!$K$4:$K$903&gt;B35)*Costs!$E$4:$E$903),0)</f>
        <v>0</v>
      </c>
      <c r="F35" s="11" t="n">
        <f aca="false">IF(D35=1,SUMIFS(Benefits!$S$4:$S$703,Benefits!$B$4:$B$703,A35,Benefits!$F$4:$F$703,B35,Benefits!$R$4:$R$703,"cash"),0)</f>
        <v>0</v>
      </c>
      <c r="G35" s="11" t="n">
        <f aca="false">IF(D35=1,SUMIFS(Benefits!$S$4:$S$703,Benefits!$B$4:$B$703,A35,Benefits!$F$4:$F$703,B35,Benefits!$R$4:$R$703,"revenue"),0)</f>
        <v>0</v>
      </c>
      <c r="H35" s="11" t="n">
        <f aca="false">IF(D35=1,SUMIFS(Benefits!$S$4:$S$703,Benefits!$B$4:$B$703,A35,Benefits!$F$4:$F$703,B35,Benefits!$R$4:$R$703,"avoided_cost_realised"),0)</f>
        <v>0</v>
      </c>
      <c r="I35" s="11" t="n">
        <f aca="false">IF(D35=1,SUMIFS(Benefits!$S$4:$S$703,Benefits!$B$4:$B$703,A35,Benefits!$F$4:$F$703,B35,Benefits!$R$4:$R$703,"capacity_converted"),0)</f>
        <v>0</v>
      </c>
      <c r="J35" s="11" t="n">
        <f aca="false">SUM(F35:I35)</f>
        <v>0</v>
      </c>
      <c r="K35" s="11" t="n">
        <f aca="false">J35-E35</f>
        <v>0</v>
      </c>
      <c r="L35" s="11" t="n">
        <f aca="false">IF(D35=1,L34+K35,0)</f>
        <v>667505.4672</v>
      </c>
      <c r="M35" s="11" t="n">
        <f aca="false">IF(D35=1,1/(1+Controls!$B$11)^B35,0)</f>
        <v>0.81970144581361</v>
      </c>
      <c r="N35" s="11" t="n">
        <f aca="false">K35*M35</f>
        <v>0</v>
      </c>
      <c r="O35" s="11" t="n">
        <f aca="false">IF(D35=1,O34+N35,0)</f>
        <v>578533.263715637</v>
      </c>
      <c r="P35" s="11" t="n">
        <f aca="false">IF(AND(D35=1,L35&lt;0),1,0)</f>
        <v>0</v>
      </c>
      <c r="Q35" s="11" t="n">
        <f aca="false">IF(AND(D35=1,O35&lt;0),1,0)</f>
        <v>0</v>
      </c>
    </row>
    <row r="36" customFormat="false" ht="15" hidden="false" customHeight="false" outlineLevel="0" collapsed="false">
      <c r="A36" s="4" t="s">
        <v>83</v>
      </c>
      <c r="B36" s="4" t="n">
        <v>32</v>
      </c>
      <c r="C36" s="11" t="n">
        <f aca="false">IF(COUNTIF('Scenario inputs'!$A$4:$A$213,Controls!$B$3&amp;"|"&amp;A36)&gt;0,1,0)</f>
        <v>1</v>
      </c>
      <c r="D36" s="11" t="n">
        <f aca="false">IF(AND(C36=1,B36&lt;Controls!$B$12),1,0)</f>
        <v>1</v>
      </c>
      <c r="E36" s="11" t="n">
        <f aca="false">IF(D36=1,SUMPRODUCT((Costs!$B$4:$B$903=A36)*(Costs!$D$4:$D$903="planned")*(Costs!$J$4:$J$903&lt;=B36)*(Costs!$K$4:$K$903&gt;B36)*Costs!$E$4:$E$903),0)</f>
        <v>0</v>
      </c>
      <c r="F36" s="11" t="n">
        <f aca="false">IF(D36=1,SUMIFS(Benefits!$S$4:$S$703,Benefits!$B$4:$B$703,A36,Benefits!$F$4:$F$703,B36,Benefits!$R$4:$R$703,"cash"),0)</f>
        <v>0</v>
      </c>
      <c r="G36" s="11" t="n">
        <f aca="false">IF(D36=1,SUMIFS(Benefits!$S$4:$S$703,Benefits!$B$4:$B$703,A36,Benefits!$F$4:$F$703,B36,Benefits!$R$4:$R$703,"revenue"),0)</f>
        <v>0</v>
      </c>
      <c r="H36" s="11" t="n">
        <f aca="false">IF(D36=1,SUMIFS(Benefits!$S$4:$S$703,Benefits!$B$4:$B$703,A36,Benefits!$F$4:$F$703,B36,Benefits!$R$4:$R$703,"avoided_cost_realised"),0)</f>
        <v>0</v>
      </c>
      <c r="I36" s="11" t="n">
        <f aca="false">IF(D36=1,SUMIFS(Benefits!$S$4:$S$703,Benefits!$B$4:$B$703,A36,Benefits!$F$4:$F$703,B36,Benefits!$R$4:$R$703,"capacity_converted"),0)</f>
        <v>0</v>
      </c>
      <c r="J36" s="11" t="n">
        <f aca="false">SUM(F36:I36)</f>
        <v>0</v>
      </c>
      <c r="K36" s="11" t="n">
        <f aca="false">J36-E36</f>
        <v>0</v>
      </c>
      <c r="L36" s="11" t="n">
        <f aca="false">IF(D36=1,L35+K36,0)</f>
        <v>667505.4672</v>
      </c>
      <c r="M36" s="11" t="n">
        <f aca="false">IF(D36=1,1/(1+Controls!$B$11)^B36,0)</f>
        <v>0.814461202437129</v>
      </c>
      <c r="N36" s="11" t="n">
        <f aca="false">K36*M36</f>
        <v>0</v>
      </c>
      <c r="O36" s="11" t="n">
        <f aca="false">IF(D36=1,O35+N36,0)</f>
        <v>578533.263715637</v>
      </c>
      <c r="P36" s="11" t="n">
        <f aca="false">IF(AND(D36=1,L36&lt;0),1,0)</f>
        <v>0</v>
      </c>
      <c r="Q36" s="11" t="n">
        <f aca="false">IF(AND(D36=1,O36&lt;0),1,0)</f>
        <v>0</v>
      </c>
    </row>
    <row r="37" customFormat="false" ht="15" hidden="false" customHeight="false" outlineLevel="0" collapsed="false">
      <c r="A37" s="4" t="s">
        <v>83</v>
      </c>
      <c r="B37" s="4" t="n">
        <v>33</v>
      </c>
      <c r="C37" s="11" t="n">
        <f aca="false">IF(COUNTIF('Scenario inputs'!$A$4:$A$213,Controls!$B$3&amp;"|"&amp;A37)&gt;0,1,0)</f>
        <v>1</v>
      </c>
      <c r="D37" s="11" t="n">
        <f aca="false">IF(AND(C37=1,B37&lt;Controls!$B$12),1,0)</f>
        <v>1</v>
      </c>
      <c r="E37" s="11" t="n">
        <f aca="false">IF(D37=1,SUMPRODUCT((Costs!$B$4:$B$903=A37)*(Costs!$D$4:$D$903="planned")*(Costs!$J$4:$J$903&lt;=B37)*(Costs!$K$4:$K$903&gt;B37)*Costs!$E$4:$E$903),0)</f>
        <v>0</v>
      </c>
      <c r="F37" s="11" t="n">
        <f aca="false">IF(D37=1,SUMIFS(Benefits!$S$4:$S$703,Benefits!$B$4:$B$703,A37,Benefits!$F$4:$F$703,B37,Benefits!$R$4:$R$703,"cash"),0)</f>
        <v>0</v>
      </c>
      <c r="G37" s="11" t="n">
        <f aca="false">IF(D37=1,SUMIFS(Benefits!$S$4:$S$703,Benefits!$B$4:$B$703,A37,Benefits!$F$4:$F$703,B37,Benefits!$R$4:$R$703,"revenue"),0)</f>
        <v>0</v>
      </c>
      <c r="H37" s="11" t="n">
        <f aca="false">IF(D37=1,SUMIFS(Benefits!$S$4:$S$703,Benefits!$B$4:$B$703,A37,Benefits!$F$4:$F$703,B37,Benefits!$R$4:$R$703,"avoided_cost_realised"),0)</f>
        <v>0</v>
      </c>
      <c r="I37" s="11" t="n">
        <f aca="false">IF(D37=1,SUMIFS(Benefits!$S$4:$S$703,Benefits!$B$4:$B$703,A37,Benefits!$F$4:$F$703,B37,Benefits!$R$4:$R$703,"capacity_converted"),0)</f>
        <v>0</v>
      </c>
      <c r="J37" s="11" t="n">
        <f aca="false">SUM(F37:I37)</f>
        <v>0</v>
      </c>
      <c r="K37" s="11" t="n">
        <f aca="false">J37-E37</f>
        <v>0</v>
      </c>
      <c r="L37" s="11" t="n">
        <f aca="false">IF(D37=1,L36+K37,0)</f>
        <v>667505.4672</v>
      </c>
      <c r="M37" s="11" t="n">
        <f aca="false">IF(D37=1,1/(1+Controls!$B$11)^B37,0)</f>
        <v>0.809254459246338</v>
      </c>
      <c r="N37" s="11" t="n">
        <f aca="false">K37*M37</f>
        <v>0</v>
      </c>
      <c r="O37" s="11" t="n">
        <f aca="false">IF(D37=1,O36+N37,0)</f>
        <v>578533.263715637</v>
      </c>
      <c r="P37" s="11" t="n">
        <f aca="false">IF(AND(D37=1,L37&lt;0),1,0)</f>
        <v>0</v>
      </c>
      <c r="Q37" s="11" t="n">
        <f aca="false">IF(AND(D37=1,O37&lt;0),1,0)</f>
        <v>0</v>
      </c>
    </row>
    <row r="38" customFormat="false" ht="15" hidden="false" customHeight="false" outlineLevel="0" collapsed="false">
      <c r="A38" s="4" t="s">
        <v>83</v>
      </c>
      <c r="B38" s="4" t="n">
        <v>34</v>
      </c>
      <c r="C38" s="11" t="n">
        <f aca="false">IF(COUNTIF('Scenario inputs'!$A$4:$A$213,Controls!$B$3&amp;"|"&amp;A38)&gt;0,1,0)</f>
        <v>1</v>
      </c>
      <c r="D38" s="11" t="n">
        <f aca="false">IF(AND(C38=1,B38&lt;Controls!$B$12),1,0)</f>
        <v>1</v>
      </c>
      <c r="E38" s="11" t="n">
        <f aca="false">IF(D38=1,SUMPRODUCT((Costs!$B$4:$B$903=A38)*(Costs!$D$4:$D$903="planned")*(Costs!$J$4:$J$903&lt;=B38)*(Costs!$K$4:$K$903&gt;B38)*Costs!$E$4:$E$903),0)</f>
        <v>0</v>
      </c>
      <c r="F38" s="11" t="n">
        <f aca="false">IF(D38=1,SUMIFS(Benefits!$S$4:$S$703,Benefits!$B$4:$B$703,A38,Benefits!$F$4:$F$703,B38,Benefits!$R$4:$R$703,"cash"),0)</f>
        <v>0</v>
      </c>
      <c r="G38" s="11" t="n">
        <f aca="false">IF(D38=1,SUMIFS(Benefits!$S$4:$S$703,Benefits!$B$4:$B$703,A38,Benefits!$F$4:$F$703,B38,Benefits!$R$4:$R$703,"revenue"),0)</f>
        <v>0</v>
      </c>
      <c r="H38" s="11" t="n">
        <f aca="false">IF(D38=1,SUMIFS(Benefits!$S$4:$S$703,Benefits!$B$4:$B$703,A38,Benefits!$F$4:$F$703,B38,Benefits!$R$4:$R$703,"avoided_cost_realised"),0)</f>
        <v>0</v>
      </c>
      <c r="I38" s="11" t="n">
        <f aca="false">IF(D38=1,SUMIFS(Benefits!$S$4:$S$703,Benefits!$B$4:$B$703,A38,Benefits!$F$4:$F$703,B38,Benefits!$R$4:$R$703,"capacity_converted"),0)</f>
        <v>0</v>
      </c>
      <c r="J38" s="11" t="n">
        <f aca="false">SUM(F38:I38)</f>
        <v>0</v>
      </c>
      <c r="K38" s="11" t="n">
        <f aca="false">J38-E38</f>
        <v>0</v>
      </c>
      <c r="L38" s="11" t="n">
        <f aca="false">IF(D38=1,L37+K38,0)</f>
        <v>667505.4672</v>
      </c>
      <c r="M38" s="11" t="n">
        <f aca="false">IF(D38=1,1/(1+Controls!$B$11)^B38,0)</f>
        <v>0.804081002078962</v>
      </c>
      <c r="N38" s="11" t="n">
        <f aca="false">K38*M38</f>
        <v>0</v>
      </c>
      <c r="O38" s="11" t="n">
        <f aca="false">IF(D38=1,O37+N38,0)</f>
        <v>578533.263715637</v>
      </c>
      <c r="P38" s="11" t="n">
        <f aca="false">IF(AND(D38=1,L38&lt;0),1,0)</f>
        <v>0</v>
      </c>
      <c r="Q38" s="11" t="n">
        <f aca="false">IF(AND(D38=1,O38&lt;0),1,0)</f>
        <v>0</v>
      </c>
    </row>
    <row r="39" customFormat="false" ht="15" hidden="false" customHeight="false" outlineLevel="0" collapsed="false">
      <c r="A39" s="4" t="s">
        <v>83</v>
      </c>
      <c r="B39" s="4" t="n">
        <v>35</v>
      </c>
      <c r="C39" s="11" t="n">
        <f aca="false">IF(COUNTIF('Scenario inputs'!$A$4:$A$213,Controls!$B$3&amp;"|"&amp;A39)&gt;0,1,0)</f>
        <v>1</v>
      </c>
      <c r="D39" s="11" t="n">
        <f aca="false">IF(AND(C39=1,B39&lt;Controls!$B$12),1,0)</f>
        <v>1</v>
      </c>
      <c r="E39" s="11" t="n">
        <f aca="false">IF(D39=1,SUMPRODUCT((Costs!$B$4:$B$903=A39)*(Costs!$D$4:$D$903="planned")*(Costs!$J$4:$J$903&lt;=B39)*(Costs!$K$4:$K$903&gt;B39)*Costs!$E$4:$E$903),0)</f>
        <v>0</v>
      </c>
      <c r="F39" s="11" t="n">
        <f aca="false">IF(D39=1,SUMIFS(Benefits!$S$4:$S$703,Benefits!$B$4:$B$703,A39,Benefits!$F$4:$F$703,B39,Benefits!$R$4:$R$703,"cash"),0)</f>
        <v>0</v>
      </c>
      <c r="G39" s="11" t="n">
        <f aca="false">IF(D39=1,SUMIFS(Benefits!$S$4:$S$703,Benefits!$B$4:$B$703,A39,Benefits!$F$4:$F$703,B39,Benefits!$R$4:$R$703,"revenue"),0)</f>
        <v>0</v>
      </c>
      <c r="H39" s="11" t="n">
        <f aca="false">IF(D39=1,SUMIFS(Benefits!$S$4:$S$703,Benefits!$B$4:$B$703,A39,Benefits!$F$4:$F$703,B39,Benefits!$R$4:$R$703,"avoided_cost_realised"),0)</f>
        <v>0</v>
      </c>
      <c r="I39" s="11" t="n">
        <f aca="false">IF(D39=1,SUMIFS(Benefits!$S$4:$S$703,Benefits!$B$4:$B$703,A39,Benefits!$F$4:$F$703,B39,Benefits!$R$4:$R$703,"capacity_converted"),0)</f>
        <v>0</v>
      </c>
      <c r="J39" s="11" t="n">
        <f aca="false">SUM(F39:I39)</f>
        <v>0</v>
      </c>
      <c r="K39" s="11" t="n">
        <f aca="false">J39-E39</f>
        <v>0</v>
      </c>
      <c r="L39" s="11" t="n">
        <f aca="false">IF(D39=1,L38+K39,0)</f>
        <v>667505.4672</v>
      </c>
      <c r="M39" s="11" t="n">
        <f aca="false">IF(D39=1,1/(1+Controls!$B$11)^B39,0)</f>
        <v>0.798940618141837</v>
      </c>
      <c r="N39" s="11" t="n">
        <f aca="false">K39*M39</f>
        <v>0</v>
      </c>
      <c r="O39" s="11" t="n">
        <f aca="false">IF(D39=1,O38+N39,0)</f>
        <v>578533.263715637</v>
      </c>
      <c r="P39" s="11" t="n">
        <f aca="false">IF(AND(D39=1,L39&lt;0),1,0)</f>
        <v>0</v>
      </c>
      <c r="Q39" s="11" t="n">
        <f aca="false">IF(AND(D39=1,O39&lt;0),1,0)</f>
        <v>0</v>
      </c>
    </row>
    <row r="40" customFormat="false" ht="15" hidden="false" customHeight="false" outlineLevel="0" collapsed="false">
      <c r="A40" s="4" t="s">
        <v>84</v>
      </c>
      <c r="B40" s="4" t="n">
        <v>0</v>
      </c>
      <c r="C40" s="11" t="n">
        <f aca="false">IF(COUNTIF('Scenario inputs'!$A$4:$A$213,Controls!$B$3&amp;"|"&amp;A40)&gt;0,1,0)</f>
        <v>1</v>
      </c>
      <c r="D40" s="11" t="n">
        <f aca="false">IF(AND(C40=1,B40&lt;Controls!$B$12),1,0)</f>
        <v>1</v>
      </c>
      <c r="E40" s="11" t="n">
        <f aca="false">IF(D40=1,SUMPRODUCT((Costs!$B$4:$B$903=A40)*(Costs!$D$4:$D$903="planned")*(Costs!$J$4:$J$903&lt;=B40)*(Costs!$K$4:$K$903&gt;B40)*Costs!$E$4:$E$903),0)</f>
        <v>223650</v>
      </c>
      <c r="F40" s="11" t="n">
        <f aca="false">IF(D40=1,SUMIFS(Benefits!$S$4:$S$703,Benefits!$B$4:$B$703,A40,Benefits!$F$4:$F$703,B40,Benefits!$R$4:$R$703,"cash"),0)</f>
        <v>0</v>
      </c>
      <c r="G40" s="11" t="n">
        <f aca="false">IF(D40=1,SUMIFS(Benefits!$S$4:$S$703,Benefits!$B$4:$B$703,A40,Benefits!$F$4:$F$703,B40,Benefits!$R$4:$R$703,"revenue"),0)</f>
        <v>0</v>
      </c>
      <c r="H40" s="11" t="n">
        <f aca="false">IF(D40=1,SUMIFS(Benefits!$S$4:$S$703,Benefits!$B$4:$B$703,A40,Benefits!$F$4:$F$703,B40,Benefits!$R$4:$R$703,"avoided_cost_realised"),0)</f>
        <v>0</v>
      </c>
      <c r="I40" s="11" t="n">
        <f aca="false">IF(D40=1,SUMIFS(Benefits!$S$4:$S$703,Benefits!$B$4:$B$703,A40,Benefits!$F$4:$F$703,B40,Benefits!$R$4:$R$703,"capacity_converted"),0)</f>
        <v>0</v>
      </c>
      <c r="J40" s="11" t="n">
        <f aca="false">SUM(F40:I40)</f>
        <v>0</v>
      </c>
      <c r="K40" s="11" t="n">
        <f aca="false">J40-E40</f>
        <v>-223650</v>
      </c>
      <c r="L40" s="11" t="n">
        <f aca="false">IF(D40=1,K40,0)</f>
        <v>-223650</v>
      </c>
      <c r="M40" s="11" t="n">
        <f aca="false">IF(D40=1,1/(1+Controls!$B$11)^B40,0)</f>
        <v>1</v>
      </c>
      <c r="N40" s="11" t="n">
        <f aca="false">K40*M40</f>
        <v>-223650</v>
      </c>
      <c r="O40" s="11" t="n">
        <f aca="false">IF(D40=1,N40,0)</f>
        <v>-223650</v>
      </c>
      <c r="P40" s="11" t="n">
        <f aca="false">IF(AND(D40=1,L40&lt;0),1,0)</f>
        <v>1</v>
      </c>
      <c r="Q40" s="11" t="n">
        <f aca="false">IF(AND(D40=1,O40&lt;0),1,0)</f>
        <v>1</v>
      </c>
    </row>
    <row r="41" customFormat="false" ht="15" hidden="false" customHeight="false" outlineLevel="0" collapsed="false">
      <c r="A41" s="4" t="s">
        <v>84</v>
      </c>
      <c r="B41" s="4" t="n">
        <v>1</v>
      </c>
      <c r="C41" s="11" t="n">
        <f aca="false">IF(COUNTIF('Scenario inputs'!$A$4:$A$213,Controls!$B$3&amp;"|"&amp;A41)&gt;0,1,0)</f>
        <v>1</v>
      </c>
      <c r="D41" s="11" t="n">
        <f aca="false">IF(AND(C41=1,B41&lt;Controls!$B$12),1,0)</f>
        <v>1</v>
      </c>
      <c r="E41" s="11" t="n">
        <f aca="false">IF(D41=1,SUMPRODUCT((Costs!$B$4:$B$903=A41)*(Costs!$D$4:$D$903="planned")*(Costs!$J$4:$J$903&lt;=B41)*(Costs!$K$4:$K$903&gt;B41)*Costs!$E$4:$E$903),0)</f>
        <v>141450</v>
      </c>
      <c r="F41" s="11" t="n">
        <f aca="false">IF(D41=1,SUMIFS(Benefits!$S$4:$S$703,Benefits!$B$4:$B$703,A41,Benefits!$F$4:$F$703,B41,Benefits!$R$4:$R$703,"cash"),0)</f>
        <v>0</v>
      </c>
      <c r="G41" s="11" t="n">
        <f aca="false">IF(D41=1,SUMIFS(Benefits!$S$4:$S$703,Benefits!$B$4:$B$703,A41,Benefits!$F$4:$F$703,B41,Benefits!$R$4:$R$703,"revenue"),0)</f>
        <v>0</v>
      </c>
      <c r="H41" s="11" t="n">
        <f aca="false">IF(D41=1,SUMIFS(Benefits!$S$4:$S$703,Benefits!$B$4:$B$703,A41,Benefits!$F$4:$F$703,B41,Benefits!$R$4:$R$703,"avoided_cost_realised"),0)</f>
        <v>0</v>
      </c>
      <c r="I41" s="11" t="n">
        <f aca="false">IF(D41=1,SUMIFS(Benefits!$S$4:$S$703,Benefits!$B$4:$B$703,A41,Benefits!$F$4:$F$703,B41,Benefits!$R$4:$R$703,"capacity_converted"),0)</f>
        <v>0</v>
      </c>
      <c r="J41" s="11" t="n">
        <f aca="false">SUM(F41:I41)</f>
        <v>0</v>
      </c>
      <c r="K41" s="11" t="n">
        <f aca="false">J41-E41</f>
        <v>-141450</v>
      </c>
      <c r="L41" s="11" t="n">
        <f aca="false">IF(D41=1,L40+K41,0)</f>
        <v>-365100</v>
      </c>
      <c r="M41" s="11" t="n">
        <f aca="false">IF(D41=1,1/(1+Controls!$B$11)^B41,0)</f>
        <v>0.993607131714549</v>
      </c>
      <c r="N41" s="11" t="n">
        <f aca="false">K41*M41</f>
        <v>-140545.728781023</v>
      </c>
      <c r="O41" s="11" t="n">
        <f aca="false">IF(D41=1,O40+N41,0)</f>
        <v>-364195.728781023</v>
      </c>
      <c r="P41" s="11" t="n">
        <f aca="false">IF(AND(D41=1,L41&lt;0),1,0)</f>
        <v>1</v>
      </c>
      <c r="Q41" s="11" t="n">
        <f aca="false">IF(AND(D41=1,O41&lt;0),1,0)</f>
        <v>1</v>
      </c>
    </row>
    <row r="42" customFormat="false" ht="15" hidden="false" customHeight="false" outlineLevel="0" collapsed="false">
      <c r="A42" s="4" t="s">
        <v>84</v>
      </c>
      <c r="B42" s="4" t="n">
        <v>2</v>
      </c>
      <c r="C42" s="11" t="n">
        <f aca="false">IF(COUNTIF('Scenario inputs'!$A$4:$A$213,Controls!$B$3&amp;"|"&amp;A42)&gt;0,1,0)</f>
        <v>1</v>
      </c>
      <c r="D42" s="11" t="n">
        <f aca="false">IF(AND(C42=1,B42&lt;Controls!$B$12),1,0)</f>
        <v>1</v>
      </c>
      <c r="E42" s="11" t="n">
        <f aca="false">IF(D42=1,SUMPRODUCT((Costs!$B$4:$B$903=A42)*(Costs!$D$4:$D$903="planned")*(Costs!$J$4:$J$903&lt;=B42)*(Costs!$K$4:$K$903&gt;B42)*Costs!$E$4:$E$903),0)</f>
        <v>316400</v>
      </c>
      <c r="F42" s="11" t="n">
        <f aca="false">IF(D42=1,SUMIFS(Benefits!$S$4:$S$703,Benefits!$B$4:$B$703,A42,Benefits!$F$4:$F$703,B42,Benefits!$R$4:$R$703,"cash"),0)</f>
        <v>4608.8917</v>
      </c>
      <c r="G42" s="11" t="n">
        <f aca="false">IF(D42=1,SUMIFS(Benefits!$S$4:$S$703,Benefits!$B$4:$B$703,A42,Benefits!$F$4:$F$703,B42,Benefits!$R$4:$R$703,"revenue"),0)</f>
        <v>0</v>
      </c>
      <c r="H42" s="11" t="n">
        <f aca="false">IF(D42=1,SUMIFS(Benefits!$S$4:$S$703,Benefits!$B$4:$B$703,A42,Benefits!$F$4:$F$703,B42,Benefits!$R$4:$R$703,"avoided_cost_realised"),0)</f>
        <v>0</v>
      </c>
      <c r="I42" s="11" t="n">
        <f aca="false">IF(D42=1,SUMIFS(Benefits!$S$4:$S$703,Benefits!$B$4:$B$703,A42,Benefits!$F$4:$F$703,B42,Benefits!$R$4:$R$703,"capacity_converted"),0)</f>
        <v>0</v>
      </c>
      <c r="J42" s="11" t="n">
        <f aca="false">SUM(F42:I42)</f>
        <v>4608.8917</v>
      </c>
      <c r="K42" s="11" t="n">
        <f aca="false">J42-E42</f>
        <v>-311791.1083</v>
      </c>
      <c r="L42" s="11" t="n">
        <f aca="false">IF(D42=1,L41+K42,0)</f>
        <v>-676891.1083</v>
      </c>
      <c r="M42" s="11" t="n">
        <f aca="false">IF(D42=1,1/(1+Controls!$B$11)^B42,0)</f>
        <v>0.987255132194012</v>
      </c>
      <c r="N42" s="11" t="n">
        <f aca="false">K42*M42</f>
        <v>-307817.371841634</v>
      </c>
      <c r="O42" s="11" t="n">
        <f aca="false">IF(D42=1,O41+N42,0)</f>
        <v>-672013.100622657</v>
      </c>
      <c r="P42" s="11" t="n">
        <f aca="false">IF(AND(D42=1,L42&lt;0),1,0)</f>
        <v>1</v>
      </c>
      <c r="Q42" s="11" t="n">
        <f aca="false">IF(AND(D42=1,O42&lt;0),1,0)</f>
        <v>1</v>
      </c>
    </row>
    <row r="43" customFormat="false" ht="15" hidden="false" customHeight="false" outlineLevel="0" collapsed="false">
      <c r="A43" s="4" t="s">
        <v>84</v>
      </c>
      <c r="B43" s="4" t="n">
        <v>3</v>
      </c>
      <c r="C43" s="11" t="n">
        <f aca="false">IF(COUNTIF('Scenario inputs'!$A$4:$A$213,Controls!$B$3&amp;"|"&amp;A43)&gt;0,1,0)</f>
        <v>1</v>
      </c>
      <c r="D43" s="11" t="n">
        <f aca="false">IF(AND(C43=1,B43&lt;Controls!$B$12),1,0)</f>
        <v>1</v>
      </c>
      <c r="E43" s="11" t="n">
        <f aca="false">IF(D43=1,SUMPRODUCT((Costs!$B$4:$B$903=A43)*(Costs!$D$4:$D$903="planned")*(Costs!$J$4:$J$903&lt;=B43)*(Costs!$K$4:$K$903&gt;B43)*Costs!$E$4:$E$903),0)</f>
        <v>12000</v>
      </c>
      <c r="F43" s="11" t="n">
        <f aca="false">IF(D43=1,SUMIFS(Benefits!$S$4:$S$703,Benefits!$B$4:$B$703,A43,Benefits!$F$4:$F$703,B43,Benefits!$R$4:$R$703,"cash"),0)</f>
        <v>13826.80415</v>
      </c>
      <c r="G43" s="11" t="n">
        <f aca="false">IF(D43=1,SUMIFS(Benefits!$S$4:$S$703,Benefits!$B$4:$B$703,A43,Benefits!$F$4:$F$703,B43,Benefits!$R$4:$R$703,"revenue"),0)</f>
        <v>0</v>
      </c>
      <c r="H43" s="11" t="n">
        <f aca="false">IF(D43=1,SUMIFS(Benefits!$S$4:$S$703,Benefits!$B$4:$B$703,A43,Benefits!$F$4:$F$703,B43,Benefits!$R$4:$R$703,"avoided_cost_realised"),0)</f>
        <v>0</v>
      </c>
      <c r="I43" s="11" t="n">
        <f aca="false">IF(D43=1,SUMIFS(Benefits!$S$4:$S$703,Benefits!$B$4:$B$703,A43,Benefits!$F$4:$F$703,B43,Benefits!$R$4:$R$703,"capacity_converted"),0)</f>
        <v>1233.003921604</v>
      </c>
      <c r="J43" s="11" t="n">
        <f aca="false">SUM(F43:I43)</f>
        <v>15059.808071604</v>
      </c>
      <c r="K43" s="11" t="n">
        <f aca="false">J43-E43</f>
        <v>3059.808071604</v>
      </c>
      <c r="L43" s="11" t="n">
        <f aca="false">IF(D43=1,L42+K43,0)</f>
        <v>-673831.300228396</v>
      </c>
      <c r="M43" s="11" t="n">
        <f aca="false">IF(D43=1,1/(1+Controls!$B$11)^B43,0)</f>
        <v>0.98094374016976</v>
      </c>
      <c r="N43" s="11" t="n">
        <f aca="false">K43*M43</f>
        <v>3001.49957396085</v>
      </c>
      <c r="O43" s="11" t="n">
        <f aca="false">IF(D43=1,O42+N43,0)</f>
        <v>-669011.601048696</v>
      </c>
      <c r="P43" s="11" t="n">
        <f aca="false">IF(AND(D43=1,L43&lt;0),1,0)</f>
        <v>1</v>
      </c>
      <c r="Q43" s="11" t="n">
        <f aca="false">IF(AND(D43=1,O43&lt;0),1,0)</f>
        <v>1</v>
      </c>
    </row>
    <row r="44" customFormat="false" ht="15" hidden="false" customHeight="false" outlineLevel="0" collapsed="false">
      <c r="A44" s="4" t="s">
        <v>84</v>
      </c>
      <c r="B44" s="4" t="n">
        <v>4</v>
      </c>
      <c r="C44" s="11" t="n">
        <f aca="false">IF(COUNTIF('Scenario inputs'!$A$4:$A$213,Controls!$B$3&amp;"|"&amp;A44)&gt;0,1,0)</f>
        <v>1</v>
      </c>
      <c r="D44" s="11" t="n">
        <f aca="false">IF(AND(C44=1,B44&lt;Controls!$B$12),1,0)</f>
        <v>1</v>
      </c>
      <c r="E44" s="11" t="n">
        <f aca="false">IF(D44=1,SUMPRODUCT((Costs!$B$4:$B$903=A44)*(Costs!$D$4:$D$903="planned")*(Costs!$J$4:$J$903&lt;=B44)*(Costs!$K$4:$K$903&gt;B44)*Costs!$E$4:$E$903),0)</f>
        <v>12000</v>
      </c>
      <c r="F44" s="11" t="n">
        <f aca="false">IF(D44=1,SUMIFS(Benefits!$S$4:$S$703,Benefits!$B$4:$B$703,A44,Benefits!$F$4:$F$703,B44,Benefits!$R$4:$R$703,"cash"),0)</f>
        <v>27653.6083</v>
      </c>
      <c r="G44" s="11" t="n">
        <f aca="false">IF(D44=1,SUMIFS(Benefits!$S$4:$S$703,Benefits!$B$4:$B$703,A44,Benefits!$F$4:$F$703,B44,Benefits!$R$4:$R$703,"revenue"),0)</f>
        <v>0</v>
      </c>
      <c r="H44" s="11" t="n">
        <f aca="false">IF(D44=1,SUMIFS(Benefits!$S$4:$S$703,Benefits!$B$4:$B$703,A44,Benefits!$F$4:$F$703,B44,Benefits!$R$4:$R$703,"avoided_cost_realised"),0)</f>
        <v>0</v>
      </c>
      <c r="I44" s="11" t="n">
        <f aca="false">IF(D44=1,SUMIFS(Benefits!$S$4:$S$703,Benefits!$B$4:$B$703,A44,Benefits!$F$4:$F$703,B44,Benefits!$R$4:$R$703,"capacity_converted"),0)</f>
        <v>3699.046289198</v>
      </c>
      <c r="J44" s="11" t="n">
        <f aca="false">SUM(F44:I44)</f>
        <v>31352.654589198</v>
      </c>
      <c r="K44" s="11" t="n">
        <f aca="false">J44-E44</f>
        <v>19352.654589198</v>
      </c>
      <c r="L44" s="11" t="n">
        <f aca="false">IF(D44=1,L43+K44,0)</f>
        <v>-654478.645639198</v>
      </c>
      <c r="M44" s="11" t="n">
        <f aca="false">IF(D44=1,1/(1+Controls!$B$11)^B44,0)</f>
        <v>0.974672696043417</v>
      </c>
      <c r="N44" s="11" t="n">
        <f aca="false">K44*M44</f>
        <v>18862.5040240506</v>
      </c>
      <c r="O44" s="11" t="n">
        <f aca="false">IF(D44=1,O43+N44,0)</f>
        <v>-650149.097024645</v>
      </c>
      <c r="P44" s="11" t="n">
        <f aca="false">IF(AND(D44=1,L44&lt;0),1,0)</f>
        <v>1</v>
      </c>
      <c r="Q44" s="11" t="n">
        <f aca="false">IF(AND(D44=1,O44&lt;0),1,0)</f>
        <v>1</v>
      </c>
    </row>
    <row r="45" customFormat="false" ht="15" hidden="false" customHeight="false" outlineLevel="0" collapsed="false">
      <c r="A45" s="4" t="s">
        <v>84</v>
      </c>
      <c r="B45" s="4" t="n">
        <v>5</v>
      </c>
      <c r="C45" s="11" t="n">
        <f aca="false">IF(COUNTIF('Scenario inputs'!$A$4:$A$213,Controls!$B$3&amp;"|"&amp;A45)&gt;0,1,0)</f>
        <v>1</v>
      </c>
      <c r="D45" s="11" t="n">
        <f aca="false">IF(AND(C45=1,B45&lt;Controls!$B$12),1,0)</f>
        <v>1</v>
      </c>
      <c r="E45" s="11" t="n">
        <f aca="false">IF(D45=1,SUMPRODUCT((Costs!$B$4:$B$903=A45)*(Costs!$D$4:$D$903="planned")*(Costs!$J$4:$J$903&lt;=B45)*(Costs!$K$4:$K$903&gt;B45)*Costs!$E$4:$E$903),0)</f>
        <v>12000</v>
      </c>
      <c r="F45" s="11" t="n">
        <f aca="false">IF(D45=1,SUMIFS(Benefits!$S$4:$S$703,Benefits!$B$4:$B$703,A45,Benefits!$F$4:$F$703,B45,Benefits!$R$4:$R$703,"cash"),0)</f>
        <v>46089.30415</v>
      </c>
      <c r="G45" s="11" t="n">
        <f aca="false">IF(D45=1,SUMIFS(Benefits!$S$4:$S$703,Benefits!$B$4:$B$703,A45,Benefits!$F$4:$F$703,B45,Benefits!$R$4:$R$703,"revenue"),0)</f>
        <v>0</v>
      </c>
      <c r="H45" s="11" t="n">
        <f aca="false">IF(D45=1,SUMIFS(Benefits!$S$4:$S$703,Benefits!$B$4:$B$703,A45,Benefits!$F$4:$F$703,B45,Benefits!$R$4:$R$703,"avoided_cost_realised"),0)</f>
        <v>0</v>
      </c>
      <c r="I45" s="11" t="n">
        <f aca="false">IF(D45=1,SUMIFS(Benefits!$S$4:$S$703,Benefits!$B$4:$B$703,A45,Benefits!$F$4:$F$703,B45,Benefits!$R$4:$R$703,"capacity_converted"),0)</f>
        <v>7398.092578396</v>
      </c>
      <c r="J45" s="11" t="n">
        <f aca="false">SUM(F45:I45)</f>
        <v>53487.396728396</v>
      </c>
      <c r="K45" s="11" t="n">
        <f aca="false">J45-E45</f>
        <v>41487.396728396</v>
      </c>
      <c r="L45" s="11" t="n">
        <f aca="false">IF(D45=1,L44+K45,0)</f>
        <v>-612991.248910802</v>
      </c>
      <c r="M45" s="11" t="n">
        <f aca="false">IF(D45=1,1/(1+Controls!$B$11)^B45,0)</f>
        <v>0.968441741876185</v>
      </c>
      <c r="N45" s="11" t="n">
        <f aca="false">K45*M45</f>
        <v>40178.1267535562</v>
      </c>
      <c r="O45" s="11" t="n">
        <f aca="false">IF(D45=1,O44+N45,0)</f>
        <v>-609970.970271089</v>
      </c>
      <c r="P45" s="11" t="n">
        <f aca="false">IF(AND(D45=1,L45&lt;0),1,0)</f>
        <v>1</v>
      </c>
      <c r="Q45" s="11" t="n">
        <f aca="false">IF(AND(D45=1,O45&lt;0),1,0)</f>
        <v>1</v>
      </c>
    </row>
    <row r="46" customFormat="false" ht="15" hidden="false" customHeight="false" outlineLevel="0" collapsed="false">
      <c r="A46" s="4" t="s">
        <v>84</v>
      </c>
      <c r="B46" s="4" t="n">
        <v>6</v>
      </c>
      <c r="C46" s="11" t="n">
        <f aca="false">IF(COUNTIF('Scenario inputs'!$A$4:$A$213,Controls!$B$3&amp;"|"&amp;A46)&gt;0,1,0)</f>
        <v>1</v>
      </c>
      <c r="D46" s="11" t="n">
        <f aca="false">IF(AND(C46=1,B46&lt;Controls!$B$12),1,0)</f>
        <v>1</v>
      </c>
      <c r="E46" s="11" t="n">
        <f aca="false">IF(D46=1,SUMPRODUCT((Costs!$B$4:$B$903=A46)*(Costs!$D$4:$D$903="planned")*(Costs!$J$4:$J$903&lt;=B46)*(Costs!$K$4:$K$903&gt;B46)*Costs!$E$4:$E$903),0)</f>
        <v>12000</v>
      </c>
      <c r="F46" s="11" t="n">
        <f aca="false">IF(D46=1,SUMIFS(Benefits!$S$4:$S$703,Benefits!$B$4:$B$703,A46,Benefits!$F$4:$F$703,B46,Benefits!$R$4:$R$703,"cash"),0)</f>
        <v>69133.8917</v>
      </c>
      <c r="G46" s="11" t="n">
        <f aca="false">IF(D46=1,SUMIFS(Benefits!$S$4:$S$703,Benefits!$B$4:$B$703,A46,Benefits!$F$4:$F$703,B46,Benefits!$R$4:$R$703,"revenue"),0)</f>
        <v>0</v>
      </c>
      <c r="H46" s="11" t="n">
        <f aca="false">IF(D46=1,SUMIFS(Benefits!$S$4:$S$703,Benefits!$B$4:$B$703,A46,Benefits!$F$4:$F$703,B46,Benefits!$R$4:$R$703,"avoided_cost_realised"),0)</f>
        <v>0</v>
      </c>
      <c r="I46" s="11" t="n">
        <f aca="false">IF(D46=1,SUMIFS(Benefits!$S$4:$S$703,Benefits!$B$4:$B$703,A46,Benefits!$F$4:$F$703,B46,Benefits!$R$4:$R$703,"capacity_converted"),0)</f>
        <v>12330.142789198</v>
      </c>
      <c r="J46" s="11" t="n">
        <f aca="false">SUM(F46:I46)</f>
        <v>81464.034489198</v>
      </c>
      <c r="K46" s="11" t="n">
        <f aca="false">J46-E46</f>
        <v>69464.034489198</v>
      </c>
      <c r="L46" s="11" t="n">
        <f aca="false">IF(D46=1,L45+K46,0)</f>
        <v>-543527.214421604</v>
      </c>
      <c r="M46" s="11" t="n">
        <f aca="false">IF(D46=1,1/(1+Controls!$B$11)^B46,0)</f>
        <v>0.962250621378238</v>
      </c>
      <c r="N46" s="11" t="n">
        <f aca="false">K46*M46</f>
        <v>66841.8103506701</v>
      </c>
      <c r="O46" s="11" t="n">
        <f aca="false">IF(D46=1,O45+N46,0)</f>
        <v>-543129.159920419</v>
      </c>
      <c r="P46" s="11" t="n">
        <f aca="false">IF(AND(D46=1,L46&lt;0),1,0)</f>
        <v>1</v>
      </c>
      <c r="Q46" s="11" t="n">
        <f aca="false">IF(AND(D46=1,O46&lt;0),1,0)</f>
        <v>1</v>
      </c>
    </row>
    <row r="47" customFormat="false" ht="15" hidden="false" customHeight="false" outlineLevel="0" collapsed="false">
      <c r="A47" s="4" t="s">
        <v>84</v>
      </c>
      <c r="B47" s="4" t="n">
        <v>7</v>
      </c>
      <c r="C47" s="11" t="n">
        <f aca="false">IF(COUNTIF('Scenario inputs'!$A$4:$A$213,Controls!$B$3&amp;"|"&amp;A47)&gt;0,1,0)</f>
        <v>1</v>
      </c>
      <c r="D47" s="11" t="n">
        <f aca="false">IF(AND(C47=1,B47&lt;Controls!$B$12),1,0)</f>
        <v>1</v>
      </c>
      <c r="E47" s="11" t="n">
        <f aca="false">IF(D47=1,SUMPRODUCT((Costs!$B$4:$B$903=A47)*(Costs!$D$4:$D$903="planned")*(Costs!$J$4:$J$903&lt;=B47)*(Costs!$K$4:$K$903&gt;B47)*Costs!$E$4:$E$903),0)</f>
        <v>12000</v>
      </c>
      <c r="F47" s="11" t="n">
        <f aca="false">IF(D47=1,SUMIFS(Benefits!$S$4:$S$703,Benefits!$B$4:$B$703,A47,Benefits!$F$4:$F$703,B47,Benefits!$R$4:$R$703,"cash"),0)</f>
        <v>96787.5</v>
      </c>
      <c r="G47" s="11" t="n">
        <f aca="false">IF(D47=1,SUMIFS(Benefits!$S$4:$S$703,Benefits!$B$4:$B$703,A47,Benefits!$F$4:$F$703,B47,Benefits!$R$4:$R$703,"revenue"),0)</f>
        <v>0</v>
      </c>
      <c r="H47" s="11" t="n">
        <f aca="false">IF(D47=1,SUMIFS(Benefits!$S$4:$S$703,Benefits!$B$4:$B$703,A47,Benefits!$F$4:$F$703,B47,Benefits!$R$4:$R$703,"avoided_cost_realised"),0)</f>
        <v>0</v>
      </c>
      <c r="I47" s="11" t="n">
        <f aca="false">IF(D47=1,SUMIFS(Benefits!$S$4:$S$703,Benefits!$B$4:$B$703,A47,Benefits!$F$4:$F$703,B47,Benefits!$R$4:$R$703,"capacity_converted"),0)</f>
        <v>18495.196921604</v>
      </c>
      <c r="J47" s="11" t="n">
        <f aca="false">SUM(F47:I47)</f>
        <v>115282.696921604</v>
      </c>
      <c r="K47" s="11" t="n">
        <f aca="false">J47-E47</f>
        <v>103282.696921604</v>
      </c>
      <c r="L47" s="11" t="n">
        <f aca="false">IF(D47=1,L46+K47,0)</f>
        <v>-440244.5175</v>
      </c>
      <c r="M47" s="11" t="n">
        <f aca="false">IF(D47=1,1/(1+Controls!$B$11)^B47,0)</f>
        <v>0.956099079898173</v>
      </c>
      <c r="N47" s="11" t="n">
        <f aca="false">K47*M47</f>
        <v>98748.4914961474</v>
      </c>
      <c r="O47" s="11" t="n">
        <f aca="false">IF(D47=1,O46+N47,0)</f>
        <v>-444380.668424272</v>
      </c>
      <c r="P47" s="11" t="n">
        <f aca="false">IF(AND(D47=1,L47&lt;0),1,0)</f>
        <v>1</v>
      </c>
      <c r="Q47" s="11" t="n">
        <f aca="false">IF(AND(D47=1,O47&lt;0),1,0)</f>
        <v>1</v>
      </c>
    </row>
    <row r="48" customFormat="false" ht="15" hidden="false" customHeight="false" outlineLevel="0" collapsed="false">
      <c r="A48" s="4" t="s">
        <v>84</v>
      </c>
      <c r="B48" s="4" t="n">
        <v>8</v>
      </c>
      <c r="C48" s="11" t="n">
        <f aca="false">IF(COUNTIF('Scenario inputs'!$A$4:$A$213,Controls!$B$3&amp;"|"&amp;A48)&gt;0,1,0)</f>
        <v>1</v>
      </c>
      <c r="D48" s="11" t="n">
        <f aca="false">IF(AND(C48=1,B48&lt;Controls!$B$12),1,0)</f>
        <v>1</v>
      </c>
      <c r="E48" s="11" t="n">
        <f aca="false">IF(D48=1,SUMPRODUCT((Costs!$B$4:$B$903=A48)*(Costs!$D$4:$D$903="planned")*(Costs!$J$4:$J$903&lt;=B48)*(Costs!$K$4:$K$903&gt;B48)*Costs!$E$4:$E$903),0)</f>
        <v>12750</v>
      </c>
      <c r="F48" s="11" t="n">
        <f aca="false">IF(D48=1,SUMIFS(Benefits!$S$4:$S$703,Benefits!$B$4:$B$703,A48,Benefits!$F$4:$F$703,B48,Benefits!$R$4:$R$703,"cash"),0)</f>
        <v>129050</v>
      </c>
      <c r="G48" s="11" t="n">
        <f aca="false">IF(D48=1,SUMIFS(Benefits!$S$4:$S$703,Benefits!$B$4:$B$703,A48,Benefits!$F$4:$F$703,B48,Benefits!$R$4:$R$703,"revenue"),0)</f>
        <v>0</v>
      </c>
      <c r="H48" s="11" t="n">
        <f aca="false">IF(D48=1,SUMIFS(Benefits!$S$4:$S$703,Benefits!$B$4:$B$703,A48,Benefits!$F$4:$F$703,B48,Benefits!$R$4:$R$703,"avoided_cost_realised"),0)</f>
        <v>0</v>
      </c>
      <c r="I48" s="11" t="n">
        <f aca="false">IF(D48=1,SUMIFS(Benefits!$S$4:$S$703,Benefits!$B$4:$B$703,A48,Benefits!$F$4:$F$703,B48,Benefits!$R$4:$R$703,"capacity_converted"),0)</f>
        <v>25893.2895</v>
      </c>
      <c r="J48" s="11" t="n">
        <f aca="false">SUM(F48:I48)</f>
        <v>154943.2895</v>
      </c>
      <c r="K48" s="11" t="n">
        <f aca="false">J48-E48</f>
        <v>142193.2895</v>
      </c>
      <c r="L48" s="11" t="n">
        <f aca="false">IF(D48=1,L47+K48,0)</f>
        <v>-298051.228</v>
      </c>
      <c r="M48" s="11" t="n">
        <f aca="false">IF(D48=1,1/(1+Controls!$B$11)^B48,0)</f>
        <v>0.949986864412542</v>
      </c>
      <c r="N48" s="11" t="n">
        <f aca="false">K48*M48</f>
        <v>135081.75723261</v>
      </c>
      <c r="O48" s="11" t="n">
        <f aca="false">IF(D48=1,O47+N48,0)</f>
        <v>-309298.911191662</v>
      </c>
      <c r="P48" s="11" t="n">
        <f aca="false">IF(AND(D48=1,L48&lt;0),1,0)</f>
        <v>1</v>
      </c>
      <c r="Q48" s="11" t="n">
        <f aca="false">IF(AND(D48=1,O48&lt;0),1,0)</f>
        <v>1</v>
      </c>
    </row>
    <row r="49" customFormat="false" ht="15" hidden="false" customHeight="false" outlineLevel="0" collapsed="false">
      <c r="A49" s="4" t="s">
        <v>84</v>
      </c>
      <c r="B49" s="4" t="n">
        <v>9</v>
      </c>
      <c r="C49" s="11" t="n">
        <f aca="false">IF(COUNTIF('Scenario inputs'!$A$4:$A$213,Controls!$B$3&amp;"|"&amp;A49)&gt;0,1,0)</f>
        <v>1</v>
      </c>
      <c r="D49" s="11" t="n">
        <f aca="false">IF(AND(C49=1,B49&lt;Controls!$B$12),1,0)</f>
        <v>1</v>
      </c>
      <c r="E49" s="11" t="n">
        <f aca="false">IF(D49=1,SUMPRODUCT((Costs!$B$4:$B$903=A49)*(Costs!$D$4:$D$903="planned")*(Costs!$J$4:$J$903&lt;=B49)*(Costs!$K$4:$K$903&gt;B49)*Costs!$E$4:$E$903),0)</f>
        <v>12750</v>
      </c>
      <c r="F49" s="11" t="n">
        <f aca="false">IF(D49=1,SUMIFS(Benefits!$S$4:$S$703,Benefits!$B$4:$B$703,A49,Benefits!$F$4:$F$703,B49,Benefits!$R$4:$R$703,"cash"),0)</f>
        <v>129050</v>
      </c>
      <c r="G49" s="11" t="n">
        <f aca="false">IF(D49=1,SUMIFS(Benefits!$S$4:$S$703,Benefits!$B$4:$B$703,A49,Benefits!$F$4:$F$703,B49,Benefits!$R$4:$R$703,"revenue"),0)</f>
        <v>0</v>
      </c>
      <c r="H49" s="11" t="n">
        <f aca="false">IF(D49=1,SUMIFS(Benefits!$S$4:$S$703,Benefits!$B$4:$B$703,A49,Benefits!$F$4:$F$703,B49,Benefits!$R$4:$R$703,"avoided_cost_realised"),0)</f>
        <v>0</v>
      </c>
      <c r="I49" s="11" t="n">
        <f aca="false">IF(D49=1,SUMIFS(Benefits!$S$4:$S$703,Benefits!$B$4:$B$703,A49,Benefits!$F$4:$F$703,B49,Benefits!$R$4:$R$703,"capacity_converted"),0)</f>
        <v>34524.386</v>
      </c>
      <c r="J49" s="11" t="n">
        <f aca="false">SUM(F49:I49)</f>
        <v>163574.386</v>
      </c>
      <c r="K49" s="11" t="n">
        <f aca="false">J49-E49</f>
        <v>150824.386</v>
      </c>
      <c r="L49" s="11" t="n">
        <f aca="false">IF(D49=1,L48+K49,0)</f>
        <v>-147226.842</v>
      </c>
      <c r="M49" s="11" t="n">
        <f aca="false">IF(D49=1,1/(1+Controls!$B$11)^B49,0)</f>
        <v>0.943913723515444</v>
      </c>
      <c r="N49" s="11" t="n">
        <f aca="false">K49*M49</f>
        <v>142365.207786191</v>
      </c>
      <c r="O49" s="11" t="n">
        <f aca="false">IF(D49=1,O48+N49,0)</f>
        <v>-166933.703405471</v>
      </c>
      <c r="P49" s="11" t="n">
        <f aca="false">IF(AND(D49=1,L49&lt;0),1,0)</f>
        <v>1</v>
      </c>
      <c r="Q49" s="11" t="n">
        <f aca="false">IF(AND(D49=1,O49&lt;0),1,0)</f>
        <v>1</v>
      </c>
    </row>
    <row r="50" customFormat="false" ht="15" hidden="false" customHeight="false" outlineLevel="0" collapsed="false">
      <c r="A50" s="4" t="s">
        <v>84</v>
      </c>
      <c r="B50" s="4" t="n">
        <v>10</v>
      </c>
      <c r="C50" s="11" t="n">
        <f aca="false">IF(COUNTIF('Scenario inputs'!$A$4:$A$213,Controls!$B$3&amp;"|"&amp;A50)&gt;0,1,0)</f>
        <v>1</v>
      </c>
      <c r="D50" s="11" t="n">
        <f aca="false">IF(AND(C50=1,B50&lt;Controls!$B$12),1,0)</f>
        <v>1</v>
      </c>
      <c r="E50" s="11" t="n">
        <f aca="false">IF(D50=1,SUMPRODUCT((Costs!$B$4:$B$903=A50)*(Costs!$D$4:$D$903="planned")*(Costs!$J$4:$J$903&lt;=B50)*(Costs!$K$4:$K$903&gt;B50)*Costs!$E$4:$E$903),0)</f>
        <v>12750</v>
      </c>
      <c r="F50" s="11" t="n">
        <f aca="false">IF(D50=1,SUMIFS(Benefits!$S$4:$S$703,Benefits!$B$4:$B$703,A50,Benefits!$F$4:$F$703,B50,Benefits!$R$4:$R$703,"cash"),0)</f>
        <v>129050</v>
      </c>
      <c r="G50" s="11" t="n">
        <f aca="false">IF(D50=1,SUMIFS(Benefits!$S$4:$S$703,Benefits!$B$4:$B$703,A50,Benefits!$F$4:$F$703,B50,Benefits!$R$4:$R$703,"revenue"),0)</f>
        <v>0</v>
      </c>
      <c r="H50" s="11" t="n">
        <f aca="false">IF(D50=1,SUMIFS(Benefits!$S$4:$S$703,Benefits!$B$4:$B$703,A50,Benefits!$F$4:$F$703,B50,Benefits!$R$4:$R$703,"avoided_cost_realised"),0)</f>
        <v>0</v>
      </c>
      <c r="I50" s="11" t="n">
        <f aca="false">IF(D50=1,SUMIFS(Benefits!$S$4:$S$703,Benefits!$B$4:$B$703,A50,Benefits!$F$4:$F$703,B50,Benefits!$R$4:$R$703,"capacity_converted"),0)</f>
        <v>34524.386</v>
      </c>
      <c r="J50" s="11" t="n">
        <f aca="false">SUM(F50:I50)</f>
        <v>163574.386</v>
      </c>
      <c r="K50" s="11" t="n">
        <f aca="false">J50-E50</f>
        <v>150824.386</v>
      </c>
      <c r="L50" s="11" t="n">
        <f aca="false">IF(D50=1,L49+K50,0)</f>
        <v>3597.54399999994</v>
      </c>
      <c r="M50" s="11" t="n">
        <f aca="false">IF(D50=1,1/(1+Controls!$B$11)^B50,0)</f>
        <v>0.93787940740818</v>
      </c>
      <c r="N50" s="11" t="n">
        <f aca="false">K50*M50</f>
        <v>141455.085764383</v>
      </c>
      <c r="O50" s="11" t="n">
        <f aca="false">IF(D50=1,O49+N50,0)</f>
        <v>-25478.6176410886</v>
      </c>
      <c r="P50" s="11" t="n">
        <f aca="false">IF(AND(D50=1,L50&lt;0),1,0)</f>
        <v>0</v>
      </c>
      <c r="Q50" s="11" t="n">
        <f aca="false">IF(AND(D50=1,O50&lt;0),1,0)</f>
        <v>1</v>
      </c>
    </row>
    <row r="51" customFormat="false" ht="15" hidden="false" customHeight="false" outlineLevel="0" collapsed="false">
      <c r="A51" s="4" t="s">
        <v>84</v>
      </c>
      <c r="B51" s="4" t="n">
        <v>11</v>
      </c>
      <c r="C51" s="11" t="n">
        <f aca="false">IF(COUNTIF('Scenario inputs'!$A$4:$A$213,Controls!$B$3&amp;"|"&amp;A51)&gt;0,1,0)</f>
        <v>1</v>
      </c>
      <c r="D51" s="11" t="n">
        <f aca="false">IF(AND(C51=1,B51&lt;Controls!$B$12),1,0)</f>
        <v>1</v>
      </c>
      <c r="E51" s="11" t="n">
        <f aca="false">IF(D51=1,SUMPRODUCT((Costs!$B$4:$B$903=A51)*(Costs!$D$4:$D$903="planned")*(Costs!$J$4:$J$903&lt;=B51)*(Costs!$K$4:$K$903&gt;B51)*Costs!$E$4:$E$903),0)</f>
        <v>12750</v>
      </c>
      <c r="F51" s="11" t="n">
        <f aca="false">IF(D51=1,SUMIFS(Benefits!$S$4:$S$703,Benefits!$B$4:$B$703,A51,Benefits!$F$4:$F$703,B51,Benefits!$R$4:$R$703,"cash"),0)</f>
        <v>129050</v>
      </c>
      <c r="G51" s="11" t="n">
        <f aca="false">IF(D51=1,SUMIFS(Benefits!$S$4:$S$703,Benefits!$B$4:$B$703,A51,Benefits!$F$4:$F$703,B51,Benefits!$R$4:$R$703,"revenue"),0)</f>
        <v>0</v>
      </c>
      <c r="H51" s="11" t="n">
        <f aca="false">IF(D51=1,SUMIFS(Benefits!$S$4:$S$703,Benefits!$B$4:$B$703,A51,Benefits!$F$4:$F$703,B51,Benefits!$R$4:$R$703,"avoided_cost_realised"),0)</f>
        <v>0</v>
      </c>
      <c r="I51" s="11" t="n">
        <f aca="false">IF(D51=1,SUMIFS(Benefits!$S$4:$S$703,Benefits!$B$4:$B$703,A51,Benefits!$F$4:$F$703,B51,Benefits!$R$4:$R$703,"capacity_converted"),0)</f>
        <v>34524.386</v>
      </c>
      <c r="J51" s="11" t="n">
        <f aca="false">SUM(F51:I51)</f>
        <v>163574.386</v>
      </c>
      <c r="K51" s="11" t="n">
        <f aca="false">J51-E51</f>
        <v>150824.386</v>
      </c>
      <c r="L51" s="11" t="n">
        <f aca="false">IF(D51=1,L50+K51,0)</f>
        <v>154421.93</v>
      </c>
      <c r="M51" s="11" t="n">
        <f aca="false">IF(D51=1,1/(1+Controls!$B$11)^B51,0)</f>
        <v>0.931883667888982</v>
      </c>
      <c r="N51" s="11" t="n">
        <f aca="false">K51*M51</f>
        <v>140550.782032784</v>
      </c>
      <c r="O51" s="11" t="n">
        <f aca="false">IF(D51=1,O50+N51,0)</f>
        <v>115072.164391695</v>
      </c>
      <c r="P51" s="11" t="n">
        <f aca="false">IF(AND(D51=1,L51&lt;0),1,0)</f>
        <v>0</v>
      </c>
      <c r="Q51" s="11" t="n">
        <f aca="false">IF(AND(D51=1,O51&lt;0),1,0)</f>
        <v>0</v>
      </c>
    </row>
    <row r="52" customFormat="false" ht="15" hidden="false" customHeight="false" outlineLevel="0" collapsed="false">
      <c r="A52" s="4" t="s">
        <v>84</v>
      </c>
      <c r="B52" s="4" t="n">
        <v>12</v>
      </c>
      <c r="C52" s="11" t="n">
        <f aca="false">IF(COUNTIF('Scenario inputs'!$A$4:$A$213,Controls!$B$3&amp;"|"&amp;A52)&gt;0,1,0)</f>
        <v>1</v>
      </c>
      <c r="D52" s="11" t="n">
        <f aca="false">IF(AND(C52=1,B52&lt;Controls!$B$12),1,0)</f>
        <v>1</v>
      </c>
      <c r="E52" s="11" t="n">
        <f aca="false">IF(D52=1,SUMPRODUCT((Costs!$B$4:$B$903=A52)*(Costs!$D$4:$D$903="planned")*(Costs!$J$4:$J$903&lt;=B52)*(Costs!$K$4:$K$903&gt;B52)*Costs!$E$4:$E$903),0)</f>
        <v>12750</v>
      </c>
      <c r="F52" s="11" t="n">
        <f aca="false">IF(D52=1,SUMIFS(Benefits!$S$4:$S$703,Benefits!$B$4:$B$703,A52,Benefits!$F$4:$F$703,B52,Benefits!$R$4:$R$703,"cash"),0)</f>
        <v>129050</v>
      </c>
      <c r="G52" s="11" t="n">
        <f aca="false">IF(D52=1,SUMIFS(Benefits!$S$4:$S$703,Benefits!$B$4:$B$703,A52,Benefits!$F$4:$F$703,B52,Benefits!$R$4:$R$703,"revenue"),0)</f>
        <v>0</v>
      </c>
      <c r="H52" s="11" t="n">
        <f aca="false">IF(D52=1,SUMIFS(Benefits!$S$4:$S$703,Benefits!$B$4:$B$703,A52,Benefits!$F$4:$F$703,B52,Benefits!$R$4:$R$703,"avoided_cost_realised"),0)</f>
        <v>0</v>
      </c>
      <c r="I52" s="11" t="n">
        <f aca="false">IF(D52=1,SUMIFS(Benefits!$S$4:$S$703,Benefits!$B$4:$B$703,A52,Benefits!$F$4:$F$703,B52,Benefits!$R$4:$R$703,"capacity_converted"),0)</f>
        <v>34524.386</v>
      </c>
      <c r="J52" s="11" t="n">
        <f aca="false">SUM(F52:I52)</f>
        <v>163574.386</v>
      </c>
      <c r="K52" s="11" t="n">
        <f aca="false">J52-E52</f>
        <v>150824.386</v>
      </c>
      <c r="L52" s="11" t="n">
        <f aca="false">IF(D52=1,L51+K52,0)</f>
        <v>305246.316</v>
      </c>
      <c r="M52" s="11" t="n">
        <f aca="false">IF(D52=1,1/(1+Controls!$B$11)^B52,0)</f>
        <v>0.925926258342804</v>
      </c>
      <c r="N52" s="11" t="n">
        <f aca="false">K52*M52</f>
        <v>139652.259395831</v>
      </c>
      <c r="O52" s="11" t="n">
        <f aca="false">IF(D52=1,O51+N52,0)</f>
        <v>254724.423787526</v>
      </c>
      <c r="P52" s="11" t="n">
        <f aca="false">IF(AND(D52=1,L52&lt;0),1,0)</f>
        <v>0</v>
      </c>
      <c r="Q52" s="11" t="n">
        <f aca="false">IF(AND(D52=1,O52&lt;0),1,0)</f>
        <v>0</v>
      </c>
    </row>
    <row r="53" customFormat="false" ht="15" hidden="false" customHeight="false" outlineLevel="0" collapsed="false">
      <c r="A53" s="4" t="s">
        <v>84</v>
      </c>
      <c r="B53" s="4" t="n">
        <v>13</v>
      </c>
      <c r="C53" s="11" t="n">
        <f aca="false">IF(COUNTIF('Scenario inputs'!$A$4:$A$213,Controls!$B$3&amp;"|"&amp;A53)&gt;0,1,0)</f>
        <v>1</v>
      </c>
      <c r="D53" s="11" t="n">
        <f aca="false">IF(AND(C53=1,B53&lt;Controls!$B$12),1,0)</f>
        <v>1</v>
      </c>
      <c r="E53" s="11" t="n">
        <f aca="false">IF(D53=1,SUMPRODUCT((Costs!$B$4:$B$903=A53)*(Costs!$D$4:$D$903="planned")*(Costs!$J$4:$J$903&lt;=B53)*(Costs!$K$4:$K$903&gt;B53)*Costs!$E$4:$E$903),0)</f>
        <v>12750</v>
      </c>
      <c r="F53" s="11" t="n">
        <f aca="false">IF(D53=1,SUMIFS(Benefits!$S$4:$S$703,Benefits!$B$4:$B$703,A53,Benefits!$F$4:$F$703,B53,Benefits!$R$4:$R$703,"cash"),0)</f>
        <v>129050</v>
      </c>
      <c r="G53" s="11" t="n">
        <f aca="false">IF(D53=1,SUMIFS(Benefits!$S$4:$S$703,Benefits!$B$4:$B$703,A53,Benefits!$F$4:$F$703,B53,Benefits!$R$4:$R$703,"revenue"),0)</f>
        <v>0</v>
      </c>
      <c r="H53" s="11" t="n">
        <f aca="false">IF(D53=1,SUMIFS(Benefits!$S$4:$S$703,Benefits!$B$4:$B$703,A53,Benefits!$F$4:$F$703,B53,Benefits!$R$4:$R$703,"avoided_cost_realised"),0)</f>
        <v>0</v>
      </c>
      <c r="I53" s="11" t="n">
        <f aca="false">IF(D53=1,SUMIFS(Benefits!$S$4:$S$703,Benefits!$B$4:$B$703,A53,Benefits!$F$4:$F$703,B53,Benefits!$R$4:$R$703,"capacity_converted"),0)</f>
        <v>34524.386</v>
      </c>
      <c r="J53" s="11" t="n">
        <f aca="false">SUM(F53:I53)</f>
        <v>163574.386</v>
      </c>
      <c r="K53" s="11" t="n">
        <f aca="false">J53-E53</f>
        <v>150824.386</v>
      </c>
      <c r="L53" s="11" t="n">
        <f aca="false">IF(D53=1,L52+K53,0)</f>
        <v>456070.702</v>
      </c>
      <c r="M53" s="11" t="n">
        <f aca="false">IF(D53=1,1/(1+Controls!$B$11)^B53,0)</f>
        <v>0.920006933731178</v>
      </c>
      <c r="N53" s="11" t="n">
        <f aca="false">K53*M53</f>
        <v>138759.480895748</v>
      </c>
      <c r="O53" s="11" t="n">
        <f aca="false">IF(D53=1,O52+N53,0)</f>
        <v>393483.904683273</v>
      </c>
      <c r="P53" s="11" t="n">
        <f aca="false">IF(AND(D53=1,L53&lt;0),1,0)</f>
        <v>0</v>
      </c>
      <c r="Q53" s="11" t="n">
        <f aca="false">IF(AND(D53=1,O53&lt;0),1,0)</f>
        <v>0</v>
      </c>
    </row>
    <row r="54" customFormat="false" ht="15" hidden="false" customHeight="false" outlineLevel="0" collapsed="false">
      <c r="A54" s="4" t="s">
        <v>84</v>
      </c>
      <c r="B54" s="4" t="n">
        <v>14</v>
      </c>
      <c r="C54" s="11" t="n">
        <f aca="false">IF(COUNTIF('Scenario inputs'!$A$4:$A$213,Controls!$B$3&amp;"|"&amp;A54)&gt;0,1,0)</f>
        <v>1</v>
      </c>
      <c r="D54" s="11" t="n">
        <f aca="false">IF(AND(C54=1,B54&lt;Controls!$B$12),1,0)</f>
        <v>1</v>
      </c>
      <c r="E54" s="11" t="n">
        <f aca="false">IF(D54=1,SUMPRODUCT((Costs!$B$4:$B$903=A54)*(Costs!$D$4:$D$903="planned")*(Costs!$J$4:$J$903&lt;=B54)*(Costs!$K$4:$K$903&gt;B54)*Costs!$E$4:$E$903),0)</f>
        <v>12750</v>
      </c>
      <c r="F54" s="11" t="n">
        <f aca="false">IF(D54=1,SUMIFS(Benefits!$S$4:$S$703,Benefits!$B$4:$B$703,A54,Benefits!$F$4:$F$703,B54,Benefits!$R$4:$R$703,"cash"),0)</f>
        <v>0</v>
      </c>
      <c r="G54" s="11" t="n">
        <f aca="false">IF(D54=1,SUMIFS(Benefits!$S$4:$S$703,Benefits!$B$4:$B$703,A54,Benefits!$F$4:$F$703,B54,Benefits!$R$4:$R$703,"revenue"),0)</f>
        <v>0</v>
      </c>
      <c r="H54" s="11" t="n">
        <f aca="false">IF(D54=1,SUMIFS(Benefits!$S$4:$S$703,Benefits!$B$4:$B$703,A54,Benefits!$F$4:$F$703,B54,Benefits!$R$4:$R$703,"avoided_cost_realised"),0)</f>
        <v>0</v>
      </c>
      <c r="I54" s="11" t="n">
        <f aca="false">IF(D54=1,SUMIFS(Benefits!$S$4:$S$703,Benefits!$B$4:$B$703,A54,Benefits!$F$4:$F$703,B54,Benefits!$R$4:$R$703,"capacity_converted"),0)</f>
        <v>34524.386</v>
      </c>
      <c r="J54" s="11" t="n">
        <f aca="false">SUM(F54:I54)</f>
        <v>34524.386</v>
      </c>
      <c r="K54" s="11" t="n">
        <f aca="false">J54-E54</f>
        <v>21774.386</v>
      </c>
      <c r="L54" s="11" t="n">
        <f aca="false">IF(D54=1,L53+K54,0)</f>
        <v>477845.088</v>
      </c>
      <c r="M54" s="11" t="n">
        <f aca="false">IF(D54=1,1/(1+Controls!$B$11)^B54,0)</f>
        <v>0.914125450582132</v>
      </c>
      <c r="N54" s="11" t="n">
        <f aca="false">K54*M54</f>
        <v>19904.5204133993</v>
      </c>
      <c r="O54" s="11" t="n">
        <f aca="false">IF(D54=1,O53+N54,0)</f>
        <v>413388.425096673</v>
      </c>
      <c r="P54" s="11" t="n">
        <f aca="false">IF(AND(D54=1,L54&lt;0),1,0)</f>
        <v>0</v>
      </c>
      <c r="Q54" s="11" t="n">
        <f aca="false">IF(AND(D54=1,O54&lt;0),1,0)</f>
        <v>0</v>
      </c>
    </row>
    <row r="55" customFormat="false" ht="15" hidden="false" customHeight="false" outlineLevel="0" collapsed="false">
      <c r="A55" s="4" t="s">
        <v>84</v>
      </c>
      <c r="B55" s="4" t="n">
        <v>15</v>
      </c>
      <c r="C55" s="11" t="n">
        <f aca="false">IF(COUNTIF('Scenario inputs'!$A$4:$A$213,Controls!$B$3&amp;"|"&amp;A55)&gt;0,1,0)</f>
        <v>1</v>
      </c>
      <c r="D55" s="11" t="n">
        <f aca="false">IF(AND(C55=1,B55&lt;Controls!$B$12),1,0)</f>
        <v>1</v>
      </c>
      <c r="E55" s="11" t="n">
        <f aca="false">IF(D55=1,SUMPRODUCT((Costs!$B$4:$B$903=A55)*(Costs!$D$4:$D$903="planned")*(Costs!$J$4:$J$903&lt;=B55)*(Costs!$K$4:$K$903&gt;B55)*Costs!$E$4:$E$903),0)</f>
        <v>0</v>
      </c>
      <c r="F55" s="11" t="n">
        <f aca="false">IF(D55=1,SUMIFS(Benefits!$S$4:$S$703,Benefits!$B$4:$B$703,A55,Benefits!$F$4:$F$703,B55,Benefits!$R$4:$R$703,"cash"),0)</f>
        <v>0</v>
      </c>
      <c r="G55" s="11" t="n">
        <f aca="false">IF(D55=1,SUMIFS(Benefits!$S$4:$S$703,Benefits!$B$4:$B$703,A55,Benefits!$F$4:$F$703,B55,Benefits!$R$4:$R$703,"revenue"),0)</f>
        <v>0</v>
      </c>
      <c r="H55" s="11" t="n">
        <f aca="false">IF(D55=1,SUMIFS(Benefits!$S$4:$S$703,Benefits!$B$4:$B$703,A55,Benefits!$F$4:$F$703,B55,Benefits!$R$4:$R$703,"avoided_cost_realised"),0)</f>
        <v>0</v>
      </c>
      <c r="I55" s="11" t="n">
        <f aca="false">IF(D55=1,SUMIFS(Benefits!$S$4:$S$703,Benefits!$B$4:$B$703,A55,Benefits!$F$4:$F$703,B55,Benefits!$R$4:$R$703,"capacity_converted"),0)</f>
        <v>0</v>
      </c>
      <c r="J55" s="11" t="n">
        <f aca="false">SUM(F55:I55)</f>
        <v>0</v>
      </c>
      <c r="K55" s="11" t="n">
        <f aca="false">J55-E55</f>
        <v>0</v>
      </c>
      <c r="L55" s="11" t="n">
        <f aca="false">IF(D55=1,L54+K55,0)</f>
        <v>477845.088</v>
      </c>
      <c r="M55" s="11" t="n">
        <f aca="false">IF(D55=1,1/(1+Controls!$B$11)^B55,0)</f>
        <v>0.908281566980182</v>
      </c>
      <c r="N55" s="11" t="n">
        <f aca="false">K55*M55</f>
        <v>0</v>
      </c>
      <c r="O55" s="11" t="n">
        <f aca="false">IF(D55=1,O54+N55,0)</f>
        <v>413388.425096673</v>
      </c>
      <c r="P55" s="11" t="n">
        <f aca="false">IF(AND(D55=1,L55&lt;0),1,0)</f>
        <v>0</v>
      </c>
      <c r="Q55" s="11" t="n">
        <f aca="false">IF(AND(D55=1,O55&lt;0),1,0)</f>
        <v>0</v>
      </c>
    </row>
    <row r="56" customFormat="false" ht="15" hidden="false" customHeight="false" outlineLevel="0" collapsed="false">
      <c r="A56" s="4" t="s">
        <v>84</v>
      </c>
      <c r="B56" s="4" t="n">
        <v>16</v>
      </c>
      <c r="C56" s="11" t="n">
        <f aca="false">IF(COUNTIF('Scenario inputs'!$A$4:$A$213,Controls!$B$3&amp;"|"&amp;A56)&gt;0,1,0)</f>
        <v>1</v>
      </c>
      <c r="D56" s="11" t="n">
        <f aca="false">IF(AND(C56=1,B56&lt;Controls!$B$12),1,0)</f>
        <v>1</v>
      </c>
      <c r="E56" s="11" t="n">
        <f aca="false">IF(D56=1,SUMPRODUCT((Costs!$B$4:$B$903=A56)*(Costs!$D$4:$D$903="planned")*(Costs!$J$4:$J$903&lt;=B56)*(Costs!$K$4:$K$903&gt;B56)*Costs!$E$4:$E$903),0)</f>
        <v>0</v>
      </c>
      <c r="F56" s="11" t="n">
        <f aca="false">IF(D56=1,SUMIFS(Benefits!$S$4:$S$703,Benefits!$B$4:$B$703,A56,Benefits!$F$4:$F$703,B56,Benefits!$R$4:$R$703,"cash"),0)</f>
        <v>0</v>
      </c>
      <c r="G56" s="11" t="n">
        <f aca="false">IF(D56=1,SUMIFS(Benefits!$S$4:$S$703,Benefits!$B$4:$B$703,A56,Benefits!$F$4:$F$703,B56,Benefits!$R$4:$R$703,"revenue"),0)</f>
        <v>0</v>
      </c>
      <c r="H56" s="11" t="n">
        <f aca="false">IF(D56=1,SUMIFS(Benefits!$S$4:$S$703,Benefits!$B$4:$B$703,A56,Benefits!$F$4:$F$703,B56,Benefits!$R$4:$R$703,"avoided_cost_realised"),0)</f>
        <v>0</v>
      </c>
      <c r="I56" s="11" t="n">
        <f aca="false">IF(D56=1,SUMIFS(Benefits!$S$4:$S$703,Benefits!$B$4:$B$703,A56,Benefits!$F$4:$F$703,B56,Benefits!$R$4:$R$703,"capacity_converted"),0)</f>
        <v>0</v>
      </c>
      <c r="J56" s="11" t="n">
        <f aca="false">SUM(F56:I56)</f>
        <v>0</v>
      </c>
      <c r="K56" s="11" t="n">
        <f aca="false">J56-E56</f>
        <v>0</v>
      </c>
      <c r="L56" s="11" t="n">
        <f aca="false">IF(D56=1,L55+K56,0)</f>
        <v>477845.088</v>
      </c>
      <c r="M56" s="11" t="n">
        <f aca="false">IF(D56=1,1/(1+Controls!$B$11)^B56,0)</f>
        <v>0.902475042556374</v>
      </c>
      <c r="N56" s="11" t="n">
        <f aca="false">K56*M56</f>
        <v>0</v>
      </c>
      <c r="O56" s="11" t="n">
        <f aca="false">IF(D56=1,O55+N56,0)</f>
        <v>413388.425096673</v>
      </c>
      <c r="P56" s="11" t="n">
        <f aca="false">IF(AND(D56=1,L56&lt;0),1,0)</f>
        <v>0</v>
      </c>
      <c r="Q56" s="11" t="n">
        <f aca="false">IF(AND(D56=1,O56&lt;0),1,0)</f>
        <v>0</v>
      </c>
    </row>
    <row r="57" customFormat="false" ht="15" hidden="false" customHeight="false" outlineLevel="0" collapsed="false">
      <c r="A57" s="4" t="s">
        <v>84</v>
      </c>
      <c r="B57" s="4" t="n">
        <v>17</v>
      </c>
      <c r="C57" s="11" t="n">
        <f aca="false">IF(COUNTIF('Scenario inputs'!$A$4:$A$213,Controls!$B$3&amp;"|"&amp;A57)&gt;0,1,0)</f>
        <v>1</v>
      </c>
      <c r="D57" s="11" t="n">
        <f aca="false">IF(AND(C57=1,B57&lt;Controls!$B$12),1,0)</f>
        <v>1</v>
      </c>
      <c r="E57" s="11" t="n">
        <f aca="false">IF(D57=1,SUMPRODUCT((Costs!$B$4:$B$903=A57)*(Costs!$D$4:$D$903="planned")*(Costs!$J$4:$J$903&lt;=B57)*(Costs!$K$4:$K$903&gt;B57)*Costs!$E$4:$E$903),0)</f>
        <v>0</v>
      </c>
      <c r="F57" s="11" t="n">
        <f aca="false">IF(D57=1,SUMIFS(Benefits!$S$4:$S$703,Benefits!$B$4:$B$703,A57,Benefits!$F$4:$F$703,B57,Benefits!$R$4:$R$703,"cash"),0)</f>
        <v>0</v>
      </c>
      <c r="G57" s="11" t="n">
        <f aca="false">IF(D57=1,SUMIFS(Benefits!$S$4:$S$703,Benefits!$B$4:$B$703,A57,Benefits!$F$4:$F$703,B57,Benefits!$R$4:$R$703,"revenue"),0)</f>
        <v>0</v>
      </c>
      <c r="H57" s="11" t="n">
        <f aca="false">IF(D57=1,SUMIFS(Benefits!$S$4:$S$703,Benefits!$B$4:$B$703,A57,Benefits!$F$4:$F$703,B57,Benefits!$R$4:$R$703,"avoided_cost_realised"),0)</f>
        <v>0</v>
      </c>
      <c r="I57" s="11" t="n">
        <f aca="false">IF(D57=1,SUMIFS(Benefits!$S$4:$S$703,Benefits!$B$4:$B$703,A57,Benefits!$F$4:$F$703,B57,Benefits!$R$4:$R$703,"capacity_converted"),0)</f>
        <v>0</v>
      </c>
      <c r="J57" s="11" t="n">
        <f aca="false">SUM(F57:I57)</f>
        <v>0</v>
      </c>
      <c r="K57" s="11" t="n">
        <f aca="false">J57-E57</f>
        <v>0</v>
      </c>
      <c r="L57" s="11" t="n">
        <f aca="false">IF(D57=1,L56+K57,0)</f>
        <v>477845.088</v>
      </c>
      <c r="M57" s="11" t="n">
        <f aca="false">IF(D57=1,1/(1+Controls!$B$11)^B57,0)</f>
        <v>0.896705638478404</v>
      </c>
      <c r="N57" s="11" t="n">
        <f aca="false">K57*M57</f>
        <v>0</v>
      </c>
      <c r="O57" s="11" t="n">
        <f aca="false">IF(D57=1,O56+N57,0)</f>
        <v>413388.425096673</v>
      </c>
      <c r="P57" s="11" t="n">
        <f aca="false">IF(AND(D57=1,L57&lt;0),1,0)</f>
        <v>0</v>
      </c>
      <c r="Q57" s="11" t="n">
        <f aca="false">IF(AND(D57=1,O57&lt;0),1,0)</f>
        <v>0</v>
      </c>
    </row>
    <row r="58" customFormat="false" ht="15" hidden="false" customHeight="false" outlineLevel="0" collapsed="false">
      <c r="A58" s="4" t="s">
        <v>84</v>
      </c>
      <c r="B58" s="4" t="n">
        <v>18</v>
      </c>
      <c r="C58" s="11" t="n">
        <f aca="false">IF(COUNTIF('Scenario inputs'!$A$4:$A$213,Controls!$B$3&amp;"|"&amp;A58)&gt;0,1,0)</f>
        <v>1</v>
      </c>
      <c r="D58" s="11" t="n">
        <f aca="false">IF(AND(C58=1,B58&lt;Controls!$B$12),1,0)</f>
        <v>1</v>
      </c>
      <c r="E58" s="11" t="n">
        <f aca="false">IF(D58=1,SUMPRODUCT((Costs!$B$4:$B$903=A58)*(Costs!$D$4:$D$903="planned")*(Costs!$J$4:$J$903&lt;=B58)*(Costs!$K$4:$K$903&gt;B58)*Costs!$E$4:$E$903),0)</f>
        <v>0</v>
      </c>
      <c r="F58" s="11" t="n">
        <f aca="false">IF(D58=1,SUMIFS(Benefits!$S$4:$S$703,Benefits!$B$4:$B$703,A58,Benefits!$F$4:$F$703,B58,Benefits!$R$4:$R$703,"cash"),0)</f>
        <v>0</v>
      </c>
      <c r="G58" s="11" t="n">
        <f aca="false">IF(D58=1,SUMIFS(Benefits!$S$4:$S$703,Benefits!$B$4:$B$703,A58,Benefits!$F$4:$F$703,B58,Benefits!$R$4:$R$703,"revenue"),0)</f>
        <v>0</v>
      </c>
      <c r="H58" s="11" t="n">
        <f aca="false">IF(D58=1,SUMIFS(Benefits!$S$4:$S$703,Benefits!$B$4:$B$703,A58,Benefits!$F$4:$F$703,B58,Benefits!$R$4:$R$703,"avoided_cost_realised"),0)</f>
        <v>0</v>
      </c>
      <c r="I58" s="11" t="n">
        <f aca="false">IF(D58=1,SUMIFS(Benefits!$S$4:$S$703,Benefits!$B$4:$B$703,A58,Benefits!$F$4:$F$703,B58,Benefits!$R$4:$R$703,"capacity_converted"),0)</f>
        <v>0</v>
      </c>
      <c r="J58" s="11" t="n">
        <f aca="false">SUM(F58:I58)</f>
        <v>0</v>
      </c>
      <c r="K58" s="11" t="n">
        <f aca="false">J58-E58</f>
        <v>0</v>
      </c>
      <c r="L58" s="11" t="n">
        <f aca="false">IF(D58=1,L57+K58,0)</f>
        <v>477845.088</v>
      </c>
      <c r="M58" s="11" t="n">
        <f aca="false">IF(D58=1,1/(1+Controls!$B$11)^B58,0)</f>
        <v>0.89097311744079</v>
      </c>
      <c r="N58" s="11" t="n">
        <f aca="false">K58*M58</f>
        <v>0</v>
      </c>
      <c r="O58" s="11" t="n">
        <f aca="false">IF(D58=1,O57+N58,0)</f>
        <v>413388.425096673</v>
      </c>
      <c r="P58" s="11" t="n">
        <f aca="false">IF(AND(D58=1,L58&lt;0),1,0)</f>
        <v>0</v>
      </c>
      <c r="Q58" s="11" t="n">
        <f aca="false">IF(AND(D58=1,O58&lt;0),1,0)</f>
        <v>0</v>
      </c>
    </row>
    <row r="59" customFormat="false" ht="15" hidden="false" customHeight="false" outlineLevel="0" collapsed="false">
      <c r="A59" s="4" t="s">
        <v>84</v>
      </c>
      <c r="B59" s="4" t="n">
        <v>19</v>
      </c>
      <c r="C59" s="11" t="n">
        <f aca="false">IF(COUNTIF('Scenario inputs'!$A$4:$A$213,Controls!$B$3&amp;"|"&amp;A59)&gt;0,1,0)</f>
        <v>1</v>
      </c>
      <c r="D59" s="11" t="n">
        <f aca="false">IF(AND(C59=1,B59&lt;Controls!$B$12),1,0)</f>
        <v>1</v>
      </c>
      <c r="E59" s="11" t="n">
        <f aca="false">IF(D59=1,SUMPRODUCT((Costs!$B$4:$B$903=A59)*(Costs!$D$4:$D$903="planned")*(Costs!$J$4:$J$903&lt;=B59)*(Costs!$K$4:$K$903&gt;B59)*Costs!$E$4:$E$903),0)</f>
        <v>0</v>
      </c>
      <c r="F59" s="11" t="n">
        <f aca="false">IF(D59=1,SUMIFS(Benefits!$S$4:$S$703,Benefits!$B$4:$B$703,A59,Benefits!$F$4:$F$703,B59,Benefits!$R$4:$R$703,"cash"),0)</f>
        <v>0</v>
      </c>
      <c r="G59" s="11" t="n">
        <f aca="false">IF(D59=1,SUMIFS(Benefits!$S$4:$S$703,Benefits!$B$4:$B$703,A59,Benefits!$F$4:$F$703,B59,Benefits!$R$4:$R$703,"revenue"),0)</f>
        <v>0</v>
      </c>
      <c r="H59" s="11" t="n">
        <f aca="false">IF(D59=1,SUMIFS(Benefits!$S$4:$S$703,Benefits!$B$4:$B$703,A59,Benefits!$F$4:$F$703,B59,Benefits!$R$4:$R$703,"avoided_cost_realised"),0)</f>
        <v>0</v>
      </c>
      <c r="I59" s="11" t="n">
        <f aca="false">IF(D59=1,SUMIFS(Benefits!$S$4:$S$703,Benefits!$B$4:$B$703,A59,Benefits!$F$4:$F$703,B59,Benefits!$R$4:$R$703,"capacity_converted"),0)</f>
        <v>0</v>
      </c>
      <c r="J59" s="11" t="n">
        <f aca="false">SUM(F59:I59)</f>
        <v>0</v>
      </c>
      <c r="K59" s="11" t="n">
        <f aca="false">J59-E59</f>
        <v>0</v>
      </c>
      <c r="L59" s="11" t="n">
        <f aca="false">IF(D59=1,L58+K59,0)</f>
        <v>477845.088</v>
      </c>
      <c r="M59" s="11" t="n">
        <f aca="false">IF(D59=1,1/(1+Controls!$B$11)^B59,0)</f>
        <v>0.885277243655113</v>
      </c>
      <c r="N59" s="11" t="n">
        <f aca="false">K59*M59</f>
        <v>0</v>
      </c>
      <c r="O59" s="11" t="n">
        <f aca="false">IF(D59=1,O58+N59,0)</f>
        <v>413388.425096673</v>
      </c>
      <c r="P59" s="11" t="n">
        <f aca="false">IF(AND(D59=1,L59&lt;0),1,0)</f>
        <v>0</v>
      </c>
      <c r="Q59" s="11" t="n">
        <f aca="false">IF(AND(D59=1,O59&lt;0),1,0)</f>
        <v>0</v>
      </c>
    </row>
    <row r="60" customFormat="false" ht="15" hidden="false" customHeight="false" outlineLevel="0" collapsed="false">
      <c r="A60" s="4" t="s">
        <v>84</v>
      </c>
      <c r="B60" s="4" t="n">
        <v>20</v>
      </c>
      <c r="C60" s="11" t="n">
        <f aca="false">IF(COUNTIF('Scenario inputs'!$A$4:$A$213,Controls!$B$3&amp;"|"&amp;A60)&gt;0,1,0)</f>
        <v>1</v>
      </c>
      <c r="D60" s="11" t="n">
        <f aca="false">IF(AND(C60=1,B60&lt;Controls!$B$12),1,0)</f>
        <v>1</v>
      </c>
      <c r="E60" s="11" t="n">
        <f aca="false">IF(D60=1,SUMPRODUCT((Costs!$B$4:$B$903=A60)*(Costs!$D$4:$D$903="planned")*(Costs!$J$4:$J$903&lt;=B60)*(Costs!$K$4:$K$903&gt;B60)*Costs!$E$4:$E$903),0)</f>
        <v>0</v>
      </c>
      <c r="F60" s="11" t="n">
        <f aca="false">IF(D60=1,SUMIFS(Benefits!$S$4:$S$703,Benefits!$B$4:$B$703,A60,Benefits!$F$4:$F$703,B60,Benefits!$R$4:$R$703,"cash"),0)</f>
        <v>0</v>
      </c>
      <c r="G60" s="11" t="n">
        <f aca="false">IF(D60=1,SUMIFS(Benefits!$S$4:$S$703,Benefits!$B$4:$B$703,A60,Benefits!$F$4:$F$703,B60,Benefits!$R$4:$R$703,"revenue"),0)</f>
        <v>0</v>
      </c>
      <c r="H60" s="11" t="n">
        <f aca="false">IF(D60=1,SUMIFS(Benefits!$S$4:$S$703,Benefits!$B$4:$B$703,A60,Benefits!$F$4:$F$703,B60,Benefits!$R$4:$R$703,"avoided_cost_realised"),0)</f>
        <v>0</v>
      </c>
      <c r="I60" s="11" t="n">
        <f aca="false">IF(D60=1,SUMIFS(Benefits!$S$4:$S$703,Benefits!$B$4:$B$703,A60,Benefits!$F$4:$F$703,B60,Benefits!$R$4:$R$703,"capacity_converted"),0)</f>
        <v>0</v>
      </c>
      <c r="J60" s="11" t="n">
        <f aca="false">SUM(F60:I60)</f>
        <v>0</v>
      </c>
      <c r="K60" s="11" t="n">
        <f aca="false">J60-E60</f>
        <v>0</v>
      </c>
      <c r="L60" s="11" t="n">
        <f aca="false">IF(D60=1,L59+K60,0)</f>
        <v>477845.088</v>
      </c>
      <c r="M60" s="11" t="n">
        <f aca="false">IF(D60=1,1/(1+Controls!$B$11)^B60,0)</f>
        <v>0.879617782840318</v>
      </c>
      <c r="N60" s="11" t="n">
        <f aca="false">K60*M60</f>
        <v>0</v>
      </c>
      <c r="O60" s="11" t="n">
        <f aca="false">IF(D60=1,O59+N60,0)</f>
        <v>413388.425096673</v>
      </c>
      <c r="P60" s="11" t="n">
        <f aca="false">IF(AND(D60=1,L60&lt;0),1,0)</f>
        <v>0</v>
      </c>
      <c r="Q60" s="11" t="n">
        <f aca="false">IF(AND(D60=1,O60&lt;0),1,0)</f>
        <v>0</v>
      </c>
    </row>
    <row r="61" customFormat="false" ht="15" hidden="false" customHeight="false" outlineLevel="0" collapsed="false">
      <c r="A61" s="4" t="s">
        <v>84</v>
      </c>
      <c r="B61" s="4" t="n">
        <v>21</v>
      </c>
      <c r="C61" s="11" t="n">
        <f aca="false">IF(COUNTIF('Scenario inputs'!$A$4:$A$213,Controls!$B$3&amp;"|"&amp;A61)&gt;0,1,0)</f>
        <v>1</v>
      </c>
      <c r="D61" s="11" t="n">
        <f aca="false">IF(AND(C61=1,B61&lt;Controls!$B$12),1,0)</f>
        <v>1</v>
      </c>
      <c r="E61" s="11" t="n">
        <f aca="false">IF(D61=1,SUMPRODUCT((Costs!$B$4:$B$903=A61)*(Costs!$D$4:$D$903="planned")*(Costs!$J$4:$J$903&lt;=B61)*(Costs!$K$4:$K$903&gt;B61)*Costs!$E$4:$E$903),0)</f>
        <v>0</v>
      </c>
      <c r="F61" s="11" t="n">
        <f aca="false">IF(D61=1,SUMIFS(Benefits!$S$4:$S$703,Benefits!$B$4:$B$703,A61,Benefits!$F$4:$F$703,B61,Benefits!$R$4:$R$703,"cash"),0)</f>
        <v>0</v>
      </c>
      <c r="G61" s="11" t="n">
        <f aca="false">IF(D61=1,SUMIFS(Benefits!$S$4:$S$703,Benefits!$B$4:$B$703,A61,Benefits!$F$4:$F$703,B61,Benefits!$R$4:$R$703,"revenue"),0)</f>
        <v>0</v>
      </c>
      <c r="H61" s="11" t="n">
        <f aca="false">IF(D61=1,SUMIFS(Benefits!$S$4:$S$703,Benefits!$B$4:$B$703,A61,Benefits!$F$4:$F$703,B61,Benefits!$R$4:$R$703,"avoided_cost_realised"),0)</f>
        <v>0</v>
      </c>
      <c r="I61" s="11" t="n">
        <f aca="false">IF(D61=1,SUMIFS(Benefits!$S$4:$S$703,Benefits!$B$4:$B$703,A61,Benefits!$F$4:$F$703,B61,Benefits!$R$4:$R$703,"capacity_converted"),0)</f>
        <v>0</v>
      </c>
      <c r="J61" s="11" t="n">
        <f aca="false">SUM(F61:I61)</f>
        <v>0</v>
      </c>
      <c r="K61" s="11" t="n">
        <f aca="false">J61-E61</f>
        <v>0</v>
      </c>
      <c r="L61" s="11" t="n">
        <f aca="false">IF(D61=1,L60+K61,0)</f>
        <v>477845.088</v>
      </c>
      <c r="M61" s="11" t="n">
        <f aca="false">IF(D61=1,1/(1+Controls!$B$11)^B61,0)</f>
        <v>0.873994502213079</v>
      </c>
      <c r="N61" s="11" t="n">
        <f aca="false">K61*M61</f>
        <v>0</v>
      </c>
      <c r="O61" s="11" t="n">
        <f aca="false">IF(D61=1,O60+N61,0)</f>
        <v>413388.425096673</v>
      </c>
      <c r="P61" s="11" t="n">
        <f aca="false">IF(AND(D61=1,L61&lt;0),1,0)</f>
        <v>0</v>
      </c>
      <c r="Q61" s="11" t="n">
        <f aca="false">IF(AND(D61=1,O61&lt;0),1,0)</f>
        <v>0</v>
      </c>
    </row>
    <row r="62" customFormat="false" ht="15" hidden="false" customHeight="false" outlineLevel="0" collapsed="false">
      <c r="A62" s="4" t="s">
        <v>84</v>
      </c>
      <c r="B62" s="4" t="n">
        <v>22</v>
      </c>
      <c r="C62" s="11" t="n">
        <f aca="false">IF(COUNTIF('Scenario inputs'!$A$4:$A$213,Controls!$B$3&amp;"|"&amp;A62)&gt;0,1,0)</f>
        <v>1</v>
      </c>
      <c r="D62" s="11" t="n">
        <f aca="false">IF(AND(C62=1,B62&lt;Controls!$B$12),1,0)</f>
        <v>1</v>
      </c>
      <c r="E62" s="11" t="n">
        <f aca="false">IF(D62=1,SUMPRODUCT((Costs!$B$4:$B$903=A62)*(Costs!$D$4:$D$903="planned")*(Costs!$J$4:$J$903&lt;=B62)*(Costs!$K$4:$K$903&gt;B62)*Costs!$E$4:$E$903),0)</f>
        <v>0</v>
      </c>
      <c r="F62" s="11" t="n">
        <f aca="false">IF(D62=1,SUMIFS(Benefits!$S$4:$S$703,Benefits!$B$4:$B$703,A62,Benefits!$F$4:$F$703,B62,Benefits!$R$4:$R$703,"cash"),0)</f>
        <v>0</v>
      </c>
      <c r="G62" s="11" t="n">
        <f aca="false">IF(D62=1,SUMIFS(Benefits!$S$4:$S$703,Benefits!$B$4:$B$703,A62,Benefits!$F$4:$F$703,B62,Benefits!$R$4:$R$703,"revenue"),0)</f>
        <v>0</v>
      </c>
      <c r="H62" s="11" t="n">
        <f aca="false">IF(D62=1,SUMIFS(Benefits!$S$4:$S$703,Benefits!$B$4:$B$703,A62,Benefits!$F$4:$F$703,B62,Benefits!$R$4:$R$703,"avoided_cost_realised"),0)</f>
        <v>0</v>
      </c>
      <c r="I62" s="11" t="n">
        <f aca="false">IF(D62=1,SUMIFS(Benefits!$S$4:$S$703,Benefits!$B$4:$B$703,A62,Benefits!$F$4:$F$703,B62,Benefits!$R$4:$R$703,"capacity_converted"),0)</f>
        <v>0</v>
      </c>
      <c r="J62" s="11" t="n">
        <f aca="false">SUM(F62:I62)</f>
        <v>0</v>
      </c>
      <c r="K62" s="11" t="n">
        <f aca="false">J62-E62</f>
        <v>0</v>
      </c>
      <c r="L62" s="11" t="n">
        <f aca="false">IF(D62=1,L61+K62,0)</f>
        <v>477845.088</v>
      </c>
      <c r="M62" s="11" t="n">
        <f aca="false">IF(D62=1,1/(1+Controls!$B$11)^B62,0)</f>
        <v>0.868407170478222</v>
      </c>
      <c r="N62" s="11" t="n">
        <f aca="false">K62*M62</f>
        <v>0</v>
      </c>
      <c r="O62" s="11" t="n">
        <f aca="false">IF(D62=1,O61+N62,0)</f>
        <v>413388.425096673</v>
      </c>
      <c r="P62" s="11" t="n">
        <f aca="false">IF(AND(D62=1,L62&lt;0),1,0)</f>
        <v>0</v>
      </c>
      <c r="Q62" s="11" t="n">
        <f aca="false">IF(AND(D62=1,O62&lt;0),1,0)</f>
        <v>0</v>
      </c>
    </row>
    <row r="63" customFormat="false" ht="15" hidden="false" customHeight="false" outlineLevel="0" collapsed="false">
      <c r="A63" s="4" t="s">
        <v>84</v>
      </c>
      <c r="B63" s="4" t="n">
        <v>23</v>
      </c>
      <c r="C63" s="11" t="n">
        <f aca="false">IF(COUNTIF('Scenario inputs'!$A$4:$A$213,Controls!$B$3&amp;"|"&amp;A63)&gt;0,1,0)</f>
        <v>1</v>
      </c>
      <c r="D63" s="11" t="n">
        <f aca="false">IF(AND(C63=1,B63&lt;Controls!$B$12),1,0)</f>
        <v>1</v>
      </c>
      <c r="E63" s="11" t="n">
        <f aca="false">IF(D63=1,SUMPRODUCT((Costs!$B$4:$B$903=A63)*(Costs!$D$4:$D$903="planned")*(Costs!$J$4:$J$903&lt;=B63)*(Costs!$K$4:$K$903&gt;B63)*Costs!$E$4:$E$903),0)</f>
        <v>0</v>
      </c>
      <c r="F63" s="11" t="n">
        <f aca="false">IF(D63=1,SUMIFS(Benefits!$S$4:$S$703,Benefits!$B$4:$B$703,A63,Benefits!$F$4:$F$703,B63,Benefits!$R$4:$R$703,"cash"),0)</f>
        <v>0</v>
      </c>
      <c r="G63" s="11" t="n">
        <f aca="false">IF(D63=1,SUMIFS(Benefits!$S$4:$S$703,Benefits!$B$4:$B$703,A63,Benefits!$F$4:$F$703,B63,Benefits!$R$4:$R$703,"revenue"),0)</f>
        <v>0</v>
      </c>
      <c r="H63" s="11" t="n">
        <f aca="false">IF(D63=1,SUMIFS(Benefits!$S$4:$S$703,Benefits!$B$4:$B$703,A63,Benefits!$F$4:$F$703,B63,Benefits!$R$4:$R$703,"avoided_cost_realised"),0)</f>
        <v>0</v>
      </c>
      <c r="I63" s="11" t="n">
        <f aca="false">IF(D63=1,SUMIFS(Benefits!$S$4:$S$703,Benefits!$B$4:$B$703,A63,Benefits!$F$4:$F$703,B63,Benefits!$R$4:$R$703,"capacity_converted"),0)</f>
        <v>0</v>
      </c>
      <c r="J63" s="11" t="n">
        <f aca="false">SUM(F63:I63)</f>
        <v>0</v>
      </c>
      <c r="K63" s="11" t="n">
        <f aca="false">J63-E63</f>
        <v>0</v>
      </c>
      <c r="L63" s="11" t="n">
        <f aca="false">IF(D63=1,L62+K63,0)</f>
        <v>477845.088</v>
      </c>
      <c r="M63" s="11" t="n">
        <f aca="false">IF(D63=1,1/(1+Controls!$B$11)^B63,0)</f>
        <v>0.862855557819213</v>
      </c>
      <c r="N63" s="11" t="n">
        <f aca="false">K63*M63</f>
        <v>0</v>
      </c>
      <c r="O63" s="11" t="n">
        <f aca="false">IF(D63=1,O62+N63,0)</f>
        <v>413388.425096673</v>
      </c>
      <c r="P63" s="11" t="n">
        <f aca="false">IF(AND(D63=1,L63&lt;0),1,0)</f>
        <v>0</v>
      </c>
      <c r="Q63" s="11" t="n">
        <f aca="false">IF(AND(D63=1,O63&lt;0),1,0)</f>
        <v>0</v>
      </c>
    </row>
    <row r="64" customFormat="false" ht="15" hidden="false" customHeight="false" outlineLevel="0" collapsed="false">
      <c r="A64" s="4" t="s">
        <v>84</v>
      </c>
      <c r="B64" s="4" t="n">
        <v>24</v>
      </c>
      <c r="C64" s="11" t="n">
        <f aca="false">IF(COUNTIF('Scenario inputs'!$A$4:$A$213,Controls!$B$3&amp;"|"&amp;A64)&gt;0,1,0)</f>
        <v>1</v>
      </c>
      <c r="D64" s="11" t="n">
        <f aca="false">IF(AND(C64=1,B64&lt;Controls!$B$12),1,0)</f>
        <v>1</v>
      </c>
      <c r="E64" s="11" t="n">
        <f aca="false">IF(D64=1,SUMPRODUCT((Costs!$B$4:$B$903=A64)*(Costs!$D$4:$D$903="planned")*(Costs!$J$4:$J$903&lt;=B64)*(Costs!$K$4:$K$903&gt;B64)*Costs!$E$4:$E$903),0)</f>
        <v>0</v>
      </c>
      <c r="F64" s="11" t="n">
        <f aca="false">IF(D64=1,SUMIFS(Benefits!$S$4:$S$703,Benefits!$B$4:$B$703,A64,Benefits!$F$4:$F$703,B64,Benefits!$R$4:$R$703,"cash"),0)</f>
        <v>0</v>
      </c>
      <c r="G64" s="11" t="n">
        <f aca="false">IF(D64=1,SUMIFS(Benefits!$S$4:$S$703,Benefits!$B$4:$B$703,A64,Benefits!$F$4:$F$703,B64,Benefits!$R$4:$R$703,"revenue"),0)</f>
        <v>0</v>
      </c>
      <c r="H64" s="11" t="n">
        <f aca="false">IF(D64=1,SUMIFS(Benefits!$S$4:$S$703,Benefits!$B$4:$B$703,A64,Benefits!$F$4:$F$703,B64,Benefits!$R$4:$R$703,"avoided_cost_realised"),0)</f>
        <v>0</v>
      </c>
      <c r="I64" s="11" t="n">
        <f aca="false">IF(D64=1,SUMIFS(Benefits!$S$4:$S$703,Benefits!$B$4:$B$703,A64,Benefits!$F$4:$F$703,B64,Benefits!$R$4:$R$703,"capacity_converted"),0)</f>
        <v>0</v>
      </c>
      <c r="J64" s="11" t="n">
        <f aca="false">SUM(F64:I64)</f>
        <v>0</v>
      </c>
      <c r="K64" s="11" t="n">
        <f aca="false">J64-E64</f>
        <v>0</v>
      </c>
      <c r="L64" s="11" t="n">
        <f aca="false">IF(D64=1,L63+K64,0)</f>
        <v>477845.088</v>
      </c>
      <c r="M64" s="11" t="n">
        <f aca="false">IF(D64=1,1/(1+Controls!$B$11)^B64,0)</f>
        <v>0.857339435888705</v>
      </c>
      <c r="N64" s="11" t="n">
        <f aca="false">K64*M64</f>
        <v>0</v>
      </c>
      <c r="O64" s="11" t="n">
        <f aca="false">IF(D64=1,O63+N64,0)</f>
        <v>413388.425096673</v>
      </c>
      <c r="P64" s="11" t="n">
        <f aca="false">IF(AND(D64=1,L64&lt;0),1,0)</f>
        <v>0</v>
      </c>
      <c r="Q64" s="11" t="n">
        <f aca="false">IF(AND(D64=1,O64&lt;0),1,0)</f>
        <v>0</v>
      </c>
    </row>
    <row r="65" customFormat="false" ht="15" hidden="false" customHeight="false" outlineLevel="0" collapsed="false">
      <c r="A65" s="4" t="s">
        <v>84</v>
      </c>
      <c r="B65" s="4" t="n">
        <v>25</v>
      </c>
      <c r="C65" s="11" t="n">
        <f aca="false">IF(COUNTIF('Scenario inputs'!$A$4:$A$213,Controls!$B$3&amp;"|"&amp;A65)&gt;0,1,0)</f>
        <v>1</v>
      </c>
      <c r="D65" s="11" t="n">
        <f aca="false">IF(AND(C65=1,B65&lt;Controls!$B$12),1,0)</f>
        <v>1</v>
      </c>
      <c r="E65" s="11" t="n">
        <f aca="false">IF(D65=1,SUMPRODUCT((Costs!$B$4:$B$903=A65)*(Costs!$D$4:$D$903="planned")*(Costs!$J$4:$J$903&lt;=B65)*(Costs!$K$4:$K$903&gt;B65)*Costs!$E$4:$E$903),0)</f>
        <v>0</v>
      </c>
      <c r="F65" s="11" t="n">
        <f aca="false">IF(D65=1,SUMIFS(Benefits!$S$4:$S$703,Benefits!$B$4:$B$703,A65,Benefits!$F$4:$F$703,B65,Benefits!$R$4:$R$703,"cash"),0)</f>
        <v>0</v>
      </c>
      <c r="G65" s="11" t="n">
        <f aca="false">IF(D65=1,SUMIFS(Benefits!$S$4:$S$703,Benefits!$B$4:$B$703,A65,Benefits!$F$4:$F$703,B65,Benefits!$R$4:$R$703,"revenue"),0)</f>
        <v>0</v>
      </c>
      <c r="H65" s="11" t="n">
        <f aca="false">IF(D65=1,SUMIFS(Benefits!$S$4:$S$703,Benefits!$B$4:$B$703,A65,Benefits!$F$4:$F$703,B65,Benefits!$R$4:$R$703,"avoided_cost_realised"),0)</f>
        <v>0</v>
      </c>
      <c r="I65" s="11" t="n">
        <f aca="false">IF(D65=1,SUMIFS(Benefits!$S$4:$S$703,Benefits!$B$4:$B$703,A65,Benefits!$F$4:$F$703,B65,Benefits!$R$4:$R$703,"capacity_converted"),0)</f>
        <v>0</v>
      </c>
      <c r="J65" s="11" t="n">
        <f aca="false">SUM(F65:I65)</f>
        <v>0</v>
      </c>
      <c r="K65" s="11" t="n">
        <f aca="false">J65-E65</f>
        <v>0</v>
      </c>
      <c r="L65" s="11" t="n">
        <f aca="false">IF(D65=1,L64+K65,0)</f>
        <v>477845.088</v>
      </c>
      <c r="M65" s="11" t="n">
        <f aca="false">IF(D65=1,1/(1+Controls!$B$11)^B65,0)</f>
        <v>0.851858577799146</v>
      </c>
      <c r="N65" s="11" t="n">
        <f aca="false">K65*M65</f>
        <v>0</v>
      </c>
      <c r="O65" s="11" t="n">
        <f aca="false">IF(D65=1,O64+N65,0)</f>
        <v>413388.425096673</v>
      </c>
      <c r="P65" s="11" t="n">
        <f aca="false">IF(AND(D65=1,L65&lt;0),1,0)</f>
        <v>0</v>
      </c>
      <c r="Q65" s="11" t="n">
        <f aca="false">IF(AND(D65=1,O65&lt;0),1,0)</f>
        <v>0</v>
      </c>
    </row>
    <row r="66" customFormat="false" ht="15" hidden="false" customHeight="false" outlineLevel="0" collapsed="false">
      <c r="A66" s="4" t="s">
        <v>84</v>
      </c>
      <c r="B66" s="4" t="n">
        <v>26</v>
      </c>
      <c r="C66" s="11" t="n">
        <f aca="false">IF(COUNTIF('Scenario inputs'!$A$4:$A$213,Controls!$B$3&amp;"|"&amp;A66)&gt;0,1,0)</f>
        <v>1</v>
      </c>
      <c r="D66" s="11" t="n">
        <f aca="false">IF(AND(C66=1,B66&lt;Controls!$B$12),1,0)</f>
        <v>1</v>
      </c>
      <c r="E66" s="11" t="n">
        <f aca="false">IF(D66=1,SUMPRODUCT((Costs!$B$4:$B$903=A66)*(Costs!$D$4:$D$903="planned")*(Costs!$J$4:$J$903&lt;=B66)*(Costs!$K$4:$K$903&gt;B66)*Costs!$E$4:$E$903),0)</f>
        <v>0</v>
      </c>
      <c r="F66" s="11" t="n">
        <f aca="false">IF(D66=1,SUMIFS(Benefits!$S$4:$S$703,Benefits!$B$4:$B$703,A66,Benefits!$F$4:$F$703,B66,Benefits!$R$4:$R$703,"cash"),0)</f>
        <v>0</v>
      </c>
      <c r="G66" s="11" t="n">
        <f aca="false">IF(D66=1,SUMIFS(Benefits!$S$4:$S$703,Benefits!$B$4:$B$703,A66,Benefits!$F$4:$F$703,B66,Benefits!$R$4:$R$703,"revenue"),0)</f>
        <v>0</v>
      </c>
      <c r="H66" s="11" t="n">
        <f aca="false">IF(D66=1,SUMIFS(Benefits!$S$4:$S$703,Benefits!$B$4:$B$703,A66,Benefits!$F$4:$F$703,B66,Benefits!$R$4:$R$703,"avoided_cost_realised"),0)</f>
        <v>0</v>
      </c>
      <c r="I66" s="11" t="n">
        <f aca="false">IF(D66=1,SUMIFS(Benefits!$S$4:$S$703,Benefits!$B$4:$B$703,A66,Benefits!$F$4:$F$703,B66,Benefits!$R$4:$R$703,"capacity_converted"),0)</f>
        <v>0</v>
      </c>
      <c r="J66" s="11" t="n">
        <f aca="false">SUM(F66:I66)</f>
        <v>0</v>
      </c>
      <c r="K66" s="11" t="n">
        <f aca="false">J66-E66</f>
        <v>0</v>
      </c>
      <c r="L66" s="11" t="n">
        <f aca="false">IF(D66=1,L65+K66,0)</f>
        <v>477845.088</v>
      </c>
      <c r="M66" s="11" t="n">
        <f aca="false">IF(D66=1,1/(1+Controls!$B$11)^B66,0)</f>
        <v>0.846412758113444</v>
      </c>
      <c r="N66" s="11" t="n">
        <f aca="false">K66*M66</f>
        <v>0</v>
      </c>
      <c r="O66" s="11" t="n">
        <f aca="false">IF(D66=1,O65+N66,0)</f>
        <v>413388.425096673</v>
      </c>
      <c r="P66" s="11" t="n">
        <f aca="false">IF(AND(D66=1,L66&lt;0),1,0)</f>
        <v>0</v>
      </c>
      <c r="Q66" s="11" t="n">
        <f aca="false">IF(AND(D66=1,O66&lt;0),1,0)</f>
        <v>0</v>
      </c>
    </row>
    <row r="67" customFormat="false" ht="15" hidden="false" customHeight="false" outlineLevel="0" collapsed="false">
      <c r="A67" s="4" t="s">
        <v>84</v>
      </c>
      <c r="B67" s="4" t="n">
        <v>27</v>
      </c>
      <c r="C67" s="11" t="n">
        <f aca="false">IF(COUNTIF('Scenario inputs'!$A$4:$A$213,Controls!$B$3&amp;"|"&amp;A67)&gt;0,1,0)</f>
        <v>1</v>
      </c>
      <c r="D67" s="11" t="n">
        <f aca="false">IF(AND(C67=1,B67&lt;Controls!$B$12),1,0)</f>
        <v>1</v>
      </c>
      <c r="E67" s="11" t="n">
        <f aca="false">IF(D67=1,SUMPRODUCT((Costs!$B$4:$B$903=A67)*(Costs!$D$4:$D$903="planned")*(Costs!$J$4:$J$903&lt;=B67)*(Costs!$K$4:$K$903&gt;B67)*Costs!$E$4:$E$903),0)</f>
        <v>0</v>
      </c>
      <c r="F67" s="11" t="n">
        <f aca="false">IF(D67=1,SUMIFS(Benefits!$S$4:$S$703,Benefits!$B$4:$B$703,A67,Benefits!$F$4:$F$703,B67,Benefits!$R$4:$R$703,"cash"),0)</f>
        <v>0</v>
      </c>
      <c r="G67" s="11" t="n">
        <f aca="false">IF(D67=1,SUMIFS(Benefits!$S$4:$S$703,Benefits!$B$4:$B$703,A67,Benefits!$F$4:$F$703,B67,Benefits!$R$4:$R$703,"revenue"),0)</f>
        <v>0</v>
      </c>
      <c r="H67" s="11" t="n">
        <f aca="false">IF(D67=1,SUMIFS(Benefits!$S$4:$S$703,Benefits!$B$4:$B$703,A67,Benefits!$F$4:$F$703,B67,Benefits!$R$4:$R$703,"avoided_cost_realised"),0)</f>
        <v>0</v>
      </c>
      <c r="I67" s="11" t="n">
        <f aca="false">IF(D67=1,SUMIFS(Benefits!$S$4:$S$703,Benefits!$B$4:$B$703,A67,Benefits!$F$4:$F$703,B67,Benefits!$R$4:$R$703,"capacity_converted"),0)</f>
        <v>0</v>
      </c>
      <c r="J67" s="11" t="n">
        <f aca="false">SUM(F67:I67)</f>
        <v>0</v>
      </c>
      <c r="K67" s="11" t="n">
        <f aca="false">J67-E67</f>
        <v>0</v>
      </c>
      <c r="L67" s="11" t="n">
        <f aca="false">IF(D67=1,L66+K67,0)</f>
        <v>477845.088</v>
      </c>
      <c r="M67" s="11" t="n">
        <f aca="false">IF(D67=1,1/(1+Controls!$B$11)^B67,0)</f>
        <v>0.841001752835699</v>
      </c>
      <c r="N67" s="11" t="n">
        <f aca="false">K67*M67</f>
        <v>0</v>
      </c>
      <c r="O67" s="11" t="n">
        <f aca="false">IF(D67=1,O66+N67,0)</f>
        <v>413388.425096673</v>
      </c>
      <c r="P67" s="11" t="n">
        <f aca="false">IF(AND(D67=1,L67&lt;0),1,0)</f>
        <v>0</v>
      </c>
      <c r="Q67" s="11" t="n">
        <f aca="false">IF(AND(D67=1,O67&lt;0),1,0)</f>
        <v>0</v>
      </c>
    </row>
    <row r="68" customFormat="false" ht="15" hidden="false" customHeight="false" outlineLevel="0" collapsed="false">
      <c r="A68" s="4" t="s">
        <v>84</v>
      </c>
      <c r="B68" s="4" t="n">
        <v>28</v>
      </c>
      <c r="C68" s="11" t="n">
        <f aca="false">IF(COUNTIF('Scenario inputs'!$A$4:$A$213,Controls!$B$3&amp;"|"&amp;A68)&gt;0,1,0)</f>
        <v>1</v>
      </c>
      <c r="D68" s="11" t="n">
        <f aca="false">IF(AND(C68=1,B68&lt;Controls!$B$12),1,0)</f>
        <v>1</v>
      </c>
      <c r="E68" s="11" t="n">
        <f aca="false">IF(D68=1,SUMPRODUCT((Costs!$B$4:$B$903=A68)*(Costs!$D$4:$D$903="planned")*(Costs!$J$4:$J$903&lt;=B68)*(Costs!$K$4:$K$903&gt;B68)*Costs!$E$4:$E$903),0)</f>
        <v>0</v>
      </c>
      <c r="F68" s="11" t="n">
        <f aca="false">IF(D68=1,SUMIFS(Benefits!$S$4:$S$703,Benefits!$B$4:$B$703,A68,Benefits!$F$4:$F$703,B68,Benefits!$R$4:$R$703,"cash"),0)</f>
        <v>0</v>
      </c>
      <c r="G68" s="11" t="n">
        <f aca="false">IF(D68=1,SUMIFS(Benefits!$S$4:$S$703,Benefits!$B$4:$B$703,A68,Benefits!$F$4:$F$703,B68,Benefits!$R$4:$R$703,"revenue"),0)</f>
        <v>0</v>
      </c>
      <c r="H68" s="11" t="n">
        <f aca="false">IF(D68=1,SUMIFS(Benefits!$S$4:$S$703,Benefits!$B$4:$B$703,A68,Benefits!$F$4:$F$703,B68,Benefits!$R$4:$R$703,"avoided_cost_realised"),0)</f>
        <v>0</v>
      </c>
      <c r="I68" s="11" t="n">
        <f aca="false">IF(D68=1,SUMIFS(Benefits!$S$4:$S$703,Benefits!$B$4:$B$703,A68,Benefits!$F$4:$F$703,B68,Benefits!$R$4:$R$703,"capacity_converted"),0)</f>
        <v>0</v>
      </c>
      <c r="J68" s="11" t="n">
        <f aca="false">SUM(F68:I68)</f>
        <v>0</v>
      </c>
      <c r="K68" s="11" t="n">
        <f aca="false">J68-E68</f>
        <v>0</v>
      </c>
      <c r="L68" s="11" t="n">
        <f aca="false">IF(D68=1,L67+K68,0)</f>
        <v>477845.088</v>
      </c>
      <c r="M68" s="11" t="n">
        <f aca="false">IF(D68=1,1/(1+Controls!$B$11)^B68,0)</f>
        <v>0.835625339401986</v>
      </c>
      <c r="N68" s="11" t="n">
        <f aca="false">K68*M68</f>
        <v>0</v>
      </c>
      <c r="O68" s="11" t="n">
        <f aca="false">IF(D68=1,O67+N68,0)</f>
        <v>413388.425096673</v>
      </c>
      <c r="P68" s="11" t="n">
        <f aca="false">IF(AND(D68=1,L68&lt;0),1,0)</f>
        <v>0</v>
      </c>
      <c r="Q68" s="11" t="n">
        <f aca="false">IF(AND(D68=1,O68&lt;0),1,0)</f>
        <v>0</v>
      </c>
    </row>
    <row r="69" customFormat="false" ht="15" hidden="false" customHeight="false" outlineLevel="0" collapsed="false">
      <c r="A69" s="4" t="s">
        <v>84</v>
      </c>
      <c r="B69" s="4" t="n">
        <v>29</v>
      </c>
      <c r="C69" s="11" t="n">
        <f aca="false">IF(COUNTIF('Scenario inputs'!$A$4:$A$213,Controls!$B$3&amp;"|"&amp;A69)&gt;0,1,0)</f>
        <v>1</v>
      </c>
      <c r="D69" s="11" t="n">
        <f aca="false">IF(AND(C69=1,B69&lt;Controls!$B$12),1,0)</f>
        <v>1</v>
      </c>
      <c r="E69" s="11" t="n">
        <f aca="false">IF(D69=1,SUMPRODUCT((Costs!$B$4:$B$903=A69)*(Costs!$D$4:$D$903="planned")*(Costs!$J$4:$J$903&lt;=B69)*(Costs!$K$4:$K$903&gt;B69)*Costs!$E$4:$E$903),0)</f>
        <v>0</v>
      </c>
      <c r="F69" s="11" t="n">
        <f aca="false">IF(D69=1,SUMIFS(Benefits!$S$4:$S$703,Benefits!$B$4:$B$703,A69,Benefits!$F$4:$F$703,B69,Benefits!$R$4:$R$703,"cash"),0)</f>
        <v>0</v>
      </c>
      <c r="G69" s="11" t="n">
        <f aca="false">IF(D69=1,SUMIFS(Benefits!$S$4:$S$703,Benefits!$B$4:$B$703,A69,Benefits!$F$4:$F$703,B69,Benefits!$R$4:$R$703,"revenue"),0)</f>
        <v>0</v>
      </c>
      <c r="H69" s="11" t="n">
        <f aca="false">IF(D69=1,SUMIFS(Benefits!$S$4:$S$703,Benefits!$B$4:$B$703,A69,Benefits!$F$4:$F$703,B69,Benefits!$R$4:$R$703,"avoided_cost_realised"),0)</f>
        <v>0</v>
      </c>
      <c r="I69" s="11" t="n">
        <f aca="false">IF(D69=1,SUMIFS(Benefits!$S$4:$S$703,Benefits!$B$4:$B$703,A69,Benefits!$F$4:$F$703,B69,Benefits!$R$4:$R$703,"capacity_converted"),0)</f>
        <v>0</v>
      </c>
      <c r="J69" s="11" t="n">
        <f aca="false">SUM(F69:I69)</f>
        <v>0</v>
      </c>
      <c r="K69" s="11" t="n">
        <f aca="false">J69-E69</f>
        <v>0</v>
      </c>
      <c r="L69" s="11" t="n">
        <f aca="false">IF(D69=1,L68+K69,0)</f>
        <v>477845.088</v>
      </c>
      <c r="M69" s="11" t="n">
        <f aca="false">IF(D69=1,1/(1+Controls!$B$11)^B69,0)</f>
        <v>0.830283296671204</v>
      </c>
      <c r="N69" s="11" t="n">
        <f aca="false">K69*M69</f>
        <v>0</v>
      </c>
      <c r="O69" s="11" t="n">
        <f aca="false">IF(D69=1,O68+N69,0)</f>
        <v>413388.425096673</v>
      </c>
      <c r="P69" s="11" t="n">
        <f aca="false">IF(AND(D69=1,L69&lt;0),1,0)</f>
        <v>0</v>
      </c>
      <c r="Q69" s="11" t="n">
        <f aca="false">IF(AND(D69=1,O69&lt;0),1,0)</f>
        <v>0</v>
      </c>
    </row>
    <row r="70" customFormat="false" ht="15" hidden="false" customHeight="false" outlineLevel="0" collapsed="false">
      <c r="A70" s="4" t="s">
        <v>84</v>
      </c>
      <c r="B70" s="4" t="n">
        <v>30</v>
      </c>
      <c r="C70" s="11" t="n">
        <f aca="false">IF(COUNTIF('Scenario inputs'!$A$4:$A$213,Controls!$B$3&amp;"|"&amp;A70)&gt;0,1,0)</f>
        <v>1</v>
      </c>
      <c r="D70" s="11" t="n">
        <f aca="false">IF(AND(C70=1,B70&lt;Controls!$B$12),1,0)</f>
        <v>1</v>
      </c>
      <c r="E70" s="11" t="n">
        <f aca="false">IF(D70=1,SUMPRODUCT((Costs!$B$4:$B$903=A70)*(Costs!$D$4:$D$903="planned")*(Costs!$J$4:$J$903&lt;=B70)*(Costs!$K$4:$K$903&gt;B70)*Costs!$E$4:$E$903),0)</f>
        <v>0</v>
      </c>
      <c r="F70" s="11" t="n">
        <f aca="false">IF(D70=1,SUMIFS(Benefits!$S$4:$S$703,Benefits!$B$4:$B$703,A70,Benefits!$F$4:$F$703,B70,Benefits!$R$4:$R$703,"cash"),0)</f>
        <v>0</v>
      </c>
      <c r="G70" s="11" t="n">
        <f aca="false">IF(D70=1,SUMIFS(Benefits!$S$4:$S$703,Benefits!$B$4:$B$703,A70,Benefits!$F$4:$F$703,B70,Benefits!$R$4:$R$703,"revenue"),0)</f>
        <v>0</v>
      </c>
      <c r="H70" s="11" t="n">
        <f aca="false">IF(D70=1,SUMIFS(Benefits!$S$4:$S$703,Benefits!$B$4:$B$703,A70,Benefits!$F$4:$F$703,B70,Benefits!$R$4:$R$703,"avoided_cost_realised"),0)</f>
        <v>0</v>
      </c>
      <c r="I70" s="11" t="n">
        <f aca="false">IF(D70=1,SUMIFS(Benefits!$S$4:$S$703,Benefits!$B$4:$B$703,A70,Benefits!$F$4:$F$703,B70,Benefits!$R$4:$R$703,"capacity_converted"),0)</f>
        <v>0</v>
      </c>
      <c r="J70" s="11" t="n">
        <f aca="false">SUM(F70:I70)</f>
        <v>0</v>
      </c>
      <c r="K70" s="11" t="n">
        <f aca="false">J70-E70</f>
        <v>0</v>
      </c>
      <c r="L70" s="11" t="n">
        <f aca="false">IF(D70=1,L69+K70,0)</f>
        <v>477845.088</v>
      </c>
      <c r="M70" s="11" t="n">
        <f aca="false">IF(D70=1,1/(1+Controls!$B$11)^B70,0)</f>
        <v>0.824975404915974</v>
      </c>
      <c r="N70" s="11" t="n">
        <f aca="false">K70*M70</f>
        <v>0</v>
      </c>
      <c r="O70" s="11" t="n">
        <f aca="false">IF(D70=1,O69+N70,0)</f>
        <v>413388.425096673</v>
      </c>
      <c r="P70" s="11" t="n">
        <f aca="false">IF(AND(D70=1,L70&lt;0),1,0)</f>
        <v>0</v>
      </c>
      <c r="Q70" s="11" t="n">
        <f aca="false">IF(AND(D70=1,O70&lt;0),1,0)</f>
        <v>0</v>
      </c>
    </row>
    <row r="71" customFormat="false" ht="15" hidden="false" customHeight="false" outlineLevel="0" collapsed="false">
      <c r="A71" s="4" t="s">
        <v>84</v>
      </c>
      <c r="B71" s="4" t="n">
        <v>31</v>
      </c>
      <c r="C71" s="11" t="n">
        <f aca="false">IF(COUNTIF('Scenario inputs'!$A$4:$A$213,Controls!$B$3&amp;"|"&amp;A71)&gt;0,1,0)</f>
        <v>1</v>
      </c>
      <c r="D71" s="11" t="n">
        <f aca="false">IF(AND(C71=1,B71&lt;Controls!$B$12),1,0)</f>
        <v>1</v>
      </c>
      <c r="E71" s="11" t="n">
        <f aca="false">IF(D71=1,SUMPRODUCT((Costs!$B$4:$B$903=A71)*(Costs!$D$4:$D$903="planned")*(Costs!$J$4:$J$903&lt;=B71)*(Costs!$K$4:$K$903&gt;B71)*Costs!$E$4:$E$903),0)</f>
        <v>0</v>
      </c>
      <c r="F71" s="11" t="n">
        <f aca="false">IF(D71=1,SUMIFS(Benefits!$S$4:$S$703,Benefits!$B$4:$B$703,A71,Benefits!$F$4:$F$703,B71,Benefits!$R$4:$R$703,"cash"),0)</f>
        <v>0</v>
      </c>
      <c r="G71" s="11" t="n">
        <f aca="false">IF(D71=1,SUMIFS(Benefits!$S$4:$S$703,Benefits!$B$4:$B$703,A71,Benefits!$F$4:$F$703,B71,Benefits!$R$4:$R$703,"revenue"),0)</f>
        <v>0</v>
      </c>
      <c r="H71" s="11" t="n">
        <f aca="false">IF(D71=1,SUMIFS(Benefits!$S$4:$S$703,Benefits!$B$4:$B$703,A71,Benefits!$F$4:$F$703,B71,Benefits!$R$4:$R$703,"avoided_cost_realised"),0)</f>
        <v>0</v>
      </c>
      <c r="I71" s="11" t="n">
        <f aca="false">IF(D71=1,SUMIFS(Benefits!$S$4:$S$703,Benefits!$B$4:$B$703,A71,Benefits!$F$4:$F$703,B71,Benefits!$R$4:$R$703,"capacity_converted"),0)</f>
        <v>0</v>
      </c>
      <c r="J71" s="11" t="n">
        <f aca="false">SUM(F71:I71)</f>
        <v>0</v>
      </c>
      <c r="K71" s="11" t="n">
        <f aca="false">J71-E71</f>
        <v>0</v>
      </c>
      <c r="L71" s="11" t="n">
        <f aca="false">IF(D71=1,L70+K71,0)</f>
        <v>477845.088</v>
      </c>
      <c r="M71" s="11" t="n">
        <f aca="false">IF(D71=1,1/(1+Controls!$B$11)^B71,0)</f>
        <v>0.81970144581361</v>
      </c>
      <c r="N71" s="11" t="n">
        <f aca="false">K71*M71</f>
        <v>0</v>
      </c>
      <c r="O71" s="11" t="n">
        <f aca="false">IF(D71=1,O70+N71,0)</f>
        <v>413388.425096673</v>
      </c>
      <c r="P71" s="11" t="n">
        <f aca="false">IF(AND(D71=1,L71&lt;0),1,0)</f>
        <v>0</v>
      </c>
      <c r="Q71" s="11" t="n">
        <f aca="false">IF(AND(D71=1,O71&lt;0),1,0)</f>
        <v>0</v>
      </c>
    </row>
    <row r="72" customFormat="false" ht="15" hidden="false" customHeight="false" outlineLevel="0" collapsed="false">
      <c r="A72" s="4" t="s">
        <v>84</v>
      </c>
      <c r="B72" s="4" t="n">
        <v>32</v>
      </c>
      <c r="C72" s="11" t="n">
        <f aca="false">IF(COUNTIF('Scenario inputs'!$A$4:$A$213,Controls!$B$3&amp;"|"&amp;A72)&gt;0,1,0)</f>
        <v>1</v>
      </c>
      <c r="D72" s="11" t="n">
        <f aca="false">IF(AND(C72=1,B72&lt;Controls!$B$12),1,0)</f>
        <v>1</v>
      </c>
      <c r="E72" s="11" t="n">
        <f aca="false">IF(D72=1,SUMPRODUCT((Costs!$B$4:$B$903=A72)*(Costs!$D$4:$D$903="planned")*(Costs!$J$4:$J$903&lt;=B72)*(Costs!$K$4:$K$903&gt;B72)*Costs!$E$4:$E$903),0)</f>
        <v>0</v>
      </c>
      <c r="F72" s="11" t="n">
        <f aca="false">IF(D72=1,SUMIFS(Benefits!$S$4:$S$703,Benefits!$B$4:$B$703,A72,Benefits!$F$4:$F$703,B72,Benefits!$R$4:$R$703,"cash"),0)</f>
        <v>0</v>
      </c>
      <c r="G72" s="11" t="n">
        <f aca="false">IF(D72=1,SUMIFS(Benefits!$S$4:$S$703,Benefits!$B$4:$B$703,A72,Benefits!$F$4:$F$703,B72,Benefits!$R$4:$R$703,"revenue"),0)</f>
        <v>0</v>
      </c>
      <c r="H72" s="11" t="n">
        <f aca="false">IF(D72=1,SUMIFS(Benefits!$S$4:$S$703,Benefits!$B$4:$B$703,A72,Benefits!$F$4:$F$703,B72,Benefits!$R$4:$R$703,"avoided_cost_realised"),0)</f>
        <v>0</v>
      </c>
      <c r="I72" s="11" t="n">
        <f aca="false">IF(D72=1,SUMIFS(Benefits!$S$4:$S$703,Benefits!$B$4:$B$703,A72,Benefits!$F$4:$F$703,B72,Benefits!$R$4:$R$703,"capacity_converted"),0)</f>
        <v>0</v>
      </c>
      <c r="J72" s="11" t="n">
        <f aca="false">SUM(F72:I72)</f>
        <v>0</v>
      </c>
      <c r="K72" s="11" t="n">
        <f aca="false">J72-E72</f>
        <v>0</v>
      </c>
      <c r="L72" s="11" t="n">
        <f aca="false">IF(D72=1,L71+K72,0)</f>
        <v>477845.088</v>
      </c>
      <c r="M72" s="11" t="n">
        <f aca="false">IF(D72=1,1/(1+Controls!$B$11)^B72,0)</f>
        <v>0.814461202437129</v>
      </c>
      <c r="N72" s="11" t="n">
        <f aca="false">K72*M72</f>
        <v>0</v>
      </c>
      <c r="O72" s="11" t="n">
        <f aca="false">IF(D72=1,O71+N72,0)</f>
        <v>413388.425096673</v>
      </c>
      <c r="P72" s="11" t="n">
        <f aca="false">IF(AND(D72=1,L72&lt;0),1,0)</f>
        <v>0</v>
      </c>
      <c r="Q72" s="11" t="n">
        <f aca="false">IF(AND(D72=1,O72&lt;0),1,0)</f>
        <v>0</v>
      </c>
    </row>
    <row r="73" customFormat="false" ht="15" hidden="false" customHeight="false" outlineLevel="0" collapsed="false">
      <c r="A73" s="4" t="s">
        <v>84</v>
      </c>
      <c r="B73" s="4" t="n">
        <v>33</v>
      </c>
      <c r="C73" s="11" t="n">
        <f aca="false">IF(COUNTIF('Scenario inputs'!$A$4:$A$213,Controls!$B$3&amp;"|"&amp;A73)&gt;0,1,0)</f>
        <v>1</v>
      </c>
      <c r="D73" s="11" t="n">
        <f aca="false">IF(AND(C73=1,B73&lt;Controls!$B$12),1,0)</f>
        <v>1</v>
      </c>
      <c r="E73" s="11" t="n">
        <f aca="false">IF(D73=1,SUMPRODUCT((Costs!$B$4:$B$903=A73)*(Costs!$D$4:$D$903="planned")*(Costs!$J$4:$J$903&lt;=B73)*(Costs!$K$4:$K$903&gt;B73)*Costs!$E$4:$E$903),0)</f>
        <v>0</v>
      </c>
      <c r="F73" s="11" t="n">
        <f aca="false">IF(D73=1,SUMIFS(Benefits!$S$4:$S$703,Benefits!$B$4:$B$703,A73,Benefits!$F$4:$F$703,B73,Benefits!$R$4:$R$703,"cash"),0)</f>
        <v>0</v>
      </c>
      <c r="G73" s="11" t="n">
        <f aca="false">IF(D73=1,SUMIFS(Benefits!$S$4:$S$703,Benefits!$B$4:$B$703,A73,Benefits!$F$4:$F$703,B73,Benefits!$R$4:$R$703,"revenue"),0)</f>
        <v>0</v>
      </c>
      <c r="H73" s="11" t="n">
        <f aca="false">IF(D73=1,SUMIFS(Benefits!$S$4:$S$703,Benefits!$B$4:$B$703,A73,Benefits!$F$4:$F$703,B73,Benefits!$R$4:$R$703,"avoided_cost_realised"),0)</f>
        <v>0</v>
      </c>
      <c r="I73" s="11" t="n">
        <f aca="false">IF(D73=1,SUMIFS(Benefits!$S$4:$S$703,Benefits!$B$4:$B$703,A73,Benefits!$F$4:$F$703,B73,Benefits!$R$4:$R$703,"capacity_converted"),0)</f>
        <v>0</v>
      </c>
      <c r="J73" s="11" t="n">
        <f aca="false">SUM(F73:I73)</f>
        <v>0</v>
      </c>
      <c r="K73" s="11" t="n">
        <f aca="false">J73-E73</f>
        <v>0</v>
      </c>
      <c r="L73" s="11" t="n">
        <f aca="false">IF(D73=1,L72+K73,0)</f>
        <v>477845.088</v>
      </c>
      <c r="M73" s="11" t="n">
        <f aca="false">IF(D73=1,1/(1+Controls!$B$11)^B73,0)</f>
        <v>0.809254459246338</v>
      </c>
      <c r="N73" s="11" t="n">
        <f aca="false">K73*M73</f>
        <v>0</v>
      </c>
      <c r="O73" s="11" t="n">
        <f aca="false">IF(D73=1,O72+N73,0)</f>
        <v>413388.425096673</v>
      </c>
      <c r="P73" s="11" t="n">
        <f aca="false">IF(AND(D73=1,L73&lt;0),1,0)</f>
        <v>0</v>
      </c>
      <c r="Q73" s="11" t="n">
        <f aca="false">IF(AND(D73=1,O73&lt;0),1,0)</f>
        <v>0</v>
      </c>
    </row>
    <row r="74" customFormat="false" ht="15" hidden="false" customHeight="false" outlineLevel="0" collapsed="false">
      <c r="A74" s="4" t="s">
        <v>84</v>
      </c>
      <c r="B74" s="4" t="n">
        <v>34</v>
      </c>
      <c r="C74" s="11" t="n">
        <f aca="false">IF(COUNTIF('Scenario inputs'!$A$4:$A$213,Controls!$B$3&amp;"|"&amp;A74)&gt;0,1,0)</f>
        <v>1</v>
      </c>
      <c r="D74" s="11" t="n">
        <f aca="false">IF(AND(C74=1,B74&lt;Controls!$B$12),1,0)</f>
        <v>1</v>
      </c>
      <c r="E74" s="11" t="n">
        <f aca="false">IF(D74=1,SUMPRODUCT((Costs!$B$4:$B$903=A74)*(Costs!$D$4:$D$903="planned")*(Costs!$J$4:$J$903&lt;=B74)*(Costs!$K$4:$K$903&gt;B74)*Costs!$E$4:$E$903),0)</f>
        <v>0</v>
      </c>
      <c r="F74" s="11" t="n">
        <f aca="false">IF(D74=1,SUMIFS(Benefits!$S$4:$S$703,Benefits!$B$4:$B$703,A74,Benefits!$F$4:$F$703,B74,Benefits!$R$4:$R$703,"cash"),0)</f>
        <v>0</v>
      </c>
      <c r="G74" s="11" t="n">
        <f aca="false">IF(D74=1,SUMIFS(Benefits!$S$4:$S$703,Benefits!$B$4:$B$703,A74,Benefits!$F$4:$F$703,B74,Benefits!$R$4:$R$703,"revenue"),0)</f>
        <v>0</v>
      </c>
      <c r="H74" s="11" t="n">
        <f aca="false">IF(D74=1,SUMIFS(Benefits!$S$4:$S$703,Benefits!$B$4:$B$703,A74,Benefits!$F$4:$F$703,B74,Benefits!$R$4:$R$703,"avoided_cost_realised"),0)</f>
        <v>0</v>
      </c>
      <c r="I74" s="11" t="n">
        <f aca="false">IF(D74=1,SUMIFS(Benefits!$S$4:$S$703,Benefits!$B$4:$B$703,A74,Benefits!$F$4:$F$703,B74,Benefits!$R$4:$R$703,"capacity_converted"),0)</f>
        <v>0</v>
      </c>
      <c r="J74" s="11" t="n">
        <f aca="false">SUM(F74:I74)</f>
        <v>0</v>
      </c>
      <c r="K74" s="11" t="n">
        <f aca="false">J74-E74</f>
        <v>0</v>
      </c>
      <c r="L74" s="11" t="n">
        <f aca="false">IF(D74=1,L73+K74,0)</f>
        <v>477845.088</v>
      </c>
      <c r="M74" s="11" t="n">
        <f aca="false">IF(D74=1,1/(1+Controls!$B$11)^B74,0)</f>
        <v>0.804081002078962</v>
      </c>
      <c r="N74" s="11" t="n">
        <f aca="false">K74*M74</f>
        <v>0</v>
      </c>
      <c r="O74" s="11" t="n">
        <f aca="false">IF(D74=1,O73+N74,0)</f>
        <v>413388.425096673</v>
      </c>
      <c r="P74" s="11" t="n">
        <f aca="false">IF(AND(D74=1,L74&lt;0),1,0)</f>
        <v>0</v>
      </c>
      <c r="Q74" s="11" t="n">
        <f aca="false">IF(AND(D74=1,O74&lt;0),1,0)</f>
        <v>0</v>
      </c>
    </row>
    <row r="75" customFormat="false" ht="15" hidden="false" customHeight="false" outlineLevel="0" collapsed="false">
      <c r="A75" s="4" t="s">
        <v>84</v>
      </c>
      <c r="B75" s="4" t="n">
        <v>35</v>
      </c>
      <c r="C75" s="11" t="n">
        <f aca="false">IF(COUNTIF('Scenario inputs'!$A$4:$A$213,Controls!$B$3&amp;"|"&amp;A75)&gt;0,1,0)</f>
        <v>1</v>
      </c>
      <c r="D75" s="11" t="n">
        <f aca="false">IF(AND(C75=1,B75&lt;Controls!$B$12),1,0)</f>
        <v>1</v>
      </c>
      <c r="E75" s="11" t="n">
        <f aca="false">IF(D75=1,SUMPRODUCT((Costs!$B$4:$B$903=A75)*(Costs!$D$4:$D$903="planned")*(Costs!$J$4:$J$903&lt;=B75)*(Costs!$K$4:$K$903&gt;B75)*Costs!$E$4:$E$903),0)</f>
        <v>0</v>
      </c>
      <c r="F75" s="11" t="n">
        <f aca="false">IF(D75=1,SUMIFS(Benefits!$S$4:$S$703,Benefits!$B$4:$B$703,A75,Benefits!$F$4:$F$703,B75,Benefits!$R$4:$R$703,"cash"),0)</f>
        <v>0</v>
      </c>
      <c r="G75" s="11" t="n">
        <f aca="false">IF(D75=1,SUMIFS(Benefits!$S$4:$S$703,Benefits!$B$4:$B$703,A75,Benefits!$F$4:$F$703,B75,Benefits!$R$4:$R$703,"revenue"),0)</f>
        <v>0</v>
      </c>
      <c r="H75" s="11" t="n">
        <f aca="false">IF(D75=1,SUMIFS(Benefits!$S$4:$S$703,Benefits!$B$4:$B$703,A75,Benefits!$F$4:$F$703,B75,Benefits!$R$4:$R$703,"avoided_cost_realised"),0)</f>
        <v>0</v>
      </c>
      <c r="I75" s="11" t="n">
        <f aca="false">IF(D75=1,SUMIFS(Benefits!$S$4:$S$703,Benefits!$B$4:$B$703,A75,Benefits!$F$4:$F$703,B75,Benefits!$R$4:$R$703,"capacity_converted"),0)</f>
        <v>0</v>
      </c>
      <c r="J75" s="11" t="n">
        <f aca="false">SUM(F75:I75)</f>
        <v>0</v>
      </c>
      <c r="K75" s="11" t="n">
        <f aca="false">J75-E75</f>
        <v>0</v>
      </c>
      <c r="L75" s="11" t="n">
        <f aca="false">IF(D75=1,L74+K75,0)</f>
        <v>477845.088</v>
      </c>
      <c r="M75" s="11" t="n">
        <f aca="false">IF(D75=1,1/(1+Controls!$B$11)^B75,0)</f>
        <v>0.798940618141837</v>
      </c>
      <c r="N75" s="11" t="n">
        <f aca="false">K75*M75</f>
        <v>0</v>
      </c>
      <c r="O75" s="11" t="n">
        <f aca="false">IF(D75=1,O74+N75,0)</f>
        <v>413388.425096673</v>
      </c>
      <c r="P75" s="11" t="n">
        <f aca="false">IF(AND(D75=1,L75&lt;0),1,0)</f>
        <v>0</v>
      </c>
      <c r="Q75" s="11" t="n">
        <f aca="false">IF(AND(D75=1,O75&lt;0),1,0)</f>
        <v>0</v>
      </c>
    </row>
    <row r="76" customFormat="false" ht="15" hidden="false" customHeight="false" outlineLevel="0" collapsed="false">
      <c r="A76" s="4" t="s">
        <v>85</v>
      </c>
      <c r="B76" s="4" t="n">
        <v>0</v>
      </c>
      <c r="C76" s="11" t="n">
        <f aca="false">IF(COUNTIF('Scenario inputs'!$A$4:$A$213,Controls!$B$3&amp;"|"&amp;A76)&gt;0,1,0)</f>
        <v>1</v>
      </c>
      <c r="D76" s="11" t="n">
        <f aca="false">IF(AND(C76=1,B76&lt;Controls!$B$12),1,0)</f>
        <v>1</v>
      </c>
      <c r="E76" s="11" t="n">
        <f aca="false">IF(D76=1,SUMPRODUCT((Costs!$B$4:$B$903=A76)*(Costs!$D$4:$D$903="planned")*(Costs!$J$4:$J$903&lt;=B76)*(Costs!$K$4:$K$903&gt;B76)*Costs!$E$4:$E$903),0)</f>
        <v>10000</v>
      </c>
      <c r="F76" s="11" t="n">
        <f aca="false">IF(D76=1,SUMIFS(Benefits!$S$4:$S$703,Benefits!$B$4:$B$703,A76,Benefits!$F$4:$F$703,B76,Benefits!$R$4:$R$703,"cash"),0)</f>
        <v>0</v>
      </c>
      <c r="G76" s="11" t="n">
        <f aca="false">IF(D76=1,SUMIFS(Benefits!$S$4:$S$703,Benefits!$B$4:$B$703,A76,Benefits!$F$4:$F$703,B76,Benefits!$R$4:$R$703,"revenue"),0)</f>
        <v>0</v>
      </c>
      <c r="H76" s="11" t="n">
        <f aca="false">IF(D76=1,SUMIFS(Benefits!$S$4:$S$703,Benefits!$B$4:$B$703,A76,Benefits!$F$4:$F$703,B76,Benefits!$R$4:$R$703,"avoided_cost_realised"),0)</f>
        <v>0</v>
      </c>
      <c r="I76" s="11" t="n">
        <f aca="false">IF(D76=1,SUMIFS(Benefits!$S$4:$S$703,Benefits!$B$4:$B$703,A76,Benefits!$F$4:$F$703,B76,Benefits!$R$4:$R$703,"capacity_converted"),0)</f>
        <v>0</v>
      </c>
      <c r="J76" s="11" t="n">
        <f aca="false">SUM(F76:I76)</f>
        <v>0</v>
      </c>
      <c r="K76" s="11" t="n">
        <f aca="false">J76-E76</f>
        <v>-10000</v>
      </c>
      <c r="L76" s="11" t="n">
        <f aca="false">IF(D76=1,K76,0)</f>
        <v>-10000</v>
      </c>
      <c r="M76" s="11" t="n">
        <f aca="false">IF(D76=1,1/(1+Controls!$B$11)^B76,0)</f>
        <v>1</v>
      </c>
      <c r="N76" s="11" t="n">
        <f aca="false">K76*M76</f>
        <v>-10000</v>
      </c>
      <c r="O76" s="11" t="n">
        <f aca="false">IF(D76=1,N76,0)</f>
        <v>-10000</v>
      </c>
      <c r="P76" s="11" t="n">
        <f aca="false">IF(AND(D76=1,L76&lt;0),1,0)</f>
        <v>1</v>
      </c>
      <c r="Q76" s="11" t="n">
        <f aca="false">IF(AND(D76=1,O76&lt;0),1,0)</f>
        <v>1</v>
      </c>
    </row>
    <row r="77" customFormat="false" ht="15" hidden="false" customHeight="false" outlineLevel="0" collapsed="false">
      <c r="A77" s="4" t="s">
        <v>85</v>
      </c>
      <c r="B77" s="4" t="n">
        <v>1</v>
      </c>
      <c r="C77" s="11" t="n">
        <f aca="false">IF(COUNTIF('Scenario inputs'!$A$4:$A$213,Controls!$B$3&amp;"|"&amp;A77)&gt;0,1,0)</f>
        <v>1</v>
      </c>
      <c r="D77" s="11" t="n">
        <f aca="false">IF(AND(C77=1,B77&lt;Controls!$B$12),1,0)</f>
        <v>1</v>
      </c>
      <c r="E77" s="11" t="n">
        <f aca="false">IF(D77=1,SUMPRODUCT((Costs!$B$4:$B$903=A77)*(Costs!$D$4:$D$903="planned")*(Costs!$J$4:$J$903&lt;=B77)*(Costs!$K$4:$K$903&gt;B77)*Costs!$E$4:$E$903),0)</f>
        <v>274950</v>
      </c>
      <c r="F77" s="11" t="n">
        <f aca="false">IF(D77=1,SUMIFS(Benefits!$S$4:$S$703,Benefits!$B$4:$B$703,A77,Benefits!$F$4:$F$703,B77,Benefits!$R$4:$R$703,"cash"),0)</f>
        <v>0</v>
      </c>
      <c r="G77" s="11" t="n">
        <f aca="false">IF(D77=1,SUMIFS(Benefits!$S$4:$S$703,Benefits!$B$4:$B$703,A77,Benefits!$F$4:$F$703,B77,Benefits!$R$4:$R$703,"revenue"),0)</f>
        <v>0</v>
      </c>
      <c r="H77" s="11" t="n">
        <f aca="false">IF(D77=1,SUMIFS(Benefits!$S$4:$S$703,Benefits!$B$4:$B$703,A77,Benefits!$F$4:$F$703,B77,Benefits!$R$4:$R$703,"avoided_cost_realised"),0)</f>
        <v>0</v>
      </c>
      <c r="I77" s="11" t="n">
        <f aca="false">IF(D77=1,SUMIFS(Benefits!$S$4:$S$703,Benefits!$B$4:$B$703,A77,Benefits!$F$4:$F$703,B77,Benefits!$R$4:$R$703,"capacity_converted"),0)</f>
        <v>0</v>
      </c>
      <c r="J77" s="11" t="n">
        <f aca="false">SUM(F77:I77)</f>
        <v>0</v>
      </c>
      <c r="K77" s="11" t="n">
        <f aca="false">J77-E77</f>
        <v>-274950</v>
      </c>
      <c r="L77" s="11" t="n">
        <f aca="false">IF(D77=1,L76+K77,0)</f>
        <v>-284950</v>
      </c>
      <c r="M77" s="11" t="n">
        <f aca="false">IF(D77=1,1/(1+Controls!$B$11)^B77,0)</f>
        <v>0.993607131714549</v>
      </c>
      <c r="N77" s="11" t="n">
        <f aca="false">K77*M77</f>
        <v>-273192.280864915</v>
      </c>
      <c r="O77" s="11" t="n">
        <f aca="false">IF(D77=1,O76+N77,0)</f>
        <v>-283192.280864915</v>
      </c>
      <c r="P77" s="11" t="n">
        <f aca="false">IF(AND(D77=1,L77&lt;0),1,0)</f>
        <v>1</v>
      </c>
      <c r="Q77" s="11" t="n">
        <f aca="false">IF(AND(D77=1,O77&lt;0),1,0)</f>
        <v>1</v>
      </c>
    </row>
    <row r="78" customFormat="false" ht="15" hidden="false" customHeight="false" outlineLevel="0" collapsed="false">
      <c r="A78" s="4" t="s">
        <v>85</v>
      </c>
      <c r="B78" s="4" t="n">
        <v>2</v>
      </c>
      <c r="C78" s="11" t="n">
        <f aca="false">IF(COUNTIF('Scenario inputs'!$A$4:$A$213,Controls!$B$3&amp;"|"&amp;A78)&gt;0,1,0)</f>
        <v>1</v>
      </c>
      <c r="D78" s="11" t="n">
        <f aca="false">IF(AND(C78=1,B78&lt;Controls!$B$12),1,0)</f>
        <v>1</v>
      </c>
      <c r="E78" s="11" t="n">
        <f aca="false">IF(D78=1,SUMPRODUCT((Costs!$B$4:$B$903=A78)*(Costs!$D$4:$D$903="planned")*(Costs!$J$4:$J$903&lt;=B78)*(Costs!$K$4:$K$903&gt;B78)*Costs!$E$4:$E$903),0)</f>
        <v>152400</v>
      </c>
      <c r="F78" s="11" t="n">
        <f aca="false">IF(D78=1,SUMIFS(Benefits!$S$4:$S$703,Benefits!$B$4:$B$703,A78,Benefits!$F$4:$F$703,B78,Benefits!$R$4:$R$703,"cash"),0)</f>
        <v>0</v>
      </c>
      <c r="G78" s="11" t="n">
        <f aca="false">IF(D78=1,SUMIFS(Benefits!$S$4:$S$703,Benefits!$B$4:$B$703,A78,Benefits!$F$4:$F$703,B78,Benefits!$R$4:$R$703,"revenue"),0)</f>
        <v>0</v>
      </c>
      <c r="H78" s="11" t="n">
        <f aca="false">IF(D78=1,SUMIFS(Benefits!$S$4:$S$703,Benefits!$B$4:$B$703,A78,Benefits!$F$4:$F$703,B78,Benefits!$R$4:$R$703,"avoided_cost_realised"),0)</f>
        <v>0</v>
      </c>
      <c r="I78" s="11" t="n">
        <f aca="false">IF(D78=1,SUMIFS(Benefits!$S$4:$S$703,Benefits!$B$4:$B$703,A78,Benefits!$F$4:$F$703,B78,Benefits!$R$4:$R$703,"capacity_converted"),0)</f>
        <v>0</v>
      </c>
      <c r="J78" s="11" t="n">
        <f aca="false">SUM(F78:I78)</f>
        <v>0</v>
      </c>
      <c r="K78" s="11" t="n">
        <f aca="false">J78-E78</f>
        <v>-152400</v>
      </c>
      <c r="L78" s="11" t="n">
        <f aca="false">IF(D78=1,L77+K78,0)</f>
        <v>-437350</v>
      </c>
      <c r="M78" s="11" t="n">
        <f aca="false">IF(D78=1,1/(1+Controls!$B$11)^B78,0)</f>
        <v>0.987255132194012</v>
      </c>
      <c r="N78" s="11" t="n">
        <f aca="false">K78*M78</f>
        <v>-150457.682146367</v>
      </c>
      <c r="O78" s="11" t="n">
        <f aca="false">IF(D78=1,O77+N78,0)</f>
        <v>-433649.963011283</v>
      </c>
      <c r="P78" s="11" t="n">
        <f aca="false">IF(AND(D78=1,L78&lt;0),1,0)</f>
        <v>1</v>
      </c>
      <c r="Q78" s="11" t="n">
        <f aca="false">IF(AND(D78=1,O78&lt;0),1,0)</f>
        <v>1</v>
      </c>
    </row>
    <row r="79" customFormat="false" ht="15" hidden="false" customHeight="false" outlineLevel="0" collapsed="false">
      <c r="A79" s="4" t="s">
        <v>85</v>
      </c>
      <c r="B79" s="4" t="n">
        <v>3</v>
      </c>
      <c r="C79" s="11" t="n">
        <f aca="false">IF(COUNTIF('Scenario inputs'!$A$4:$A$213,Controls!$B$3&amp;"|"&amp;A79)&gt;0,1,0)</f>
        <v>1</v>
      </c>
      <c r="D79" s="11" t="n">
        <f aca="false">IF(AND(C79=1,B79&lt;Controls!$B$12),1,0)</f>
        <v>1</v>
      </c>
      <c r="E79" s="11" t="n">
        <f aca="false">IF(D79=1,SUMPRODUCT((Costs!$B$4:$B$903=A79)*(Costs!$D$4:$D$903="planned")*(Costs!$J$4:$J$903&lt;=B79)*(Costs!$K$4:$K$903&gt;B79)*Costs!$E$4:$E$903),0)</f>
        <v>92650</v>
      </c>
      <c r="F79" s="11" t="n">
        <f aca="false">IF(D79=1,SUMIFS(Benefits!$S$4:$S$703,Benefits!$B$4:$B$703,A79,Benefits!$F$4:$F$703,B79,Benefits!$R$4:$R$703,"cash"),0)</f>
        <v>2825.0226</v>
      </c>
      <c r="G79" s="11" t="n">
        <f aca="false">IF(D79=1,SUMIFS(Benefits!$S$4:$S$703,Benefits!$B$4:$B$703,A79,Benefits!$F$4:$F$703,B79,Benefits!$R$4:$R$703,"revenue"),0)</f>
        <v>0</v>
      </c>
      <c r="H79" s="11" t="n">
        <f aca="false">IF(D79=1,SUMIFS(Benefits!$S$4:$S$703,Benefits!$B$4:$B$703,A79,Benefits!$F$4:$F$703,B79,Benefits!$R$4:$R$703,"avoided_cost_realised"),0)</f>
        <v>0</v>
      </c>
      <c r="I79" s="11" t="n">
        <f aca="false">IF(D79=1,SUMIFS(Benefits!$S$4:$S$703,Benefits!$B$4:$B$703,A79,Benefits!$F$4:$F$703,B79,Benefits!$R$4:$R$703,"capacity_converted"),0)</f>
        <v>0</v>
      </c>
      <c r="J79" s="11" t="n">
        <f aca="false">SUM(F79:I79)</f>
        <v>2825.0226</v>
      </c>
      <c r="K79" s="11" t="n">
        <f aca="false">J79-E79</f>
        <v>-89824.9774</v>
      </c>
      <c r="L79" s="11" t="n">
        <f aca="false">IF(D79=1,L78+K79,0)</f>
        <v>-527174.9774</v>
      </c>
      <c r="M79" s="11" t="n">
        <f aca="false">IF(D79=1,1/(1+Controls!$B$11)^B79,0)</f>
        <v>0.98094374016976</v>
      </c>
      <c r="N79" s="11" t="n">
        <f aca="false">K79*M79</f>
        <v>-88113.2492914202</v>
      </c>
      <c r="O79" s="11" t="n">
        <f aca="false">IF(D79=1,O78+N79,0)</f>
        <v>-521763.212302703</v>
      </c>
      <c r="P79" s="11" t="n">
        <f aca="false">IF(AND(D79=1,L79&lt;0),1,0)</f>
        <v>1</v>
      </c>
      <c r="Q79" s="11" t="n">
        <f aca="false">IF(AND(D79=1,O79&lt;0),1,0)</f>
        <v>1</v>
      </c>
    </row>
    <row r="80" customFormat="false" ht="15" hidden="false" customHeight="false" outlineLevel="0" collapsed="false">
      <c r="A80" s="4" t="s">
        <v>85</v>
      </c>
      <c r="B80" s="4" t="n">
        <v>4</v>
      </c>
      <c r="C80" s="11" t="n">
        <f aca="false">IF(COUNTIF('Scenario inputs'!$A$4:$A$213,Controls!$B$3&amp;"|"&amp;A80)&gt;0,1,0)</f>
        <v>1</v>
      </c>
      <c r="D80" s="11" t="n">
        <f aca="false">IF(AND(C80=1,B80&lt;Controls!$B$12),1,0)</f>
        <v>1</v>
      </c>
      <c r="E80" s="11" t="n">
        <f aca="false">IF(D80=1,SUMPRODUCT((Costs!$B$4:$B$903=A80)*(Costs!$D$4:$D$903="planned")*(Costs!$J$4:$J$903&lt;=B80)*(Costs!$K$4:$K$903&gt;B80)*Costs!$E$4:$E$903),0)</f>
        <v>10000</v>
      </c>
      <c r="F80" s="11" t="n">
        <f aca="false">IF(D80=1,SUMIFS(Benefits!$S$4:$S$703,Benefits!$B$4:$B$703,A80,Benefits!$F$4:$F$703,B80,Benefits!$R$4:$R$703,"cash"),0)</f>
        <v>8474.9661</v>
      </c>
      <c r="G80" s="11" t="n">
        <f aca="false">IF(D80=1,SUMIFS(Benefits!$S$4:$S$703,Benefits!$B$4:$B$703,A80,Benefits!$F$4:$F$703,B80,Benefits!$R$4:$R$703,"revenue"),0)</f>
        <v>0</v>
      </c>
      <c r="H80" s="11" t="n">
        <f aca="false">IF(D80=1,SUMIFS(Benefits!$S$4:$S$703,Benefits!$B$4:$B$703,A80,Benefits!$F$4:$F$703,B80,Benefits!$R$4:$R$703,"avoided_cost_realised"),0)</f>
        <v>0</v>
      </c>
      <c r="I80" s="11" t="n">
        <f aca="false">IF(D80=1,SUMIFS(Benefits!$S$4:$S$703,Benefits!$B$4:$B$703,A80,Benefits!$F$4:$F$703,B80,Benefits!$R$4:$R$703,"capacity_converted"),0)</f>
        <v>1248.5750385204</v>
      </c>
      <c r="J80" s="11" t="n">
        <f aca="false">SUM(F80:I80)</f>
        <v>9723.5411385204</v>
      </c>
      <c r="K80" s="11" t="n">
        <f aca="false">J80-E80</f>
        <v>-276.458861479601</v>
      </c>
      <c r="L80" s="11" t="n">
        <f aca="false">IF(D80=1,L79+K80,0)</f>
        <v>-527451.43626148</v>
      </c>
      <c r="M80" s="11" t="n">
        <f aca="false">IF(D80=1,1/(1+Controls!$B$11)^B80,0)</f>
        <v>0.974672696043417</v>
      </c>
      <c r="N80" s="11" t="n">
        <f aca="false">K80*M80</f>
        <v>-269.456903863416</v>
      </c>
      <c r="O80" s="11" t="n">
        <f aca="false">IF(D80=1,O79+N80,0)</f>
        <v>-522032.669206566</v>
      </c>
      <c r="P80" s="11" t="n">
        <f aca="false">IF(AND(D80=1,L80&lt;0),1,0)</f>
        <v>1</v>
      </c>
      <c r="Q80" s="11" t="n">
        <f aca="false">IF(AND(D80=1,O80&lt;0),1,0)</f>
        <v>1</v>
      </c>
    </row>
    <row r="81" customFormat="false" ht="15" hidden="false" customHeight="false" outlineLevel="0" collapsed="false">
      <c r="A81" s="4" t="s">
        <v>85</v>
      </c>
      <c r="B81" s="4" t="n">
        <v>5</v>
      </c>
      <c r="C81" s="11" t="n">
        <f aca="false">IF(COUNTIF('Scenario inputs'!$A$4:$A$213,Controls!$B$3&amp;"|"&amp;A81)&gt;0,1,0)</f>
        <v>1</v>
      </c>
      <c r="D81" s="11" t="n">
        <f aca="false">IF(AND(C81=1,B81&lt;Controls!$B$12),1,0)</f>
        <v>1</v>
      </c>
      <c r="E81" s="11" t="n">
        <f aca="false">IF(D81=1,SUMPRODUCT((Costs!$B$4:$B$903=A81)*(Costs!$D$4:$D$903="planned")*(Costs!$J$4:$J$903&lt;=B81)*(Costs!$K$4:$K$903&gt;B81)*Costs!$E$4:$E$903),0)</f>
        <v>10000</v>
      </c>
      <c r="F81" s="11" t="n">
        <f aca="false">IF(D81=1,SUMIFS(Benefits!$S$4:$S$703,Benefits!$B$4:$B$703,A81,Benefits!$F$4:$F$703,B81,Benefits!$R$4:$R$703,"cash"),0)</f>
        <v>16950.0339</v>
      </c>
      <c r="G81" s="11" t="n">
        <f aca="false">IF(D81=1,SUMIFS(Benefits!$S$4:$S$703,Benefits!$B$4:$B$703,A81,Benefits!$F$4:$F$703,B81,Benefits!$R$4:$R$703,"revenue"),0)</f>
        <v>0</v>
      </c>
      <c r="H81" s="11" t="n">
        <f aca="false">IF(D81=1,SUMIFS(Benefits!$S$4:$S$703,Benefits!$B$4:$B$703,A81,Benefits!$F$4:$F$703,B81,Benefits!$R$4:$R$703,"avoided_cost_realised"),0)</f>
        <v>0</v>
      </c>
      <c r="I81" s="11" t="n">
        <f aca="false">IF(D81=1,SUMIFS(Benefits!$S$4:$S$703,Benefits!$B$4:$B$703,A81,Benefits!$F$4:$F$703,B81,Benefits!$R$4:$R$703,"capacity_converted"),0)</f>
        <v>3745.6801672194</v>
      </c>
      <c r="J81" s="11" t="n">
        <f aca="false">SUM(F81:I81)</f>
        <v>20695.7140672194</v>
      </c>
      <c r="K81" s="11" t="n">
        <f aca="false">J81-E81</f>
        <v>10695.7140672194</v>
      </c>
      <c r="L81" s="11" t="n">
        <f aca="false">IF(D81=1,L80+K81,0)</f>
        <v>-516755.72219426</v>
      </c>
      <c r="M81" s="11" t="n">
        <f aca="false">IF(D81=1,1/(1+Controls!$B$11)^B81,0)</f>
        <v>0.968441741876185</v>
      </c>
      <c r="N81" s="11" t="n">
        <f aca="false">K81*M81</f>
        <v>10358.1759618676</v>
      </c>
      <c r="O81" s="11" t="n">
        <f aca="false">IF(D81=1,O80+N81,0)</f>
        <v>-511674.493244699</v>
      </c>
      <c r="P81" s="11" t="n">
        <f aca="false">IF(AND(D81=1,L81&lt;0),1,0)</f>
        <v>1</v>
      </c>
      <c r="Q81" s="11" t="n">
        <f aca="false">IF(AND(D81=1,O81&lt;0),1,0)</f>
        <v>1</v>
      </c>
    </row>
    <row r="82" customFormat="false" ht="15" hidden="false" customHeight="false" outlineLevel="0" collapsed="false">
      <c r="A82" s="4" t="s">
        <v>85</v>
      </c>
      <c r="B82" s="4" t="n">
        <v>6</v>
      </c>
      <c r="C82" s="11" t="n">
        <f aca="false">IF(COUNTIF('Scenario inputs'!$A$4:$A$213,Controls!$B$3&amp;"|"&amp;A82)&gt;0,1,0)</f>
        <v>1</v>
      </c>
      <c r="D82" s="11" t="n">
        <f aca="false">IF(AND(C82=1,B82&lt;Controls!$B$12),1,0)</f>
        <v>1</v>
      </c>
      <c r="E82" s="11" t="n">
        <f aca="false">IF(D82=1,SUMPRODUCT((Costs!$B$4:$B$903=A82)*(Costs!$D$4:$D$903="planned")*(Costs!$J$4:$J$903&lt;=B82)*(Costs!$K$4:$K$903&gt;B82)*Costs!$E$4:$E$903),0)</f>
        <v>10000</v>
      </c>
      <c r="F82" s="11" t="n">
        <f aca="false">IF(D82=1,SUMIFS(Benefits!$S$4:$S$703,Benefits!$B$4:$B$703,A82,Benefits!$F$4:$F$703,B82,Benefits!$R$4:$R$703,"cash"),0)</f>
        <v>28250.0226</v>
      </c>
      <c r="G82" s="11" t="n">
        <f aca="false">IF(D82=1,SUMIFS(Benefits!$S$4:$S$703,Benefits!$B$4:$B$703,A82,Benefits!$F$4:$F$703,B82,Benefits!$R$4:$R$703,"revenue"),0)</f>
        <v>0</v>
      </c>
      <c r="H82" s="11" t="n">
        <f aca="false">IF(D82=1,SUMIFS(Benefits!$S$4:$S$703,Benefits!$B$4:$B$703,A82,Benefits!$F$4:$F$703,B82,Benefits!$R$4:$R$703,"avoided_cost_realised"),0)</f>
        <v>0</v>
      </c>
      <c r="I82" s="11" t="n">
        <f aca="false">IF(D82=1,SUMIFS(Benefits!$S$4:$S$703,Benefits!$B$4:$B$703,A82,Benefits!$F$4:$F$703,B82,Benefits!$R$4:$R$703,"capacity_converted"),0)</f>
        <v>7491.4052827806</v>
      </c>
      <c r="J82" s="11" t="n">
        <f aca="false">SUM(F82:I82)</f>
        <v>35741.4278827806</v>
      </c>
      <c r="K82" s="11" t="n">
        <f aca="false">J82-E82</f>
        <v>25741.4278827806</v>
      </c>
      <c r="L82" s="11" t="n">
        <f aca="false">IF(D82=1,L81+K82,0)</f>
        <v>-491014.29431148</v>
      </c>
      <c r="M82" s="11" t="n">
        <f aca="false">IF(D82=1,1/(1+Controls!$B$11)^B82,0)</f>
        <v>0.962250621378238</v>
      </c>
      <c r="N82" s="11" t="n">
        <f aca="false">K82*M82</f>
        <v>24769.7049753687</v>
      </c>
      <c r="O82" s="11" t="n">
        <f aca="false">IF(D82=1,O81+N82,0)</f>
        <v>-486904.78826933</v>
      </c>
      <c r="P82" s="11" t="n">
        <f aca="false">IF(AND(D82=1,L82&lt;0),1,0)</f>
        <v>1</v>
      </c>
      <c r="Q82" s="11" t="n">
        <f aca="false">IF(AND(D82=1,O82&lt;0),1,0)</f>
        <v>1</v>
      </c>
    </row>
    <row r="83" customFormat="false" ht="15" hidden="false" customHeight="false" outlineLevel="0" collapsed="false">
      <c r="A83" s="4" t="s">
        <v>85</v>
      </c>
      <c r="B83" s="4" t="n">
        <v>7</v>
      </c>
      <c r="C83" s="11" t="n">
        <f aca="false">IF(COUNTIF('Scenario inputs'!$A$4:$A$213,Controls!$B$3&amp;"|"&amp;A83)&gt;0,1,0)</f>
        <v>1</v>
      </c>
      <c r="D83" s="11" t="n">
        <f aca="false">IF(AND(C83=1,B83&lt;Controls!$B$12),1,0)</f>
        <v>1</v>
      </c>
      <c r="E83" s="11" t="n">
        <f aca="false">IF(D83=1,SUMPRODUCT((Costs!$B$4:$B$903=A83)*(Costs!$D$4:$D$903="planned")*(Costs!$J$4:$J$903&lt;=B83)*(Costs!$K$4:$K$903&gt;B83)*Costs!$E$4:$E$903),0)</f>
        <v>10000</v>
      </c>
      <c r="F83" s="11" t="n">
        <f aca="false">IF(D83=1,SUMIFS(Benefits!$S$4:$S$703,Benefits!$B$4:$B$703,A83,Benefits!$F$4:$F$703,B83,Benefits!$R$4:$R$703,"cash"),0)</f>
        <v>42375.0339</v>
      </c>
      <c r="G83" s="11" t="n">
        <f aca="false">IF(D83=1,SUMIFS(Benefits!$S$4:$S$703,Benefits!$B$4:$B$703,A83,Benefits!$F$4:$F$703,B83,Benefits!$R$4:$R$703,"revenue"),0)</f>
        <v>0</v>
      </c>
      <c r="H83" s="11" t="n">
        <f aca="false">IF(D83=1,SUMIFS(Benefits!$S$4:$S$703,Benefits!$B$4:$B$703,A83,Benefits!$F$4:$F$703,B83,Benefits!$R$4:$R$703,"avoided_cost_realised"),0)</f>
        <v>0</v>
      </c>
      <c r="I83" s="11" t="n">
        <f aca="false">IF(D83=1,SUMIFS(Benefits!$S$4:$S$703,Benefits!$B$4:$B$703,A83,Benefits!$F$4:$F$703,B83,Benefits!$R$4:$R$703,"capacity_converted"),0)</f>
        <v>12485.6604885204</v>
      </c>
      <c r="J83" s="11" t="n">
        <f aca="false">SUM(F83:I83)</f>
        <v>54860.6943885204</v>
      </c>
      <c r="K83" s="11" t="n">
        <f aca="false">J83-E83</f>
        <v>44860.6943885204</v>
      </c>
      <c r="L83" s="11" t="n">
        <f aca="false">IF(D83=1,L82+K83,0)</f>
        <v>-446153.599922959</v>
      </c>
      <c r="M83" s="11" t="n">
        <f aca="false">IF(D83=1,1/(1+Controls!$B$11)^B83,0)</f>
        <v>0.956099079898173</v>
      </c>
      <c r="N83" s="11" t="n">
        <f aca="false">K83*M83</f>
        <v>42891.2686284575</v>
      </c>
      <c r="O83" s="11" t="n">
        <f aca="false">IF(D83=1,O82+N83,0)</f>
        <v>-444013.519640872</v>
      </c>
      <c r="P83" s="11" t="n">
        <f aca="false">IF(AND(D83=1,L83&lt;0),1,0)</f>
        <v>1</v>
      </c>
      <c r="Q83" s="11" t="n">
        <f aca="false">IF(AND(D83=1,O83&lt;0),1,0)</f>
        <v>1</v>
      </c>
    </row>
    <row r="84" customFormat="false" ht="15" hidden="false" customHeight="false" outlineLevel="0" collapsed="false">
      <c r="A84" s="4" t="s">
        <v>85</v>
      </c>
      <c r="B84" s="4" t="n">
        <v>8</v>
      </c>
      <c r="C84" s="11" t="n">
        <f aca="false">IF(COUNTIF('Scenario inputs'!$A$4:$A$213,Controls!$B$3&amp;"|"&amp;A84)&gt;0,1,0)</f>
        <v>1</v>
      </c>
      <c r="D84" s="11" t="n">
        <f aca="false">IF(AND(C84=1,B84&lt;Controls!$B$12),1,0)</f>
        <v>1</v>
      </c>
      <c r="E84" s="11" t="n">
        <f aca="false">IF(D84=1,SUMPRODUCT((Costs!$B$4:$B$903=A84)*(Costs!$D$4:$D$903="planned")*(Costs!$J$4:$J$903&lt;=B84)*(Costs!$K$4:$K$903&gt;B84)*Costs!$E$4:$E$903),0)</f>
        <v>10000</v>
      </c>
      <c r="F84" s="11" t="n">
        <f aca="false">IF(D84=1,SUMIFS(Benefits!$S$4:$S$703,Benefits!$B$4:$B$703,A84,Benefits!$F$4:$F$703,B84,Benefits!$R$4:$R$703,"cash"),0)</f>
        <v>59324.9661</v>
      </c>
      <c r="G84" s="11" t="n">
        <f aca="false">IF(D84=1,SUMIFS(Benefits!$S$4:$S$703,Benefits!$B$4:$B$703,A84,Benefits!$F$4:$F$703,B84,Benefits!$R$4:$R$703,"revenue"),0)</f>
        <v>0</v>
      </c>
      <c r="H84" s="11" t="n">
        <f aca="false">IF(D84=1,SUMIFS(Benefits!$S$4:$S$703,Benefits!$B$4:$B$703,A84,Benefits!$F$4:$F$703,B84,Benefits!$R$4:$R$703,"avoided_cost_realised"),0)</f>
        <v>0</v>
      </c>
      <c r="I84" s="11" t="n">
        <f aca="false">IF(D84=1,SUMIFS(Benefits!$S$4:$S$703,Benefits!$B$4:$B$703,A84,Benefits!$F$4:$F$703,B84,Benefits!$R$4:$R$703,"capacity_converted"),0)</f>
        <v>18728.4907327806</v>
      </c>
      <c r="J84" s="11" t="n">
        <f aca="false">SUM(F84:I84)</f>
        <v>78053.4568327806</v>
      </c>
      <c r="K84" s="11" t="n">
        <f aca="false">J84-E84</f>
        <v>68053.4568327806</v>
      </c>
      <c r="L84" s="11" t="n">
        <f aca="false">IF(D84=1,L83+K84,0)</f>
        <v>-378100.143090179</v>
      </c>
      <c r="M84" s="11" t="n">
        <f aca="false">IF(D84=1,1/(1+Controls!$B$11)^B84,0)</f>
        <v>0.949986864412542</v>
      </c>
      <c r="N84" s="11" t="n">
        <f aca="false">K84*M84</f>
        <v>64649.8900690076</v>
      </c>
      <c r="O84" s="11" t="n">
        <f aca="false">IF(D84=1,O83+N84,0)</f>
        <v>-379363.629571865</v>
      </c>
      <c r="P84" s="11" t="n">
        <f aca="false">IF(AND(D84=1,L84&lt;0),1,0)</f>
        <v>1</v>
      </c>
      <c r="Q84" s="11" t="n">
        <f aca="false">IF(AND(D84=1,O84&lt;0),1,0)</f>
        <v>1</v>
      </c>
    </row>
    <row r="85" customFormat="false" ht="15" hidden="false" customHeight="false" outlineLevel="0" collapsed="false">
      <c r="A85" s="4" t="s">
        <v>85</v>
      </c>
      <c r="B85" s="4" t="n">
        <v>9</v>
      </c>
      <c r="C85" s="11" t="n">
        <f aca="false">IF(COUNTIF('Scenario inputs'!$A$4:$A$213,Controls!$B$3&amp;"|"&amp;A85)&gt;0,1,0)</f>
        <v>1</v>
      </c>
      <c r="D85" s="11" t="n">
        <f aca="false">IF(AND(C85=1,B85&lt;Controls!$B$12),1,0)</f>
        <v>1</v>
      </c>
      <c r="E85" s="11" t="n">
        <f aca="false">IF(D85=1,SUMPRODUCT((Costs!$B$4:$B$903=A85)*(Costs!$D$4:$D$903="planned")*(Costs!$J$4:$J$903&lt;=B85)*(Costs!$K$4:$K$903&gt;B85)*Costs!$E$4:$E$903),0)</f>
        <v>10400</v>
      </c>
      <c r="F85" s="11" t="n">
        <f aca="false">IF(D85=1,SUMIFS(Benefits!$S$4:$S$703,Benefits!$B$4:$B$703,A85,Benefits!$F$4:$F$703,B85,Benefits!$R$4:$R$703,"cash"),0)</f>
        <v>79100.0226</v>
      </c>
      <c r="G85" s="11" t="n">
        <f aca="false">IF(D85=1,SUMIFS(Benefits!$S$4:$S$703,Benefits!$B$4:$B$703,A85,Benefits!$F$4:$F$703,B85,Benefits!$R$4:$R$703,"revenue"),0)</f>
        <v>0</v>
      </c>
      <c r="H85" s="11" t="n">
        <f aca="false">IF(D85=1,SUMIFS(Benefits!$S$4:$S$703,Benefits!$B$4:$B$703,A85,Benefits!$F$4:$F$703,B85,Benefits!$R$4:$R$703,"avoided_cost_realised"),0)</f>
        <v>0</v>
      </c>
      <c r="I85" s="11" t="n">
        <f aca="false">IF(D85=1,SUMIFS(Benefits!$S$4:$S$703,Benefits!$B$4:$B$703,A85,Benefits!$F$4:$F$703,B85,Benefits!$R$4:$R$703,"capacity_converted"),0)</f>
        <v>26219.8510672194</v>
      </c>
      <c r="J85" s="11" t="n">
        <f aca="false">SUM(F85:I85)</f>
        <v>105319.873667219</v>
      </c>
      <c r="K85" s="11" t="n">
        <f aca="false">J85-E85</f>
        <v>94919.8736672194</v>
      </c>
      <c r="L85" s="11" t="n">
        <f aca="false">IF(D85=1,L84+K85,0)</f>
        <v>-283180.269422959</v>
      </c>
      <c r="M85" s="11" t="n">
        <f aca="false">IF(D85=1,1/(1+Controls!$B$11)^B85,0)</f>
        <v>0.943913723515444</v>
      </c>
      <c r="N85" s="11" t="n">
        <f aca="false">K85*M85</f>
        <v>89596.1713888406</v>
      </c>
      <c r="O85" s="11" t="n">
        <f aca="false">IF(D85=1,O84+N85,0)</f>
        <v>-289767.458183024</v>
      </c>
      <c r="P85" s="11" t="n">
        <f aca="false">IF(AND(D85=1,L85&lt;0),1,0)</f>
        <v>1</v>
      </c>
      <c r="Q85" s="11" t="n">
        <f aca="false">IF(AND(D85=1,O85&lt;0),1,0)</f>
        <v>1</v>
      </c>
    </row>
    <row r="86" customFormat="false" ht="15" hidden="false" customHeight="false" outlineLevel="0" collapsed="false">
      <c r="A86" s="4" t="s">
        <v>85</v>
      </c>
      <c r="B86" s="4" t="n">
        <v>10</v>
      </c>
      <c r="C86" s="11" t="n">
        <f aca="false">IF(COUNTIF('Scenario inputs'!$A$4:$A$213,Controls!$B$3&amp;"|"&amp;A86)&gt;0,1,0)</f>
        <v>1</v>
      </c>
      <c r="D86" s="11" t="n">
        <f aca="false">IF(AND(C86=1,B86&lt;Controls!$B$12),1,0)</f>
        <v>1</v>
      </c>
      <c r="E86" s="11" t="n">
        <f aca="false">IF(D86=1,SUMPRODUCT((Costs!$B$4:$B$903=A86)*(Costs!$D$4:$D$903="planned")*(Costs!$J$4:$J$903&lt;=B86)*(Costs!$K$4:$K$903&gt;B86)*Costs!$E$4:$E$903),0)</f>
        <v>10400</v>
      </c>
      <c r="F86" s="11" t="n">
        <f aca="false">IF(D86=1,SUMIFS(Benefits!$S$4:$S$703,Benefits!$B$4:$B$703,A86,Benefits!$F$4:$F$703,B86,Benefits!$R$4:$R$703,"cash"),0)</f>
        <v>101700</v>
      </c>
      <c r="G86" s="11" t="n">
        <f aca="false">IF(D86=1,SUMIFS(Benefits!$S$4:$S$703,Benefits!$B$4:$B$703,A86,Benefits!$F$4:$F$703,B86,Benefits!$R$4:$R$703,"revenue"),0)</f>
        <v>0</v>
      </c>
      <c r="H86" s="11" t="n">
        <f aca="false">IF(D86=1,SUMIFS(Benefits!$S$4:$S$703,Benefits!$B$4:$B$703,A86,Benefits!$F$4:$F$703,B86,Benefits!$R$4:$R$703,"avoided_cost_realised"),0)</f>
        <v>0</v>
      </c>
      <c r="I86" s="11" t="n">
        <f aca="false">IF(D86=1,SUMIFS(Benefits!$S$4:$S$703,Benefits!$B$4:$B$703,A86,Benefits!$F$4:$F$703,B86,Benefits!$R$4:$R$703,"capacity_converted"),0)</f>
        <v>34959.8313885204</v>
      </c>
      <c r="J86" s="11" t="n">
        <f aca="false">SUM(F86:I86)</f>
        <v>136659.83138852</v>
      </c>
      <c r="K86" s="11" t="n">
        <f aca="false">J86-E86</f>
        <v>126259.83138852</v>
      </c>
      <c r="L86" s="11" t="n">
        <f aca="false">IF(D86=1,L85+K86,0)</f>
        <v>-156920.438034439</v>
      </c>
      <c r="M86" s="11" t="n">
        <f aca="false">IF(D86=1,1/(1+Controls!$B$11)^B86,0)</f>
        <v>0.93787940740818</v>
      </c>
      <c r="N86" s="11" t="n">
        <f aca="false">K86*M86</f>
        <v>118416.495842122</v>
      </c>
      <c r="O86" s="11" t="n">
        <f aca="false">IF(D86=1,O85+N86,0)</f>
        <v>-171350.962340902</v>
      </c>
      <c r="P86" s="11" t="n">
        <f aca="false">IF(AND(D86=1,L86&lt;0),1,0)</f>
        <v>1</v>
      </c>
      <c r="Q86" s="11" t="n">
        <f aca="false">IF(AND(D86=1,O86&lt;0),1,0)</f>
        <v>1</v>
      </c>
    </row>
    <row r="87" customFormat="false" ht="15" hidden="false" customHeight="false" outlineLevel="0" collapsed="false">
      <c r="A87" s="4" t="s">
        <v>85</v>
      </c>
      <c r="B87" s="4" t="n">
        <v>11</v>
      </c>
      <c r="C87" s="11" t="n">
        <f aca="false">IF(COUNTIF('Scenario inputs'!$A$4:$A$213,Controls!$B$3&amp;"|"&amp;A87)&gt;0,1,0)</f>
        <v>1</v>
      </c>
      <c r="D87" s="11" t="n">
        <f aca="false">IF(AND(C87=1,B87&lt;Controls!$B$12),1,0)</f>
        <v>1</v>
      </c>
      <c r="E87" s="11" t="n">
        <f aca="false">IF(D87=1,SUMPRODUCT((Costs!$B$4:$B$903=A87)*(Costs!$D$4:$D$903="planned")*(Costs!$J$4:$J$903&lt;=B87)*(Costs!$K$4:$K$903&gt;B87)*Costs!$E$4:$E$903),0)</f>
        <v>10400</v>
      </c>
      <c r="F87" s="11" t="n">
        <f aca="false">IF(D87=1,SUMIFS(Benefits!$S$4:$S$703,Benefits!$B$4:$B$703,A87,Benefits!$F$4:$F$703,B87,Benefits!$R$4:$R$703,"cash"),0)</f>
        <v>101700</v>
      </c>
      <c r="G87" s="11" t="n">
        <f aca="false">IF(D87=1,SUMIFS(Benefits!$S$4:$S$703,Benefits!$B$4:$B$703,A87,Benefits!$F$4:$F$703,B87,Benefits!$R$4:$R$703,"revenue"),0)</f>
        <v>0</v>
      </c>
      <c r="H87" s="11" t="n">
        <f aca="false">IF(D87=1,SUMIFS(Benefits!$S$4:$S$703,Benefits!$B$4:$B$703,A87,Benefits!$F$4:$F$703,B87,Benefits!$R$4:$R$703,"avoided_cost_realised"),0)</f>
        <v>0</v>
      </c>
      <c r="I87" s="11" t="n">
        <f aca="false">IF(D87=1,SUMIFS(Benefits!$S$4:$S$703,Benefits!$B$4:$B$703,A87,Benefits!$F$4:$F$703,B87,Benefits!$R$4:$R$703,"capacity_converted"),0)</f>
        <v>44948.3418</v>
      </c>
      <c r="J87" s="11" t="n">
        <f aca="false">SUM(F87:I87)</f>
        <v>146648.3418</v>
      </c>
      <c r="K87" s="11" t="n">
        <f aca="false">J87-E87</f>
        <v>136248.3418</v>
      </c>
      <c r="L87" s="11" t="n">
        <f aca="false">IF(D87=1,L86+K87,0)</f>
        <v>-20672.0962344388</v>
      </c>
      <c r="M87" s="11" t="n">
        <f aca="false">IF(D87=1,1/(1+Controls!$B$11)^B87,0)</f>
        <v>0.931883667888982</v>
      </c>
      <c r="N87" s="11" t="n">
        <f aca="false">K87*M87</f>
        <v>126967.604500376</v>
      </c>
      <c r="O87" s="11" t="n">
        <f aca="false">IF(D87=1,O86+N87,0)</f>
        <v>-44383.3578405264</v>
      </c>
      <c r="P87" s="11" t="n">
        <f aca="false">IF(AND(D87=1,L87&lt;0),1,0)</f>
        <v>1</v>
      </c>
      <c r="Q87" s="11" t="n">
        <f aca="false">IF(AND(D87=1,O87&lt;0),1,0)</f>
        <v>1</v>
      </c>
    </row>
    <row r="88" customFormat="false" ht="15" hidden="false" customHeight="false" outlineLevel="0" collapsed="false">
      <c r="A88" s="4" t="s">
        <v>85</v>
      </c>
      <c r="B88" s="4" t="n">
        <v>12</v>
      </c>
      <c r="C88" s="11" t="n">
        <f aca="false">IF(COUNTIF('Scenario inputs'!$A$4:$A$213,Controls!$B$3&amp;"|"&amp;A88)&gt;0,1,0)</f>
        <v>1</v>
      </c>
      <c r="D88" s="11" t="n">
        <f aca="false">IF(AND(C88=1,B88&lt;Controls!$B$12),1,0)</f>
        <v>1</v>
      </c>
      <c r="E88" s="11" t="n">
        <f aca="false">IF(D88=1,SUMPRODUCT((Costs!$B$4:$B$903=A88)*(Costs!$D$4:$D$903="planned")*(Costs!$J$4:$J$903&lt;=B88)*(Costs!$K$4:$K$903&gt;B88)*Costs!$E$4:$E$903),0)</f>
        <v>10400</v>
      </c>
      <c r="F88" s="11" t="n">
        <f aca="false">IF(D88=1,SUMIFS(Benefits!$S$4:$S$703,Benefits!$B$4:$B$703,A88,Benefits!$F$4:$F$703,B88,Benefits!$R$4:$R$703,"cash"),0)</f>
        <v>101700</v>
      </c>
      <c r="G88" s="11" t="n">
        <f aca="false">IF(D88=1,SUMIFS(Benefits!$S$4:$S$703,Benefits!$B$4:$B$703,A88,Benefits!$F$4:$F$703,B88,Benefits!$R$4:$R$703,"revenue"),0)</f>
        <v>0</v>
      </c>
      <c r="H88" s="11" t="n">
        <f aca="false">IF(D88=1,SUMIFS(Benefits!$S$4:$S$703,Benefits!$B$4:$B$703,A88,Benefits!$F$4:$F$703,B88,Benefits!$R$4:$R$703,"avoided_cost_realised"),0)</f>
        <v>0</v>
      </c>
      <c r="I88" s="11" t="n">
        <f aca="false">IF(D88=1,SUMIFS(Benefits!$S$4:$S$703,Benefits!$B$4:$B$703,A88,Benefits!$F$4:$F$703,B88,Benefits!$R$4:$R$703,"capacity_converted"),0)</f>
        <v>44948.3418</v>
      </c>
      <c r="J88" s="11" t="n">
        <f aca="false">SUM(F88:I88)</f>
        <v>146648.3418</v>
      </c>
      <c r="K88" s="11" t="n">
        <f aca="false">J88-E88</f>
        <v>136248.3418</v>
      </c>
      <c r="L88" s="11" t="n">
        <f aca="false">IF(D88=1,L87+K88,0)</f>
        <v>115576.245565561</v>
      </c>
      <c r="M88" s="11" t="n">
        <f aca="false">IF(D88=1,1/(1+Controls!$B$11)^B88,0)</f>
        <v>0.925926258342804</v>
      </c>
      <c r="N88" s="11" t="n">
        <f aca="false">K88*M88</f>
        <v>126155.917328285</v>
      </c>
      <c r="O88" s="11" t="n">
        <f aca="false">IF(D88=1,O87+N88,0)</f>
        <v>81772.5594877591</v>
      </c>
      <c r="P88" s="11" t="n">
        <f aca="false">IF(AND(D88=1,L88&lt;0),1,0)</f>
        <v>0</v>
      </c>
      <c r="Q88" s="11" t="n">
        <f aca="false">IF(AND(D88=1,O88&lt;0),1,0)</f>
        <v>0</v>
      </c>
    </row>
    <row r="89" customFormat="false" ht="15" hidden="false" customHeight="false" outlineLevel="0" collapsed="false">
      <c r="A89" s="4" t="s">
        <v>85</v>
      </c>
      <c r="B89" s="4" t="n">
        <v>13</v>
      </c>
      <c r="C89" s="11" t="n">
        <f aca="false">IF(COUNTIF('Scenario inputs'!$A$4:$A$213,Controls!$B$3&amp;"|"&amp;A89)&gt;0,1,0)</f>
        <v>1</v>
      </c>
      <c r="D89" s="11" t="n">
        <f aca="false">IF(AND(C89=1,B89&lt;Controls!$B$12),1,0)</f>
        <v>1</v>
      </c>
      <c r="E89" s="11" t="n">
        <f aca="false">IF(D89=1,SUMPRODUCT((Costs!$B$4:$B$903=A89)*(Costs!$D$4:$D$903="planned")*(Costs!$J$4:$J$903&lt;=B89)*(Costs!$K$4:$K$903&gt;B89)*Costs!$E$4:$E$903),0)</f>
        <v>10400</v>
      </c>
      <c r="F89" s="11" t="n">
        <f aca="false">IF(D89=1,SUMIFS(Benefits!$S$4:$S$703,Benefits!$B$4:$B$703,A89,Benefits!$F$4:$F$703,B89,Benefits!$R$4:$R$703,"cash"),0)</f>
        <v>101700</v>
      </c>
      <c r="G89" s="11" t="n">
        <f aca="false">IF(D89=1,SUMIFS(Benefits!$S$4:$S$703,Benefits!$B$4:$B$703,A89,Benefits!$F$4:$F$703,B89,Benefits!$R$4:$R$703,"revenue"),0)</f>
        <v>0</v>
      </c>
      <c r="H89" s="11" t="n">
        <f aca="false">IF(D89=1,SUMIFS(Benefits!$S$4:$S$703,Benefits!$B$4:$B$703,A89,Benefits!$F$4:$F$703,B89,Benefits!$R$4:$R$703,"avoided_cost_realised"),0)</f>
        <v>0</v>
      </c>
      <c r="I89" s="11" t="n">
        <f aca="false">IF(D89=1,SUMIFS(Benefits!$S$4:$S$703,Benefits!$B$4:$B$703,A89,Benefits!$F$4:$F$703,B89,Benefits!$R$4:$R$703,"capacity_converted"),0)</f>
        <v>44948.3418</v>
      </c>
      <c r="J89" s="11" t="n">
        <f aca="false">SUM(F89:I89)</f>
        <v>146648.3418</v>
      </c>
      <c r="K89" s="11" t="n">
        <f aca="false">J89-E89</f>
        <v>136248.3418</v>
      </c>
      <c r="L89" s="11" t="n">
        <f aca="false">IF(D89=1,L88+K89,0)</f>
        <v>251824.587365561</v>
      </c>
      <c r="M89" s="11" t="n">
        <f aca="false">IF(D89=1,1/(1+Controls!$B$11)^B89,0)</f>
        <v>0.920006933731178</v>
      </c>
      <c r="N89" s="11" t="n">
        <f aca="false">K89*M89</f>
        <v>125349.419165375</v>
      </c>
      <c r="O89" s="11" t="n">
        <f aca="false">IF(D89=1,O88+N89,0)</f>
        <v>207121.978653135</v>
      </c>
      <c r="P89" s="11" t="n">
        <f aca="false">IF(AND(D89=1,L89&lt;0),1,0)</f>
        <v>0</v>
      </c>
      <c r="Q89" s="11" t="n">
        <f aca="false">IF(AND(D89=1,O89&lt;0),1,0)</f>
        <v>0</v>
      </c>
    </row>
    <row r="90" customFormat="false" ht="15" hidden="false" customHeight="false" outlineLevel="0" collapsed="false">
      <c r="A90" s="4" t="s">
        <v>85</v>
      </c>
      <c r="B90" s="4" t="n">
        <v>14</v>
      </c>
      <c r="C90" s="11" t="n">
        <f aca="false">IF(COUNTIF('Scenario inputs'!$A$4:$A$213,Controls!$B$3&amp;"|"&amp;A90)&gt;0,1,0)</f>
        <v>1</v>
      </c>
      <c r="D90" s="11" t="n">
        <f aca="false">IF(AND(C90=1,B90&lt;Controls!$B$12),1,0)</f>
        <v>1</v>
      </c>
      <c r="E90" s="11" t="n">
        <f aca="false">IF(D90=1,SUMPRODUCT((Costs!$B$4:$B$903=A90)*(Costs!$D$4:$D$903="planned")*(Costs!$J$4:$J$903&lt;=B90)*(Costs!$K$4:$K$903&gt;B90)*Costs!$E$4:$E$903),0)</f>
        <v>10400</v>
      </c>
      <c r="F90" s="11" t="n">
        <f aca="false">IF(D90=1,SUMIFS(Benefits!$S$4:$S$703,Benefits!$B$4:$B$703,A90,Benefits!$F$4:$F$703,B90,Benefits!$R$4:$R$703,"cash"),0)</f>
        <v>101700</v>
      </c>
      <c r="G90" s="11" t="n">
        <f aca="false">IF(D90=1,SUMIFS(Benefits!$S$4:$S$703,Benefits!$B$4:$B$703,A90,Benefits!$F$4:$F$703,B90,Benefits!$R$4:$R$703,"revenue"),0)</f>
        <v>0</v>
      </c>
      <c r="H90" s="11" t="n">
        <f aca="false">IF(D90=1,SUMIFS(Benefits!$S$4:$S$703,Benefits!$B$4:$B$703,A90,Benefits!$F$4:$F$703,B90,Benefits!$R$4:$R$703,"avoided_cost_realised"),0)</f>
        <v>0</v>
      </c>
      <c r="I90" s="11" t="n">
        <f aca="false">IF(D90=1,SUMIFS(Benefits!$S$4:$S$703,Benefits!$B$4:$B$703,A90,Benefits!$F$4:$F$703,B90,Benefits!$R$4:$R$703,"capacity_converted"),0)</f>
        <v>44948.3418</v>
      </c>
      <c r="J90" s="11" t="n">
        <f aca="false">SUM(F90:I90)</f>
        <v>146648.3418</v>
      </c>
      <c r="K90" s="11" t="n">
        <f aca="false">J90-E90</f>
        <v>136248.3418</v>
      </c>
      <c r="L90" s="11" t="n">
        <f aca="false">IF(D90=1,L89+K90,0)</f>
        <v>388072.929165561</v>
      </c>
      <c r="M90" s="11" t="n">
        <f aca="false">IF(D90=1,1/(1+Controls!$B$11)^B90,0)</f>
        <v>0.914125450582132</v>
      </c>
      <c r="N90" s="11" t="n">
        <f aca="false">K90*M90</f>
        <v>124548.076838993</v>
      </c>
      <c r="O90" s="11" t="n">
        <f aca="false">IF(D90=1,O89+N90,0)</f>
        <v>331670.055492128</v>
      </c>
      <c r="P90" s="11" t="n">
        <f aca="false">IF(AND(D90=1,L90&lt;0),1,0)</f>
        <v>0</v>
      </c>
      <c r="Q90" s="11" t="n">
        <f aca="false">IF(AND(D90=1,O90&lt;0),1,0)</f>
        <v>0</v>
      </c>
    </row>
    <row r="91" customFormat="false" ht="15" hidden="false" customHeight="false" outlineLevel="0" collapsed="false">
      <c r="A91" s="4" t="s">
        <v>85</v>
      </c>
      <c r="B91" s="4" t="n">
        <v>15</v>
      </c>
      <c r="C91" s="11" t="n">
        <f aca="false">IF(COUNTIF('Scenario inputs'!$A$4:$A$213,Controls!$B$3&amp;"|"&amp;A91)&gt;0,1,0)</f>
        <v>1</v>
      </c>
      <c r="D91" s="11" t="n">
        <f aca="false">IF(AND(C91=1,B91&lt;Controls!$B$12),1,0)</f>
        <v>1</v>
      </c>
      <c r="E91" s="11" t="n">
        <f aca="false">IF(D91=1,SUMPRODUCT((Costs!$B$4:$B$903=A91)*(Costs!$D$4:$D$903="planned")*(Costs!$J$4:$J$903&lt;=B91)*(Costs!$K$4:$K$903&gt;B91)*Costs!$E$4:$E$903),0)</f>
        <v>10400</v>
      </c>
      <c r="F91" s="11" t="n">
        <f aca="false">IF(D91=1,SUMIFS(Benefits!$S$4:$S$703,Benefits!$B$4:$B$703,A91,Benefits!$F$4:$F$703,B91,Benefits!$R$4:$R$703,"cash"),0)</f>
        <v>0</v>
      </c>
      <c r="G91" s="11" t="n">
        <f aca="false">IF(D91=1,SUMIFS(Benefits!$S$4:$S$703,Benefits!$B$4:$B$703,A91,Benefits!$F$4:$F$703,B91,Benefits!$R$4:$R$703,"revenue"),0)</f>
        <v>0</v>
      </c>
      <c r="H91" s="11" t="n">
        <f aca="false">IF(D91=1,SUMIFS(Benefits!$S$4:$S$703,Benefits!$B$4:$B$703,A91,Benefits!$F$4:$F$703,B91,Benefits!$R$4:$R$703,"avoided_cost_realised"),0)</f>
        <v>0</v>
      </c>
      <c r="I91" s="11" t="n">
        <f aca="false">IF(D91=1,SUMIFS(Benefits!$S$4:$S$703,Benefits!$B$4:$B$703,A91,Benefits!$F$4:$F$703,B91,Benefits!$R$4:$R$703,"capacity_converted"),0)</f>
        <v>44948.3418</v>
      </c>
      <c r="J91" s="11" t="n">
        <f aca="false">SUM(F91:I91)</f>
        <v>44948.3418</v>
      </c>
      <c r="K91" s="11" t="n">
        <f aca="false">J91-E91</f>
        <v>34548.3418</v>
      </c>
      <c r="L91" s="11" t="n">
        <f aca="false">IF(D91=1,L90+K91,0)</f>
        <v>422621.270965561</v>
      </c>
      <c r="M91" s="11" t="n">
        <f aca="false">IF(D91=1,1/(1+Controls!$B$11)^B91,0)</f>
        <v>0.908281566980182</v>
      </c>
      <c r="N91" s="11" t="n">
        <f aca="false">K91*M91</f>
        <v>31379.6220266709</v>
      </c>
      <c r="O91" s="11" t="n">
        <f aca="false">IF(D91=1,O90+N91,0)</f>
        <v>363049.677518799</v>
      </c>
      <c r="P91" s="11" t="n">
        <f aca="false">IF(AND(D91=1,L91&lt;0),1,0)</f>
        <v>0</v>
      </c>
      <c r="Q91" s="11" t="n">
        <f aca="false">IF(AND(D91=1,O91&lt;0),1,0)</f>
        <v>0</v>
      </c>
    </row>
    <row r="92" customFormat="false" ht="15" hidden="false" customHeight="false" outlineLevel="0" collapsed="false">
      <c r="A92" s="4" t="s">
        <v>85</v>
      </c>
      <c r="B92" s="4" t="n">
        <v>16</v>
      </c>
      <c r="C92" s="11" t="n">
        <f aca="false">IF(COUNTIF('Scenario inputs'!$A$4:$A$213,Controls!$B$3&amp;"|"&amp;A92)&gt;0,1,0)</f>
        <v>1</v>
      </c>
      <c r="D92" s="11" t="n">
        <f aca="false">IF(AND(C92=1,B92&lt;Controls!$B$12),1,0)</f>
        <v>1</v>
      </c>
      <c r="E92" s="11" t="n">
        <f aca="false">IF(D92=1,SUMPRODUCT((Costs!$B$4:$B$903=A92)*(Costs!$D$4:$D$903="planned")*(Costs!$J$4:$J$903&lt;=B92)*(Costs!$K$4:$K$903&gt;B92)*Costs!$E$4:$E$903),0)</f>
        <v>0</v>
      </c>
      <c r="F92" s="11" t="n">
        <f aca="false">IF(D92=1,SUMIFS(Benefits!$S$4:$S$703,Benefits!$B$4:$B$703,A92,Benefits!$F$4:$F$703,B92,Benefits!$R$4:$R$703,"cash"),0)</f>
        <v>0</v>
      </c>
      <c r="G92" s="11" t="n">
        <f aca="false">IF(D92=1,SUMIFS(Benefits!$S$4:$S$703,Benefits!$B$4:$B$703,A92,Benefits!$F$4:$F$703,B92,Benefits!$R$4:$R$703,"revenue"),0)</f>
        <v>0</v>
      </c>
      <c r="H92" s="11" t="n">
        <f aca="false">IF(D92=1,SUMIFS(Benefits!$S$4:$S$703,Benefits!$B$4:$B$703,A92,Benefits!$F$4:$F$703,B92,Benefits!$R$4:$R$703,"avoided_cost_realised"),0)</f>
        <v>0</v>
      </c>
      <c r="I92" s="11" t="n">
        <f aca="false">IF(D92=1,SUMIFS(Benefits!$S$4:$S$703,Benefits!$B$4:$B$703,A92,Benefits!$F$4:$F$703,B92,Benefits!$R$4:$R$703,"capacity_converted"),0)</f>
        <v>0</v>
      </c>
      <c r="J92" s="11" t="n">
        <f aca="false">SUM(F92:I92)</f>
        <v>0</v>
      </c>
      <c r="K92" s="11" t="n">
        <f aca="false">J92-E92</f>
        <v>0</v>
      </c>
      <c r="L92" s="11" t="n">
        <f aca="false">IF(D92=1,L91+K92,0)</f>
        <v>422621.270965561</v>
      </c>
      <c r="M92" s="11" t="n">
        <f aca="false">IF(D92=1,1/(1+Controls!$B$11)^B92,0)</f>
        <v>0.902475042556374</v>
      </c>
      <c r="N92" s="11" t="n">
        <f aca="false">K92*M92</f>
        <v>0</v>
      </c>
      <c r="O92" s="11" t="n">
        <f aca="false">IF(D92=1,O91+N92,0)</f>
        <v>363049.677518799</v>
      </c>
      <c r="P92" s="11" t="n">
        <f aca="false">IF(AND(D92=1,L92&lt;0),1,0)</f>
        <v>0</v>
      </c>
      <c r="Q92" s="11" t="n">
        <f aca="false">IF(AND(D92=1,O92&lt;0),1,0)</f>
        <v>0</v>
      </c>
    </row>
    <row r="93" customFormat="false" ht="15" hidden="false" customHeight="false" outlineLevel="0" collapsed="false">
      <c r="A93" s="4" t="s">
        <v>85</v>
      </c>
      <c r="B93" s="4" t="n">
        <v>17</v>
      </c>
      <c r="C93" s="11" t="n">
        <f aca="false">IF(COUNTIF('Scenario inputs'!$A$4:$A$213,Controls!$B$3&amp;"|"&amp;A93)&gt;0,1,0)</f>
        <v>1</v>
      </c>
      <c r="D93" s="11" t="n">
        <f aca="false">IF(AND(C93=1,B93&lt;Controls!$B$12),1,0)</f>
        <v>1</v>
      </c>
      <c r="E93" s="11" t="n">
        <f aca="false">IF(D93=1,SUMPRODUCT((Costs!$B$4:$B$903=A93)*(Costs!$D$4:$D$903="planned")*(Costs!$J$4:$J$903&lt;=B93)*(Costs!$K$4:$K$903&gt;B93)*Costs!$E$4:$E$903),0)</f>
        <v>0</v>
      </c>
      <c r="F93" s="11" t="n">
        <f aca="false">IF(D93=1,SUMIFS(Benefits!$S$4:$S$703,Benefits!$B$4:$B$703,A93,Benefits!$F$4:$F$703,B93,Benefits!$R$4:$R$703,"cash"),0)</f>
        <v>0</v>
      </c>
      <c r="G93" s="11" t="n">
        <f aca="false">IF(D93=1,SUMIFS(Benefits!$S$4:$S$703,Benefits!$B$4:$B$703,A93,Benefits!$F$4:$F$703,B93,Benefits!$R$4:$R$703,"revenue"),0)</f>
        <v>0</v>
      </c>
      <c r="H93" s="11" t="n">
        <f aca="false">IF(D93=1,SUMIFS(Benefits!$S$4:$S$703,Benefits!$B$4:$B$703,A93,Benefits!$F$4:$F$703,B93,Benefits!$R$4:$R$703,"avoided_cost_realised"),0)</f>
        <v>0</v>
      </c>
      <c r="I93" s="11" t="n">
        <f aca="false">IF(D93=1,SUMIFS(Benefits!$S$4:$S$703,Benefits!$B$4:$B$703,A93,Benefits!$F$4:$F$703,B93,Benefits!$R$4:$R$703,"capacity_converted"),0)</f>
        <v>0</v>
      </c>
      <c r="J93" s="11" t="n">
        <f aca="false">SUM(F93:I93)</f>
        <v>0</v>
      </c>
      <c r="K93" s="11" t="n">
        <f aca="false">J93-E93</f>
        <v>0</v>
      </c>
      <c r="L93" s="11" t="n">
        <f aca="false">IF(D93=1,L92+K93,0)</f>
        <v>422621.270965561</v>
      </c>
      <c r="M93" s="11" t="n">
        <f aca="false">IF(D93=1,1/(1+Controls!$B$11)^B93,0)</f>
        <v>0.896705638478404</v>
      </c>
      <c r="N93" s="11" t="n">
        <f aca="false">K93*M93</f>
        <v>0</v>
      </c>
      <c r="O93" s="11" t="n">
        <f aca="false">IF(D93=1,O92+N93,0)</f>
        <v>363049.677518799</v>
      </c>
      <c r="P93" s="11" t="n">
        <f aca="false">IF(AND(D93=1,L93&lt;0),1,0)</f>
        <v>0</v>
      </c>
      <c r="Q93" s="11" t="n">
        <f aca="false">IF(AND(D93=1,O93&lt;0),1,0)</f>
        <v>0</v>
      </c>
    </row>
    <row r="94" customFormat="false" ht="15" hidden="false" customHeight="false" outlineLevel="0" collapsed="false">
      <c r="A94" s="4" t="s">
        <v>85</v>
      </c>
      <c r="B94" s="4" t="n">
        <v>18</v>
      </c>
      <c r="C94" s="11" t="n">
        <f aca="false">IF(COUNTIF('Scenario inputs'!$A$4:$A$213,Controls!$B$3&amp;"|"&amp;A94)&gt;0,1,0)</f>
        <v>1</v>
      </c>
      <c r="D94" s="11" t="n">
        <f aca="false">IF(AND(C94=1,B94&lt;Controls!$B$12),1,0)</f>
        <v>1</v>
      </c>
      <c r="E94" s="11" t="n">
        <f aca="false">IF(D94=1,SUMPRODUCT((Costs!$B$4:$B$903=A94)*(Costs!$D$4:$D$903="planned")*(Costs!$J$4:$J$903&lt;=B94)*(Costs!$K$4:$K$903&gt;B94)*Costs!$E$4:$E$903),0)</f>
        <v>0</v>
      </c>
      <c r="F94" s="11" t="n">
        <f aca="false">IF(D94=1,SUMIFS(Benefits!$S$4:$S$703,Benefits!$B$4:$B$703,A94,Benefits!$F$4:$F$703,B94,Benefits!$R$4:$R$703,"cash"),0)</f>
        <v>0</v>
      </c>
      <c r="G94" s="11" t="n">
        <f aca="false">IF(D94=1,SUMIFS(Benefits!$S$4:$S$703,Benefits!$B$4:$B$703,A94,Benefits!$F$4:$F$703,B94,Benefits!$R$4:$R$703,"revenue"),0)</f>
        <v>0</v>
      </c>
      <c r="H94" s="11" t="n">
        <f aca="false">IF(D94=1,SUMIFS(Benefits!$S$4:$S$703,Benefits!$B$4:$B$703,A94,Benefits!$F$4:$F$703,B94,Benefits!$R$4:$R$703,"avoided_cost_realised"),0)</f>
        <v>0</v>
      </c>
      <c r="I94" s="11" t="n">
        <f aca="false">IF(D94=1,SUMIFS(Benefits!$S$4:$S$703,Benefits!$B$4:$B$703,A94,Benefits!$F$4:$F$703,B94,Benefits!$R$4:$R$703,"capacity_converted"),0)</f>
        <v>0</v>
      </c>
      <c r="J94" s="11" t="n">
        <f aca="false">SUM(F94:I94)</f>
        <v>0</v>
      </c>
      <c r="K94" s="11" t="n">
        <f aca="false">J94-E94</f>
        <v>0</v>
      </c>
      <c r="L94" s="11" t="n">
        <f aca="false">IF(D94=1,L93+K94,0)</f>
        <v>422621.270965561</v>
      </c>
      <c r="M94" s="11" t="n">
        <f aca="false">IF(D94=1,1/(1+Controls!$B$11)^B94,0)</f>
        <v>0.89097311744079</v>
      </c>
      <c r="N94" s="11" t="n">
        <f aca="false">K94*M94</f>
        <v>0</v>
      </c>
      <c r="O94" s="11" t="n">
        <f aca="false">IF(D94=1,O93+N94,0)</f>
        <v>363049.677518799</v>
      </c>
      <c r="P94" s="11" t="n">
        <f aca="false">IF(AND(D94=1,L94&lt;0),1,0)</f>
        <v>0</v>
      </c>
      <c r="Q94" s="11" t="n">
        <f aca="false">IF(AND(D94=1,O94&lt;0),1,0)</f>
        <v>0</v>
      </c>
    </row>
    <row r="95" customFormat="false" ht="15" hidden="false" customHeight="false" outlineLevel="0" collapsed="false">
      <c r="A95" s="4" t="s">
        <v>85</v>
      </c>
      <c r="B95" s="4" t="n">
        <v>19</v>
      </c>
      <c r="C95" s="11" t="n">
        <f aca="false">IF(COUNTIF('Scenario inputs'!$A$4:$A$213,Controls!$B$3&amp;"|"&amp;A95)&gt;0,1,0)</f>
        <v>1</v>
      </c>
      <c r="D95" s="11" t="n">
        <f aca="false">IF(AND(C95=1,B95&lt;Controls!$B$12),1,0)</f>
        <v>1</v>
      </c>
      <c r="E95" s="11" t="n">
        <f aca="false">IF(D95=1,SUMPRODUCT((Costs!$B$4:$B$903=A95)*(Costs!$D$4:$D$903="planned")*(Costs!$J$4:$J$903&lt;=B95)*(Costs!$K$4:$K$903&gt;B95)*Costs!$E$4:$E$903),0)</f>
        <v>0</v>
      </c>
      <c r="F95" s="11" t="n">
        <f aca="false">IF(D95=1,SUMIFS(Benefits!$S$4:$S$703,Benefits!$B$4:$B$703,A95,Benefits!$F$4:$F$703,B95,Benefits!$R$4:$R$703,"cash"),0)</f>
        <v>0</v>
      </c>
      <c r="G95" s="11" t="n">
        <f aca="false">IF(D95=1,SUMIFS(Benefits!$S$4:$S$703,Benefits!$B$4:$B$703,A95,Benefits!$F$4:$F$703,B95,Benefits!$R$4:$R$703,"revenue"),0)</f>
        <v>0</v>
      </c>
      <c r="H95" s="11" t="n">
        <f aca="false">IF(D95=1,SUMIFS(Benefits!$S$4:$S$703,Benefits!$B$4:$B$703,A95,Benefits!$F$4:$F$703,B95,Benefits!$R$4:$R$703,"avoided_cost_realised"),0)</f>
        <v>0</v>
      </c>
      <c r="I95" s="11" t="n">
        <f aca="false">IF(D95=1,SUMIFS(Benefits!$S$4:$S$703,Benefits!$B$4:$B$703,A95,Benefits!$F$4:$F$703,B95,Benefits!$R$4:$R$703,"capacity_converted"),0)</f>
        <v>0</v>
      </c>
      <c r="J95" s="11" t="n">
        <f aca="false">SUM(F95:I95)</f>
        <v>0</v>
      </c>
      <c r="K95" s="11" t="n">
        <f aca="false">J95-E95</f>
        <v>0</v>
      </c>
      <c r="L95" s="11" t="n">
        <f aca="false">IF(D95=1,L94+K95,0)</f>
        <v>422621.270965561</v>
      </c>
      <c r="M95" s="11" t="n">
        <f aca="false">IF(D95=1,1/(1+Controls!$B$11)^B95,0)</f>
        <v>0.885277243655113</v>
      </c>
      <c r="N95" s="11" t="n">
        <f aca="false">K95*M95</f>
        <v>0</v>
      </c>
      <c r="O95" s="11" t="n">
        <f aca="false">IF(D95=1,O94+N95,0)</f>
        <v>363049.677518799</v>
      </c>
      <c r="P95" s="11" t="n">
        <f aca="false">IF(AND(D95=1,L95&lt;0),1,0)</f>
        <v>0</v>
      </c>
      <c r="Q95" s="11" t="n">
        <f aca="false">IF(AND(D95=1,O95&lt;0),1,0)</f>
        <v>0</v>
      </c>
    </row>
    <row r="96" customFormat="false" ht="15" hidden="false" customHeight="false" outlineLevel="0" collapsed="false">
      <c r="A96" s="4" t="s">
        <v>85</v>
      </c>
      <c r="B96" s="4" t="n">
        <v>20</v>
      </c>
      <c r="C96" s="11" t="n">
        <f aca="false">IF(COUNTIF('Scenario inputs'!$A$4:$A$213,Controls!$B$3&amp;"|"&amp;A96)&gt;0,1,0)</f>
        <v>1</v>
      </c>
      <c r="D96" s="11" t="n">
        <f aca="false">IF(AND(C96=1,B96&lt;Controls!$B$12),1,0)</f>
        <v>1</v>
      </c>
      <c r="E96" s="11" t="n">
        <f aca="false">IF(D96=1,SUMPRODUCT((Costs!$B$4:$B$903=A96)*(Costs!$D$4:$D$903="planned")*(Costs!$J$4:$J$903&lt;=B96)*(Costs!$K$4:$K$903&gt;B96)*Costs!$E$4:$E$903),0)</f>
        <v>0</v>
      </c>
      <c r="F96" s="11" t="n">
        <f aca="false">IF(D96=1,SUMIFS(Benefits!$S$4:$S$703,Benefits!$B$4:$B$703,A96,Benefits!$F$4:$F$703,B96,Benefits!$R$4:$R$703,"cash"),0)</f>
        <v>0</v>
      </c>
      <c r="G96" s="11" t="n">
        <f aca="false">IF(D96=1,SUMIFS(Benefits!$S$4:$S$703,Benefits!$B$4:$B$703,A96,Benefits!$F$4:$F$703,B96,Benefits!$R$4:$R$703,"revenue"),0)</f>
        <v>0</v>
      </c>
      <c r="H96" s="11" t="n">
        <f aca="false">IF(D96=1,SUMIFS(Benefits!$S$4:$S$703,Benefits!$B$4:$B$703,A96,Benefits!$F$4:$F$703,B96,Benefits!$R$4:$R$703,"avoided_cost_realised"),0)</f>
        <v>0</v>
      </c>
      <c r="I96" s="11" t="n">
        <f aca="false">IF(D96=1,SUMIFS(Benefits!$S$4:$S$703,Benefits!$B$4:$B$703,A96,Benefits!$F$4:$F$703,B96,Benefits!$R$4:$R$703,"capacity_converted"),0)</f>
        <v>0</v>
      </c>
      <c r="J96" s="11" t="n">
        <f aca="false">SUM(F96:I96)</f>
        <v>0</v>
      </c>
      <c r="K96" s="11" t="n">
        <f aca="false">J96-E96</f>
        <v>0</v>
      </c>
      <c r="L96" s="11" t="n">
        <f aca="false">IF(D96=1,L95+K96,0)</f>
        <v>422621.270965561</v>
      </c>
      <c r="M96" s="11" t="n">
        <f aca="false">IF(D96=1,1/(1+Controls!$B$11)^B96,0)</f>
        <v>0.879617782840318</v>
      </c>
      <c r="N96" s="11" t="n">
        <f aca="false">K96*M96</f>
        <v>0</v>
      </c>
      <c r="O96" s="11" t="n">
        <f aca="false">IF(D96=1,O95+N96,0)</f>
        <v>363049.677518799</v>
      </c>
      <c r="P96" s="11" t="n">
        <f aca="false">IF(AND(D96=1,L96&lt;0),1,0)</f>
        <v>0</v>
      </c>
      <c r="Q96" s="11" t="n">
        <f aca="false">IF(AND(D96=1,O96&lt;0),1,0)</f>
        <v>0</v>
      </c>
    </row>
    <row r="97" customFormat="false" ht="15" hidden="false" customHeight="false" outlineLevel="0" collapsed="false">
      <c r="A97" s="4" t="s">
        <v>85</v>
      </c>
      <c r="B97" s="4" t="n">
        <v>21</v>
      </c>
      <c r="C97" s="11" t="n">
        <f aca="false">IF(COUNTIF('Scenario inputs'!$A$4:$A$213,Controls!$B$3&amp;"|"&amp;A97)&gt;0,1,0)</f>
        <v>1</v>
      </c>
      <c r="D97" s="11" t="n">
        <f aca="false">IF(AND(C97=1,B97&lt;Controls!$B$12),1,0)</f>
        <v>1</v>
      </c>
      <c r="E97" s="11" t="n">
        <f aca="false">IF(D97=1,SUMPRODUCT((Costs!$B$4:$B$903=A97)*(Costs!$D$4:$D$903="planned")*(Costs!$J$4:$J$903&lt;=B97)*(Costs!$K$4:$K$903&gt;B97)*Costs!$E$4:$E$903),0)</f>
        <v>0</v>
      </c>
      <c r="F97" s="11" t="n">
        <f aca="false">IF(D97=1,SUMIFS(Benefits!$S$4:$S$703,Benefits!$B$4:$B$703,A97,Benefits!$F$4:$F$703,B97,Benefits!$R$4:$R$703,"cash"),0)</f>
        <v>0</v>
      </c>
      <c r="G97" s="11" t="n">
        <f aca="false">IF(D97=1,SUMIFS(Benefits!$S$4:$S$703,Benefits!$B$4:$B$703,A97,Benefits!$F$4:$F$703,B97,Benefits!$R$4:$R$703,"revenue"),0)</f>
        <v>0</v>
      </c>
      <c r="H97" s="11" t="n">
        <f aca="false">IF(D97=1,SUMIFS(Benefits!$S$4:$S$703,Benefits!$B$4:$B$703,A97,Benefits!$F$4:$F$703,B97,Benefits!$R$4:$R$703,"avoided_cost_realised"),0)</f>
        <v>0</v>
      </c>
      <c r="I97" s="11" t="n">
        <f aca="false">IF(D97=1,SUMIFS(Benefits!$S$4:$S$703,Benefits!$B$4:$B$703,A97,Benefits!$F$4:$F$703,B97,Benefits!$R$4:$R$703,"capacity_converted"),0)</f>
        <v>0</v>
      </c>
      <c r="J97" s="11" t="n">
        <f aca="false">SUM(F97:I97)</f>
        <v>0</v>
      </c>
      <c r="K97" s="11" t="n">
        <f aca="false">J97-E97</f>
        <v>0</v>
      </c>
      <c r="L97" s="11" t="n">
        <f aca="false">IF(D97=1,L96+K97,0)</f>
        <v>422621.270965561</v>
      </c>
      <c r="M97" s="11" t="n">
        <f aca="false">IF(D97=1,1/(1+Controls!$B$11)^B97,0)</f>
        <v>0.873994502213079</v>
      </c>
      <c r="N97" s="11" t="n">
        <f aca="false">K97*M97</f>
        <v>0</v>
      </c>
      <c r="O97" s="11" t="n">
        <f aca="false">IF(D97=1,O96+N97,0)</f>
        <v>363049.677518799</v>
      </c>
      <c r="P97" s="11" t="n">
        <f aca="false">IF(AND(D97=1,L97&lt;0),1,0)</f>
        <v>0</v>
      </c>
      <c r="Q97" s="11" t="n">
        <f aca="false">IF(AND(D97=1,O97&lt;0),1,0)</f>
        <v>0</v>
      </c>
    </row>
    <row r="98" customFormat="false" ht="15" hidden="false" customHeight="false" outlineLevel="0" collapsed="false">
      <c r="A98" s="4" t="s">
        <v>85</v>
      </c>
      <c r="B98" s="4" t="n">
        <v>22</v>
      </c>
      <c r="C98" s="11" t="n">
        <f aca="false">IF(COUNTIF('Scenario inputs'!$A$4:$A$213,Controls!$B$3&amp;"|"&amp;A98)&gt;0,1,0)</f>
        <v>1</v>
      </c>
      <c r="D98" s="11" t="n">
        <f aca="false">IF(AND(C98=1,B98&lt;Controls!$B$12),1,0)</f>
        <v>1</v>
      </c>
      <c r="E98" s="11" t="n">
        <f aca="false">IF(D98=1,SUMPRODUCT((Costs!$B$4:$B$903=A98)*(Costs!$D$4:$D$903="planned")*(Costs!$J$4:$J$903&lt;=B98)*(Costs!$K$4:$K$903&gt;B98)*Costs!$E$4:$E$903),0)</f>
        <v>0</v>
      </c>
      <c r="F98" s="11" t="n">
        <f aca="false">IF(D98=1,SUMIFS(Benefits!$S$4:$S$703,Benefits!$B$4:$B$703,A98,Benefits!$F$4:$F$703,B98,Benefits!$R$4:$R$703,"cash"),0)</f>
        <v>0</v>
      </c>
      <c r="G98" s="11" t="n">
        <f aca="false">IF(D98=1,SUMIFS(Benefits!$S$4:$S$703,Benefits!$B$4:$B$703,A98,Benefits!$F$4:$F$703,B98,Benefits!$R$4:$R$703,"revenue"),0)</f>
        <v>0</v>
      </c>
      <c r="H98" s="11" t="n">
        <f aca="false">IF(D98=1,SUMIFS(Benefits!$S$4:$S$703,Benefits!$B$4:$B$703,A98,Benefits!$F$4:$F$703,B98,Benefits!$R$4:$R$703,"avoided_cost_realised"),0)</f>
        <v>0</v>
      </c>
      <c r="I98" s="11" t="n">
        <f aca="false">IF(D98=1,SUMIFS(Benefits!$S$4:$S$703,Benefits!$B$4:$B$703,A98,Benefits!$F$4:$F$703,B98,Benefits!$R$4:$R$703,"capacity_converted"),0)</f>
        <v>0</v>
      </c>
      <c r="J98" s="11" t="n">
        <f aca="false">SUM(F98:I98)</f>
        <v>0</v>
      </c>
      <c r="K98" s="11" t="n">
        <f aca="false">J98-E98</f>
        <v>0</v>
      </c>
      <c r="L98" s="11" t="n">
        <f aca="false">IF(D98=1,L97+K98,0)</f>
        <v>422621.270965561</v>
      </c>
      <c r="M98" s="11" t="n">
        <f aca="false">IF(D98=1,1/(1+Controls!$B$11)^B98,0)</f>
        <v>0.868407170478222</v>
      </c>
      <c r="N98" s="11" t="n">
        <f aca="false">K98*M98</f>
        <v>0</v>
      </c>
      <c r="O98" s="11" t="n">
        <f aca="false">IF(D98=1,O97+N98,0)</f>
        <v>363049.677518799</v>
      </c>
      <c r="P98" s="11" t="n">
        <f aca="false">IF(AND(D98=1,L98&lt;0),1,0)</f>
        <v>0</v>
      </c>
      <c r="Q98" s="11" t="n">
        <f aca="false">IF(AND(D98=1,O98&lt;0),1,0)</f>
        <v>0</v>
      </c>
    </row>
    <row r="99" customFormat="false" ht="15" hidden="false" customHeight="false" outlineLevel="0" collapsed="false">
      <c r="A99" s="4" t="s">
        <v>85</v>
      </c>
      <c r="B99" s="4" t="n">
        <v>23</v>
      </c>
      <c r="C99" s="11" t="n">
        <f aca="false">IF(COUNTIF('Scenario inputs'!$A$4:$A$213,Controls!$B$3&amp;"|"&amp;A99)&gt;0,1,0)</f>
        <v>1</v>
      </c>
      <c r="D99" s="11" t="n">
        <f aca="false">IF(AND(C99=1,B99&lt;Controls!$B$12),1,0)</f>
        <v>1</v>
      </c>
      <c r="E99" s="11" t="n">
        <f aca="false">IF(D99=1,SUMPRODUCT((Costs!$B$4:$B$903=A99)*(Costs!$D$4:$D$903="planned")*(Costs!$J$4:$J$903&lt;=B99)*(Costs!$K$4:$K$903&gt;B99)*Costs!$E$4:$E$903),0)</f>
        <v>0</v>
      </c>
      <c r="F99" s="11" t="n">
        <f aca="false">IF(D99=1,SUMIFS(Benefits!$S$4:$S$703,Benefits!$B$4:$B$703,A99,Benefits!$F$4:$F$703,B99,Benefits!$R$4:$R$703,"cash"),0)</f>
        <v>0</v>
      </c>
      <c r="G99" s="11" t="n">
        <f aca="false">IF(D99=1,SUMIFS(Benefits!$S$4:$S$703,Benefits!$B$4:$B$703,A99,Benefits!$F$4:$F$703,B99,Benefits!$R$4:$R$703,"revenue"),0)</f>
        <v>0</v>
      </c>
      <c r="H99" s="11" t="n">
        <f aca="false">IF(D99=1,SUMIFS(Benefits!$S$4:$S$703,Benefits!$B$4:$B$703,A99,Benefits!$F$4:$F$703,B99,Benefits!$R$4:$R$703,"avoided_cost_realised"),0)</f>
        <v>0</v>
      </c>
      <c r="I99" s="11" t="n">
        <f aca="false">IF(D99=1,SUMIFS(Benefits!$S$4:$S$703,Benefits!$B$4:$B$703,A99,Benefits!$F$4:$F$703,B99,Benefits!$R$4:$R$703,"capacity_converted"),0)</f>
        <v>0</v>
      </c>
      <c r="J99" s="11" t="n">
        <f aca="false">SUM(F99:I99)</f>
        <v>0</v>
      </c>
      <c r="K99" s="11" t="n">
        <f aca="false">J99-E99</f>
        <v>0</v>
      </c>
      <c r="L99" s="11" t="n">
        <f aca="false">IF(D99=1,L98+K99,0)</f>
        <v>422621.270965561</v>
      </c>
      <c r="M99" s="11" t="n">
        <f aca="false">IF(D99=1,1/(1+Controls!$B$11)^B99,0)</f>
        <v>0.862855557819213</v>
      </c>
      <c r="N99" s="11" t="n">
        <f aca="false">K99*M99</f>
        <v>0</v>
      </c>
      <c r="O99" s="11" t="n">
        <f aca="false">IF(D99=1,O98+N99,0)</f>
        <v>363049.677518799</v>
      </c>
      <c r="P99" s="11" t="n">
        <f aca="false">IF(AND(D99=1,L99&lt;0),1,0)</f>
        <v>0</v>
      </c>
      <c r="Q99" s="11" t="n">
        <f aca="false">IF(AND(D99=1,O99&lt;0),1,0)</f>
        <v>0</v>
      </c>
    </row>
    <row r="100" customFormat="false" ht="15" hidden="false" customHeight="false" outlineLevel="0" collapsed="false">
      <c r="A100" s="4" t="s">
        <v>85</v>
      </c>
      <c r="B100" s="4" t="n">
        <v>24</v>
      </c>
      <c r="C100" s="11" t="n">
        <f aca="false">IF(COUNTIF('Scenario inputs'!$A$4:$A$213,Controls!$B$3&amp;"|"&amp;A100)&gt;0,1,0)</f>
        <v>1</v>
      </c>
      <c r="D100" s="11" t="n">
        <f aca="false">IF(AND(C100=1,B100&lt;Controls!$B$12),1,0)</f>
        <v>1</v>
      </c>
      <c r="E100" s="11" t="n">
        <f aca="false">IF(D100=1,SUMPRODUCT((Costs!$B$4:$B$903=A100)*(Costs!$D$4:$D$903="planned")*(Costs!$J$4:$J$903&lt;=B100)*(Costs!$K$4:$K$903&gt;B100)*Costs!$E$4:$E$903),0)</f>
        <v>0</v>
      </c>
      <c r="F100" s="11" t="n">
        <f aca="false">IF(D100=1,SUMIFS(Benefits!$S$4:$S$703,Benefits!$B$4:$B$703,A100,Benefits!$F$4:$F$703,B100,Benefits!$R$4:$R$703,"cash"),0)</f>
        <v>0</v>
      </c>
      <c r="G100" s="11" t="n">
        <f aca="false">IF(D100=1,SUMIFS(Benefits!$S$4:$S$703,Benefits!$B$4:$B$703,A100,Benefits!$F$4:$F$703,B100,Benefits!$R$4:$R$703,"revenue"),0)</f>
        <v>0</v>
      </c>
      <c r="H100" s="11" t="n">
        <f aca="false">IF(D100=1,SUMIFS(Benefits!$S$4:$S$703,Benefits!$B$4:$B$703,A100,Benefits!$F$4:$F$703,B100,Benefits!$R$4:$R$703,"avoided_cost_realised"),0)</f>
        <v>0</v>
      </c>
      <c r="I100" s="11" t="n">
        <f aca="false">IF(D100=1,SUMIFS(Benefits!$S$4:$S$703,Benefits!$B$4:$B$703,A100,Benefits!$F$4:$F$703,B100,Benefits!$R$4:$R$703,"capacity_converted"),0)</f>
        <v>0</v>
      </c>
      <c r="J100" s="11" t="n">
        <f aca="false">SUM(F100:I100)</f>
        <v>0</v>
      </c>
      <c r="K100" s="11" t="n">
        <f aca="false">J100-E100</f>
        <v>0</v>
      </c>
      <c r="L100" s="11" t="n">
        <f aca="false">IF(D100=1,L99+K100,0)</f>
        <v>422621.270965561</v>
      </c>
      <c r="M100" s="11" t="n">
        <f aca="false">IF(D100=1,1/(1+Controls!$B$11)^B100,0)</f>
        <v>0.857339435888705</v>
      </c>
      <c r="N100" s="11" t="n">
        <f aca="false">K100*M100</f>
        <v>0</v>
      </c>
      <c r="O100" s="11" t="n">
        <f aca="false">IF(D100=1,O99+N100,0)</f>
        <v>363049.677518799</v>
      </c>
      <c r="P100" s="11" t="n">
        <f aca="false">IF(AND(D100=1,L100&lt;0),1,0)</f>
        <v>0</v>
      </c>
      <c r="Q100" s="11" t="n">
        <f aca="false">IF(AND(D100=1,O100&lt;0),1,0)</f>
        <v>0</v>
      </c>
    </row>
    <row r="101" customFormat="false" ht="15" hidden="false" customHeight="false" outlineLevel="0" collapsed="false">
      <c r="A101" s="4" t="s">
        <v>85</v>
      </c>
      <c r="B101" s="4" t="n">
        <v>25</v>
      </c>
      <c r="C101" s="11" t="n">
        <f aca="false">IF(COUNTIF('Scenario inputs'!$A$4:$A$213,Controls!$B$3&amp;"|"&amp;A101)&gt;0,1,0)</f>
        <v>1</v>
      </c>
      <c r="D101" s="11" t="n">
        <f aca="false">IF(AND(C101=1,B101&lt;Controls!$B$12),1,0)</f>
        <v>1</v>
      </c>
      <c r="E101" s="11" t="n">
        <f aca="false">IF(D101=1,SUMPRODUCT((Costs!$B$4:$B$903=A101)*(Costs!$D$4:$D$903="planned")*(Costs!$J$4:$J$903&lt;=B101)*(Costs!$K$4:$K$903&gt;B101)*Costs!$E$4:$E$903),0)</f>
        <v>0</v>
      </c>
      <c r="F101" s="11" t="n">
        <f aca="false">IF(D101=1,SUMIFS(Benefits!$S$4:$S$703,Benefits!$B$4:$B$703,A101,Benefits!$F$4:$F$703,B101,Benefits!$R$4:$R$703,"cash"),0)</f>
        <v>0</v>
      </c>
      <c r="G101" s="11" t="n">
        <f aca="false">IF(D101=1,SUMIFS(Benefits!$S$4:$S$703,Benefits!$B$4:$B$703,A101,Benefits!$F$4:$F$703,B101,Benefits!$R$4:$R$703,"revenue"),0)</f>
        <v>0</v>
      </c>
      <c r="H101" s="11" t="n">
        <f aca="false">IF(D101=1,SUMIFS(Benefits!$S$4:$S$703,Benefits!$B$4:$B$703,A101,Benefits!$F$4:$F$703,B101,Benefits!$R$4:$R$703,"avoided_cost_realised"),0)</f>
        <v>0</v>
      </c>
      <c r="I101" s="11" t="n">
        <f aca="false">IF(D101=1,SUMIFS(Benefits!$S$4:$S$703,Benefits!$B$4:$B$703,A101,Benefits!$F$4:$F$703,B101,Benefits!$R$4:$R$703,"capacity_converted"),0)</f>
        <v>0</v>
      </c>
      <c r="J101" s="11" t="n">
        <f aca="false">SUM(F101:I101)</f>
        <v>0</v>
      </c>
      <c r="K101" s="11" t="n">
        <f aca="false">J101-E101</f>
        <v>0</v>
      </c>
      <c r="L101" s="11" t="n">
        <f aca="false">IF(D101=1,L100+K101,0)</f>
        <v>422621.270965561</v>
      </c>
      <c r="M101" s="11" t="n">
        <f aca="false">IF(D101=1,1/(1+Controls!$B$11)^B101,0)</f>
        <v>0.851858577799146</v>
      </c>
      <c r="N101" s="11" t="n">
        <f aca="false">K101*M101</f>
        <v>0</v>
      </c>
      <c r="O101" s="11" t="n">
        <f aca="false">IF(D101=1,O100+N101,0)</f>
        <v>363049.677518799</v>
      </c>
      <c r="P101" s="11" t="n">
        <f aca="false">IF(AND(D101=1,L101&lt;0),1,0)</f>
        <v>0</v>
      </c>
      <c r="Q101" s="11" t="n">
        <f aca="false">IF(AND(D101=1,O101&lt;0),1,0)</f>
        <v>0</v>
      </c>
    </row>
    <row r="102" customFormat="false" ht="15" hidden="false" customHeight="false" outlineLevel="0" collapsed="false">
      <c r="A102" s="4" t="s">
        <v>85</v>
      </c>
      <c r="B102" s="4" t="n">
        <v>26</v>
      </c>
      <c r="C102" s="11" t="n">
        <f aca="false">IF(COUNTIF('Scenario inputs'!$A$4:$A$213,Controls!$B$3&amp;"|"&amp;A102)&gt;0,1,0)</f>
        <v>1</v>
      </c>
      <c r="D102" s="11" t="n">
        <f aca="false">IF(AND(C102=1,B102&lt;Controls!$B$12),1,0)</f>
        <v>1</v>
      </c>
      <c r="E102" s="11" t="n">
        <f aca="false">IF(D102=1,SUMPRODUCT((Costs!$B$4:$B$903=A102)*(Costs!$D$4:$D$903="planned")*(Costs!$J$4:$J$903&lt;=B102)*(Costs!$K$4:$K$903&gt;B102)*Costs!$E$4:$E$903),0)</f>
        <v>0</v>
      </c>
      <c r="F102" s="11" t="n">
        <f aca="false">IF(D102=1,SUMIFS(Benefits!$S$4:$S$703,Benefits!$B$4:$B$703,A102,Benefits!$F$4:$F$703,B102,Benefits!$R$4:$R$703,"cash"),0)</f>
        <v>0</v>
      </c>
      <c r="G102" s="11" t="n">
        <f aca="false">IF(D102=1,SUMIFS(Benefits!$S$4:$S$703,Benefits!$B$4:$B$703,A102,Benefits!$F$4:$F$703,B102,Benefits!$R$4:$R$703,"revenue"),0)</f>
        <v>0</v>
      </c>
      <c r="H102" s="11" t="n">
        <f aca="false">IF(D102=1,SUMIFS(Benefits!$S$4:$S$703,Benefits!$B$4:$B$703,A102,Benefits!$F$4:$F$703,B102,Benefits!$R$4:$R$703,"avoided_cost_realised"),0)</f>
        <v>0</v>
      </c>
      <c r="I102" s="11" t="n">
        <f aca="false">IF(D102=1,SUMIFS(Benefits!$S$4:$S$703,Benefits!$B$4:$B$703,A102,Benefits!$F$4:$F$703,B102,Benefits!$R$4:$R$703,"capacity_converted"),0)</f>
        <v>0</v>
      </c>
      <c r="J102" s="11" t="n">
        <f aca="false">SUM(F102:I102)</f>
        <v>0</v>
      </c>
      <c r="K102" s="11" t="n">
        <f aca="false">J102-E102</f>
        <v>0</v>
      </c>
      <c r="L102" s="11" t="n">
        <f aca="false">IF(D102=1,L101+K102,0)</f>
        <v>422621.270965561</v>
      </c>
      <c r="M102" s="11" t="n">
        <f aca="false">IF(D102=1,1/(1+Controls!$B$11)^B102,0)</f>
        <v>0.846412758113444</v>
      </c>
      <c r="N102" s="11" t="n">
        <f aca="false">K102*M102</f>
        <v>0</v>
      </c>
      <c r="O102" s="11" t="n">
        <f aca="false">IF(D102=1,O101+N102,0)</f>
        <v>363049.677518799</v>
      </c>
      <c r="P102" s="11" t="n">
        <f aca="false">IF(AND(D102=1,L102&lt;0),1,0)</f>
        <v>0</v>
      </c>
      <c r="Q102" s="11" t="n">
        <f aca="false">IF(AND(D102=1,O102&lt;0),1,0)</f>
        <v>0</v>
      </c>
    </row>
    <row r="103" customFormat="false" ht="15" hidden="false" customHeight="false" outlineLevel="0" collapsed="false">
      <c r="A103" s="4" t="s">
        <v>85</v>
      </c>
      <c r="B103" s="4" t="n">
        <v>27</v>
      </c>
      <c r="C103" s="11" t="n">
        <f aca="false">IF(COUNTIF('Scenario inputs'!$A$4:$A$213,Controls!$B$3&amp;"|"&amp;A103)&gt;0,1,0)</f>
        <v>1</v>
      </c>
      <c r="D103" s="11" t="n">
        <f aca="false">IF(AND(C103=1,B103&lt;Controls!$B$12),1,0)</f>
        <v>1</v>
      </c>
      <c r="E103" s="11" t="n">
        <f aca="false">IF(D103=1,SUMPRODUCT((Costs!$B$4:$B$903=A103)*(Costs!$D$4:$D$903="planned")*(Costs!$J$4:$J$903&lt;=B103)*(Costs!$K$4:$K$903&gt;B103)*Costs!$E$4:$E$903),0)</f>
        <v>0</v>
      </c>
      <c r="F103" s="11" t="n">
        <f aca="false">IF(D103=1,SUMIFS(Benefits!$S$4:$S$703,Benefits!$B$4:$B$703,A103,Benefits!$F$4:$F$703,B103,Benefits!$R$4:$R$703,"cash"),0)</f>
        <v>0</v>
      </c>
      <c r="G103" s="11" t="n">
        <f aca="false">IF(D103=1,SUMIFS(Benefits!$S$4:$S$703,Benefits!$B$4:$B$703,A103,Benefits!$F$4:$F$703,B103,Benefits!$R$4:$R$703,"revenue"),0)</f>
        <v>0</v>
      </c>
      <c r="H103" s="11" t="n">
        <f aca="false">IF(D103=1,SUMIFS(Benefits!$S$4:$S$703,Benefits!$B$4:$B$703,A103,Benefits!$F$4:$F$703,B103,Benefits!$R$4:$R$703,"avoided_cost_realised"),0)</f>
        <v>0</v>
      </c>
      <c r="I103" s="11" t="n">
        <f aca="false">IF(D103=1,SUMIFS(Benefits!$S$4:$S$703,Benefits!$B$4:$B$703,A103,Benefits!$F$4:$F$703,B103,Benefits!$R$4:$R$703,"capacity_converted"),0)</f>
        <v>0</v>
      </c>
      <c r="J103" s="11" t="n">
        <f aca="false">SUM(F103:I103)</f>
        <v>0</v>
      </c>
      <c r="K103" s="11" t="n">
        <f aca="false">J103-E103</f>
        <v>0</v>
      </c>
      <c r="L103" s="11" t="n">
        <f aca="false">IF(D103=1,L102+K103,0)</f>
        <v>422621.270965561</v>
      </c>
      <c r="M103" s="11" t="n">
        <f aca="false">IF(D103=1,1/(1+Controls!$B$11)^B103,0)</f>
        <v>0.841001752835699</v>
      </c>
      <c r="N103" s="11" t="n">
        <f aca="false">K103*M103</f>
        <v>0</v>
      </c>
      <c r="O103" s="11" t="n">
        <f aca="false">IF(D103=1,O102+N103,0)</f>
        <v>363049.677518799</v>
      </c>
      <c r="P103" s="11" t="n">
        <f aca="false">IF(AND(D103=1,L103&lt;0),1,0)</f>
        <v>0</v>
      </c>
      <c r="Q103" s="11" t="n">
        <f aca="false">IF(AND(D103=1,O103&lt;0),1,0)</f>
        <v>0</v>
      </c>
    </row>
    <row r="104" customFormat="false" ht="15" hidden="false" customHeight="false" outlineLevel="0" collapsed="false">
      <c r="A104" s="4" t="s">
        <v>85</v>
      </c>
      <c r="B104" s="4" t="n">
        <v>28</v>
      </c>
      <c r="C104" s="11" t="n">
        <f aca="false">IF(COUNTIF('Scenario inputs'!$A$4:$A$213,Controls!$B$3&amp;"|"&amp;A104)&gt;0,1,0)</f>
        <v>1</v>
      </c>
      <c r="D104" s="11" t="n">
        <f aca="false">IF(AND(C104=1,B104&lt;Controls!$B$12),1,0)</f>
        <v>1</v>
      </c>
      <c r="E104" s="11" t="n">
        <f aca="false">IF(D104=1,SUMPRODUCT((Costs!$B$4:$B$903=A104)*(Costs!$D$4:$D$903="planned")*(Costs!$J$4:$J$903&lt;=B104)*(Costs!$K$4:$K$903&gt;B104)*Costs!$E$4:$E$903),0)</f>
        <v>0</v>
      </c>
      <c r="F104" s="11" t="n">
        <f aca="false">IF(D104=1,SUMIFS(Benefits!$S$4:$S$703,Benefits!$B$4:$B$703,A104,Benefits!$F$4:$F$703,B104,Benefits!$R$4:$R$703,"cash"),0)</f>
        <v>0</v>
      </c>
      <c r="G104" s="11" t="n">
        <f aca="false">IF(D104=1,SUMIFS(Benefits!$S$4:$S$703,Benefits!$B$4:$B$703,A104,Benefits!$F$4:$F$703,B104,Benefits!$R$4:$R$703,"revenue"),0)</f>
        <v>0</v>
      </c>
      <c r="H104" s="11" t="n">
        <f aca="false">IF(D104=1,SUMIFS(Benefits!$S$4:$S$703,Benefits!$B$4:$B$703,A104,Benefits!$F$4:$F$703,B104,Benefits!$R$4:$R$703,"avoided_cost_realised"),0)</f>
        <v>0</v>
      </c>
      <c r="I104" s="11" t="n">
        <f aca="false">IF(D104=1,SUMIFS(Benefits!$S$4:$S$703,Benefits!$B$4:$B$703,A104,Benefits!$F$4:$F$703,B104,Benefits!$R$4:$R$703,"capacity_converted"),0)</f>
        <v>0</v>
      </c>
      <c r="J104" s="11" t="n">
        <f aca="false">SUM(F104:I104)</f>
        <v>0</v>
      </c>
      <c r="K104" s="11" t="n">
        <f aca="false">J104-E104</f>
        <v>0</v>
      </c>
      <c r="L104" s="11" t="n">
        <f aca="false">IF(D104=1,L103+K104,0)</f>
        <v>422621.270965561</v>
      </c>
      <c r="M104" s="11" t="n">
        <f aca="false">IF(D104=1,1/(1+Controls!$B$11)^B104,0)</f>
        <v>0.835625339401986</v>
      </c>
      <c r="N104" s="11" t="n">
        <f aca="false">K104*M104</f>
        <v>0</v>
      </c>
      <c r="O104" s="11" t="n">
        <f aca="false">IF(D104=1,O103+N104,0)</f>
        <v>363049.677518799</v>
      </c>
      <c r="P104" s="11" t="n">
        <f aca="false">IF(AND(D104=1,L104&lt;0),1,0)</f>
        <v>0</v>
      </c>
      <c r="Q104" s="11" t="n">
        <f aca="false">IF(AND(D104=1,O104&lt;0),1,0)</f>
        <v>0</v>
      </c>
    </row>
    <row r="105" customFormat="false" ht="15" hidden="false" customHeight="false" outlineLevel="0" collapsed="false">
      <c r="A105" s="4" t="s">
        <v>85</v>
      </c>
      <c r="B105" s="4" t="n">
        <v>29</v>
      </c>
      <c r="C105" s="11" t="n">
        <f aca="false">IF(COUNTIF('Scenario inputs'!$A$4:$A$213,Controls!$B$3&amp;"|"&amp;A105)&gt;0,1,0)</f>
        <v>1</v>
      </c>
      <c r="D105" s="11" t="n">
        <f aca="false">IF(AND(C105=1,B105&lt;Controls!$B$12),1,0)</f>
        <v>1</v>
      </c>
      <c r="E105" s="11" t="n">
        <f aca="false">IF(D105=1,SUMPRODUCT((Costs!$B$4:$B$903=A105)*(Costs!$D$4:$D$903="planned")*(Costs!$J$4:$J$903&lt;=B105)*(Costs!$K$4:$K$903&gt;B105)*Costs!$E$4:$E$903),0)</f>
        <v>0</v>
      </c>
      <c r="F105" s="11" t="n">
        <f aca="false">IF(D105=1,SUMIFS(Benefits!$S$4:$S$703,Benefits!$B$4:$B$703,A105,Benefits!$F$4:$F$703,B105,Benefits!$R$4:$R$703,"cash"),0)</f>
        <v>0</v>
      </c>
      <c r="G105" s="11" t="n">
        <f aca="false">IF(D105=1,SUMIFS(Benefits!$S$4:$S$703,Benefits!$B$4:$B$703,A105,Benefits!$F$4:$F$703,B105,Benefits!$R$4:$R$703,"revenue"),0)</f>
        <v>0</v>
      </c>
      <c r="H105" s="11" t="n">
        <f aca="false">IF(D105=1,SUMIFS(Benefits!$S$4:$S$703,Benefits!$B$4:$B$703,A105,Benefits!$F$4:$F$703,B105,Benefits!$R$4:$R$703,"avoided_cost_realised"),0)</f>
        <v>0</v>
      </c>
      <c r="I105" s="11" t="n">
        <f aca="false">IF(D105=1,SUMIFS(Benefits!$S$4:$S$703,Benefits!$B$4:$B$703,A105,Benefits!$F$4:$F$703,B105,Benefits!$R$4:$R$703,"capacity_converted"),0)</f>
        <v>0</v>
      </c>
      <c r="J105" s="11" t="n">
        <f aca="false">SUM(F105:I105)</f>
        <v>0</v>
      </c>
      <c r="K105" s="11" t="n">
        <f aca="false">J105-E105</f>
        <v>0</v>
      </c>
      <c r="L105" s="11" t="n">
        <f aca="false">IF(D105=1,L104+K105,0)</f>
        <v>422621.270965561</v>
      </c>
      <c r="M105" s="11" t="n">
        <f aca="false">IF(D105=1,1/(1+Controls!$B$11)^B105,0)</f>
        <v>0.830283296671204</v>
      </c>
      <c r="N105" s="11" t="n">
        <f aca="false">K105*M105</f>
        <v>0</v>
      </c>
      <c r="O105" s="11" t="n">
        <f aca="false">IF(D105=1,O104+N105,0)</f>
        <v>363049.677518799</v>
      </c>
      <c r="P105" s="11" t="n">
        <f aca="false">IF(AND(D105=1,L105&lt;0),1,0)</f>
        <v>0</v>
      </c>
      <c r="Q105" s="11" t="n">
        <f aca="false">IF(AND(D105=1,O105&lt;0),1,0)</f>
        <v>0</v>
      </c>
    </row>
    <row r="106" customFormat="false" ht="15" hidden="false" customHeight="false" outlineLevel="0" collapsed="false">
      <c r="A106" s="4" t="s">
        <v>85</v>
      </c>
      <c r="B106" s="4" t="n">
        <v>30</v>
      </c>
      <c r="C106" s="11" t="n">
        <f aca="false">IF(COUNTIF('Scenario inputs'!$A$4:$A$213,Controls!$B$3&amp;"|"&amp;A106)&gt;0,1,0)</f>
        <v>1</v>
      </c>
      <c r="D106" s="11" t="n">
        <f aca="false">IF(AND(C106=1,B106&lt;Controls!$B$12),1,0)</f>
        <v>1</v>
      </c>
      <c r="E106" s="11" t="n">
        <f aca="false">IF(D106=1,SUMPRODUCT((Costs!$B$4:$B$903=A106)*(Costs!$D$4:$D$903="planned")*(Costs!$J$4:$J$903&lt;=B106)*(Costs!$K$4:$K$903&gt;B106)*Costs!$E$4:$E$903),0)</f>
        <v>0</v>
      </c>
      <c r="F106" s="11" t="n">
        <f aca="false">IF(D106=1,SUMIFS(Benefits!$S$4:$S$703,Benefits!$B$4:$B$703,A106,Benefits!$F$4:$F$703,B106,Benefits!$R$4:$R$703,"cash"),0)</f>
        <v>0</v>
      </c>
      <c r="G106" s="11" t="n">
        <f aca="false">IF(D106=1,SUMIFS(Benefits!$S$4:$S$703,Benefits!$B$4:$B$703,A106,Benefits!$F$4:$F$703,B106,Benefits!$R$4:$R$703,"revenue"),0)</f>
        <v>0</v>
      </c>
      <c r="H106" s="11" t="n">
        <f aca="false">IF(D106=1,SUMIFS(Benefits!$S$4:$S$703,Benefits!$B$4:$B$703,A106,Benefits!$F$4:$F$703,B106,Benefits!$R$4:$R$703,"avoided_cost_realised"),0)</f>
        <v>0</v>
      </c>
      <c r="I106" s="11" t="n">
        <f aca="false">IF(D106=1,SUMIFS(Benefits!$S$4:$S$703,Benefits!$B$4:$B$703,A106,Benefits!$F$4:$F$703,B106,Benefits!$R$4:$R$703,"capacity_converted"),0)</f>
        <v>0</v>
      </c>
      <c r="J106" s="11" t="n">
        <f aca="false">SUM(F106:I106)</f>
        <v>0</v>
      </c>
      <c r="K106" s="11" t="n">
        <f aca="false">J106-E106</f>
        <v>0</v>
      </c>
      <c r="L106" s="11" t="n">
        <f aca="false">IF(D106=1,L105+K106,0)</f>
        <v>422621.270965561</v>
      </c>
      <c r="M106" s="11" t="n">
        <f aca="false">IF(D106=1,1/(1+Controls!$B$11)^B106,0)</f>
        <v>0.824975404915974</v>
      </c>
      <c r="N106" s="11" t="n">
        <f aca="false">K106*M106</f>
        <v>0</v>
      </c>
      <c r="O106" s="11" t="n">
        <f aca="false">IF(D106=1,O105+N106,0)</f>
        <v>363049.677518799</v>
      </c>
      <c r="P106" s="11" t="n">
        <f aca="false">IF(AND(D106=1,L106&lt;0),1,0)</f>
        <v>0</v>
      </c>
      <c r="Q106" s="11" t="n">
        <f aca="false">IF(AND(D106=1,O106&lt;0),1,0)</f>
        <v>0</v>
      </c>
    </row>
    <row r="107" customFormat="false" ht="15" hidden="false" customHeight="false" outlineLevel="0" collapsed="false">
      <c r="A107" s="4" t="s">
        <v>85</v>
      </c>
      <c r="B107" s="4" t="n">
        <v>31</v>
      </c>
      <c r="C107" s="11" t="n">
        <f aca="false">IF(COUNTIF('Scenario inputs'!$A$4:$A$213,Controls!$B$3&amp;"|"&amp;A107)&gt;0,1,0)</f>
        <v>1</v>
      </c>
      <c r="D107" s="11" t="n">
        <f aca="false">IF(AND(C107=1,B107&lt;Controls!$B$12),1,0)</f>
        <v>1</v>
      </c>
      <c r="E107" s="11" t="n">
        <f aca="false">IF(D107=1,SUMPRODUCT((Costs!$B$4:$B$903=A107)*(Costs!$D$4:$D$903="planned")*(Costs!$J$4:$J$903&lt;=B107)*(Costs!$K$4:$K$903&gt;B107)*Costs!$E$4:$E$903),0)</f>
        <v>0</v>
      </c>
      <c r="F107" s="11" t="n">
        <f aca="false">IF(D107=1,SUMIFS(Benefits!$S$4:$S$703,Benefits!$B$4:$B$703,A107,Benefits!$F$4:$F$703,B107,Benefits!$R$4:$R$703,"cash"),0)</f>
        <v>0</v>
      </c>
      <c r="G107" s="11" t="n">
        <f aca="false">IF(D107=1,SUMIFS(Benefits!$S$4:$S$703,Benefits!$B$4:$B$703,A107,Benefits!$F$4:$F$703,B107,Benefits!$R$4:$R$703,"revenue"),0)</f>
        <v>0</v>
      </c>
      <c r="H107" s="11" t="n">
        <f aca="false">IF(D107=1,SUMIFS(Benefits!$S$4:$S$703,Benefits!$B$4:$B$703,A107,Benefits!$F$4:$F$703,B107,Benefits!$R$4:$R$703,"avoided_cost_realised"),0)</f>
        <v>0</v>
      </c>
      <c r="I107" s="11" t="n">
        <f aca="false">IF(D107=1,SUMIFS(Benefits!$S$4:$S$703,Benefits!$B$4:$B$703,A107,Benefits!$F$4:$F$703,B107,Benefits!$R$4:$R$703,"capacity_converted"),0)</f>
        <v>0</v>
      </c>
      <c r="J107" s="11" t="n">
        <f aca="false">SUM(F107:I107)</f>
        <v>0</v>
      </c>
      <c r="K107" s="11" t="n">
        <f aca="false">J107-E107</f>
        <v>0</v>
      </c>
      <c r="L107" s="11" t="n">
        <f aca="false">IF(D107=1,L106+K107,0)</f>
        <v>422621.270965561</v>
      </c>
      <c r="M107" s="11" t="n">
        <f aca="false">IF(D107=1,1/(1+Controls!$B$11)^B107,0)</f>
        <v>0.81970144581361</v>
      </c>
      <c r="N107" s="11" t="n">
        <f aca="false">K107*M107</f>
        <v>0</v>
      </c>
      <c r="O107" s="11" t="n">
        <f aca="false">IF(D107=1,O106+N107,0)</f>
        <v>363049.677518799</v>
      </c>
      <c r="P107" s="11" t="n">
        <f aca="false">IF(AND(D107=1,L107&lt;0),1,0)</f>
        <v>0</v>
      </c>
      <c r="Q107" s="11" t="n">
        <f aca="false">IF(AND(D107=1,O107&lt;0),1,0)</f>
        <v>0</v>
      </c>
    </row>
    <row r="108" customFormat="false" ht="15" hidden="false" customHeight="false" outlineLevel="0" collapsed="false">
      <c r="A108" s="4" t="s">
        <v>85</v>
      </c>
      <c r="B108" s="4" t="n">
        <v>32</v>
      </c>
      <c r="C108" s="11" t="n">
        <f aca="false">IF(COUNTIF('Scenario inputs'!$A$4:$A$213,Controls!$B$3&amp;"|"&amp;A108)&gt;0,1,0)</f>
        <v>1</v>
      </c>
      <c r="D108" s="11" t="n">
        <f aca="false">IF(AND(C108=1,B108&lt;Controls!$B$12),1,0)</f>
        <v>1</v>
      </c>
      <c r="E108" s="11" t="n">
        <f aca="false">IF(D108=1,SUMPRODUCT((Costs!$B$4:$B$903=A108)*(Costs!$D$4:$D$903="planned")*(Costs!$J$4:$J$903&lt;=B108)*(Costs!$K$4:$K$903&gt;B108)*Costs!$E$4:$E$903),0)</f>
        <v>0</v>
      </c>
      <c r="F108" s="11" t="n">
        <f aca="false">IF(D108=1,SUMIFS(Benefits!$S$4:$S$703,Benefits!$B$4:$B$703,A108,Benefits!$F$4:$F$703,B108,Benefits!$R$4:$R$703,"cash"),0)</f>
        <v>0</v>
      </c>
      <c r="G108" s="11" t="n">
        <f aca="false">IF(D108=1,SUMIFS(Benefits!$S$4:$S$703,Benefits!$B$4:$B$703,A108,Benefits!$F$4:$F$703,B108,Benefits!$R$4:$R$703,"revenue"),0)</f>
        <v>0</v>
      </c>
      <c r="H108" s="11" t="n">
        <f aca="false">IF(D108=1,SUMIFS(Benefits!$S$4:$S$703,Benefits!$B$4:$B$703,A108,Benefits!$F$4:$F$703,B108,Benefits!$R$4:$R$703,"avoided_cost_realised"),0)</f>
        <v>0</v>
      </c>
      <c r="I108" s="11" t="n">
        <f aca="false">IF(D108=1,SUMIFS(Benefits!$S$4:$S$703,Benefits!$B$4:$B$703,A108,Benefits!$F$4:$F$703,B108,Benefits!$R$4:$R$703,"capacity_converted"),0)</f>
        <v>0</v>
      </c>
      <c r="J108" s="11" t="n">
        <f aca="false">SUM(F108:I108)</f>
        <v>0</v>
      </c>
      <c r="K108" s="11" t="n">
        <f aca="false">J108-E108</f>
        <v>0</v>
      </c>
      <c r="L108" s="11" t="n">
        <f aca="false">IF(D108=1,L107+K108,0)</f>
        <v>422621.270965561</v>
      </c>
      <c r="M108" s="11" t="n">
        <f aca="false">IF(D108=1,1/(1+Controls!$B$11)^B108,0)</f>
        <v>0.814461202437129</v>
      </c>
      <c r="N108" s="11" t="n">
        <f aca="false">K108*M108</f>
        <v>0</v>
      </c>
      <c r="O108" s="11" t="n">
        <f aca="false">IF(D108=1,O107+N108,0)</f>
        <v>363049.677518799</v>
      </c>
      <c r="P108" s="11" t="n">
        <f aca="false">IF(AND(D108=1,L108&lt;0),1,0)</f>
        <v>0</v>
      </c>
      <c r="Q108" s="11" t="n">
        <f aca="false">IF(AND(D108=1,O108&lt;0),1,0)</f>
        <v>0</v>
      </c>
    </row>
    <row r="109" customFormat="false" ht="15" hidden="false" customHeight="false" outlineLevel="0" collapsed="false">
      <c r="A109" s="4" t="s">
        <v>85</v>
      </c>
      <c r="B109" s="4" t="n">
        <v>33</v>
      </c>
      <c r="C109" s="11" t="n">
        <f aca="false">IF(COUNTIF('Scenario inputs'!$A$4:$A$213,Controls!$B$3&amp;"|"&amp;A109)&gt;0,1,0)</f>
        <v>1</v>
      </c>
      <c r="D109" s="11" t="n">
        <f aca="false">IF(AND(C109=1,B109&lt;Controls!$B$12),1,0)</f>
        <v>1</v>
      </c>
      <c r="E109" s="11" t="n">
        <f aca="false">IF(D109=1,SUMPRODUCT((Costs!$B$4:$B$903=A109)*(Costs!$D$4:$D$903="planned")*(Costs!$J$4:$J$903&lt;=B109)*(Costs!$K$4:$K$903&gt;B109)*Costs!$E$4:$E$903),0)</f>
        <v>0</v>
      </c>
      <c r="F109" s="11" t="n">
        <f aca="false">IF(D109=1,SUMIFS(Benefits!$S$4:$S$703,Benefits!$B$4:$B$703,A109,Benefits!$F$4:$F$703,B109,Benefits!$R$4:$R$703,"cash"),0)</f>
        <v>0</v>
      </c>
      <c r="G109" s="11" t="n">
        <f aca="false">IF(D109=1,SUMIFS(Benefits!$S$4:$S$703,Benefits!$B$4:$B$703,A109,Benefits!$F$4:$F$703,B109,Benefits!$R$4:$R$703,"revenue"),0)</f>
        <v>0</v>
      </c>
      <c r="H109" s="11" t="n">
        <f aca="false">IF(D109=1,SUMIFS(Benefits!$S$4:$S$703,Benefits!$B$4:$B$703,A109,Benefits!$F$4:$F$703,B109,Benefits!$R$4:$R$703,"avoided_cost_realised"),0)</f>
        <v>0</v>
      </c>
      <c r="I109" s="11" t="n">
        <f aca="false">IF(D109=1,SUMIFS(Benefits!$S$4:$S$703,Benefits!$B$4:$B$703,A109,Benefits!$F$4:$F$703,B109,Benefits!$R$4:$R$703,"capacity_converted"),0)</f>
        <v>0</v>
      </c>
      <c r="J109" s="11" t="n">
        <f aca="false">SUM(F109:I109)</f>
        <v>0</v>
      </c>
      <c r="K109" s="11" t="n">
        <f aca="false">J109-E109</f>
        <v>0</v>
      </c>
      <c r="L109" s="11" t="n">
        <f aca="false">IF(D109=1,L108+K109,0)</f>
        <v>422621.270965561</v>
      </c>
      <c r="M109" s="11" t="n">
        <f aca="false">IF(D109=1,1/(1+Controls!$B$11)^B109,0)</f>
        <v>0.809254459246338</v>
      </c>
      <c r="N109" s="11" t="n">
        <f aca="false">K109*M109</f>
        <v>0</v>
      </c>
      <c r="O109" s="11" t="n">
        <f aca="false">IF(D109=1,O108+N109,0)</f>
        <v>363049.677518799</v>
      </c>
      <c r="P109" s="11" t="n">
        <f aca="false">IF(AND(D109=1,L109&lt;0),1,0)</f>
        <v>0</v>
      </c>
      <c r="Q109" s="11" t="n">
        <f aca="false">IF(AND(D109=1,O109&lt;0),1,0)</f>
        <v>0</v>
      </c>
    </row>
    <row r="110" customFormat="false" ht="15" hidden="false" customHeight="false" outlineLevel="0" collapsed="false">
      <c r="A110" s="4" t="s">
        <v>85</v>
      </c>
      <c r="B110" s="4" t="n">
        <v>34</v>
      </c>
      <c r="C110" s="11" t="n">
        <f aca="false">IF(COUNTIF('Scenario inputs'!$A$4:$A$213,Controls!$B$3&amp;"|"&amp;A110)&gt;0,1,0)</f>
        <v>1</v>
      </c>
      <c r="D110" s="11" t="n">
        <f aca="false">IF(AND(C110=1,B110&lt;Controls!$B$12),1,0)</f>
        <v>1</v>
      </c>
      <c r="E110" s="11" t="n">
        <f aca="false">IF(D110=1,SUMPRODUCT((Costs!$B$4:$B$903=A110)*(Costs!$D$4:$D$903="planned")*(Costs!$J$4:$J$903&lt;=B110)*(Costs!$K$4:$K$903&gt;B110)*Costs!$E$4:$E$903),0)</f>
        <v>0</v>
      </c>
      <c r="F110" s="11" t="n">
        <f aca="false">IF(D110=1,SUMIFS(Benefits!$S$4:$S$703,Benefits!$B$4:$B$703,A110,Benefits!$F$4:$F$703,B110,Benefits!$R$4:$R$703,"cash"),0)</f>
        <v>0</v>
      </c>
      <c r="G110" s="11" t="n">
        <f aca="false">IF(D110=1,SUMIFS(Benefits!$S$4:$S$703,Benefits!$B$4:$B$703,A110,Benefits!$F$4:$F$703,B110,Benefits!$R$4:$R$703,"revenue"),0)</f>
        <v>0</v>
      </c>
      <c r="H110" s="11" t="n">
        <f aca="false">IF(D110=1,SUMIFS(Benefits!$S$4:$S$703,Benefits!$B$4:$B$703,A110,Benefits!$F$4:$F$703,B110,Benefits!$R$4:$R$703,"avoided_cost_realised"),0)</f>
        <v>0</v>
      </c>
      <c r="I110" s="11" t="n">
        <f aca="false">IF(D110=1,SUMIFS(Benefits!$S$4:$S$703,Benefits!$B$4:$B$703,A110,Benefits!$F$4:$F$703,B110,Benefits!$R$4:$R$703,"capacity_converted"),0)</f>
        <v>0</v>
      </c>
      <c r="J110" s="11" t="n">
        <f aca="false">SUM(F110:I110)</f>
        <v>0</v>
      </c>
      <c r="K110" s="11" t="n">
        <f aca="false">J110-E110</f>
        <v>0</v>
      </c>
      <c r="L110" s="11" t="n">
        <f aca="false">IF(D110=1,L109+K110,0)</f>
        <v>422621.270965561</v>
      </c>
      <c r="M110" s="11" t="n">
        <f aca="false">IF(D110=1,1/(1+Controls!$B$11)^B110,0)</f>
        <v>0.804081002078962</v>
      </c>
      <c r="N110" s="11" t="n">
        <f aca="false">K110*M110</f>
        <v>0</v>
      </c>
      <c r="O110" s="11" t="n">
        <f aca="false">IF(D110=1,O109+N110,0)</f>
        <v>363049.677518799</v>
      </c>
      <c r="P110" s="11" t="n">
        <f aca="false">IF(AND(D110=1,L110&lt;0),1,0)</f>
        <v>0</v>
      </c>
      <c r="Q110" s="11" t="n">
        <f aca="false">IF(AND(D110=1,O110&lt;0),1,0)</f>
        <v>0</v>
      </c>
    </row>
    <row r="111" customFormat="false" ht="15" hidden="false" customHeight="false" outlineLevel="0" collapsed="false">
      <c r="A111" s="4" t="s">
        <v>85</v>
      </c>
      <c r="B111" s="4" t="n">
        <v>35</v>
      </c>
      <c r="C111" s="11" t="n">
        <f aca="false">IF(COUNTIF('Scenario inputs'!$A$4:$A$213,Controls!$B$3&amp;"|"&amp;A111)&gt;0,1,0)</f>
        <v>1</v>
      </c>
      <c r="D111" s="11" t="n">
        <f aca="false">IF(AND(C111=1,B111&lt;Controls!$B$12),1,0)</f>
        <v>1</v>
      </c>
      <c r="E111" s="11" t="n">
        <f aca="false">IF(D111=1,SUMPRODUCT((Costs!$B$4:$B$903=A111)*(Costs!$D$4:$D$903="planned")*(Costs!$J$4:$J$903&lt;=B111)*(Costs!$K$4:$K$903&gt;B111)*Costs!$E$4:$E$903),0)</f>
        <v>0</v>
      </c>
      <c r="F111" s="11" t="n">
        <f aca="false">IF(D111=1,SUMIFS(Benefits!$S$4:$S$703,Benefits!$B$4:$B$703,A111,Benefits!$F$4:$F$703,B111,Benefits!$R$4:$R$703,"cash"),0)</f>
        <v>0</v>
      </c>
      <c r="G111" s="11" t="n">
        <f aca="false">IF(D111=1,SUMIFS(Benefits!$S$4:$S$703,Benefits!$B$4:$B$703,A111,Benefits!$F$4:$F$703,B111,Benefits!$R$4:$R$703,"revenue"),0)</f>
        <v>0</v>
      </c>
      <c r="H111" s="11" t="n">
        <f aca="false">IF(D111=1,SUMIFS(Benefits!$S$4:$S$703,Benefits!$B$4:$B$703,A111,Benefits!$F$4:$F$703,B111,Benefits!$R$4:$R$703,"avoided_cost_realised"),0)</f>
        <v>0</v>
      </c>
      <c r="I111" s="11" t="n">
        <f aca="false">IF(D111=1,SUMIFS(Benefits!$S$4:$S$703,Benefits!$B$4:$B$703,A111,Benefits!$F$4:$F$703,B111,Benefits!$R$4:$R$703,"capacity_converted"),0)</f>
        <v>0</v>
      </c>
      <c r="J111" s="11" t="n">
        <f aca="false">SUM(F111:I111)</f>
        <v>0</v>
      </c>
      <c r="K111" s="11" t="n">
        <f aca="false">J111-E111</f>
        <v>0</v>
      </c>
      <c r="L111" s="11" t="n">
        <f aca="false">IF(D111=1,L110+K111,0)</f>
        <v>422621.270965561</v>
      </c>
      <c r="M111" s="11" t="n">
        <f aca="false">IF(D111=1,1/(1+Controls!$B$11)^B111,0)</f>
        <v>0.798940618141837</v>
      </c>
      <c r="N111" s="11" t="n">
        <f aca="false">K111*M111</f>
        <v>0</v>
      </c>
      <c r="O111" s="11" t="n">
        <f aca="false">IF(D111=1,O110+N111,0)</f>
        <v>363049.677518799</v>
      </c>
      <c r="P111" s="11" t="n">
        <f aca="false">IF(AND(D111=1,L111&lt;0),1,0)</f>
        <v>0</v>
      </c>
      <c r="Q111" s="11" t="n">
        <f aca="false">IF(AND(D111=1,O111&lt;0),1,0)</f>
        <v>0</v>
      </c>
    </row>
    <row r="112" customFormat="false" ht="15" hidden="false" customHeight="false" outlineLevel="0" collapsed="false">
      <c r="A112" s="4" t="s">
        <v>86</v>
      </c>
      <c r="B112" s="4" t="n">
        <v>0</v>
      </c>
      <c r="C112" s="11" t="n">
        <f aca="false">IF(COUNTIF('Scenario inputs'!$A$4:$A$213,Controls!$B$3&amp;"|"&amp;A112)&gt;0,1,0)</f>
        <v>1</v>
      </c>
      <c r="D112" s="11" t="n">
        <f aca="false">IF(AND(C112=1,B112&lt;Controls!$B$12),1,0)</f>
        <v>1</v>
      </c>
      <c r="E112" s="11" t="n">
        <f aca="false">IF(D112=1,SUMPRODUCT((Costs!$B$4:$B$903=A112)*(Costs!$D$4:$D$903="planned")*(Costs!$J$4:$J$903&lt;=B112)*(Costs!$K$4:$K$903&gt;B112)*Costs!$E$4:$E$903),0)</f>
        <v>22000</v>
      </c>
      <c r="F112" s="11" t="n">
        <f aca="false">IF(D112=1,SUMIFS(Benefits!$S$4:$S$703,Benefits!$B$4:$B$703,A112,Benefits!$F$4:$F$703,B112,Benefits!$R$4:$R$703,"cash"),0)</f>
        <v>0</v>
      </c>
      <c r="G112" s="11" t="n">
        <f aca="false">IF(D112=1,SUMIFS(Benefits!$S$4:$S$703,Benefits!$B$4:$B$703,A112,Benefits!$F$4:$F$703,B112,Benefits!$R$4:$R$703,"revenue"),0)</f>
        <v>0</v>
      </c>
      <c r="H112" s="11" t="n">
        <f aca="false">IF(D112=1,SUMIFS(Benefits!$S$4:$S$703,Benefits!$B$4:$B$703,A112,Benefits!$F$4:$F$703,B112,Benefits!$R$4:$R$703,"avoided_cost_realised"),0)</f>
        <v>0</v>
      </c>
      <c r="I112" s="11" t="n">
        <f aca="false">IF(D112=1,SUMIFS(Benefits!$S$4:$S$703,Benefits!$B$4:$B$703,A112,Benefits!$F$4:$F$703,B112,Benefits!$R$4:$R$703,"capacity_converted"),0)</f>
        <v>0</v>
      </c>
      <c r="J112" s="11" t="n">
        <f aca="false">SUM(F112:I112)</f>
        <v>0</v>
      </c>
      <c r="K112" s="11" t="n">
        <f aca="false">J112-E112</f>
        <v>-22000</v>
      </c>
      <c r="L112" s="11" t="n">
        <f aca="false">IF(D112=1,K112,0)</f>
        <v>-22000</v>
      </c>
      <c r="M112" s="11" t="n">
        <f aca="false">IF(D112=1,1/(1+Controls!$B$11)^B112,0)</f>
        <v>1</v>
      </c>
      <c r="N112" s="11" t="n">
        <f aca="false">K112*M112</f>
        <v>-22000</v>
      </c>
      <c r="O112" s="11" t="n">
        <f aca="false">IF(D112=1,N112,0)</f>
        <v>-22000</v>
      </c>
      <c r="P112" s="11" t="n">
        <f aca="false">IF(AND(D112=1,L112&lt;0),1,0)</f>
        <v>1</v>
      </c>
      <c r="Q112" s="11" t="n">
        <f aca="false">IF(AND(D112=1,O112&lt;0),1,0)</f>
        <v>1</v>
      </c>
    </row>
    <row r="113" customFormat="false" ht="15" hidden="false" customHeight="false" outlineLevel="0" collapsed="false">
      <c r="A113" s="4" t="s">
        <v>86</v>
      </c>
      <c r="B113" s="4" t="n">
        <v>1</v>
      </c>
      <c r="C113" s="11" t="n">
        <f aca="false">IF(COUNTIF('Scenario inputs'!$A$4:$A$213,Controls!$B$3&amp;"|"&amp;A113)&gt;0,1,0)</f>
        <v>1</v>
      </c>
      <c r="D113" s="11" t="n">
        <f aca="false">IF(AND(C113=1,B113&lt;Controls!$B$12),1,0)</f>
        <v>1</v>
      </c>
      <c r="E113" s="11" t="n">
        <f aca="false">IF(D113=1,SUMPRODUCT((Costs!$B$4:$B$903=A113)*(Costs!$D$4:$D$903="planned")*(Costs!$J$4:$J$903&lt;=B113)*(Costs!$K$4:$K$903&gt;B113)*Costs!$E$4:$E$903),0)</f>
        <v>0</v>
      </c>
      <c r="F113" s="11" t="n">
        <f aca="false">IF(D113=1,SUMIFS(Benefits!$S$4:$S$703,Benefits!$B$4:$B$703,A113,Benefits!$F$4:$F$703,B113,Benefits!$R$4:$R$703,"cash"),0)</f>
        <v>0</v>
      </c>
      <c r="G113" s="11" t="n">
        <f aca="false">IF(D113=1,SUMIFS(Benefits!$S$4:$S$703,Benefits!$B$4:$B$703,A113,Benefits!$F$4:$F$703,B113,Benefits!$R$4:$R$703,"revenue"),0)</f>
        <v>0</v>
      </c>
      <c r="H113" s="11" t="n">
        <f aca="false">IF(D113=1,SUMIFS(Benefits!$S$4:$S$703,Benefits!$B$4:$B$703,A113,Benefits!$F$4:$F$703,B113,Benefits!$R$4:$R$703,"avoided_cost_realised"),0)</f>
        <v>0</v>
      </c>
      <c r="I113" s="11" t="n">
        <f aca="false">IF(D113=1,SUMIFS(Benefits!$S$4:$S$703,Benefits!$B$4:$B$703,A113,Benefits!$F$4:$F$703,B113,Benefits!$R$4:$R$703,"capacity_converted"),0)</f>
        <v>0</v>
      </c>
      <c r="J113" s="11" t="n">
        <f aca="false">SUM(F113:I113)</f>
        <v>0</v>
      </c>
      <c r="K113" s="11" t="n">
        <f aca="false">J113-E113</f>
        <v>0</v>
      </c>
      <c r="L113" s="11" t="n">
        <f aca="false">IF(D113=1,L112+K113,0)</f>
        <v>-22000</v>
      </c>
      <c r="M113" s="11" t="n">
        <f aca="false">IF(D113=1,1/(1+Controls!$B$11)^B113,0)</f>
        <v>0.993607131714549</v>
      </c>
      <c r="N113" s="11" t="n">
        <f aca="false">K113*M113</f>
        <v>0</v>
      </c>
      <c r="O113" s="11" t="n">
        <f aca="false">IF(D113=1,O112+N113,0)</f>
        <v>-22000</v>
      </c>
      <c r="P113" s="11" t="n">
        <f aca="false">IF(AND(D113=1,L113&lt;0),1,0)</f>
        <v>1</v>
      </c>
      <c r="Q113" s="11" t="n">
        <f aca="false">IF(AND(D113=1,O113&lt;0),1,0)</f>
        <v>1</v>
      </c>
    </row>
    <row r="114" customFormat="false" ht="15" hidden="false" customHeight="false" outlineLevel="0" collapsed="false">
      <c r="A114" s="4" t="s">
        <v>86</v>
      </c>
      <c r="B114" s="4" t="n">
        <v>2</v>
      </c>
      <c r="C114" s="11" t="n">
        <f aca="false">IF(COUNTIF('Scenario inputs'!$A$4:$A$213,Controls!$B$3&amp;"|"&amp;A114)&gt;0,1,0)</f>
        <v>1</v>
      </c>
      <c r="D114" s="11" t="n">
        <f aca="false">IF(AND(C114=1,B114&lt;Controls!$B$12),1,0)</f>
        <v>1</v>
      </c>
      <c r="E114" s="11" t="n">
        <f aca="false">IF(D114=1,SUMPRODUCT((Costs!$B$4:$B$903=A114)*(Costs!$D$4:$D$903="planned")*(Costs!$J$4:$J$903&lt;=B114)*(Costs!$K$4:$K$903&gt;B114)*Costs!$E$4:$E$903),0)</f>
        <v>163900</v>
      </c>
      <c r="F114" s="11" t="n">
        <f aca="false">IF(D114=1,SUMIFS(Benefits!$S$4:$S$703,Benefits!$B$4:$B$703,A114,Benefits!$F$4:$F$703,B114,Benefits!$R$4:$R$703,"cash"),0)</f>
        <v>0</v>
      </c>
      <c r="G114" s="11" t="n">
        <f aca="false">IF(D114=1,SUMIFS(Benefits!$S$4:$S$703,Benefits!$B$4:$B$703,A114,Benefits!$F$4:$F$703,B114,Benefits!$R$4:$R$703,"revenue"),0)</f>
        <v>0</v>
      </c>
      <c r="H114" s="11" t="n">
        <f aca="false">IF(D114=1,SUMIFS(Benefits!$S$4:$S$703,Benefits!$B$4:$B$703,A114,Benefits!$F$4:$F$703,B114,Benefits!$R$4:$R$703,"avoided_cost_realised"),0)</f>
        <v>0</v>
      </c>
      <c r="I114" s="11" t="n">
        <f aca="false">IF(D114=1,SUMIFS(Benefits!$S$4:$S$703,Benefits!$B$4:$B$703,A114,Benefits!$F$4:$F$703,B114,Benefits!$R$4:$R$703,"capacity_converted"),0)</f>
        <v>0</v>
      </c>
      <c r="J114" s="11" t="n">
        <f aca="false">SUM(F114:I114)</f>
        <v>0</v>
      </c>
      <c r="K114" s="11" t="n">
        <f aca="false">J114-E114</f>
        <v>-163900</v>
      </c>
      <c r="L114" s="11" t="n">
        <f aca="false">IF(D114=1,L113+K114,0)</f>
        <v>-185900</v>
      </c>
      <c r="M114" s="11" t="n">
        <f aca="false">IF(D114=1,1/(1+Controls!$B$11)^B114,0)</f>
        <v>0.987255132194012</v>
      </c>
      <c r="N114" s="11" t="n">
        <f aca="false">K114*M114</f>
        <v>-161811.116166599</v>
      </c>
      <c r="O114" s="11" t="n">
        <f aca="false">IF(D114=1,O113+N114,0)</f>
        <v>-183811.116166599</v>
      </c>
      <c r="P114" s="11" t="n">
        <f aca="false">IF(AND(D114=1,L114&lt;0),1,0)</f>
        <v>1</v>
      </c>
      <c r="Q114" s="11" t="n">
        <f aca="false">IF(AND(D114=1,O114&lt;0),1,0)</f>
        <v>1</v>
      </c>
    </row>
    <row r="115" customFormat="false" ht="15" hidden="false" customHeight="false" outlineLevel="0" collapsed="false">
      <c r="A115" s="4" t="s">
        <v>86</v>
      </c>
      <c r="B115" s="4" t="n">
        <v>3</v>
      </c>
      <c r="C115" s="11" t="n">
        <f aca="false">IF(COUNTIF('Scenario inputs'!$A$4:$A$213,Controls!$B$3&amp;"|"&amp;A115)&gt;0,1,0)</f>
        <v>1</v>
      </c>
      <c r="D115" s="11" t="n">
        <f aca="false">IF(AND(C115=1,B115&lt;Controls!$B$12),1,0)</f>
        <v>1</v>
      </c>
      <c r="E115" s="11" t="n">
        <f aca="false">IF(D115=1,SUMPRODUCT((Costs!$B$4:$B$903=A115)*(Costs!$D$4:$D$903="planned")*(Costs!$J$4:$J$903&lt;=B115)*(Costs!$K$4:$K$903&gt;B115)*Costs!$E$4:$E$903),0)</f>
        <v>453800</v>
      </c>
      <c r="F115" s="11" t="n">
        <f aca="false">IF(D115=1,SUMIFS(Benefits!$S$4:$S$703,Benefits!$B$4:$B$703,A115,Benefits!$F$4:$F$703,B115,Benefits!$R$4:$R$703,"cash"),0)</f>
        <v>0</v>
      </c>
      <c r="G115" s="11" t="n">
        <f aca="false">IF(D115=1,SUMIFS(Benefits!$S$4:$S$703,Benefits!$B$4:$B$703,A115,Benefits!$F$4:$F$703,B115,Benefits!$R$4:$R$703,"revenue"),0)</f>
        <v>0</v>
      </c>
      <c r="H115" s="11" t="n">
        <f aca="false">IF(D115=1,SUMIFS(Benefits!$S$4:$S$703,Benefits!$B$4:$B$703,A115,Benefits!$F$4:$F$703,B115,Benefits!$R$4:$R$703,"avoided_cost_realised"),0)</f>
        <v>0</v>
      </c>
      <c r="I115" s="11" t="n">
        <f aca="false">IF(D115=1,SUMIFS(Benefits!$S$4:$S$703,Benefits!$B$4:$B$703,A115,Benefits!$F$4:$F$703,B115,Benefits!$R$4:$R$703,"capacity_converted"),0)</f>
        <v>0</v>
      </c>
      <c r="J115" s="11" t="n">
        <f aca="false">SUM(F115:I115)</f>
        <v>0</v>
      </c>
      <c r="K115" s="11" t="n">
        <f aca="false">J115-E115</f>
        <v>-453800</v>
      </c>
      <c r="L115" s="11" t="n">
        <f aca="false">IF(D115=1,L114+K115,0)</f>
        <v>-639700</v>
      </c>
      <c r="M115" s="11" t="n">
        <f aca="false">IF(D115=1,1/(1+Controls!$B$11)^B115,0)</f>
        <v>0.98094374016976</v>
      </c>
      <c r="N115" s="11" t="n">
        <f aca="false">K115*M115</f>
        <v>-445152.269289037</v>
      </c>
      <c r="O115" s="11" t="n">
        <f aca="false">IF(D115=1,O114+N115,0)</f>
        <v>-628963.385455636</v>
      </c>
      <c r="P115" s="11" t="n">
        <f aca="false">IF(AND(D115=1,L115&lt;0),1,0)</f>
        <v>1</v>
      </c>
      <c r="Q115" s="11" t="n">
        <f aca="false">IF(AND(D115=1,O115&lt;0),1,0)</f>
        <v>1</v>
      </c>
    </row>
    <row r="116" customFormat="false" ht="15" hidden="false" customHeight="false" outlineLevel="0" collapsed="false">
      <c r="A116" s="4" t="s">
        <v>86</v>
      </c>
      <c r="B116" s="4" t="n">
        <v>4</v>
      </c>
      <c r="C116" s="11" t="n">
        <f aca="false">IF(COUNTIF('Scenario inputs'!$A$4:$A$213,Controls!$B$3&amp;"|"&amp;A116)&gt;0,1,0)</f>
        <v>1</v>
      </c>
      <c r="D116" s="11" t="n">
        <f aca="false">IF(AND(C116=1,B116&lt;Controls!$B$12),1,0)</f>
        <v>1</v>
      </c>
      <c r="E116" s="11" t="n">
        <f aca="false">IF(D116=1,SUMPRODUCT((Costs!$B$4:$B$903=A116)*(Costs!$D$4:$D$903="planned")*(Costs!$J$4:$J$903&lt;=B116)*(Costs!$K$4:$K$903&gt;B116)*Costs!$E$4:$E$903),0)</f>
        <v>515300</v>
      </c>
      <c r="F116" s="11" t="n">
        <f aca="false">IF(D116=1,SUMIFS(Benefits!$S$4:$S$703,Benefits!$B$4:$B$703,A116,Benefits!$F$4:$F$703,B116,Benefits!$R$4:$R$703,"cash"),0)</f>
        <v>0</v>
      </c>
      <c r="G116" s="11" t="n">
        <f aca="false">IF(D116=1,SUMIFS(Benefits!$S$4:$S$703,Benefits!$B$4:$B$703,A116,Benefits!$F$4:$F$703,B116,Benefits!$R$4:$R$703,"revenue"),0)</f>
        <v>0</v>
      </c>
      <c r="H116" s="11" t="n">
        <f aca="false">IF(D116=1,SUMIFS(Benefits!$S$4:$S$703,Benefits!$B$4:$B$703,A116,Benefits!$F$4:$F$703,B116,Benefits!$R$4:$R$703,"avoided_cost_realised"),0)</f>
        <v>3133.3584</v>
      </c>
      <c r="I116" s="11" t="n">
        <f aca="false">IF(D116=1,SUMIFS(Benefits!$S$4:$S$703,Benefits!$B$4:$B$703,A116,Benefits!$F$4:$F$703,B116,Benefits!$R$4:$R$703,"capacity_converted"),0)</f>
        <v>0</v>
      </c>
      <c r="J116" s="11" t="n">
        <f aca="false">SUM(F116:I116)</f>
        <v>3133.3584</v>
      </c>
      <c r="K116" s="11" t="n">
        <f aca="false">J116-E116</f>
        <v>-512166.6416</v>
      </c>
      <c r="L116" s="11" t="n">
        <f aca="false">IF(D116=1,L115+K116,0)</f>
        <v>-1151866.6416</v>
      </c>
      <c r="M116" s="11" t="n">
        <f aca="false">IF(D116=1,1/(1+Controls!$B$11)^B116,0)</f>
        <v>0.974672696043417</v>
      </c>
      <c r="N116" s="11" t="n">
        <f aca="false">K116*M116</f>
        <v>-499194.841391774</v>
      </c>
      <c r="O116" s="11" t="n">
        <f aca="false">IF(D116=1,O115+N116,0)</f>
        <v>-1128158.22684741</v>
      </c>
      <c r="P116" s="11" t="n">
        <f aca="false">IF(AND(D116=1,L116&lt;0),1,0)</f>
        <v>1</v>
      </c>
      <c r="Q116" s="11" t="n">
        <f aca="false">IF(AND(D116=1,O116&lt;0),1,0)</f>
        <v>1</v>
      </c>
    </row>
    <row r="117" customFormat="false" ht="15" hidden="false" customHeight="false" outlineLevel="0" collapsed="false">
      <c r="A117" s="4" t="s">
        <v>86</v>
      </c>
      <c r="B117" s="4" t="n">
        <v>5</v>
      </c>
      <c r="C117" s="11" t="n">
        <f aca="false">IF(COUNTIF('Scenario inputs'!$A$4:$A$213,Controls!$B$3&amp;"|"&amp;A117)&gt;0,1,0)</f>
        <v>1</v>
      </c>
      <c r="D117" s="11" t="n">
        <f aca="false">IF(AND(C117=1,B117&lt;Controls!$B$12),1,0)</f>
        <v>1</v>
      </c>
      <c r="E117" s="11" t="n">
        <f aca="false">IF(D117=1,SUMPRODUCT((Costs!$B$4:$B$903=A117)*(Costs!$D$4:$D$903="planned")*(Costs!$J$4:$J$903&lt;=B117)*(Costs!$K$4:$K$903&gt;B117)*Costs!$E$4:$E$903),0)</f>
        <v>22000</v>
      </c>
      <c r="F117" s="11" t="n">
        <f aca="false">IF(D117=1,SUMIFS(Benefits!$S$4:$S$703,Benefits!$B$4:$B$703,A117,Benefits!$F$4:$F$703,B117,Benefits!$R$4:$R$703,"cash"),0)</f>
        <v>2563.9094</v>
      </c>
      <c r="G117" s="11" t="n">
        <f aca="false">IF(D117=1,SUMIFS(Benefits!$S$4:$S$703,Benefits!$B$4:$B$703,A117,Benefits!$F$4:$F$703,B117,Benefits!$R$4:$R$703,"revenue"),0)</f>
        <v>0</v>
      </c>
      <c r="H117" s="11" t="n">
        <f aca="false">IF(D117=1,SUMIFS(Benefits!$S$4:$S$703,Benefits!$B$4:$B$703,A117,Benefits!$F$4:$F$703,B117,Benefits!$R$4:$R$703,"avoided_cost_realised"),0)</f>
        <v>9399.9624</v>
      </c>
      <c r="I117" s="11" t="n">
        <f aca="false">IF(D117=1,SUMIFS(Benefits!$S$4:$S$703,Benefits!$B$4:$B$703,A117,Benefits!$F$4:$F$703,B117,Benefits!$R$4:$R$703,"capacity_converted"),0)</f>
        <v>2100.2650686528</v>
      </c>
      <c r="J117" s="11" t="n">
        <f aca="false">SUM(F117:I117)</f>
        <v>14064.1368686528</v>
      </c>
      <c r="K117" s="11" t="n">
        <f aca="false">J117-E117</f>
        <v>-7935.8631313472</v>
      </c>
      <c r="L117" s="11" t="n">
        <f aca="false">IF(D117=1,L116+K117,0)</f>
        <v>-1159802.50473135</v>
      </c>
      <c r="M117" s="11" t="n">
        <f aca="false">IF(D117=1,1/(1+Controls!$B$11)^B117,0)</f>
        <v>0.968441741876185</v>
      </c>
      <c r="N117" s="11" t="n">
        <f aca="false">K117*M117</f>
        <v>-7685.42111421288</v>
      </c>
      <c r="O117" s="11" t="n">
        <f aca="false">IF(D117=1,O116+N117,0)</f>
        <v>-1135843.64796162</v>
      </c>
      <c r="P117" s="11" t="n">
        <f aca="false">IF(AND(D117=1,L117&lt;0),1,0)</f>
        <v>1</v>
      </c>
      <c r="Q117" s="11" t="n">
        <f aca="false">IF(AND(D117=1,O117&lt;0),1,0)</f>
        <v>1</v>
      </c>
    </row>
    <row r="118" customFormat="false" ht="15" hidden="false" customHeight="false" outlineLevel="0" collapsed="false">
      <c r="A118" s="4" t="s">
        <v>86</v>
      </c>
      <c r="B118" s="4" t="n">
        <v>6</v>
      </c>
      <c r="C118" s="11" t="n">
        <f aca="false">IF(COUNTIF('Scenario inputs'!$A$4:$A$213,Controls!$B$3&amp;"|"&amp;A118)&gt;0,1,0)</f>
        <v>1</v>
      </c>
      <c r="D118" s="11" t="n">
        <f aca="false">IF(AND(C118=1,B118&lt;Controls!$B$12),1,0)</f>
        <v>1</v>
      </c>
      <c r="E118" s="11" t="n">
        <f aca="false">IF(D118=1,SUMPRODUCT((Costs!$B$4:$B$903=A118)*(Costs!$D$4:$D$903="planned")*(Costs!$J$4:$J$903&lt;=B118)*(Costs!$K$4:$K$903&gt;B118)*Costs!$E$4:$E$903),0)</f>
        <v>22000</v>
      </c>
      <c r="F118" s="11" t="n">
        <f aca="false">IF(D118=1,SUMIFS(Benefits!$S$4:$S$703,Benefits!$B$4:$B$703,A118,Benefits!$F$4:$F$703,B118,Benefits!$R$4:$R$703,"cash"),0)</f>
        <v>7691.6359</v>
      </c>
      <c r="G118" s="11" t="n">
        <f aca="false">IF(D118=1,SUMIFS(Benefits!$S$4:$S$703,Benefits!$B$4:$B$703,A118,Benefits!$F$4:$F$703,B118,Benefits!$R$4:$R$703,"revenue"),0)</f>
        <v>0</v>
      </c>
      <c r="H118" s="11" t="n">
        <f aca="false">IF(D118=1,SUMIFS(Benefits!$S$4:$S$703,Benefits!$B$4:$B$703,A118,Benefits!$F$4:$F$703,B118,Benefits!$R$4:$R$703,"avoided_cost_realised"),0)</f>
        <v>18800.0376</v>
      </c>
      <c r="I118" s="11" t="n">
        <f aca="false">IF(D118=1,SUMIFS(Benefits!$S$4:$S$703,Benefits!$B$4:$B$703,A118,Benefits!$F$4:$F$703,B118,Benefits!$R$4:$R$703,"capacity_converted"),0)</f>
        <v>6300.7195970208</v>
      </c>
      <c r="J118" s="11" t="n">
        <f aca="false">SUM(F118:I118)</f>
        <v>32792.3930970208</v>
      </c>
      <c r="K118" s="11" t="n">
        <f aca="false">J118-E118</f>
        <v>10792.3930970208</v>
      </c>
      <c r="L118" s="11" t="n">
        <f aca="false">IF(D118=1,L117+K118,0)</f>
        <v>-1149010.11163433</v>
      </c>
      <c r="M118" s="11" t="n">
        <f aca="false">IF(D118=1,1/(1+Controls!$B$11)^B118,0)</f>
        <v>0.962250621378238</v>
      </c>
      <c r="N118" s="11" t="n">
        <f aca="false">K118*M118</f>
        <v>10384.9869637665</v>
      </c>
      <c r="O118" s="11" t="n">
        <f aca="false">IF(D118=1,O117+N118,0)</f>
        <v>-1125458.66099786</v>
      </c>
      <c r="P118" s="11" t="n">
        <f aca="false">IF(AND(D118=1,L118&lt;0),1,0)</f>
        <v>1</v>
      </c>
      <c r="Q118" s="11" t="n">
        <f aca="false">IF(AND(D118=1,O118&lt;0),1,0)</f>
        <v>1</v>
      </c>
    </row>
    <row r="119" customFormat="false" ht="15" hidden="false" customHeight="false" outlineLevel="0" collapsed="false">
      <c r="A119" s="4" t="s">
        <v>86</v>
      </c>
      <c r="B119" s="4" t="n">
        <v>7</v>
      </c>
      <c r="C119" s="11" t="n">
        <f aca="false">IF(COUNTIF('Scenario inputs'!$A$4:$A$213,Controls!$B$3&amp;"|"&amp;A119)&gt;0,1,0)</f>
        <v>1</v>
      </c>
      <c r="D119" s="11" t="n">
        <f aca="false">IF(AND(C119=1,B119&lt;Controls!$B$12),1,0)</f>
        <v>1</v>
      </c>
      <c r="E119" s="11" t="n">
        <f aca="false">IF(D119=1,SUMPRODUCT((Costs!$B$4:$B$903=A119)*(Costs!$D$4:$D$903="planned")*(Costs!$J$4:$J$903&lt;=B119)*(Costs!$K$4:$K$903&gt;B119)*Costs!$E$4:$E$903),0)</f>
        <v>22000</v>
      </c>
      <c r="F119" s="11" t="n">
        <f aca="false">IF(D119=1,SUMIFS(Benefits!$S$4:$S$703,Benefits!$B$4:$B$703,A119,Benefits!$F$4:$F$703,B119,Benefits!$R$4:$R$703,"cash"),0)</f>
        <v>15383.3641</v>
      </c>
      <c r="G119" s="11" t="n">
        <f aca="false">IF(D119=1,SUMIFS(Benefits!$S$4:$S$703,Benefits!$B$4:$B$703,A119,Benefits!$F$4:$F$703,B119,Benefits!$R$4:$R$703,"revenue"),0)</f>
        <v>0</v>
      </c>
      <c r="H119" s="11" t="n">
        <f aca="false">IF(D119=1,SUMIFS(Benefits!$S$4:$S$703,Benefits!$B$4:$B$703,A119,Benefits!$F$4:$F$703,B119,Benefits!$R$4:$R$703,"avoided_cost_realised"),0)</f>
        <v>31333.3584</v>
      </c>
      <c r="I119" s="11" t="n">
        <f aca="false">IF(D119=1,SUMIFS(Benefits!$S$4:$S$703,Benefits!$B$4:$B$703,A119,Benefits!$F$4:$F$703,B119,Benefits!$R$4:$R$703,"capacity_converted"),0)</f>
        <v>12601.5148029792</v>
      </c>
      <c r="J119" s="11" t="n">
        <f aca="false">SUM(F119:I119)</f>
        <v>59318.2373029792</v>
      </c>
      <c r="K119" s="11" t="n">
        <f aca="false">J119-E119</f>
        <v>37318.2373029792</v>
      </c>
      <c r="L119" s="11" t="n">
        <f aca="false">IF(D119=1,L118+K119,0)</f>
        <v>-1111691.87433135</v>
      </c>
      <c r="M119" s="11" t="n">
        <f aca="false">IF(D119=1,1/(1+Controls!$B$11)^B119,0)</f>
        <v>0.956099079898173</v>
      </c>
      <c r="N119" s="11" t="n">
        <f aca="false">K119*M119</f>
        <v>35679.9323488001</v>
      </c>
      <c r="O119" s="11" t="n">
        <f aca="false">IF(D119=1,O118+N119,0)</f>
        <v>-1089778.72864906</v>
      </c>
      <c r="P119" s="11" t="n">
        <f aca="false">IF(AND(D119=1,L119&lt;0),1,0)</f>
        <v>1</v>
      </c>
      <c r="Q119" s="11" t="n">
        <f aca="false">IF(AND(D119=1,O119&lt;0),1,0)</f>
        <v>1</v>
      </c>
    </row>
    <row r="120" customFormat="false" ht="15" hidden="false" customHeight="false" outlineLevel="0" collapsed="false">
      <c r="A120" s="4" t="s">
        <v>86</v>
      </c>
      <c r="B120" s="4" t="n">
        <v>8</v>
      </c>
      <c r="C120" s="11" t="n">
        <f aca="false">IF(COUNTIF('Scenario inputs'!$A$4:$A$213,Controls!$B$3&amp;"|"&amp;A120)&gt;0,1,0)</f>
        <v>1</v>
      </c>
      <c r="D120" s="11" t="n">
        <f aca="false">IF(AND(C120=1,B120&lt;Controls!$B$12),1,0)</f>
        <v>1</v>
      </c>
      <c r="E120" s="11" t="n">
        <f aca="false">IF(D120=1,SUMPRODUCT((Costs!$B$4:$B$903=A120)*(Costs!$D$4:$D$903="planned")*(Costs!$J$4:$J$903&lt;=B120)*(Costs!$K$4:$K$903&gt;B120)*Costs!$E$4:$E$903),0)</f>
        <v>22000</v>
      </c>
      <c r="F120" s="11" t="n">
        <f aca="false">IF(D120=1,SUMIFS(Benefits!$S$4:$S$703,Benefits!$B$4:$B$703,A120,Benefits!$F$4:$F$703,B120,Benefits!$R$4:$R$703,"cash"),0)</f>
        <v>25638.9094</v>
      </c>
      <c r="G120" s="11" t="n">
        <f aca="false">IF(D120=1,SUMIFS(Benefits!$S$4:$S$703,Benefits!$B$4:$B$703,A120,Benefits!$F$4:$F$703,B120,Benefits!$R$4:$R$703,"revenue"),0)</f>
        <v>0</v>
      </c>
      <c r="H120" s="11" t="n">
        <f aca="false">IF(D120=1,SUMIFS(Benefits!$S$4:$S$703,Benefits!$B$4:$B$703,A120,Benefits!$F$4:$F$703,B120,Benefits!$R$4:$R$703,"avoided_cost_realised"),0)</f>
        <v>47000.0376</v>
      </c>
      <c r="I120" s="11" t="n">
        <f aca="false">IF(D120=1,SUMIFS(Benefits!$S$4:$S$703,Benefits!$B$4:$B$703,A120,Benefits!$F$4:$F$703,B120,Benefits!$R$4:$R$703,"capacity_converted"),0)</f>
        <v>21002.4994686528</v>
      </c>
      <c r="J120" s="11" t="n">
        <f aca="false">SUM(F120:I120)</f>
        <v>93641.4464686528</v>
      </c>
      <c r="K120" s="11" t="n">
        <f aca="false">J120-E120</f>
        <v>71641.4464686528</v>
      </c>
      <c r="L120" s="11" t="n">
        <f aca="false">IF(D120=1,L119+K120,0)</f>
        <v>-1040050.42786269</v>
      </c>
      <c r="M120" s="11" t="n">
        <f aca="false">IF(D120=1,1/(1+Controls!$B$11)^B120,0)</f>
        <v>0.949986864412542</v>
      </c>
      <c r="N120" s="11" t="n">
        <f aca="false">K120*M120</f>
        <v>68058.4330927345</v>
      </c>
      <c r="O120" s="11" t="n">
        <f aca="false">IF(D120=1,O119+N120,0)</f>
        <v>-1021720.29555632</v>
      </c>
      <c r="P120" s="11" t="n">
        <f aca="false">IF(AND(D120=1,L120&lt;0),1,0)</f>
        <v>1</v>
      </c>
      <c r="Q120" s="11" t="n">
        <f aca="false">IF(AND(D120=1,O120&lt;0),1,0)</f>
        <v>1</v>
      </c>
    </row>
    <row r="121" customFormat="false" ht="15" hidden="false" customHeight="false" outlineLevel="0" collapsed="false">
      <c r="A121" s="4" t="s">
        <v>86</v>
      </c>
      <c r="B121" s="4" t="n">
        <v>9</v>
      </c>
      <c r="C121" s="11" t="n">
        <f aca="false">IF(COUNTIF('Scenario inputs'!$A$4:$A$213,Controls!$B$3&amp;"|"&amp;A121)&gt;0,1,0)</f>
        <v>1</v>
      </c>
      <c r="D121" s="11" t="n">
        <f aca="false">IF(AND(C121=1,B121&lt;Controls!$B$12),1,0)</f>
        <v>1</v>
      </c>
      <c r="E121" s="11" t="n">
        <f aca="false">IF(D121=1,SUMPRODUCT((Costs!$B$4:$B$903=A121)*(Costs!$D$4:$D$903="planned")*(Costs!$J$4:$J$903&lt;=B121)*(Costs!$K$4:$K$903&gt;B121)*Costs!$E$4:$E$903),0)</f>
        <v>22000</v>
      </c>
      <c r="F121" s="11" t="n">
        <f aca="false">IF(D121=1,SUMIFS(Benefits!$S$4:$S$703,Benefits!$B$4:$B$703,A121,Benefits!$F$4:$F$703,B121,Benefits!$R$4:$R$703,"cash"),0)</f>
        <v>38458.3641</v>
      </c>
      <c r="G121" s="11" t="n">
        <f aca="false">IF(D121=1,SUMIFS(Benefits!$S$4:$S$703,Benefits!$B$4:$B$703,A121,Benefits!$F$4:$F$703,B121,Benefits!$R$4:$R$703,"revenue"),0)</f>
        <v>0</v>
      </c>
      <c r="H121" s="11" t="n">
        <f aca="false">IF(D121=1,SUMIFS(Benefits!$S$4:$S$703,Benefits!$B$4:$B$703,A121,Benefits!$F$4:$F$703,B121,Benefits!$R$4:$R$703,"avoided_cost_realised"),0)</f>
        <v>65799.9624</v>
      </c>
      <c r="I121" s="11" t="n">
        <f aca="false">IF(D121=1,SUMIFS(Benefits!$S$4:$S$703,Benefits!$B$4:$B$703,A121,Benefits!$F$4:$F$703,B121,Benefits!$R$4:$R$703,"capacity_converted"),0)</f>
        <v>31503.7492029792</v>
      </c>
      <c r="J121" s="11" t="n">
        <f aca="false">SUM(F121:I121)</f>
        <v>135762.075702979</v>
      </c>
      <c r="K121" s="11" t="n">
        <f aca="false">J121-E121</f>
        <v>113762.075702979</v>
      </c>
      <c r="L121" s="11" t="n">
        <f aca="false">IF(D121=1,L120+K121,0)</f>
        <v>-926288.352159715</v>
      </c>
      <c r="M121" s="11" t="n">
        <f aca="false">IF(D121=1,1/(1+Controls!$B$11)^B121,0)</f>
        <v>0.943913723515444</v>
      </c>
      <c r="N121" s="11" t="n">
        <f aca="false">K121*M121</f>
        <v>107381.584471645</v>
      </c>
      <c r="O121" s="11" t="n">
        <f aca="false">IF(D121=1,O120+N121,0)</f>
        <v>-914338.711084677</v>
      </c>
      <c r="P121" s="11" t="n">
        <f aca="false">IF(AND(D121=1,L121&lt;0),1,0)</f>
        <v>1</v>
      </c>
      <c r="Q121" s="11" t="n">
        <f aca="false">IF(AND(D121=1,O121&lt;0),1,0)</f>
        <v>1</v>
      </c>
    </row>
    <row r="122" customFormat="false" ht="15" hidden="false" customHeight="false" outlineLevel="0" collapsed="false">
      <c r="A122" s="4" t="s">
        <v>86</v>
      </c>
      <c r="B122" s="4" t="n">
        <v>10</v>
      </c>
      <c r="C122" s="11" t="n">
        <f aca="false">IF(COUNTIF('Scenario inputs'!$A$4:$A$213,Controls!$B$3&amp;"|"&amp;A122)&gt;0,1,0)</f>
        <v>1</v>
      </c>
      <c r="D122" s="11" t="n">
        <f aca="false">IF(AND(C122=1,B122&lt;Controls!$B$12),1,0)</f>
        <v>1</v>
      </c>
      <c r="E122" s="11" t="n">
        <f aca="false">IF(D122=1,SUMPRODUCT((Costs!$B$4:$B$903=A122)*(Costs!$D$4:$D$903="planned")*(Costs!$J$4:$J$903&lt;=B122)*(Costs!$K$4:$K$903&gt;B122)*Costs!$E$4:$E$903),0)</f>
        <v>22450</v>
      </c>
      <c r="F122" s="11" t="n">
        <f aca="false">IF(D122=1,SUMIFS(Benefits!$S$4:$S$703,Benefits!$B$4:$B$703,A122,Benefits!$F$4:$F$703,B122,Benefits!$R$4:$R$703,"cash"),0)</f>
        <v>53841.6359</v>
      </c>
      <c r="G122" s="11" t="n">
        <f aca="false">IF(D122=1,SUMIFS(Benefits!$S$4:$S$703,Benefits!$B$4:$B$703,A122,Benefits!$F$4:$F$703,B122,Benefits!$R$4:$R$703,"revenue"),0)</f>
        <v>0</v>
      </c>
      <c r="H122" s="11" t="n">
        <f aca="false">IF(D122=1,SUMIFS(Benefits!$S$4:$S$703,Benefits!$B$4:$B$703,A122,Benefits!$F$4:$F$703,B122,Benefits!$R$4:$R$703,"avoided_cost_realised"),0)</f>
        <v>87733.3584</v>
      </c>
      <c r="I122" s="11" t="n">
        <f aca="false">IF(D122=1,SUMIFS(Benefits!$S$4:$S$703,Benefits!$B$4:$B$703,A122,Benefits!$F$4:$F$703,B122,Benefits!$R$4:$R$703,"capacity_converted"),0)</f>
        <v>44105.1883970208</v>
      </c>
      <c r="J122" s="11" t="n">
        <f aca="false">SUM(F122:I122)</f>
        <v>185680.182697021</v>
      </c>
      <c r="K122" s="11" t="n">
        <f aca="false">J122-E122</f>
        <v>163230.182697021</v>
      </c>
      <c r="L122" s="11" t="n">
        <f aca="false">IF(D122=1,L121+K122,0)</f>
        <v>-763058.169462694</v>
      </c>
      <c r="M122" s="11" t="n">
        <f aca="false">IF(D122=1,1/(1+Controls!$B$11)^B122,0)</f>
        <v>0.93787940740818</v>
      </c>
      <c r="N122" s="11" t="n">
        <f aca="false">K122*M122</f>
        <v>153090.227019011</v>
      </c>
      <c r="O122" s="11" t="n">
        <f aca="false">IF(D122=1,O121+N122,0)</f>
        <v>-761248.484065666</v>
      </c>
      <c r="P122" s="11" t="n">
        <f aca="false">IF(AND(D122=1,L122&lt;0),1,0)</f>
        <v>1</v>
      </c>
      <c r="Q122" s="11" t="n">
        <f aca="false">IF(AND(D122=1,O122&lt;0),1,0)</f>
        <v>1</v>
      </c>
    </row>
    <row r="123" customFormat="false" ht="15" hidden="false" customHeight="false" outlineLevel="0" collapsed="false">
      <c r="A123" s="4" t="s">
        <v>86</v>
      </c>
      <c r="B123" s="4" t="n">
        <v>11</v>
      </c>
      <c r="C123" s="11" t="n">
        <f aca="false">IF(COUNTIF('Scenario inputs'!$A$4:$A$213,Controls!$B$3&amp;"|"&amp;A123)&gt;0,1,0)</f>
        <v>1</v>
      </c>
      <c r="D123" s="11" t="n">
        <f aca="false">IF(AND(C123=1,B123&lt;Controls!$B$12),1,0)</f>
        <v>1</v>
      </c>
      <c r="E123" s="11" t="n">
        <f aca="false">IF(D123=1,SUMPRODUCT((Costs!$B$4:$B$903=A123)*(Costs!$D$4:$D$903="planned")*(Costs!$J$4:$J$903&lt;=B123)*(Costs!$K$4:$K$903&gt;B123)*Costs!$E$4:$E$903),0)</f>
        <v>22450</v>
      </c>
      <c r="F123" s="11" t="n">
        <f aca="false">IF(D123=1,SUMIFS(Benefits!$S$4:$S$703,Benefits!$B$4:$B$703,A123,Benefits!$F$4:$F$703,B123,Benefits!$R$4:$R$703,"cash"),0)</f>
        <v>71788.9094</v>
      </c>
      <c r="G123" s="11" t="n">
        <f aca="false">IF(D123=1,SUMIFS(Benefits!$S$4:$S$703,Benefits!$B$4:$B$703,A123,Benefits!$F$4:$F$703,B123,Benefits!$R$4:$R$703,"revenue"),0)</f>
        <v>0</v>
      </c>
      <c r="H123" s="11" t="n">
        <f aca="false">IF(D123=1,SUMIFS(Benefits!$S$4:$S$703,Benefits!$B$4:$B$703,A123,Benefits!$F$4:$F$703,B123,Benefits!$R$4:$R$703,"avoided_cost_realised"),0)</f>
        <v>112800</v>
      </c>
      <c r="I123" s="11" t="n">
        <f aca="false">IF(D123=1,SUMIFS(Benefits!$S$4:$S$703,Benefits!$B$4:$B$703,A123,Benefits!$F$4:$F$703,B123,Benefits!$R$4:$R$703,"capacity_converted"),0)</f>
        <v>58806.9682686528</v>
      </c>
      <c r="J123" s="11" t="n">
        <f aca="false">SUM(F123:I123)</f>
        <v>243395.877668653</v>
      </c>
      <c r="K123" s="11" t="n">
        <f aca="false">J123-E123</f>
        <v>220945.877668653</v>
      </c>
      <c r="L123" s="11" t="n">
        <f aca="false">IF(D123=1,L122+K123,0)</f>
        <v>-542112.291794041</v>
      </c>
      <c r="M123" s="11" t="n">
        <f aca="false">IF(D123=1,1/(1+Controls!$B$11)^B123,0)</f>
        <v>0.931883667888982</v>
      </c>
      <c r="N123" s="11" t="n">
        <f aca="false">K123*M123</f>
        <v>205895.854886814</v>
      </c>
      <c r="O123" s="11" t="n">
        <f aca="false">IF(D123=1,O122+N123,0)</f>
        <v>-555352.629178852</v>
      </c>
      <c r="P123" s="11" t="n">
        <f aca="false">IF(AND(D123=1,L123&lt;0),1,0)</f>
        <v>1</v>
      </c>
      <c r="Q123" s="11" t="n">
        <f aca="false">IF(AND(D123=1,O123&lt;0),1,0)</f>
        <v>1</v>
      </c>
    </row>
    <row r="124" customFormat="false" ht="15" hidden="false" customHeight="false" outlineLevel="0" collapsed="false">
      <c r="A124" s="4" t="s">
        <v>86</v>
      </c>
      <c r="B124" s="4" t="n">
        <v>12</v>
      </c>
      <c r="C124" s="11" t="n">
        <f aca="false">IF(COUNTIF('Scenario inputs'!$A$4:$A$213,Controls!$B$3&amp;"|"&amp;A124)&gt;0,1,0)</f>
        <v>1</v>
      </c>
      <c r="D124" s="11" t="n">
        <f aca="false">IF(AND(C124=1,B124&lt;Controls!$B$12),1,0)</f>
        <v>1</v>
      </c>
      <c r="E124" s="11" t="n">
        <f aca="false">IF(D124=1,SUMPRODUCT((Costs!$B$4:$B$903=A124)*(Costs!$D$4:$D$903="planned")*(Costs!$J$4:$J$903&lt;=B124)*(Costs!$K$4:$K$903&gt;B124)*Costs!$E$4:$E$903),0)</f>
        <v>22450</v>
      </c>
      <c r="F124" s="11" t="n">
        <f aca="false">IF(D124=1,SUMIFS(Benefits!$S$4:$S$703,Benefits!$B$4:$B$703,A124,Benefits!$F$4:$F$703,B124,Benefits!$R$4:$R$703,"cash"),0)</f>
        <v>92300</v>
      </c>
      <c r="G124" s="11" t="n">
        <f aca="false">IF(D124=1,SUMIFS(Benefits!$S$4:$S$703,Benefits!$B$4:$B$703,A124,Benefits!$F$4:$F$703,B124,Benefits!$R$4:$R$703,"revenue"),0)</f>
        <v>0</v>
      </c>
      <c r="H124" s="11" t="n">
        <f aca="false">IF(D124=1,SUMIFS(Benefits!$S$4:$S$703,Benefits!$B$4:$B$703,A124,Benefits!$F$4:$F$703,B124,Benefits!$R$4:$R$703,"avoided_cost_realised"),0)</f>
        <v>112800</v>
      </c>
      <c r="I124" s="11" t="n">
        <f aca="false">IF(D124=1,SUMIFS(Benefits!$S$4:$S$703,Benefits!$B$4:$B$703,A124,Benefits!$F$4:$F$703,B124,Benefits!$R$4:$R$703,"capacity_converted"),0)</f>
        <v>75608.9376</v>
      </c>
      <c r="J124" s="11" t="n">
        <f aca="false">SUM(F124:I124)</f>
        <v>280708.9376</v>
      </c>
      <c r="K124" s="11" t="n">
        <f aca="false">J124-E124</f>
        <v>258258.9376</v>
      </c>
      <c r="L124" s="11" t="n">
        <f aca="false">IF(D124=1,L123+K124,0)</f>
        <v>-283853.354194041</v>
      </c>
      <c r="M124" s="11" t="n">
        <f aca="false">IF(D124=1,1/(1+Controls!$B$11)^B124,0)</f>
        <v>0.925926258342804</v>
      </c>
      <c r="N124" s="11" t="n">
        <f aca="false">K124*M124</f>
        <v>239128.731775556</v>
      </c>
      <c r="O124" s="11" t="n">
        <f aca="false">IF(D124=1,O123+N124,0)</f>
        <v>-316223.897403296</v>
      </c>
      <c r="P124" s="11" t="n">
        <f aca="false">IF(AND(D124=1,L124&lt;0),1,0)</f>
        <v>1</v>
      </c>
      <c r="Q124" s="11" t="n">
        <f aca="false">IF(AND(D124=1,O124&lt;0),1,0)</f>
        <v>1</v>
      </c>
    </row>
    <row r="125" customFormat="false" ht="15" hidden="false" customHeight="false" outlineLevel="0" collapsed="false">
      <c r="A125" s="4" t="s">
        <v>86</v>
      </c>
      <c r="B125" s="4" t="n">
        <v>13</v>
      </c>
      <c r="C125" s="11" t="n">
        <f aca="false">IF(COUNTIF('Scenario inputs'!$A$4:$A$213,Controls!$B$3&amp;"|"&amp;A125)&gt;0,1,0)</f>
        <v>1</v>
      </c>
      <c r="D125" s="11" t="n">
        <f aca="false">IF(AND(C125=1,B125&lt;Controls!$B$12),1,0)</f>
        <v>1</v>
      </c>
      <c r="E125" s="11" t="n">
        <f aca="false">IF(D125=1,SUMPRODUCT((Costs!$B$4:$B$903=A125)*(Costs!$D$4:$D$903="planned")*(Costs!$J$4:$J$903&lt;=B125)*(Costs!$K$4:$K$903&gt;B125)*Costs!$E$4:$E$903),0)</f>
        <v>22450</v>
      </c>
      <c r="F125" s="11" t="n">
        <f aca="false">IF(D125=1,SUMIFS(Benefits!$S$4:$S$703,Benefits!$B$4:$B$703,A125,Benefits!$F$4:$F$703,B125,Benefits!$R$4:$R$703,"cash"),0)</f>
        <v>92300</v>
      </c>
      <c r="G125" s="11" t="n">
        <f aca="false">IF(D125=1,SUMIFS(Benefits!$S$4:$S$703,Benefits!$B$4:$B$703,A125,Benefits!$F$4:$F$703,B125,Benefits!$R$4:$R$703,"revenue"),0)</f>
        <v>0</v>
      </c>
      <c r="H125" s="11" t="n">
        <f aca="false">IF(D125=1,SUMIFS(Benefits!$S$4:$S$703,Benefits!$B$4:$B$703,A125,Benefits!$F$4:$F$703,B125,Benefits!$R$4:$R$703,"avoided_cost_realised"),0)</f>
        <v>112800</v>
      </c>
      <c r="I125" s="11" t="n">
        <f aca="false">IF(D125=1,SUMIFS(Benefits!$S$4:$S$703,Benefits!$B$4:$B$703,A125,Benefits!$F$4:$F$703,B125,Benefits!$R$4:$R$703,"capacity_converted"),0)</f>
        <v>75608.9376</v>
      </c>
      <c r="J125" s="11" t="n">
        <f aca="false">SUM(F125:I125)</f>
        <v>280708.9376</v>
      </c>
      <c r="K125" s="11" t="n">
        <f aca="false">J125-E125</f>
        <v>258258.9376</v>
      </c>
      <c r="L125" s="11" t="n">
        <f aca="false">IF(D125=1,L124+K125,0)</f>
        <v>-25594.4165940413</v>
      </c>
      <c r="M125" s="11" t="n">
        <f aca="false">IF(D125=1,1/(1+Controls!$B$11)^B125,0)</f>
        <v>0.920006933731178</v>
      </c>
      <c r="N125" s="11" t="n">
        <f aca="false">K125*M125</f>
        <v>237600.013290048</v>
      </c>
      <c r="O125" s="11" t="n">
        <f aca="false">IF(D125=1,O124+N125,0)</f>
        <v>-78623.8841132483</v>
      </c>
      <c r="P125" s="11" t="n">
        <f aca="false">IF(AND(D125=1,L125&lt;0),1,0)</f>
        <v>1</v>
      </c>
      <c r="Q125" s="11" t="n">
        <f aca="false">IF(AND(D125=1,O125&lt;0),1,0)</f>
        <v>1</v>
      </c>
    </row>
    <row r="126" customFormat="false" ht="15" hidden="false" customHeight="false" outlineLevel="0" collapsed="false">
      <c r="A126" s="4" t="s">
        <v>86</v>
      </c>
      <c r="B126" s="4" t="n">
        <v>14</v>
      </c>
      <c r="C126" s="11" t="n">
        <f aca="false">IF(COUNTIF('Scenario inputs'!$A$4:$A$213,Controls!$B$3&amp;"|"&amp;A126)&gt;0,1,0)</f>
        <v>1</v>
      </c>
      <c r="D126" s="11" t="n">
        <f aca="false">IF(AND(C126=1,B126&lt;Controls!$B$12),1,0)</f>
        <v>1</v>
      </c>
      <c r="E126" s="11" t="n">
        <f aca="false">IF(D126=1,SUMPRODUCT((Costs!$B$4:$B$903=A126)*(Costs!$D$4:$D$903="planned")*(Costs!$J$4:$J$903&lt;=B126)*(Costs!$K$4:$K$903&gt;B126)*Costs!$E$4:$E$903),0)</f>
        <v>22450</v>
      </c>
      <c r="F126" s="11" t="n">
        <f aca="false">IF(D126=1,SUMIFS(Benefits!$S$4:$S$703,Benefits!$B$4:$B$703,A126,Benefits!$F$4:$F$703,B126,Benefits!$R$4:$R$703,"cash"),0)</f>
        <v>92300</v>
      </c>
      <c r="G126" s="11" t="n">
        <f aca="false">IF(D126=1,SUMIFS(Benefits!$S$4:$S$703,Benefits!$B$4:$B$703,A126,Benefits!$F$4:$F$703,B126,Benefits!$R$4:$R$703,"revenue"),0)</f>
        <v>0</v>
      </c>
      <c r="H126" s="11" t="n">
        <f aca="false">IF(D126=1,SUMIFS(Benefits!$S$4:$S$703,Benefits!$B$4:$B$703,A126,Benefits!$F$4:$F$703,B126,Benefits!$R$4:$R$703,"avoided_cost_realised"),0)</f>
        <v>112800</v>
      </c>
      <c r="I126" s="11" t="n">
        <f aca="false">IF(D126=1,SUMIFS(Benefits!$S$4:$S$703,Benefits!$B$4:$B$703,A126,Benefits!$F$4:$F$703,B126,Benefits!$R$4:$R$703,"capacity_converted"),0)</f>
        <v>75608.9376</v>
      </c>
      <c r="J126" s="11" t="n">
        <f aca="false">SUM(F126:I126)</f>
        <v>280708.9376</v>
      </c>
      <c r="K126" s="11" t="n">
        <f aca="false">J126-E126</f>
        <v>258258.9376</v>
      </c>
      <c r="L126" s="11" t="n">
        <f aca="false">IF(D126=1,L125+K126,0)</f>
        <v>232664.521005959</v>
      </c>
      <c r="M126" s="11" t="n">
        <f aca="false">IF(D126=1,1/(1+Controls!$B$11)^B126,0)</f>
        <v>0.914125450582132</v>
      </c>
      <c r="N126" s="11" t="n">
        <f aca="false">K126*M126</f>
        <v>236081.067700463</v>
      </c>
      <c r="O126" s="11" t="n">
        <f aca="false">IF(D126=1,O125+N126,0)</f>
        <v>157457.183587215</v>
      </c>
      <c r="P126" s="11" t="n">
        <f aca="false">IF(AND(D126=1,L126&lt;0),1,0)</f>
        <v>0</v>
      </c>
      <c r="Q126" s="11" t="n">
        <f aca="false">IF(AND(D126=1,O126&lt;0),1,0)</f>
        <v>0</v>
      </c>
    </row>
    <row r="127" customFormat="false" ht="15" hidden="false" customHeight="false" outlineLevel="0" collapsed="false">
      <c r="A127" s="4" t="s">
        <v>86</v>
      </c>
      <c r="B127" s="4" t="n">
        <v>15</v>
      </c>
      <c r="C127" s="11" t="n">
        <f aca="false">IF(COUNTIF('Scenario inputs'!$A$4:$A$213,Controls!$B$3&amp;"|"&amp;A127)&gt;0,1,0)</f>
        <v>1</v>
      </c>
      <c r="D127" s="11" t="n">
        <f aca="false">IF(AND(C127=1,B127&lt;Controls!$B$12),1,0)</f>
        <v>1</v>
      </c>
      <c r="E127" s="11" t="n">
        <f aca="false">IF(D127=1,SUMPRODUCT((Costs!$B$4:$B$903=A127)*(Costs!$D$4:$D$903="planned")*(Costs!$J$4:$J$903&lt;=B127)*(Costs!$K$4:$K$903&gt;B127)*Costs!$E$4:$E$903),0)</f>
        <v>22450</v>
      </c>
      <c r="F127" s="11" t="n">
        <f aca="false">IF(D127=1,SUMIFS(Benefits!$S$4:$S$703,Benefits!$B$4:$B$703,A127,Benefits!$F$4:$F$703,B127,Benefits!$R$4:$R$703,"cash"),0)</f>
        <v>92300</v>
      </c>
      <c r="G127" s="11" t="n">
        <f aca="false">IF(D127=1,SUMIFS(Benefits!$S$4:$S$703,Benefits!$B$4:$B$703,A127,Benefits!$F$4:$F$703,B127,Benefits!$R$4:$R$703,"revenue"),0)</f>
        <v>0</v>
      </c>
      <c r="H127" s="11" t="n">
        <f aca="false">IF(D127=1,SUMIFS(Benefits!$S$4:$S$703,Benefits!$B$4:$B$703,A127,Benefits!$F$4:$F$703,B127,Benefits!$R$4:$R$703,"avoided_cost_realised"),0)</f>
        <v>112800</v>
      </c>
      <c r="I127" s="11" t="n">
        <f aca="false">IF(D127=1,SUMIFS(Benefits!$S$4:$S$703,Benefits!$B$4:$B$703,A127,Benefits!$F$4:$F$703,B127,Benefits!$R$4:$R$703,"capacity_converted"),0)</f>
        <v>75608.9376</v>
      </c>
      <c r="J127" s="11" t="n">
        <f aca="false">SUM(F127:I127)</f>
        <v>280708.9376</v>
      </c>
      <c r="K127" s="11" t="n">
        <f aca="false">J127-E127</f>
        <v>258258.9376</v>
      </c>
      <c r="L127" s="11" t="n">
        <f aca="false">IF(D127=1,L126+K127,0)</f>
        <v>490923.458605959</v>
      </c>
      <c r="M127" s="11" t="n">
        <f aca="false">IF(D127=1,1/(1+Controls!$B$11)^B127,0)</f>
        <v>0.908281566980182</v>
      </c>
      <c r="N127" s="11" t="n">
        <f aca="false">K127*M127</f>
        <v>234571.832529965</v>
      </c>
      <c r="O127" s="11" t="n">
        <f aca="false">IF(D127=1,O126+N127,0)</f>
        <v>392029.01611718</v>
      </c>
      <c r="P127" s="11" t="n">
        <f aca="false">IF(AND(D127=1,L127&lt;0),1,0)</f>
        <v>0</v>
      </c>
      <c r="Q127" s="11" t="n">
        <f aca="false">IF(AND(D127=1,O127&lt;0),1,0)</f>
        <v>0</v>
      </c>
    </row>
    <row r="128" customFormat="false" ht="15" hidden="false" customHeight="false" outlineLevel="0" collapsed="false">
      <c r="A128" s="4" t="s">
        <v>86</v>
      </c>
      <c r="B128" s="4" t="n">
        <v>16</v>
      </c>
      <c r="C128" s="11" t="n">
        <f aca="false">IF(COUNTIF('Scenario inputs'!$A$4:$A$213,Controls!$B$3&amp;"|"&amp;A128)&gt;0,1,0)</f>
        <v>1</v>
      </c>
      <c r="D128" s="11" t="n">
        <f aca="false">IF(AND(C128=1,B128&lt;Controls!$B$12),1,0)</f>
        <v>1</v>
      </c>
      <c r="E128" s="11" t="n">
        <f aca="false">IF(D128=1,SUMPRODUCT((Costs!$B$4:$B$903=A128)*(Costs!$D$4:$D$903="planned")*(Costs!$J$4:$J$903&lt;=B128)*(Costs!$K$4:$K$903&gt;B128)*Costs!$E$4:$E$903),0)</f>
        <v>22450</v>
      </c>
      <c r="F128" s="11" t="n">
        <f aca="false">IF(D128=1,SUMIFS(Benefits!$S$4:$S$703,Benefits!$B$4:$B$703,A128,Benefits!$F$4:$F$703,B128,Benefits!$R$4:$R$703,"cash"),0)</f>
        <v>92300</v>
      </c>
      <c r="G128" s="11" t="n">
        <f aca="false">IF(D128=1,SUMIFS(Benefits!$S$4:$S$703,Benefits!$B$4:$B$703,A128,Benefits!$F$4:$F$703,B128,Benefits!$R$4:$R$703,"revenue"),0)</f>
        <v>0</v>
      </c>
      <c r="H128" s="11" t="n">
        <f aca="false">IF(D128=1,SUMIFS(Benefits!$S$4:$S$703,Benefits!$B$4:$B$703,A128,Benefits!$F$4:$F$703,B128,Benefits!$R$4:$R$703,"avoided_cost_realised"),0)</f>
        <v>0</v>
      </c>
      <c r="I128" s="11" t="n">
        <f aca="false">IF(D128=1,SUMIFS(Benefits!$S$4:$S$703,Benefits!$B$4:$B$703,A128,Benefits!$F$4:$F$703,B128,Benefits!$R$4:$R$703,"capacity_converted"),0)</f>
        <v>75608.9376</v>
      </c>
      <c r="J128" s="11" t="n">
        <f aca="false">SUM(F128:I128)</f>
        <v>167908.9376</v>
      </c>
      <c r="K128" s="11" t="n">
        <f aca="false">J128-E128</f>
        <v>145458.9376</v>
      </c>
      <c r="L128" s="11" t="n">
        <f aca="false">IF(D128=1,L127+K128,0)</f>
        <v>636382.396205959</v>
      </c>
      <c r="M128" s="11" t="n">
        <f aca="false">IF(D128=1,1/(1+Controls!$B$11)^B128,0)</f>
        <v>0.902475042556374</v>
      </c>
      <c r="N128" s="11" t="n">
        <f aca="false">K128*M128</f>
        <v>131273.060900765</v>
      </c>
      <c r="O128" s="11" t="n">
        <f aca="false">IF(D128=1,O127+N128,0)</f>
        <v>523302.077017944</v>
      </c>
      <c r="P128" s="11" t="n">
        <f aca="false">IF(AND(D128=1,L128&lt;0),1,0)</f>
        <v>0</v>
      </c>
      <c r="Q128" s="11" t="n">
        <f aca="false">IF(AND(D128=1,O128&lt;0),1,0)</f>
        <v>0</v>
      </c>
    </row>
    <row r="129" customFormat="false" ht="15" hidden="false" customHeight="false" outlineLevel="0" collapsed="false">
      <c r="A129" s="4" t="s">
        <v>86</v>
      </c>
      <c r="B129" s="4" t="n">
        <v>17</v>
      </c>
      <c r="C129" s="11" t="n">
        <f aca="false">IF(COUNTIF('Scenario inputs'!$A$4:$A$213,Controls!$B$3&amp;"|"&amp;A129)&gt;0,1,0)</f>
        <v>1</v>
      </c>
      <c r="D129" s="11" t="n">
        <f aca="false">IF(AND(C129=1,B129&lt;Controls!$B$12),1,0)</f>
        <v>1</v>
      </c>
      <c r="E129" s="11" t="n">
        <f aca="false">IF(D129=1,SUMPRODUCT((Costs!$B$4:$B$903=A129)*(Costs!$D$4:$D$903="planned")*(Costs!$J$4:$J$903&lt;=B129)*(Costs!$K$4:$K$903&gt;B129)*Costs!$E$4:$E$903),0)</f>
        <v>0</v>
      </c>
      <c r="F129" s="11" t="n">
        <f aca="false">IF(D129=1,SUMIFS(Benefits!$S$4:$S$703,Benefits!$B$4:$B$703,A129,Benefits!$F$4:$F$703,B129,Benefits!$R$4:$R$703,"cash"),0)</f>
        <v>0</v>
      </c>
      <c r="G129" s="11" t="n">
        <f aca="false">IF(D129=1,SUMIFS(Benefits!$S$4:$S$703,Benefits!$B$4:$B$703,A129,Benefits!$F$4:$F$703,B129,Benefits!$R$4:$R$703,"revenue"),0)</f>
        <v>0</v>
      </c>
      <c r="H129" s="11" t="n">
        <f aca="false">IF(D129=1,SUMIFS(Benefits!$S$4:$S$703,Benefits!$B$4:$B$703,A129,Benefits!$F$4:$F$703,B129,Benefits!$R$4:$R$703,"avoided_cost_realised"),0)</f>
        <v>0</v>
      </c>
      <c r="I129" s="11" t="n">
        <f aca="false">IF(D129=1,SUMIFS(Benefits!$S$4:$S$703,Benefits!$B$4:$B$703,A129,Benefits!$F$4:$F$703,B129,Benefits!$R$4:$R$703,"capacity_converted"),0)</f>
        <v>0</v>
      </c>
      <c r="J129" s="11" t="n">
        <f aca="false">SUM(F129:I129)</f>
        <v>0</v>
      </c>
      <c r="K129" s="11" t="n">
        <f aca="false">J129-E129</f>
        <v>0</v>
      </c>
      <c r="L129" s="11" t="n">
        <f aca="false">IF(D129=1,L128+K129,0)</f>
        <v>636382.396205959</v>
      </c>
      <c r="M129" s="11" t="n">
        <f aca="false">IF(D129=1,1/(1+Controls!$B$11)^B129,0)</f>
        <v>0.896705638478404</v>
      </c>
      <c r="N129" s="11" t="n">
        <f aca="false">K129*M129</f>
        <v>0</v>
      </c>
      <c r="O129" s="11" t="n">
        <f aca="false">IF(D129=1,O128+N129,0)</f>
        <v>523302.077017944</v>
      </c>
      <c r="P129" s="11" t="n">
        <f aca="false">IF(AND(D129=1,L129&lt;0),1,0)</f>
        <v>0</v>
      </c>
      <c r="Q129" s="11" t="n">
        <f aca="false">IF(AND(D129=1,O129&lt;0),1,0)</f>
        <v>0</v>
      </c>
    </row>
    <row r="130" customFormat="false" ht="15" hidden="false" customHeight="false" outlineLevel="0" collapsed="false">
      <c r="A130" s="4" t="s">
        <v>86</v>
      </c>
      <c r="B130" s="4" t="n">
        <v>18</v>
      </c>
      <c r="C130" s="11" t="n">
        <f aca="false">IF(COUNTIF('Scenario inputs'!$A$4:$A$213,Controls!$B$3&amp;"|"&amp;A130)&gt;0,1,0)</f>
        <v>1</v>
      </c>
      <c r="D130" s="11" t="n">
        <f aca="false">IF(AND(C130=1,B130&lt;Controls!$B$12),1,0)</f>
        <v>1</v>
      </c>
      <c r="E130" s="11" t="n">
        <f aca="false">IF(D130=1,SUMPRODUCT((Costs!$B$4:$B$903=A130)*(Costs!$D$4:$D$903="planned")*(Costs!$J$4:$J$903&lt;=B130)*(Costs!$K$4:$K$903&gt;B130)*Costs!$E$4:$E$903),0)</f>
        <v>0</v>
      </c>
      <c r="F130" s="11" t="n">
        <f aca="false">IF(D130=1,SUMIFS(Benefits!$S$4:$S$703,Benefits!$B$4:$B$703,A130,Benefits!$F$4:$F$703,B130,Benefits!$R$4:$R$703,"cash"),0)</f>
        <v>0</v>
      </c>
      <c r="G130" s="11" t="n">
        <f aca="false">IF(D130=1,SUMIFS(Benefits!$S$4:$S$703,Benefits!$B$4:$B$703,A130,Benefits!$F$4:$F$703,B130,Benefits!$R$4:$R$703,"revenue"),0)</f>
        <v>0</v>
      </c>
      <c r="H130" s="11" t="n">
        <f aca="false">IF(D130=1,SUMIFS(Benefits!$S$4:$S$703,Benefits!$B$4:$B$703,A130,Benefits!$F$4:$F$703,B130,Benefits!$R$4:$R$703,"avoided_cost_realised"),0)</f>
        <v>0</v>
      </c>
      <c r="I130" s="11" t="n">
        <f aca="false">IF(D130=1,SUMIFS(Benefits!$S$4:$S$703,Benefits!$B$4:$B$703,A130,Benefits!$F$4:$F$703,B130,Benefits!$R$4:$R$703,"capacity_converted"),0)</f>
        <v>0</v>
      </c>
      <c r="J130" s="11" t="n">
        <f aca="false">SUM(F130:I130)</f>
        <v>0</v>
      </c>
      <c r="K130" s="11" t="n">
        <f aca="false">J130-E130</f>
        <v>0</v>
      </c>
      <c r="L130" s="11" t="n">
        <f aca="false">IF(D130=1,L129+K130,0)</f>
        <v>636382.396205959</v>
      </c>
      <c r="M130" s="11" t="n">
        <f aca="false">IF(D130=1,1/(1+Controls!$B$11)^B130,0)</f>
        <v>0.89097311744079</v>
      </c>
      <c r="N130" s="11" t="n">
        <f aca="false">K130*M130</f>
        <v>0</v>
      </c>
      <c r="O130" s="11" t="n">
        <f aca="false">IF(D130=1,O129+N130,0)</f>
        <v>523302.077017944</v>
      </c>
      <c r="P130" s="11" t="n">
        <f aca="false">IF(AND(D130=1,L130&lt;0),1,0)</f>
        <v>0</v>
      </c>
      <c r="Q130" s="11" t="n">
        <f aca="false">IF(AND(D130=1,O130&lt;0),1,0)</f>
        <v>0</v>
      </c>
    </row>
    <row r="131" customFormat="false" ht="15" hidden="false" customHeight="false" outlineLevel="0" collapsed="false">
      <c r="A131" s="4" t="s">
        <v>86</v>
      </c>
      <c r="B131" s="4" t="n">
        <v>19</v>
      </c>
      <c r="C131" s="11" t="n">
        <f aca="false">IF(COUNTIF('Scenario inputs'!$A$4:$A$213,Controls!$B$3&amp;"|"&amp;A131)&gt;0,1,0)</f>
        <v>1</v>
      </c>
      <c r="D131" s="11" t="n">
        <f aca="false">IF(AND(C131=1,B131&lt;Controls!$B$12),1,0)</f>
        <v>1</v>
      </c>
      <c r="E131" s="11" t="n">
        <f aca="false">IF(D131=1,SUMPRODUCT((Costs!$B$4:$B$903=A131)*(Costs!$D$4:$D$903="planned")*(Costs!$J$4:$J$903&lt;=B131)*(Costs!$K$4:$K$903&gt;B131)*Costs!$E$4:$E$903),0)</f>
        <v>0</v>
      </c>
      <c r="F131" s="11" t="n">
        <f aca="false">IF(D131=1,SUMIFS(Benefits!$S$4:$S$703,Benefits!$B$4:$B$703,A131,Benefits!$F$4:$F$703,B131,Benefits!$R$4:$R$703,"cash"),0)</f>
        <v>0</v>
      </c>
      <c r="G131" s="11" t="n">
        <f aca="false">IF(D131=1,SUMIFS(Benefits!$S$4:$S$703,Benefits!$B$4:$B$703,A131,Benefits!$F$4:$F$703,B131,Benefits!$R$4:$R$703,"revenue"),0)</f>
        <v>0</v>
      </c>
      <c r="H131" s="11" t="n">
        <f aca="false">IF(D131=1,SUMIFS(Benefits!$S$4:$S$703,Benefits!$B$4:$B$703,A131,Benefits!$F$4:$F$703,B131,Benefits!$R$4:$R$703,"avoided_cost_realised"),0)</f>
        <v>0</v>
      </c>
      <c r="I131" s="11" t="n">
        <f aca="false">IF(D131=1,SUMIFS(Benefits!$S$4:$S$703,Benefits!$B$4:$B$703,A131,Benefits!$F$4:$F$703,B131,Benefits!$R$4:$R$703,"capacity_converted"),0)</f>
        <v>0</v>
      </c>
      <c r="J131" s="11" t="n">
        <f aca="false">SUM(F131:I131)</f>
        <v>0</v>
      </c>
      <c r="K131" s="11" t="n">
        <f aca="false">J131-E131</f>
        <v>0</v>
      </c>
      <c r="L131" s="11" t="n">
        <f aca="false">IF(D131=1,L130+K131,0)</f>
        <v>636382.396205959</v>
      </c>
      <c r="M131" s="11" t="n">
        <f aca="false">IF(D131=1,1/(1+Controls!$B$11)^B131,0)</f>
        <v>0.885277243655113</v>
      </c>
      <c r="N131" s="11" t="n">
        <f aca="false">K131*M131</f>
        <v>0</v>
      </c>
      <c r="O131" s="11" t="n">
        <f aca="false">IF(D131=1,O130+N131,0)</f>
        <v>523302.077017944</v>
      </c>
      <c r="P131" s="11" t="n">
        <f aca="false">IF(AND(D131=1,L131&lt;0),1,0)</f>
        <v>0</v>
      </c>
      <c r="Q131" s="11" t="n">
        <f aca="false">IF(AND(D131=1,O131&lt;0),1,0)</f>
        <v>0</v>
      </c>
    </row>
    <row r="132" customFormat="false" ht="15" hidden="false" customHeight="false" outlineLevel="0" collapsed="false">
      <c r="A132" s="4" t="s">
        <v>86</v>
      </c>
      <c r="B132" s="4" t="n">
        <v>20</v>
      </c>
      <c r="C132" s="11" t="n">
        <f aca="false">IF(COUNTIF('Scenario inputs'!$A$4:$A$213,Controls!$B$3&amp;"|"&amp;A132)&gt;0,1,0)</f>
        <v>1</v>
      </c>
      <c r="D132" s="11" t="n">
        <f aca="false">IF(AND(C132=1,B132&lt;Controls!$B$12),1,0)</f>
        <v>1</v>
      </c>
      <c r="E132" s="11" t="n">
        <f aca="false">IF(D132=1,SUMPRODUCT((Costs!$B$4:$B$903=A132)*(Costs!$D$4:$D$903="planned")*(Costs!$J$4:$J$903&lt;=B132)*(Costs!$K$4:$K$903&gt;B132)*Costs!$E$4:$E$903),0)</f>
        <v>0</v>
      </c>
      <c r="F132" s="11" t="n">
        <f aca="false">IF(D132=1,SUMIFS(Benefits!$S$4:$S$703,Benefits!$B$4:$B$703,A132,Benefits!$F$4:$F$703,B132,Benefits!$R$4:$R$703,"cash"),0)</f>
        <v>0</v>
      </c>
      <c r="G132" s="11" t="n">
        <f aca="false">IF(D132=1,SUMIFS(Benefits!$S$4:$S$703,Benefits!$B$4:$B$703,A132,Benefits!$F$4:$F$703,B132,Benefits!$R$4:$R$703,"revenue"),0)</f>
        <v>0</v>
      </c>
      <c r="H132" s="11" t="n">
        <f aca="false">IF(D132=1,SUMIFS(Benefits!$S$4:$S$703,Benefits!$B$4:$B$703,A132,Benefits!$F$4:$F$703,B132,Benefits!$R$4:$R$703,"avoided_cost_realised"),0)</f>
        <v>0</v>
      </c>
      <c r="I132" s="11" t="n">
        <f aca="false">IF(D132=1,SUMIFS(Benefits!$S$4:$S$703,Benefits!$B$4:$B$703,A132,Benefits!$F$4:$F$703,B132,Benefits!$R$4:$R$703,"capacity_converted"),0)</f>
        <v>0</v>
      </c>
      <c r="J132" s="11" t="n">
        <f aca="false">SUM(F132:I132)</f>
        <v>0</v>
      </c>
      <c r="K132" s="11" t="n">
        <f aca="false">J132-E132</f>
        <v>0</v>
      </c>
      <c r="L132" s="11" t="n">
        <f aca="false">IF(D132=1,L131+K132,0)</f>
        <v>636382.396205959</v>
      </c>
      <c r="M132" s="11" t="n">
        <f aca="false">IF(D132=1,1/(1+Controls!$B$11)^B132,0)</f>
        <v>0.879617782840318</v>
      </c>
      <c r="N132" s="11" t="n">
        <f aca="false">K132*M132</f>
        <v>0</v>
      </c>
      <c r="O132" s="11" t="n">
        <f aca="false">IF(D132=1,O131+N132,0)</f>
        <v>523302.077017944</v>
      </c>
      <c r="P132" s="11" t="n">
        <f aca="false">IF(AND(D132=1,L132&lt;0),1,0)</f>
        <v>0</v>
      </c>
      <c r="Q132" s="11" t="n">
        <f aca="false">IF(AND(D132=1,O132&lt;0),1,0)</f>
        <v>0</v>
      </c>
    </row>
    <row r="133" customFormat="false" ht="15" hidden="false" customHeight="false" outlineLevel="0" collapsed="false">
      <c r="A133" s="4" t="s">
        <v>86</v>
      </c>
      <c r="B133" s="4" t="n">
        <v>21</v>
      </c>
      <c r="C133" s="11" t="n">
        <f aca="false">IF(COUNTIF('Scenario inputs'!$A$4:$A$213,Controls!$B$3&amp;"|"&amp;A133)&gt;0,1,0)</f>
        <v>1</v>
      </c>
      <c r="D133" s="11" t="n">
        <f aca="false">IF(AND(C133=1,B133&lt;Controls!$B$12),1,0)</f>
        <v>1</v>
      </c>
      <c r="E133" s="11" t="n">
        <f aca="false">IF(D133=1,SUMPRODUCT((Costs!$B$4:$B$903=A133)*(Costs!$D$4:$D$903="planned")*(Costs!$J$4:$J$903&lt;=B133)*(Costs!$K$4:$K$903&gt;B133)*Costs!$E$4:$E$903),0)</f>
        <v>0</v>
      </c>
      <c r="F133" s="11" t="n">
        <f aca="false">IF(D133=1,SUMIFS(Benefits!$S$4:$S$703,Benefits!$B$4:$B$703,A133,Benefits!$F$4:$F$703,B133,Benefits!$R$4:$R$703,"cash"),0)</f>
        <v>0</v>
      </c>
      <c r="G133" s="11" t="n">
        <f aca="false">IF(D133=1,SUMIFS(Benefits!$S$4:$S$703,Benefits!$B$4:$B$703,A133,Benefits!$F$4:$F$703,B133,Benefits!$R$4:$R$703,"revenue"),0)</f>
        <v>0</v>
      </c>
      <c r="H133" s="11" t="n">
        <f aca="false">IF(D133=1,SUMIFS(Benefits!$S$4:$S$703,Benefits!$B$4:$B$703,A133,Benefits!$F$4:$F$703,B133,Benefits!$R$4:$R$703,"avoided_cost_realised"),0)</f>
        <v>0</v>
      </c>
      <c r="I133" s="11" t="n">
        <f aca="false">IF(D133=1,SUMIFS(Benefits!$S$4:$S$703,Benefits!$B$4:$B$703,A133,Benefits!$F$4:$F$703,B133,Benefits!$R$4:$R$703,"capacity_converted"),0)</f>
        <v>0</v>
      </c>
      <c r="J133" s="11" t="n">
        <f aca="false">SUM(F133:I133)</f>
        <v>0</v>
      </c>
      <c r="K133" s="11" t="n">
        <f aca="false">J133-E133</f>
        <v>0</v>
      </c>
      <c r="L133" s="11" t="n">
        <f aca="false">IF(D133=1,L132+K133,0)</f>
        <v>636382.396205959</v>
      </c>
      <c r="M133" s="11" t="n">
        <f aca="false">IF(D133=1,1/(1+Controls!$B$11)^B133,0)</f>
        <v>0.873994502213079</v>
      </c>
      <c r="N133" s="11" t="n">
        <f aca="false">K133*M133</f>
        <v>0</v>
      </c>
      <c r="O133" s="11" t="n">
        <f aca="false">IF(D133=1,O132+N133,0)</f>
        <v>523302.077017944</v>
      </c>
      <c r="P133" s="11" t="n">
        <f aca="false">IF(AND(D133=1,L133&lt;0),1,0)</f>
        <v>0</v>
      </c>
      <c r="Q133" s="11" t="n">
        <f aca="false">IF(AND(D133=1,O133&lt;0),1,0)</f>
        <v>0</v>
      </c>
    </row>
    <row r="134" customFormat="false" ht="15" hidden="false" customHeight="false" outlineLevel="0" collapsed="false">
      <c r="A134" s="4" t="s">
        <v>86</v>
      </c>
      <c r="B134" s="4" t="n">
        <v>22</v>
      </c>
      <c r="C134" s="11" t="n">
        <f aca="false">IF(COUNTIF('Scenario inputs'!$A$4:$A$213,Controls!$B$3&amp;"|"&amp;A134)&gt;0,1,0)</f>
        <v>1</v>
      </c>
      <c r="D134" s="11" t="n">
        <f aca="false">IF(AND(C134=1,B134&lt;Controls!$B$12),1,0)</f>
        <v>1</v>
      </c>
      <c r="E134" s="11" t="n">
        <f aca="false">IF(D134=1,SUMPRODUCT((Costs!$B$4:$B$903=A134)*(Costs!$D$4:$D$903="planned")*(Costs!$J$4:$J$903&lt;=B134)*(Costs!$K$4:$K$903&gt;B134)*Costs!$E$4:$E$903),0)</f>
        <v>0</v>
      </c>
      <c r="F134" s="11" t="n">
        <f aca="false">IF(D134=1,SUMIFS(Benefits!$S$4:$S$703,Benefits!$B$4:$B$703,A134,Benefits!$F$4:$F$703,B134,Benefits!$R$4:$R$703,"cash"),0)</f>
        <v>0</v>
      </c>
      <c r="G134" s="11" t="n">
        <f aca="false">IF(D134=1,SUMIFS(Benefits!$S$4:$S$703,Benefits!$B$4:$B$703,A134,Benefits!$F$4:$F$703,B134,Benefits!$R$4:$R$703,"revenue"),0)</f>
        <v>0</v>
      </c>
      <c r="H134" s="11" t="n">
        <f aca="false">IF(D134=1,SUMIFS(Benefits!$S$4:$S$703,Benefits!$B$4:$B$703,A134,Benefits!$F$4:$F$703,B134,Benefits!$R$4:$R$703,"avoided_cost_realised"),0)</f>
        <v>0</v>
      </c>
      <c r="I134" s="11" t="n">
        <f aca="false">IF(D134=1,SUMIFS(Benefits!$S$4:$S$703,Benefits!$B$4:$B$703,A134,Benefits!$F$4:$F$703,B134,Benefits!$R$4:$R$703,"capacity_converted"),0)</f>
        <v>0</v>
      </c>
      <c r="J134" s="11" t="n">
        <f aca="false">SUM(F134:I134)</f>
        <v>0</v>
      </c>
      <c r="K134" s="11" t="n">
        <f aca="false">J134-E134</f>
        <v>0</v>
      </c>
      <c r="L134" s="11" t="n">
        <f aca="false">IF(D134=1,L133+K134,0)</f>
        <v>636382.396205959</v>
      </c>
      <c r="M134" s="11" t="n">
        <f aca="false">IF(D134=1,1/(1+Controls!$B$11)^B134,0)</f>
        <v>0.868407170478222</v>
      </c>
      <c r="N134" s="11" t="n">
        <f aca="false">K134*M134</f>
        <v>0</v>
      </c>
      <c r="O134" s="11" t="n">
        <f aca="false">IF(D134=1,O133+N134,0)</f>
        <v>523302.077017944</v>
      </c>
      <c r="P134" s="11" t="n">
        <f aca="false">IF(AND(D134=1,L134&lt;0),1,0)</f>
        <v>0</v>
      </c>
      <c r="Q134" s="11" t="n">
        <f aca="false">IF(AND(D134=1,O134&lt;0),1,0)</f>
        <v>0</v>
      </c>
    </row>
    <row r="135" customFormat="false" ht="15" hidden="false" customHeight="false" outlineLevel="0" collapsed="false">
      <c r="A135" s="4" t="s">
        <v>86</v>
      </c>
      <c r="B135" s="4" t="n">
        <v>23</v>
      </c>
      <c r="C135" s="11" t="n">
        <f aca="false">IF(COUNTIF('Scenario inputs'!$A$4:$A$213,Controls!$B$3&amp;"|"&amp;A135)&gt;0,1,0)</f>
        <v>1</v>
      </c>
      <c r="D135" s="11" t="n">
        <f aca="false">IF(AND(C135=1,B135&lt;Controls!$B$12),1,0)</f>
        <v>1</v>
      </c>
      <c r="E135" s="11" t="n">
        <f aca="false">IF(D135=1,SUMPRODUCT((Costs!$B$4:$B$903=A135)*(Costs!$D$4:$D$903="planned")*(Costs!$J$4:$J$903&lt;=B135)*(Costs!$K$4:$K$903&gt;B135)*Costs!$E$4:$E$903),0)</f>
        <v>0</v>
      </c>
      <c r="F135" s="11" t="n">
        <f aca="false">IF(D135=1,SUMIFS(Benefits!$S$4:$S$703,Benefits!$B$4:$B$703,A135,Benefits!$F$4:$F$703,B135,Benefits!$R$4:$R$703,"cash"),0)</f>
        <v>0</v>
      </c>
      <c r="G135" s="11" t="n">
        <f aca="false">IF(D135=1,SUMIFS(Benefits!$S$4:$S$703,Benefits!$B$4:$B$703,A135,Benefits!$F$4:$F$703,B135,Benefits!$R$4:$R$703,"revenue"),0)</f>
        <v>0</v>
      </c>
      <c r="H135" s="11" t="n">
        <f aca="false">IF(D135=1,SUMIFS(Benefits!$S$4:$S$703,Benefits!$B$4:$B$703,A135,Benefits!$F$4:$F$703,B135,Benefits!$R$4:$R$703,"avoided_cost_realised"),0)</f>
        <v>0</v>
      </c>
      <c r="I135" s="11" t="n">
        <f aca="false">IF(D135=1,SUMIFS(Benefits!$S$4:$S$703,Benefits!$B$4:$B$703,A135,Benefits!$F$4:$F$703,B135,Benefits!$R$4:$R$703,"capacity_converted"),0)</f>
        <v>0</v>
      </c>
      <c r="J135" s="11" t="n">
        <f aca="false">SUM(F135:I135)</f>
        <v>0</v>
      </c>
      <c r="K135" s="11" t="n">
        <f aca="false">J135-E135</f>
        <v>0</v>
      </c>
      <c r="L135" s="11" t="n">
        <f aca="false">IF(D135=1,L134+K135,0)</f>
        <v>636382.396205959</v>
      </c>
      <c r="M135" s="11" t="n">
        <f aca="false">IF(D135=1,1/(1+Controls!$B$11)^B135,0)</f>
        <v>0.862855557819213</v>
      </c>
      <c r="N135" s="11" t="n">
        <f aca="false">K135*M135</f>
        <v>0</v>
      </c>
      <c r="O135" s="11" t="n">
        <f aca="false">IF(D135=1,O134+N135,0)</f>
        <v>523302.077017944</v>
      </c>
      <c r="P135" s="11" t="n">
        <f aca="false">IF(AND(D135=1,L135&lt;0),1,0)</f>
        <v>0</v>
      </c>
      <c r="Q135" s="11" t="n">
        <f aca="false">IF(AND(D135=1,O135&lt;0),1,0)</f>
        <v>0</v>
      </c>
    </row>
    <row r="136" customFormat="false" ht="15" hidden="false" customHeight="false" outlineLevel="0" collapsed="false">
      <c r="A136" s="4" t="s">
        <v>86</v>
      </c>
      <c r="B136" s="4" t="n">
        <v>24</v>
      </c>
      <c r="C136" s="11" t="n">
        <f aca="false">IF(COUNTIF('Scenario inputs'!$A$4:$A$213,Controls!$B$3&amp;"|"&amp;A136)&gt;0,1,0)</f>
        <v>1</v>
      </c>
      <c r="D136" s="11" t="n">
        <f aca="false">IF(AND(C136=1,B136&lt;Controls!$B$12),1,0)</f>
        <v>1</v>
      </c>
      <c r="E136" s="11" t="n">
        <f aca="false">IF(D136=1,SUMPRODUCT((Costs!$B$4:$B$903=A136)*(Costs!$D$4:$D$903="planned")*(Costs!$J$4:$J$903&lt;=B136)*(Costs!$K$4:$K$903&gt;B136)*Costs!$E$4:$E$903),0)</f>
        <v>0</v>
      </c>
      <c r="F136" s="11" t="n">
        <f aca="false">IF(D136=1,SUMIFS(Benefits!$S$4:$S$703,Benefits!$B$4:$B$703,A136,Benefits!$F$4:$F$703,B136,Benefits!$R$4:$R$703,"cash"),0)</f>
        <v>0</v>
      </c>
      <c r="G136" s="11" t="n">
        <f aca="false">IF(D136=1,SUMIFS(Benefits!$S$4:$S$703,Benefits!$B$4:$B$703,A136,Benefits!$F$4:$F$703,B136,Benefits!$R$4:$R$703,"revenue"),0)</f>
        <v>0</v>
      </c>
      <c r="H136" s="11" t="n">
        <f aca="false">IF(D136=1,SUMIFS(Benefits!$S$4:$S$703,Benefits!$B$4:$B$703,A136,Benefits!$F$4:$F$703,B136,Benefits!$R$4:$R$703,"avoided_cost_realised"),0)</f>
        <v>0</v>
      </c>
      <c r="I136" s="11" t="n">
        <f aca="false">IF(D136=1,SUMIFS(Benefits!$S$4:$S$703,Benefits!$B$4:$B$703,A136,Benefits!$F$4:$F$703,B136,Benefits!$R$4:$R$703,"capacity_converted"),0)</f>
        <v>0</v>
      </c>
      <c r="J136" s="11" t="n">
        <f aca="false">SUM(F136:I136)</f>
        <v>0</v>
      </c>
      <c r="K136" s="11" t="n">
        <f aca="false">J136-E136</f>
        <v>0</v>
      </c>
      <c r="L136" s="11" t="n">
        <f aca="false">IF(D136=1,L135+K136,0)</f>
        <v>636382.396205959</v>
      </c>
      <c r="M136" s="11" t="n">
        <f aca="false">IF(D136=1,1/(1+Controls!$B$11)^B136,0)</f>
        <v>0.857339435888705</v>
      </c>
      <c r="N136" s="11" t="n">
        <f aca="false">K136*M136</f>
        <v>0</v>
      </c>
      <c r="O136" s="11" t="n">
        <f aca="false">IF(D136=1,O135+N136,0)</f>
        <v>523302.077017944</v>
      </c>
      <c r="P136" s="11" t="n">
        <f aca="false">IF(AND(D136=1,L136&lt;0),1,0)</f>
        <v>0</v>
      </c>
      <c r="Q136" s="11" t="n">
        <f aca="false">IF(AND(D136=1,O136&lt;0),1,0)</f>
        <v>0</v>
      </c>
    </row>
    <row r="137" customFormat="false" ht="15" hidden="false" customHeight="false" outlineLevel="0" collapsed="false">
      <c r="A137" s="4" t="s">
        <v>86</v>
      </c>
      <c r="B137" s="4" t="n">
        <v>25</v>
      </c>
      <c r="C137" s="11" t="n">
        <f aca="false">IF(COUNTIF('Scenario inputs'!$A$4:$A$213,Controls!$B$3&amp;"|"&amp;A137)&gt;0,1,0)</f>
        <v>1</v>
      </c>
      <c r="D137" s="11" t="n">
        <f aca="false">IF(AND(C137=1,B137&lt;Controls!$B$12),1,0)</f>
        <v>1</v>
      </c>
      <c r="E137" s="11" t="n">
        <f aca="false">IF(D137=1,SUMPRODUCT((Costs!$B$4:$B$903=A137)*(Costs!$D$4:$D$903="planned")*(Costs!$J$4:$J$903&lt;=B137)*(Costs!$K$4:$K$903&gt;B137)*Costs!$E$4:$E$903),0)</f>
        <v>0</v>
      </c>
      <c r="F137" s="11" t="n">
        <f aca="false">IF(D137=1,SUMIFS(Benefits!$S$4:$S$703,Benefits!$B$4:$B$703,A137,Benefits!$F$4:$F$703,B137,Benefits!$R$4:$R$703,"cash"),0)</f>
        <v>0</v>
      </c>
      <c r="G137" s="11" t="n">
        <f aca="false">IF(D137=1,SUMIFS(Benefits!$S$4:$S$703,Benefits!$B$4:$B$703,A137,Benefits!$F$4:$F$703,B137,Benefits!$R$4:$R$703,"revenue"),0)</f>
        <v>0</v>
      </c>
      <c r="H137" s="11" t="n">
        <f aca="false">IF(D137=1,SUMIFS(Benefits!$S$4:$S$703,Benefits!$B$4:$B$703,A137,Benefits!$F$4:$F$703,B137,Benefits!$R$4:$R$703,"avoided_cost_realised"),0)</f>
        <v>0</v>
      </c>
      <c r="I137" s="11" t="n">
        <f aca="false">IF(D137=1,SUMIFS(Benefits!$S$4:$S$703,Benefits!$B$4:$B$703,A137,Benefits!$F$4:$F$703,B137,Benefits!$R$4:$R$703,"capacity_converted"),0)</f>
        <v>0</v>
      </c>
      <c r="J137" s="11" t="n">
        <f aca="false">SUM(F137:I137)</f>
        <v>0</v>
      </c>
      <c r="K137" s="11" t="n">
        <f aca="false">J137-E137</f>
        <v>0</v>
      </c>
      <c r="L137" s="11" t="n">
        <f aca="false">IF(D137=1,L136+K137,0)</f>
        <v>636382.396205959</v>
      </c>
      <c r="M137" s="11" t="n">
        <f aca="false">IF(D137=1,1/(1+Controls!$B$11)^B137,0)</f>
        <v>0.851858577799146</v>
      </c>
      <c r="N137" s="11" t="n">
        <f aca="false">K137*M137</f>
        <v>0</v>
      </c>
      <c r="O137" s="11" t="n">
        <f aca="false">IF(D137=1,O136+N137,0)</f>
        <v>523302.077017944</v>
      </c>
      <c r="P137" s="11" t="n">
        <f aca="false">IF(AND(D137=1,L137&lt;0),1,0)</f>
        <v>0</v>
      </c>
      <c r="Q137" s="11" t="n">
        <f aca="false">IF(AND(D137=1,O137&lt;0),1,0)</f>
        <v>0</v>
      </c>
    </row>
    <row r="138" customFormat="false" ht="15" hidden="false" customHeight="false" outlineLevel="0" collapsed="false">
      <c r="A138" s="4" t="s">
        <v>86</v>
      </c>
      <c r="B138" s="4" t="n">
        <v>26</v>
      </c>
      <c r="C138" s="11" t="n">
        <f aca="false">IF(COUNTIF('Scenario inputs'!$A$4:$A$213,Controls!$B$3&amp;"|"&amp;A138)&gt;0,1,0)</f>
        <v>1</v>
      </c>
      <c r="D138" s="11" t="n">
        <f aca="false">IF(AND(C138=1,B138&lt;Controls!$B$12),1,0)</f>
        <v>1</v>
      </c>
      <c r="E138" s="11" t="n">
        <f aca="false">IF(D138=1,SUMPRODUCT((Costs!$B$4:$B$903=A138)*(Costs!$D$4:$D$903="planned")*(Costs!$J$4:$J$903&lt;=B138)*(Costs!$K$4:$K$903&gt;B138)*Costs!$E$4:$E$903),0)</f>
        <v>0</v>
      </c>
      <c r="F138" s="11" t="n">
        <f aca="false">IF(D138=1,SUMIFS(Benefits!$S$4:$S$703,Benefits!$B$4:$B$703,A138,Benefits!$F$4:$F$703,B138,Benefits!$R$4:$R$703,"cash"),0)</f>
        <v>0</v>
      </c>
      <c r="G138" s="11" t="n">
        <f aca="false">IF(D138=1,SUMIFS(Benefits!$S$4:$S$703,Benefits!$B$4:$B$703,A138,Benefits!$F$4:$F$703,B138,Benefits!$R$4:$R$703,"revenue"),0)</f>
        <v>0</v>
      </c>
      <c r="H138" s="11" t="n">
        <f aca="false">IF(D138=1,SUMIFS(Benefits!$S$4:$S$703,Benefits!$B$4:$B$703,A138,Benefits!$F$4:$F$703,B138,Benefits!$R$4:$R$703,"avoided_cost_realised"),0)</f>
        <v>0</v>
      </c>
      <c r="I138" s="11" t="n">
        <f aca="false">IF(D138=1,SUMIFS(Benefits!$S$4:$S$703,Benefits!$B$4:$B$703,A138,Benefits!$F$4:$F$703,B138,Benefits!$R$4:$R$703,"capacity_converted"),0)</f>
        <v>0</v>
      </c>
      <c r="J138" s="11" t="n">
        <f aca="false">SUM(F138:I138)</f>
        <v>0</v>
      </c>
      <c r="K138" s="11" t="n">
        <f aca="false">J138-E138</f>
        <v>0</v>
      </c>
      <c r="L138" s="11" t="n">
        <f aca="false">IF(D138=1,L137+K138,0)</f>
        <v>636382.396205959</v>
      </c>
      <c r="M138" s="11" t="n">
        <f aca="false">IF(D138=1,1/(1+Controls!$B$11)^B138,0)</f>
        <v>0.846412758113444</v>
      </c>
      <c r="N138" s="11" t="n">
        <f aca="false">K138*M138</f>
        <v>0</v>
      </c>
      <c r="O138" s="11" t="n">
        <f aca="false">IF(D138=1,O137+N138,0)</f>
        <v>523302.077017944</v>
      </c>
      <c r="P138" s="11" t="n">
        <f aca="false">IF(AND(D138=1,L138&lt;0),1,0)</f>
        <v>0</v>
      </c>
      <c r="Q138" s="11" t="n">
        <f aca="false">IF(AND(D138=1,O138&lt;0),1,0)</f>
        <v>0</v>
      </c>
    </row>
    <row r="139" customFormat="false" ht="15" hidden="false" customHeight="false" outlineLevel="0" collapsed="false">
      <c r="A139" s="4" t="s">
        <v>86</v>
      </c>
      <c r="B139" s="4" t="n">
        <v>27</v>
      </c>
      <c r="C139" s="11" t="n">
        <f aca="false">IF(COUNTIF('Scenario inputs'!$A$4:$A$213,Controls!$B$3&amp;"|"&amp;A139)&gt;0,1,0)</f>
        <v>1</v>
      </c>
      <c r="D139" s="11" t="n">
        <f aca="false">IF(AND(C139=1,B139&lt;Controls!$B$12),1,0)</f>
        <v>1</v>
      </c>
      <c r="E139" s="11" t="n">
        <f aca="false">IF(D139=1,SUMPRODUCT((Costs!$B$4:$B$903=A139)*(Costs!$D$4:$D$903="planned")*(Costs!$J$4:$J$903&lt;=B139)*(Costs!$K$4:$K$903&gt;B139)*Costs!$E$4:$E$903),0)</f>
        <v>0</v>
      </c>
      <c r="F139" s="11" t="n">
        <f aca="false">IF(D139=1,SUMIFS(Benefits!$S$4:$S$703,Benefits!$B$4:$B$703,A139,Benefits!$F$4:$F$703,B139,Benefits!$R$4:$R$703,"cash"),0)</f>
        <v>0</v>
      </c>
      <c r="G139" s="11" t="n">
        <f aca="false">IF(D139=1,SUMIFS(Benefits!$S$4:$S$703,Benefits!$B$4:$B$703,A139,Benefits!$F$4:$F$703,B139,Benefits!$R$4:$R$703,"revenue"),0)</f>
        <v>0</v>
      </c>
      <c r="H139" s="11" t="n">
        <f aca="false">IF(D139=1,SUMIFS(Benefits!$S$4:$S$703,Benefits!$B$4:$B$703,A139,Benefits!$F$4:$F$703,B139,Benefits!$R$4:$R$703,"avoided_cost_realised"),0)</f>
        <v>0</v>
      </c>
      <c r="I139" s="11" t="n">
        <f aca="false">IF(D139=1,SUMIFS(Benefits!$S$4:$S$703,Benefits!$B$4:$B$703,A139,Benefits!$F$4:$F$703,B139,Benefits!$R$4:$R$703,"capacity_converted"),0)</f>
        <v>0</v>
      </c>
      <c r="J139" s="11" t="n">
        <f aca="false">SUM(F139:I139)</f>
        <v>0</v>
      </c>
      <c r="K139" s="11" t="n">
        <f aca="false">J139-E139</f>
        <v>0</v>
      </c>
      <c r="L139" s="11" t="n">
        <f aca="false">IF(D139=1,L138+K139,0)</f>
        <v>636382.396205959</v>
      </c>
      <c r="M139" s="11" t="n">
        <f aca="false">IF(D139=1,1/(1+Controls!$B$11)^B139,0)</f>
        <v>0.841001752835699</v>
      </c>
      <c r="N139" s="11" t="n">
        <f aca="false">K139*M139</f>
        <v>0</v>
      </c>
      <c r="O139" s="11" t="n">
        <f aca="false">IF(D139=1,O138+N139,0)</f>
        <v>523302.077017944</v>
      </c>
      <c r="P139" s="11" t="n">
        <f aca="false">IF(AND(D139=1,L139&lt;0),1,0)</f>
        <v>0</v>
      </c>
      <c r="Q139" s="11" t="n">
        <f aca="false">IF(AND(D139=1,O139&lt;0),1,0)</f>
        <v>0</v>
      </c>
    </row>
    <row r="140" customFormat="false" ht="15" hidden="false" customHeight="false" outlineLevel="0" collapsed="false">
      <c r="A140" s="4" t="s">
        <v>86</v>
      </c>
      <c r="B140" s="4" t="n">
        <v>28</v>
      </c>
      <c r="C140" s="11" t="n">
        <f aca="false">IF(COUNTIF('Scenario inputs'!$A$4:$A$213,Controls!$B$3&amp;"|"&amp;A140)&gt;0,1,0)</f>
        <v>1</v>
      </c>
      <c r="D140" s="11" t="n">
        <f aca="false">IF(AND(C140=1,B140&lt;Controls!$B$12),1,0)</f>
        <v>1</v>
      </c>
      <c r="E140" s="11" t="n">
        <f aca="false">IF(D140=1,SUMPRODUCT((Costs!$B$4:$B$903=A140)*(Costs!$D$4:$D$903="planned")*(Costs!$J$4:$J$903&lt;=B140)*(Costs!$K$4:$K$903&gt;B140)*Costs!$E$4:$E$903),0)</f>
        <v>0</v>
      </c>
      <c r="F140" s="11" t="n">
        <f aca="false">IF(D140=1,SUMIFS(Benefits!$S$4:$S$703,Benefits!$B$4:$B$703,A140,Benefits!$F$4:$F$703,B140,Benefits!$R$4:$R$703,"cash"),0)</f>
        <v>0</v>
      </c>
      <c r="G140" s="11" t="n">
        <f aca="false">IF(D140=1,SUMIFS(Benefits!$S$4:$S$703,Benefits!$B$4:$B$703,A140,Benefits!$F$4:$F$703,B140,Benefits!$R$4:$R$703,"revenue"),0)</f>
        <v>0</v>
      </c>
      <c r="H140" s="11" t="n">
        <f aca="false">IF(D140=1,SUMIFS(Benefits!$S$4:$S$703,Benefits!$B$4:$B$703,A140,Benefits!$F$4:$F$703,B140,Benefits!$R$4:$R$703,"avoided_cost_realised"),0)</f>
        <v>0</v>
      </c>
      <c r="I140" s="11" t="n">
        <f aca="false">IF(D140=1,SUMIFS(Benefits!$S$4:$S$703,Benefits!$B$4:$B$703,A140,Benefits!$F$4:$F$703,B140,Benefits!$R$4:$R$703,"capacity_converted"),0)</f>
        <v>0</v>
      </c>
      <c r="J140" s="11" t="n">
        <f aca="false">SUM(F140:I140)</f>
        <v>0</v>
      </c>
      <c r="K140" s="11" t="n">
        <f aca="false">J140-E140</f>
        <v>0</v>
      </c>
      <c r="L140" s="11" t="n">
        <f aca="false">IF(D140=1,L139+K140,0)</f>
        <v>636382.396205959</v>
      </c>
      <c r="M140" s="11" t="n">
        <f aca="false">IF(D140=1,1/(1+Controls!$B$11)^B140,0)</f>
        <v>0.835625339401986</v>
      </c>
      <c r="N140" s="11" t="n">
        <f aca="false">K140*M140</f>
        <v>0</v>
      </c>
      <c r="O140" s="11" t="n">
        <f aca="false">IF(D140=1,O139+N140,0)</f>
        <v>523302.077017944</v>
      </c>
      <c r="P140" s="11" t="n">
        <f aca="false">IF(AND(D140=1,L140&lt;0),1,0)</f>
        <v>0</v>
      </c>
      <c r="Q140" s="11" t="n">
        <f aca="false">IF(AND(D140=1,O140&lt;0),1,0)</f>
        <v>0</v>
      </c>
    </row>
    <row r="141" customFormat="false" ht="15" hidden="false" customHeight="false" outlineLevel="0" collapsed="false">
      <c r="A141" s="4" t="s">
        <v>86</v>
      </c>
      <c r="B141" s="4" t="n">
        <v>29</v>
      </c>
      <c r="C141" s="11" t="n">
        <f aca="false">IF(COUNTIF('Scenario inputs'!$A$4:$A$213,Controls!$B$3&amp;"|"&amp;A141)&gt;0,1,0)</f>
        <v>1</v>
      </c>
      <c r="D141" s="11" t="n">
        <f aca="false">IF(AND(C141=1,B141&lt;Controls!$B$12),1,0)</f>
        <v>1</v>
      </c>
      <c r="E141" s="11" t="n">
        <f aca="false">IF(D141=1,SUMPRODUCT((Costs!$B$4:$B$903=A141)*(Costs!$D$4:$D$903="planned")*(Costs!$J$4:$J$903&lt;=B141)*(Costs!$K$4:$K$903&gt;B141)*Costs!$E$4:$E$903),0)</f>
        <v>0</v>
      </c>
      <c r="F141" s="11" t="n">
        <f aca="false">IF(D141=1,SUMIFS(Benefits!$S$4:$S$703,Benefits!$B$4:$B$703,A141,Benefits!$F$4:$F$703,B141,Benefits!$R$4:$R$703,"cash"),0)</f>
        <v>0</v>
      </c>
      <c r="G141" s="11" t="n">
        <f aca="false">IF(D141=1,SUMIFS(Benefits!$S$4:$S$703,Benefits!$B$4:$B$703,A141,Benefits!$F$4:$F$703,B141,Benefits!$R$4:$R$703,"revenue"),0)</f>
        <v>0</v>
      </c>
      <c r="H141" s="11" t="n">
        <f aca="false">IF(D141=1,SUMIFS(Benefits!$S$4:$S$703,Benefits!$B$4:$B$703,A141,Benefits!$F$4:$F$703,B141,Benefits!$R$4:$R$703,"avoided_cost_realised"),0)</f>
        <v>0</v>
      </c>
      <c r="I141" s="11" t="n">
        <f aca="false">IF(D141=1,SUMIFS(Benefits!$S$4:$S$703,Benefits!$B$4:$B$703,A141,Benefits!$F$4:$F$703,B141,Benefits!$R$4:$R$703,"capacity_converted"),0)</f>
        <v>0</v>
      </c>
      <c r="J141" s="11" t="n">
        <f aca="false">SUM(F141:I141)</f>
        <v>0</v>
      </c>
      <c r="K141" s="11" t="n">
        <f aca="false">J141-E141</f>
        <v>0</v>
      </c>
      <c r="L141" s="11" t="n">
        <f aca="false">IF(D141=1,L140+K141,0)</f>
        <v>636382.396205959</v>
      </c>
      <c r="M141" s="11" t="n">
        <f aca="false">IF(D141=1,1/(1+Controls!$B$11)^B141,0)</f>
        <v>0.830283296671204</v>
      </c>
      <c r="N141" s="11" t="n">
        <f aca="false">K141*M141</f>
        <v>0</v>
      </c>
      <c r="O141" s="11" t="n">
        <f aca="false">IF(D141=1,O140+N141,0)</f>
        <v>523302.077017944</v>
      </c>
      <c r="P141" s="11" t="n">
        <f aca="false">IF(AND(D141=1,L141&lt;0),1,0)</f>
        <v>0</v>
      </c>
      <c r="Q141" s="11" t="n">
        <f aca="false">IF(AND(D141=1,O141&lt;0),1,0)</f>
        <v>0</v>
      </c>
    </row>
    <row r="142" customFormat="false" ht="15" hidden="false" customHeight="false" outlineLevel="0" collapsed="false">
      <c r="A142" s="4" t="s">
        <v>86</v>
      </c>
      <c r="B142" s="4" t="n">
        <v>30</v>
      </c>
      <c r="C142" s="11" t="n">
        <f aca="false">IF(COUNTIF('Scenario inputs'!$A$4:$A$213,Controls!$B$3&amp;"|"&amp;A142)&gt;0,1,0)</f>
        <v>1</v>
      </c>
      <c r="D142" s="11" t="n">
        <f aca="false">IF(AND(C142=1,B142&lt;Controls!$B$12),1,0)</f>
        <v>1</v>
      </c>
      <c r="E142" s="11" t="n">
        <f aca="false">IF(D142=1,SUMPRODUCT((Costs!$B$4:$B$903=A142)*(Costs!$D$4:$D$903="planned")*(Costs!$J$4:$J$903&lt;=B142)*(Costs!$K$4:$K$903&gt;B142)*Costs!$E$4:$E$903),0)</f>
        <v>0</v>
      </c>
      <c r="F142" s="11" t="n">
        <f aca="false">IF(D142=1,SUMIFS(Benefits!$S$4:$S$703,Benefits!$B$4:$B$703,A142,Benefits!$F$4:$F$703,B142,Benefits!$R$4:$R$703,"cash"),0)</f>
        <v>0</v>
      </c>
      <c r="G142" s="11" t="n">
        <f aca="false">IF(D142=1,SUMIFS(Benefits!$S$4:$S$703,Benefits!$B$4:$B$703,A142,Benefits!$F$4:$F$703,B142,Benefits!$R$4:$R$703,"revenue"),0)</f>
        <v>0</v>
      </c>
      <c r="H142" s="11" t="n">
        <f aca="false">IF(D142=1,SUMIFS(Benefits!$S$4:$S$703,Benefits!$B$4:$B$703,A142,Benefits!$F$4:$F$703,B142,Benefits!$R$4:$R$703,"avoided_cost_realised"),0)</f>
        <v>0</v>
      </c>
      <c r="I142" s="11" t="n">
        <f aca="false">IF(D142=1,SUMIFS(Benefits!$S$4:$S$703,Benefits!$B$4:$B$703,A142,Benefits!$F$4:$F$703,B142,Benefits!$R$4:$R$703,"capacity_converted"),0)</f>
        <v>0</v>
      </c>
      <c r="J142" s="11" t="n">
        <f aca="false">SUM(F142:I142)</f>
        <v>0</v>
      </c>
      <c r="K142" s="11" t="n">
        <f aca="false">J142-E142</f>
        <v>0</v>
      </c>
      <c r="L142" s="11" t="n">
        <f aca="false">IF(D142=1,L141+K142,0)</f>
        <v>636382.396205959</v>
      </c>
      <c r="M142" s="11" t="n">
        <f aca="false">IF(D142=1,1/(1+Controls!$B$11)^B142,0)</f>
        <v>0.824975404915974</v>
      </c>
      <c r="N142" s="11" t="n">
        <f aca="false">K142*M142</f>
        <v>0</v>
      </c>
      <c r="O142" s="11" t="n">
        <f aca="false">IF(D142=1,O141+N142,0)</f>
        <v>523302.077017944</v>
      </c>
      <c r="P142" s="11" t="n">
        <f aca="false">IF(AND(D142=1,L142&lt;0),1,0)</f>
        <v>0</v>
      </c>
      <c r="Q142" s="11" t="n">
        <f aca="false">IF(AND(D142=1,O142&lt;0),1,0)</f>
        <v>0</v>
      </c>
    </row>
    <row r="143" customFormat="false" ht="15" hidden="false" customHeight="false" outlineLevel="0" collapsed="false">
      <c r="A143" s="4" t="s">
        <v>86</v>
      </c>
      <c r="B143" s="4" t="n">
        <v>31</v>
      </c>
      <c r="C143" s="11" t="n">
        <f aca="false">IF(COUNTIF('Scenario inputs'!$A$4:$A$213,Controls!$B$3&amp;"|"&amp;A143)&gt;0,1,0)</f>
        <v>1</v>
      </c>
      <c r="D143" s="11" t="n">
        <f aca="false">IF(AND(C143=1,B143&lt;Controls!$B$12),1,0)</f>
        <v>1</v>
      </c>
      <c r="E143" s="11" t="n">
        <f aca="false">IF(D143=1,SUMPRODUCT((Costs!$B$4:$B$903=A143)*(Costs!$D$4:$D$903="planned")*(Costs!$J$4:$J$903&lt;=B143)*(Costs!$K$4:$K$903&gt;B143)*Costs!$E$4:$E$903),0)</f>
        <v>0</v>
      </c>
      <c r="F143" s="11" t="n">
        <f aca="false">IF(D143=1,SUMIFS(Benefits!$S$4:$S$703,Benefits!$B$4:$B$703,A143,Benefits!$F$4:$F$703,B143,Benefits!$R$4:$R$703,"cash"),0)</f>
        <v>0</v>
      </c>
      <c r="G143" s="11" t="n">
        <f aca="false">IF(D143=1,SUMIFS(Benefits!$S$4:$S$703,Benefits!$B$4:$B$703,A143,Benefits!$F$4:$F$703,B143,Benefits!$R$4:$R$703,"revenue"),0)</f>
        <v>0</v>
      </c>
      <c r="H143" s="11" t="n">
        <f aca="false">IF(D143=1,SUMIFS(Benefits!$S$4:$S$703,Benefits!$B$4:$B$703,A143,Benefits!$F$4:$F$703,B143,Benefits!$R$4:$R$703,"avoided_cost_realised"),0)</f>
        <v>0</v>
      </c>
      <c r="I143" s="11" t="n">
        <f aca="false">IF(D143=1,SUMIFS(Benefits!$S$4:$S$703,Benefits!$B$4:$B$703,A143,Benefits!$F$4:$F$703,B143,Benefits!$R$4:$R$703,"capacity_converted"),0)</f>
        <v>0</v>
      </c>
      <c r="J143" s="11" t="n">
        <f aca="false">SUM(F143:I143)</f>
        <v>0</v>
      </c>
      <c r="K143" s="11" t="n">
        <f aca="false">J143-E143</f>
        <v>0</v>
      </c>
      <c r="L143" s="11" t="n">
        <f aca="false">IF(D143=1,L142+K143,0)</f>
        <v>636382.396205959</v>
      </c>
      <c r="M143" s="11" t="n">
        <f aca="false">IF(D143=1,1/(1+Controls!$B$11)^B143,0)</f>
        <v>0.81970144581361</v>
      </c>
      <c r="N143" s="11" t="n">
        <f aca="false">K143*M143</f>
        <v>0</v>
      </c>
      <c r="O143" s="11" t="n">
        <f aca="false">IF(D143=1,O142+N143,0)</f>
        <v>523302.077017944</v>
      </c>
      <c r="P143" s="11" t="n">
        <f aca="false">IF(AND(D143=1,L143&lt;0),1,0)</f>
        <v>0</v>
      </c>
      <c r="Q143" s="11" t="n">
        <f aca="false">IF(AND(D143=1,O143&lt;0),1,0)</f>
        <v>0</v>
      </c>
    </row>
    <row r="144" customFormat="false" ht="15" hidden="false" customHeight="false" outlineLevel="0" collapsed="false">
      <c r="A144" s="4" t="s">
        <v>86</v>
      </c>
      <c r="B144" s="4" t="n">
        <v>32</v>
      </c>
      <c r="C144" s="11" t="n">
        <f aca="false">IF(COUNTIF('Scenario inputs'!$A$4:$A$213,Controls!$B$3&amp;"|"&amp;A144)&gt;0,1,0)</f>
        <v>1</v>
      </c>
      <c r="D144" s="11" t="n">
        <f aca="false">IF(AND(C144=1,B144&lt;Controls!$B$12),1,0)</f>
        <v>1</v>
      </c>
      <c r="E144" s="11" t="n">
        <f aca="false">IF(D144=1,SUMPRODUCT((Costs!$B$4:$B$903=A144)*(Costs!$D$4:$D$903="planned")*(Costs!$J$4:$J$903&lt;=B144)*(Costs!$K$4:$K$903&gt;B144)*Costs!$E$4:$E$903),0)</f>
        <v>0</v>
      </c>
      <c r="F144" s="11" t="n">
        <f aca="false">IF(D144=1,SUMIFS(Benefits!$S$4:$S$703,Benefits!$B$4:$B$703,A144,Benefits!$F$4:$F$703,B144,Benefits!$R$4:$R$703,"cash"),0)</f>
        <v>0</v>
      </c>
      <c r="G144" s="11" t="n">
        <f aca="false">IF(D144=1,SUMIFS(Benefits!$S$4:$S$703,Benefits!$B$4:$B$703,A144,Benefits!$F$4:$F$703,B144,Benefits!$R$4:$R$703,"revenue"),0)</f>
        <v>0</v>
      </c>
      <c r="H144" s="11" t="n">
        <f aca="false">IF(D144=1,SUMIFS(Benefits!$S$4:$S$703,Benefits!$B$4:$B$703,A144,Benefits!$F$4:$F$703,B144,Benefits!$R$4:$R$703,"avoided_cost_realised"),0)</f>
        <v>0</v>
      </c>
      <c r="I144" s="11" t="n">
        <f aca="false">IF(D144=1,SUMIFS(Benefits!$S$4:$S$703,Benefits!$B$4:$B$703,A144,Benefits!$F$4:$F$703,B144,Benefits!$R$4:$R$703,"capacity_converted"),0)</f>
        <v>0</v>
      </c>
      <c r="J144" s="11" t="n">
        <f aca="false">SUM(F144:I144)</f>
        <v>0</v>
      </c>
      <c r="K144" s="11" t="n">
        <f aca="false">J144-E144</f>
        <v>0</v>
      </c>
      <c r="L144" s="11" t="n">
        <f aca="false">IF(D144=1,L143+K144,0)</f>
        <v>636382.396205959</v>
      </c>
      <c r="M144" s="11" t="n">
        <f aca="false">IF(D144=1,1/(1+Controls!$B$11)^B144,0)</f>
        <v>0.814461202437129</v>
      </c>
      <c r="N144" s="11" t="n">
        <f aca="false">K144*M144</f>
        <v>0</v>
      </c>
      <c r="O144" s="11" t="n">
        <f aca="false">IF(D144=1,O143+N144,0)</f>
        <v>523302.077017944</v>
      </c>
      <c r="P144" s="11" t="n">
        <f aca="false">IF(AND(D144=1,L144&lt;0),1,0)</f>
        <v>0</v>
      </c>
      <c r="Q144" s="11" t="n">
        <f aca="false">IF(AND(D144=1,O144&lt;0),1,0)</f>
        <v>0</v>
      </c>
    </row>
    <row r="145" customFormat="false" ht="15" hidden="false" customHeight="false" outlineLevel="0" collapsed="false">
      <c r="A145" s="4" t="s">
        <v>86</v>
      </c>
      <c r="B145" s="4" t="n">
        <v>33</v>
      </c>
      <c r="C145" s="11" t="n">
        <f aca="false">IF(COUNTIF('Scenario inputs'!$A$4:$A$213,Controls!$B$3&amp;"|"&amp;A145)&gt;0,1,0)</f>
        <v>1</v>
      </c>
      <c r="D145" s="11" t="n">
        <f aca="false">IF(AND(C145=1,B145&lt;Controls!$B$12),1,0)</f>
        <v>1</v>
      </c>
      <c r="E145" s="11" t="n">
        <f aca="false">IF(D145=1,SUMPRODUCT((Costs!$B$4:$B$903=A145)*(Costs!$D$4:$D$903="planned")*(Costs!$J$4:$J$903&lt;=B145)*(Costs!$K$4:$K$903&gt;B145)*Costs!$E$4:$E$903),0)</f>
        <v>0</v>
      </c>
      <c r="F145" s="11" t="n">
        <f aca="false">IF(D145=1,SUMIFS(Benefits!$S$4:$S$703,Benefits!$B$4:$B$703,A145,Benefits!$F$4:$F$703,B145,Benefits!$R$4:$R$703,"cash"),0)</f>
        <v>0</v>
      </c>
      <c r="G145" s="11" t="n">
        <f aca="false">IF(D145=1,SUMIFS(Benefits!$S$4:$S$703,Benefits!$B$4:$B$703,A145,Benefits!$F$4:$F$703,B145,Benefits!$R$4:$R$703,"revenue"),0)</f>
        <v>0</v>
      </c>
      <c r="H145" s="11" t="n">
        <f aca="false">IF(D145=1,SUMIFS(Benefits!$S$4:$S$703,Benefits!$B$4:$B$703,A145,Benefits!$F$4:$F$703,B145,Benefits!$R$4:$R$703,"avoided_cost_realised"),0)</f>
        <v>0</v>
      </c>
      <c r="I145" s="11" t="n">
        <f aca="false">IF(D145=1,SUMIFS(Benefits!$S$4:$S$703,Benefits!$B$4:$B$703,A145,Benefits!$F$4:$F$703,B145,Benefits!$R$4:$R$703,"capacity_converted"),0)</f>
        <v>0</v>
      </c>
      <c r="J145" s="11" t="n">
        <f aca="false">SUM(F145:I145)</f>
        <v>0</v>
      </c>
      <c r="K145" s="11" t="n">
        <f aca="false">J145-E145</f>
        <v>0</v>
      </c>
      <c r="L145" s="11" t="n">
        <f aca="false">IF(D145=1,L144+K145,0)</f>
        <v>636382.396205959</v>
      </c>
      <c r="M145" s="11" t="n">
        <f aca="false">IF(D145=1,1/(1+Controls!$B$11)^B145,0)</f>
        <v>0.809254459246338</v>
      </c>
      <c r="N145" s="11" t="n">
        <f aca="false">K145*M145</f>
        <v>0</v>
      </c>
      <c r="O145" s="11" t="n">
        <f aca="false">IF(D145=1,O144+N145,0)</f>
        <v>523302.077017944</v>
      </c>
      <c r="P145" s="11" t="n">
        <f aca="false">IF(AND(D145=1,L145&lt;0),1,0)</f>
        <v>0</v>
      </c>
      <c r="Q145" s="11" t="n">
        <f aca="false">IF(AND(D145=1,O145&lt;0),1,0)</f>
        <v>0</v>
      </c>
    </row>
    <row r="146" customFormat="false" ht="15" hidden="false" customHeight="false" outlineLevel="0" collapsed="false">
      <c r="A146" s="4" t="s">
        <v>86</v>
      </c>
      <c r="B146" s="4" t="n">
        <v>34</v>
      </c>
      <c r="C146" s="11" t="n">
        <f aca="false">IF(COUNTIF('Scenario inputs'!$A$4:$A$213,Controls!$B$3&amp;"|"&amp;A146)&gt;0,1,0)</f>
        <v>1</v>
      </c>
      <c r="D146" s="11" t="n">
        <f aca="false">IF(AND(C146=1,B146&lt;Controls!$B$12),1,0)</f>
        <v>1</v>
      </c>
      <c r="E146" s="11" t="n">
        <f aca="false">IF(D146=1,SUMPRODUCT((Costs!$B$4:$B$903=A146)*(Costs!$D$4:$D$903="planned")*(Costs!$J$4:$J$903&lt;=B146)*(Costs!$K$4:$K$903&gt;B146)*Costs!$E$4:$E$903),0)</f>
        <v>0</v>
      </c>
      <c r="F146" s="11" t="n">
        <f aca="false">IF(D146=1,SUMIFS(Benefits!$S$4:$S$703,Benefits!$B$4:$B$703,A146,Benefits!$F$4:$F$703,B146,Benefits!$R$4:$R$703,"cash"),0)</f>
        <v>0</v>
      </c>
      <c r="G146" s="11" t="n">
        <f aca="false">IF(D146=1,SUMIFS(Benefits!$S$4:$S$703,Benefits!$B$4:$B$703,A146,Benefits!$F$4:$F$703,B146,Benefits!$R$4:$R$703,"revenue"),0)</f>
        <v>0</v>
      </c>
      <c r="H146" s="11" t="n">
        <f aca="false">IF(D146=1,SUMIFS(Benefits!$S$4:$S$703,Benefits!$B$4:$B$703,A146,Benefits!$F$4:$F$703,B146,Benefits!$R$4:$R$703,"avoided_cost_realised"),0)</f>
        <v>0</v>
      </c>
      <c r="I146" s="11" t="n">
        <f aca="false">IF(D146=1,SUMIFS(Benefits!$S$4:$S$703,Benefits!$B$4:$B$703,A146,Benefits!$F$4:$F$703,B146,Benefits!$R$4:$R$703,"capacity_converted"),0)</f>
        <v>0</v>
      </c>
      <c r="J146" s="11" t="n">
        <f aca="false">SUM(F146:I146)</f>
        <v>0</v>
      </c>
      <c r="K146" s="11" t="n">
        <f aca="false">J146-E146</f>
        <v>0</v>
      </c>
      <c r="L146" s="11" t="n">
        <f aca="false">IF(D146=1,L145+K146,0)</f>
        <v>636382.396205959</v>
      </c>
      <c r="M146" s="11" t="n">
        <f aca="false">IF(D146=1,1/(1+Controls!$B$11)^B146,0)</f>
        <v>0.804081002078962</v>
      </c>
      <c r="N146" s="11" t="n">
        <f aca="false">K146*M146</f>
        <v>0</v>
      </c>
      <c r="O146" s="11" t="n">
        <f aca="false">IF(D146=1,O145+N146,0)</f>
        <v>523302.077017944</v>
      </c>
      <c r="P146" s="11" t="n">
        <f aca="false">IF(AND(D146=1,L146&lt;0),1,0)</f>
        <v>0</v>
      </c>
      <c r="Q146" s="11" t="n">
        <f aca="false">IF(AND(D146=1,O146&lt;0),1,0)</f>
        <v>0</v>
      </c>
    </row>
    <row r="147" customFormat="false" ht="15" hidden="false" customHeight="false" outlineLevel="0" collapsed="false">
      <c r="A147" s="4" t="s">
        <v>86</v>
      </c>
      <c r="B147" s="4" t="n">
        <v>35</v>
      </c>
      <c r="C147" s="11" t="n">
        <f aca="false">IF(COUNTIF('Scenario inputs'!$A$4:$A$213,Controls!$B$3&amp;"|"&amp;A147)&gt;0,1,0)</f>
        <v>1</v>
      </c>
      <c r="D147" s="11" t="n">
        <f aca="false">IF(AND(C147=1,B147&lt;Controls!$B$12),1,0)</f>
        <v>1</v>
      </c>
      <c r="E147" s="11" t="n">
        <f aca="false">IF(D147=1,SUMPRODUCT((Costs!$B$4:$B$903=A147)*(Costs!$D$4:$D$903="planned")*(Costs!$J$4:$J$903&lt;=B147)*(Costs!$K$4:$K$903&gt;B147)*Costs!$E$4:$E$903),0)</f>
        <v>0</v>
      </c>
      <c r="F147" s="11" t="n">
        <f aca="false">IF(D147=1,SUMIFS(Benefits!$S$4:$S$703,Benefits!$B$4:$B$703,A147,Benefits!$F$4:$F$703,B147,Benefits!$R$4:$R$703,"cash"),0)</f>
        <v>0</v>
      </c>
      <c r="G147" s="11" t="n">
        <f aca="false">IF(D147=1,SUMIFS(Benefits!$S$4:$S$703,Benefits!$B$4:$B$703,A147,Benefits!$F$4:$F$703,B147,Benefits!$R$4:$R$703,"revenue"),0)</f>
        <v>0</v>
      </c>
      <c r="H147" s="11" t="n">
        <f aca="false">IF(D147=1,SUMIFS(Benefits!$S$4:$S$703,Benefits!$B$4:$B$703,A147,Benefits!$F$4:$F$703,B147,Benefits!$R$4:$R$703,"avoided_cost_realised"),0)</f>
        <v>0</v>
      </c>
      <c r="I147" s="11" t="n">
        <f aca="false">IF(D147=1,SUMIFS(Benefits!$S$4:$S$703,Benefits!$B$4:$B$703,A147,Benefits!$F$4:$F$703,B147,Benefits!$R$4:$R$703,"capacity_converted"),0)</f>
        <v>0</v>
      </c>
      <c r="J147" s="11" t="n">
        <f aca="false">SUM(F147:I147)</f>
        <v>0</v>
      </c>
      <c r="K147" s="11" t="n">
        <f aca="false">J147-E147</f>
        <v>0</v>
      </c>
      <c r="L147" s="11" t="n">
        <f aca="false">IF(D147=1,L146+K147,0)</f>
        <v>636382.396205959</v>
      </c>
      <c r="M147" s="11" t="n">
        <f aca="false">IF(D147=1,1/(1+Controls!$B$11)^B147,0)</f>
        <v>0.798940618141837</v>
      </c>
      <c r="N147" s="11" t="n">
        <f aca="false">K147*M147</f>
        <v>0</v>
      </c>
      <c r="O147" s="11" t="n">
        <f aca="false">IF(D147=1,O146+N147,0)</f>
        <v>523302.077017944</v>
      </c>
      <c r="P147" s="11" t="n">
        <f aca="false">IF(AND(D147=1,L147&lt;0),1,0)</f>
        <v>0</v>
      </c>
      <c r="Q147" s="11" t="n">
        <f aca="false">IF(AND(D147=1,O147&lt;0),1,0)</f>
        <v>0</v>
      </c>
    </row>
    <row r="148" customFormat="false" ht="15" hidden="false" customHeight="false" outlineLevel="0" collapsed="false">
      <c r="A148" s="4" t="s">
        <v>87</v>
      </c>
      <c r="B148" s="4" t="n">
        <v>0</v>
      </c>
      <c r="C148" s="11" t="n">
        <f aca="false">IF(COUNTIF('Scenario inputs'!$A$4:$A$213,Controls!$B$3&amp;"|"&amp;A148)&gt;0,1,0)</f>
        <v>1</v>
      </c>
      <c r="D148" s="11" t="n">
        <f aca="false">IF(AND(C148=1,B148&lt;Controls!$B$12),1,0)</f>
        <v>1</v>
      </c>
      <c r="E148" s="11" t="n">
        <f aca="false">IF(D148=1,SUMPRODUCT((Costs!$B$4:$B$903=A148)*(Costs!$D$4:$D$903="planned")*(Costs!$J$4:$J$903&lt;=B148)*(Costs!$K$4:$K$903&gt;B148)*Costs!$E$4:$E$903),0)</f>
        <v>14000</v>
      </c>
      <c r="F148" s="11" t="n">
        <f aca="false">IF(D148=1,SUMIFS(Benefits!$S$4:$S$703,Benefits!$B$4:$B$703,A148,Benefits!$F$4:$F$703,B148,Benefits!$R$4:$R$703,"cash"),0)</f>
        <v>0</v>
      </c>
      <c r="G148" s="11" t="n">
        <f aca="false">IF(D148=1,SUMIFS(Benefits!$S$4:$S$703,Benefits!$B$4:$B$703,A148,Benefits!$F$4:$F$703,B148,Benefits!$R$4:$R$703,"revenue"),0)</f>
        <v>0</v>
      </c>
      <c r="H148" s="11" t="n">
        <f aca="false">IF(D148=1,SUMIFS(Benefits!$S$4:$S$703,Benefits!$B$4:$B$703,A148,Benefits!$F$4:$F$703,B148,Benefits!$R$4:$R$703,"avoided_cost_realised"),0)</f>
        <v>0</v>
      </c>
      <c r="I148" s="11" t="n">
        <f aca="false">IF(D148=1,SUMIFS(Benefits!$S$4:$S$703,Benefits!$B$4:$B$703,A148,Benefits!$F$4:$F$703,B148,Benefits!$R$4:$R$703,"capacity_converted"),0)</f>
        <v>0</v>
      </c>
      <c r="J148" s="11" t="n">
        <f aca="false">SUM(F148:I148)</f>
        <v>0</v>
      </c>
      <c r="K148" s="11" t="n">
        <f aca="false">J148-E148</f>
        <v>-14000</v>
      </c>
      <c r="L148" s="11" t="n">
        <f aca="false">IF(D148=1,K148,0)</f>
        <v>-14000</v>
      </c>
      <c r="M148" s="11" t="n">
        <f aca="false">IF(D148=1,1/(1+Controls!$B$11)^B148,0)</f>
        <v>1</v>
      </c>
      <c r="N148" s="11" t="n">
        <f aca="false">K148*M148</f>
        <v>-14000</v>
      </c>
      <c r="O148" s="11" t="n">
        <f aca="false">IF(D148=1,N148,0)</f>
        <v>-14000</v>
      </c>
      <c r="P148" s="11" t="n">
        <f aca="false">IF(AND(D148=1,L148&lt;0),1,0)</f>
        <v>1</v>
      </c>
      <c r="Q148" s="11" t="n">
        <f aca="false">IF(AND(D148=1,O148&lt;0),1,0)</f>
        <v>1</v>
      </c>
    </row>
    <row r="149" customFormat="false" ht="15" hidden="false" customHeight="false" outlineLevel="0" collapsed="false">
      <c r="A149" s="4" t="s">
        <v>87</v>
      </c>
      <c r="B149" s="4" t="n">
        <v>1</v>
      </c>
      <c r="C149" s="11" t="n">
        <f aca="false">IF(COUNTIF('Scenario inputs'!$A$4:$A$213,Controls!$B$3&amp;"|"&amp;A149)&gt;0,1,0)</f>
        <v>1</v>
      </c>
      <c r="D149" s="11" t="n">
        <f aca="false">IF(AND(C149=1,B149&lt;Controls!$B$12),1,0)</f>
        <v>1</v>
      </c>
      <c r="E149" s="11" t="n">
        <f aca="false">IF(D149=1,SUMPRODUCT((Costs!$B$4:$B$903=A149)*(Costs!$D$4:$D$903="planned")*(Costs!$J$4:$J$903&lt;=B149)*(Costs!$K$4:$K$903&gt;B149)*Costs!$E$4:$E$903),0)</f>
        <v>0</v>
      </c>
      <c r="F149" s="11" t="n">
        <f aca="false">IF(D149=1,SUMIFS(Benefits!$S$4:$S$703,Benefits!$B$4:$B$703,A149,Benefits!$F$4:$F$703,B149,Benefits!$R$4:$R$703,"cash"),0)</f>
        <v>0</v>
      </c>
      <c r="G149" s="11" t="n">
        <f aca="false">IF(D149=1,SUMIFS(Benefits!$S$4:$S$703,Benefits!$B$4:$B$703,A149,Benefits!$F$4:$F$703,B149,Benefits!$R$4:$R$703,"revenue"),0)</f>
        <v>0</v>
      </c>
      <c r="H149" s="11" t="n">
        <f aca="false">IF(D149=1,SUMIFS(Benefits!$S$4:$S$703,Benefits!$B$4:$B$703,A149,Benefits!$F$4:$F$703,B149,Benefits!$R$4:$R$703,"avoided_cost_realised"),0)</f>
        <v>0</v>
      </c>
      <c r="I149" s="11" t="n">
        <f aca="false">IF(D149=1,SUMIFS(Benefits!$S$4:$S$703,Benefits!$B$4:$B$703,A149,Benefits!$F$4:$F$703,B149,Benefits!$R$4:$R$703,"capacity_converted"),0)</f>
        <v>0</v>
      </c>
      <c r="J149" s="11" t="n">
        <f aca="false">SUM(F149:I149)</f>
        <v>0</v>
      </c>
      <c r="K149" s="11" t="n">
        <f aca="false">J149-E149</f>
        <v>0</v>
      </c>
      <c r="L149" s="11" t="n">
        <f aca="false">IF(D149=1,L148+K149,0)</f>
        <v>-14000</v>
      </c>
      <c r="M149" s="11" t="n">
        <f aca="false">IF(D149=1,1/(1+Controls!$B$11)^B149,0)</f>
        <v>0.993607131714549</v>
      </c>
      <c r="N149" s="11" t="n">
        <f aca="false">K149*M149</f>
        <v>0</v>
      </c>
      <c r="O149" s="11" t="n">
        <f aca="false">IF(D149=1,O148+N149,0)</f>
        <v>-14000</v>
      </c>
      <c r="P149" s="11" t="n">
        <f aca="false">IF(AND(D149=1,L149&lt;0),1,0)</f>
        <v>1</v>
      </c>
      <c r="Q149" s="11" t="n">
        <f aca="false">IF(AND(D149=1,O149&lt;0),1,0)</f>
        <v>1</v>
      </c>
    </row>
    <row r="150" customFormat="false" ht="15" hidden="false" customHeight="false" outlineLevel="0" collapsed="false">
      <c r="A150" s="4" t="s">
        <v>87</v>
      </c>
      <c r="B150" s="4" t="n">
        <v>2</v>
      </c>
      <c r="C150" s="11" t="n">
        <f aca="false">IF(COUNTIF('Scenario inputs'!$A$4:$A$213,Controls!$B$3&amp;"|"&amp;A150)&gt;0,1,0)</f>
        <v>1</v>
      </c>
      <c r="D150" s="11" t="n">
        <f aca="false">IF(AND(C150=1,B150&lt;Controls!$B$12),1,0)</f>
        <v>1</v>
      </c>
      <c r="E150" s="11" t="n">
        <f aca="false">IF(D150=1,SUMPRODUCT((Costs!$B$4:$B$903=A150)*(Costs!$D$4:$D$903="planned")*(Costs!$J$4:$J$903&lt;=B150)*(Costs!$K$4:$K$903&gt;B150)*Costs!$E$4:$E$903),0)</f>
        <v>0</v>
      </c>
      <c r="F150" s="11" t="n">
        <f aca="false">IF(D150=1,SUMIFS(Benefits!$S$4:$S$703,Benefits!$B$4:$B$703,A150,Benefits!$F$4:$F$703,B150,Benefits!$R$4:$R$703,"cash"),0)</f>
        <v>0</v>
      </c>
      <c r="G150" s="11" t="n">
        <f aca="false">IF(D150=1,SUMIFS(Benefits!$S$4:$S$703,Benefits!$B$4:$B$703,A150,Benefits!$F$4:$F$703,B150,Benefits!$R$4:$R$703,"revenue"),0)</f>
        <v>0</v>
      </c>
      <c r="H150" s="11" t="n">
        <f aca="false">IF(D150=1,SUMIFS(Benefits!$S$4:$S$703,Benefits!$B$4:$B$703,A150,Benefits!$F$4:$F$703,B150,Benefits!$R$4:$R$703,"avoided_cost_realised"),0)</f>
        <v>0</v>
      </c>
      <c r="I150" s="11" t="n">
        <f aca="false">IF(D150=1,SUMIFS(Benefits!$S$4:$S$703,Benefits!$B$4:$B$703,A150,Benefits!$F$4:$F$703,B150,Benefits!$R$4:$R$703,"capacity_converted"),0)</f>
        <v>0</v>
      </c>
      <c r="J150" s="11" t="n">
        <f aca="false">SUM(F150:I150)</f>
        <v>0</v>
      </c>
      <c r="K150" s="11" t="n">
        <f aca="false">J150-E150</f>
        <v>0</v>
      </c>
      <c r="L150" s="11" t="n">
        <f aca="false">IF(D150=1,L149+K150,0)</f>
        <v>-14000</v>
      </c>
      <c r="M150" s="11" t="n">
        <f aca="false">IF(D150=1,1/(1+Controls!$B$11)^B150,0)</f>
        <v>0.987255132194012</v>
      </c>
      <c r="N150" s="11" t="n">
        <f aca="false">K150*M150</f>
        <v>0</v>
      </c>
      <c r="O150" s="11" t="n">
        <f aca="false">IF(D150=1,O149+N150,0)</f>
        <v>-14000</v>
      </c>
      <c r="P150" s="11" t="n">
        <f aca="false">IF(AND(D150=1,L150&lt;0),1,0)</f>
        <v>1</v>
      </c>
      <c r="Q150" s="11" t="n">
        <f aca="false">IF(AND(D150=1,O150&lt;0),1,0)</f>
        <v>1</v>
      </c>
    </row>
    <row r="151" customFormat="false" ht="15" hidden="false" customHeight="false" outlineLevel="0" collapsed="false">
      <c r="A151" s="4" t="s">
        <v>87</v>
      </c>
      <c r="B151" s="4" t="n">
        <v>3</v>
      </c>
      <c r="C151" s="11" t="n">
        <f aca="false">IF(COUNTIF('Scenario inputs'!$A$4:$A$213,Controls!$B$3&amp;"|"&amp;A151)&gt;0,1,0)</f>
        <v>1</v>
      </c>
      <c r="D151" s="11" t="n">
        <f aca="false">IF(AND(C151=1,B151&lt;Controls!$B$12),1,0)</f>
        <v>1</v>
      </c>
      <c r="E151" s="11" t="n">
        <f aca="false">IF(D151=1,SUMPRODUCT((Costs!$B$4:$B$903=A151)*(Costs!$D$4:$D$903="planned")*(Costs!$J$4:$J$903&lt;=B151)*(Costs!$K$4:$K$903&gt;B151)*Costs!$E$4:$E$903),0)</f>
        <v>0</v>
      </c>
      <c r="F151" s="11" t="n">
        <f aca="false">IF(D151=1,SUMIFS(Benefits!$S$4:$S$703,Benefits!$B$4:$B$703,A151,Benefits!$F$4:$F$703,B151,Benefits!$R$4:$R$703,"cash"),0)</f>
        <v>0</v>
      </c>
      <c r="G151" s="11" t="n">
        <f aca="false">IF(D151=1,SUMIFS(Benefits!$S$4:$S$703,Benefits!$B$4:$B$703,A151,Benefits!$F$4:$F$703,B151,Benefits!$R$4:$R$703,"revenue"),0)</f>
        <v>0</v>
      </c>
      <c r="H151" s="11" t="n">
        <f aca="false">IF(D151=1,SUMIFS(Benefits!$S$4:$S$703,Benefits!$B$4:$B$703,A151,Benefits!$F$4:$F$703,B151,Benefits!$R$4:$R$703,"avoided_cost_realised"),0)</f>
        <v>0</v>
      </c>
      <c r="I151" s="11" t="n">
        <f aca="false">IF(D151=1,SUMIFS(Benefits!$S$4:$S$703,Benefits!$B$4:$B$703,A151,Benefits!$F$4:$F$703,B151,Benefits!$R$4:$R$703,"capacity_converted"),0)</f>
        <v>0</v>
      </c>
      <c r="J151" s="11" t="n">
        <f aca="false">SUM(F151:I151)</f>
        <v>0</v>
      </c>
      <c r="K151" s="11" t="n">
        <f aca="false">J151-E151</f>
        <v>0</v>
      </c>
      <c r="L151" s="11" t="n">
        <f aca="false">IF(D151=1,L150+K151,0)</f>
        <v>-14000</v>
      </c>
      <c r="M151" s="11" t="n">
        <f aca="false">IF(D151=1,1/(1+Controls!$B$11)^B151,0)</f>
        <v>0.98094374016976</v>
      </c>
      <c r="N151" s="11" t="n">
        <f aca="false">K151*M151</f>
        <v>0</v>
      </c>
      <c r="O151" s="11" t="n">
        <f aca="false">IF(D151=1,O150+N151,0)</f>
        <v>-14000</v>
      </c>
      <c r="P151" s="11" t="n">
        <f aca="false">IF(AND(D151=1,L151&lt;0),1,0)</f>
        <v>1</v>
      </c>
      <c r="Q151" s="11" t="n">
        <f aca="false">IF(AND(D151=1,O151&lt;0),1,0)</f>
        <v>1</v>
      </c>
    </row>
    <row r="152" customFormat="false" ht="15" hidden="false" customHeight="false" outlineLevel="0" collapsed="false">
      <c r="A152" s="4" t="s">
        <v>87</v>
      </c>
      <c r="B152" s="4" t="n">
        <v>4</v>
      </c>
      <c r="C152" s="11" t="n">
        <f aca="false">IF(COUNTIF('Scenario inputs'!$A$4:$A$213,Controls!$B$3&amp;"|"&amp;A152)&gt;0,1,0)</f>
        <v>1</v>
      </c>
      <c r="D152" s="11" t="n">
        <f aca="false">IF(AND(C152=1,B152&lt;Controls!$B$12),1,0)</f>
        <v>1</v>
      </c>
      <c r="E152" s="11" t="n">
        <f aca="false">IF(D152=1,SUMPRODUCT((Costs!$B$4:$B$903=A152)*(Costs!$D$4:$D$903="planned")*(Costs!$J$4:$J$903&lt;=B152)*(Costs!$K$4:$K$903&gt;B152)*Costs!$E$4:$E$903),0)</f>
        <v>0</v>
      </c>
      <c r="F152" s="11" t="n">
        <f aca="false">IF(D152=1,SUMIFS(Benefits!$S$4:$S$703,Benefits!$B$4:$B$703,A152,Benefits!$F$4:$F$703,B152,Benefits!$R$4:$R$703,"cash"),0)</f>
        <v>0</v>
      </c>
      <c r="G152" s="11" t="n">
        <f aca="false">IF(D152=1,SUMIFS(Benefits!$S$4:$S$703,Benefits!$B$4:$B$703,A152,Benefits!$F$4:$F$703,B152,Benefits!$R$4:$R$703,"revenue"),0)</f>
        <v>0</v>
      </c>
      <c r="H152" s="11" t="n">
        <f aca="false">IF(D152=1,SUMIFS(Benefits!$S$4:$S$703,Benefits!$B$4:$B$703,A152,Benefits!$F$4:$F$703,B152,Benefits!$R$4:$R$703,"avoided_cost_realised"),0)</f>
        <v>0</v>
      </c>
      <c r="I152" s="11" t="n">
        <f aca="false">IF(D152=1,SUMIFS(Benefits!$S$4:$S$703,Benefits!$B$4:$B$703,A152,Benefits!$F$4:$F$703,B152,Benefits!$R$4:$R$703,"capacity_converted"),0)</f>
        <v>0</v>
      </c>
      <c r="J152" s="11" t="n">
        <f aca="false">SUM(F152:I152)</f>
        <v>0</v>
      </c>
      <c r="K152" s="11" t="n">
        <f aca="false">J152-E152</f>
        <v>0</v>
      </c>
      <c r="L152" s="11" t="n">
        <f aca="false">IF(D152=1,L151+K152,0)</f>
        <v>-14000</v>
      </c>
      <c r="M152" s="11" t="n">
        <f aca="false">IF(D152=1,1/(1+Controls!$B$11)^B152,0)</f>
        <v>0.974672696043417</v>
      </c>
      <c r="N152" s="11" t="n">
        <f aca="false">K152*M152</f>
        <v>0</v>
      </c>
      <c r="O152" s="11" t="n">
        <f aca="false">IF(D152=1,O151+N152,0)</f>
        <v>-14000</v>
      </c>
      <c r="P152" s="11" t="n">
        <f aca="false">IF(AND(D152=1,L152&lt;0),1,0)</f>
        <v>1</v>
      </c>
      <c r="Q152" s="11" t="n">
        <f aca="false">IF(AND(D152=1,O152&lt;0),1,0)</f>
        <v>1</v>
      </c>
    </row>
    <row r="153" customFormat="false" ht="15" hidden="false" customHeight="false" outlineLevel="0" collapsed="false">
      <c r="A153" s="4" t="s">
        <v>87</v>
      </c>
      <c r="B153" s="4" t="n">
        <v>5</v>
      </c>
      <c r="C153" s="11" t="n">
        <f aca="false">IF(COUNTIF('Scenario inputs'!$A$4:$A$213,Controls!$B$3&amp;"|"&amp;A153)&gt;0,1,0)</f>
        <v>1</v>
      </c>
      <c r="D153" s="11" t="n">
        <f aca="false">IF(AND(C153=1,B153&lt;Controls!$B$12),1,0)</f>
        <v>1</v>
      </c>
      <c r="E153" s="11" t="n">
        <f aca="false">IF(D153=1,SUMPRODUCT((Costs!$B$4:$B$903=A153)*(Costs!$D$4:$D$903="planned")*(Costs!$J$4:$J$903&lt;=B153)*(Costs!$K$4:$K$903&gt;B153)*Costs!$E$4:$E$903),0)</f>
        <v>0</v>
      </c>
      <c r="F153" s="11" t="n">
        <f aca="false">IF(D153=1,SUMIFS(Benefits!$S$4:$S$703,Benefits!$B$4:$B$703,A153,Benefits!$F$4:$F$703,B153,Benefits!$R$4:$R$703,"cash"),0)</f>
        <v>0</v>
      </c>
      <c r="G153" s="11" t="n">
        <f aca="false">IF(D153=1,SUMIFS(Benefits!$S$4:$S$703,Benefits!$B$4:$B$703,A153,Benefits!$F$4:$F$703,B153,Benefits!$R$4:$R$703,"revenue"),0)</f>
        <v>0</v>
      </c>
      <c r="H153" s="11" t="n">
        <f aca="false">IF(D153=1,SUMIFS(Benefits!$S$4:$S$703,Benefits!$B$4:$B$703,A153,Benefits!$F$4:$F$703,B153,Benefits!$R$4:$R$703,"avoided_cost_realised"),0)</f>
        <v>0</v>
      </c>
      <c r="I153" s="11" t="n">
        <f aca="false">IF(D153=1,SUMIFS(Benefits!$S$4:$S$703,Benefits!$B$4:$B$703,A153,Benefits!$F$4:$F$703,B153,Benefits!$R$4:$R$703,"capacity_converted"),0)</f>
        <v>0</v>
      </c>
      <c r="J153" s="11" t="n">
        <f aca="false">SUM(F153:I153)</f>
        <v>0</v>
      </c>
      <c r="K153" s="11" t="n">
        <f aca="false">J153-E153</f>
        <v>0</v>
      </c>
      <c r="L153" s="11" t="n">
        <f aca="false">IF(D153=1,L152+K153,0)</f>
        <v>-14000</v>
      </c>
      <c r="M153" s="11" t="n">
        <f aca="false">IF(D153=1,1/(1+Controls!$B$11)^B153,0)</f>
        <v>0.968441741876185</v>
      </c>
      <c r="N153" s="11" t="n">
        <f aca="false">K153*M153</f>
        <v>0</v>
      </c>
      <c r="O153" s="11" t="n">
        <f aca="false">IF(D153=1,O152+N153,0)</f>
        <v>-14000</v>
      </c>
      <c r="P153" s="11" t="n">
        <f aca="false">IF(AND(D153=1,L153&lt;0),1,0)</f>
        <v>1</v>
      </c>
      <c r="Q153" s="11" t="n">
        <f aca="false">IF(AND(D153=1,O153&lt;0),1,0)</f>
        <v>1</v>
      </c>
    </row>
    <row r="154" customFormat="false" ht="15" hidden="false" customHeight="false" outlineLevel="0" collapsed="false">
      <c r="A154" s="4" t="s">
        <v>87</v>
      </c>
      <c r="B154" s="4" t="n">
        <v>6</v>
      </c>
      <c r="C154" s="11" t="n">
        <f aca="false">IF(COUNTIF('Scenario inputs'!$A$4:$A$213,Controls!$B$3&amp;"|"&amp;A154)&gt;0,1,0)</f>
        <v>1</v>
      </c>
      <c r="D154" s="11" t="n">
        <f aca="false">IF(AND(C154=1,B154&lt;Controls!$B$12),1,0)</f>
        <v>1</v>
      </c>
      <c r="E154" s="11" t="n">
        <f aca="false">IF(D154=1,SUMPRODUCT((Costs!$B$4:$B$903=A154)*(Costs!$D$4:$D$903="planned")*(Costs!$J$4:$J$903&lt;=B154)*(Costs!$K$4:$K$903&gt;B154)*Costs!$E$4:$E$903),0)</f>
        <v>0</v>
      </c>
      <c r="F154" s="11" t="n">
        <f aca="false">IF(D154=1,SUMIFS(Benefits!$S$4:$S$703,Benefits!$B$4:$B$703,A154,Benefits!$F$4:$F$703,B154,Benefits!$R$4:$R$703,"cash"),0)</f>
        <v>0</v>
      </c>
      <c r="G154" s="11" t="n">
        <f aca="false">IF(D154=1,SUMIFS(Benefits!$S$4:$S$703,Benefits!$B$4:$B$703,A154,Benefits!$F$4:$F$703,B154,Benefits!$R$4:$R$703,"revenue"),0)</f>
        <v>0</v>
      </c>
      <c r="H154" s="11" t="n">
        <f aca="false">IF(D154=1,SUMIFS(Benefits!$S$4:$S$703,Benefits!$B$4:$B$703,A154,Benefits!$F$4:$F$703,B154,Benefits!$R$4:$R$703,"avoided_cost_realised"),0)</f>
        <v>0</v>
      </c>
      <c r="I154" s="11" t="n">
        <f aca="false">IF(D154=1,SUMIFS(Benefits!$S$4:$S$703,Benefits!$B$4:$B$703,A154,Benefits!$F$4:$F$703,B154,Benefits!$R$4:$R$703,"capacity_converted"),0)</f>
        <v>0</v>
      </c>
      <c r="J154" s="11" t="n">
        <f aca="false">SUM(F154:I154)</f>
        <v>0</v>
      </c>
      <c r="K154" s="11" t="n">
        <f aca="false">J154-E154</f>
        <v>0</v>
      </c>
      <c r="L154" s="11" t="n">
        <f aca="false">IF(D154=1,L153+K154,0)</f>
        <v>-14000</v>
      </c>
      <c r="M154" s="11" t="n">
        <f aca="false">IF(D154=1,1/(1+Controls!$B$11)^B154,0)</f>
        <v>0.962250621378238</v>
      </c>
      <c r="N154" s="11" t="n">
        <f aca="false">K154*M154</f>
        <v>0</v>
      </c>
      <c r="O154" s="11" t="n">
        <f aca="false">IF(D154=1,O153+N154,0)</f>
        <v>-14000</v>
      </c>
      <c r="P154" s="11" t="n">
        <f aca="false">IF(AND(D154=1,L154&lt;0),1,0)</f>
        <v>1</v>
      </c>
      <c r="Q154" s="11" t="n">
        <f aca="false">IF(AND(D154=1,O154&lt;0),1,0)</f>
        <v>1</v>
      </c>
    </row>
    <row r="155" customFormat="false" ht="15" hidden="false" customHeight="false" outlineLevel="0" collapsed="false">
      <c r="A155" s="4" t="s">
        <v>87</v>
      </c>
      <c r="B155" s="4" t="n">
        <v>7</v>
      </c>
      <c r="C155" s="11" t="n">
        <f aca="false">IF(COUNTIF('Scenario inputs'!$A$4:$A$213,Controls!$B$3&amp;"|"&amp;A155)&gt;0,1,0)</f>
        <v>1</v>
      </c>
      <c r="D155" s="11" t="n">
        <f aca="false">IF(AND(C155=1,B155&lt;Controls!$B$12),1,0)</f>
        <v>1</v>
      </c>
      <c r="E155" s="11" t="n">
        <f aca="false">IF(D155=1,SUMPRODUCT((Costs!$B$4:$B$903=A155)*(Costs!$D$4:$D$903="planned")*(Costs!$J$4:$J$903&lt;=B155)*(Costs!$K$4:$K$903&gt;B155)*Costs!$E$4:$E$903),0)</f>
        <v>0</v>
      </c>
      <c r="F155" s="11" t="n">
        <f aca="false">IF(D155=1,SUMIFS(Benefits!$S$4:$S$703,Benefits!$B$4:$B$703,A155,Benefits!$F$4:$F$703,B155,Benefits!$R$4:$R$703,"cash"),0)</f>
        <v>0</v>
      </c>
      <c r="G155" s="11" t="n">
        <f aca="false">IF(D155=1,SUMIFS(Benefits!$S$4:$S$703,Benefits!$B$4:$B$703,A155,Benefits!$F$4:$F$703,B155,Benefits!$R$4:$R$703,"revenue"),0)</f>
        <v>0</v>
      </c>
      <c r="H155" s="11" t="n">
        <f aca="false">IF(D155=1,SUMIFS(Benefits!$S$4:$S$703,Benefits!$B$4:$B$703,A155,Benefits!$F$4:$F$703,B155,Benefits!$R$4:$R$703,"avoided_cost_realised"),0)</f>
        <v>0</v>
      </c>
      <c r="I155" s="11" t="n">
        <f aca="false">IF(D155=1,SUMIFS(Benefits!$S$4:$S$703,Benefits!$B$4:$B$703,A155,Benefits!$F$4:$F$703,B155,Benefits!$R$4:$R$703,"capacity_converted"),0)</f>
        <v>0</v>
      </c>
      <c r="J155" s="11" t="n">
        <f aca="false">SUM(F155:I155)</f>
        <v>0</v>
      </c>
      <c r="K155" s="11" t="n">
        <f aca="false">J155-E155</f>
        <v>0</v>
      </c>
      <c r="L155" s="11" t="n">
        <f aca="false">IF(D155=1,L154+K155,0)</f>
        <v>-14000</v>
      </c>
      <c r="M155" s="11" t="n">
        <f aca="false">IF(D155=1,1/(1+Controls!$B$11)^B155,0)</f>
        <v>0.956099079898173</v>
      </c>
      <c r="N155" s="11" t="n">
        <f aca="false">K155*M155</f>
        <v>0</v>
      </c>
      <c r="O155" s="11" t="n">
        <f aca="false">IF(D155=1,O154+N155,0)</f>
        <v>-14000</v>
      </c>
      <c r="P155" s="11" t="n">
        <f aca="false">IF(AND(D155=1,L155&lt;0),1,0)</f>
        <v>1</v>
      </c>
      <c r="Q155" s="11" t="n">
        <f aca="false">IF(AND(D155=1,O155&lt;0),1,0)</f>
        <v>1</v>
      </c>
    </row>
    <row r="156" customFormat="false" ht="15" hidden="false" customHeight="false" outlineLevel="0" collapsed="false">
      <c r="A156" s="4" t="s">
        <v>87</v>
      </c>
      <c r="B156" s="4" t="n">
        <v>8</v>
      </c>
      <c r="C156" s="11" t="n">
        <f aca="false">IF(COUNTIF('Scenario inputs'!$A$4:$A$213,Controls!$B$3&amp;"|"&amp;A156)&gt;0,1,0)</f>
        <v>1</v>
      </c>
      <c r="D156" s="11" t="n">
        <f aca="false">IF(AND(C156=1,B156&lt;Controls!$B$12),1,0)</f>
        <v>1</v>
      </c>
      <c r="E156" s="11" t="n">
        <f aca="false">IF(D156=1,SUMPRODUCT((Costs!$B$4:$B$903=A156)*(Costs!$D$4:$D$903="planned")*(Costs!$J$4:$J$903&lt;=B156)*(Costs!$K$4:$K$903&gt;B156)*Costs!$E$4:$E$903),0)</f>
        <v>343650</v>
      </c>
      <c r="F156" s="11" t="n">
        <f aca="false">IF(D156=1,SUMIFS(Benefits!$S$4:$S$703,Benefits!$B$4:$B$703,A156,Benefits!$F$4:$F$703,B156,Benefits!$R$4:$R$703,"cash"),0)</f>
        <v>0</v>
      </c>
      <c r="G156" s="11" t="n">
        <f aca="false">IF(D156=1,SUMIFS(Benefits!$S$4:$S$703,Benefits!$B$4:$B$703,A156,Benefits!$F$4:$F$703,B156,Benefits!$R$4:$R$703,"revenue"),0)</f>
        <v>0</v>
      </c>
      <c r="H156" s="11" t="n">
        <f aca="false">IF(D156=1,SUMIFS(Benefits!$S$4:$S$703,Benefits!$B$4:$B$703,A156,Benefits!$F$4:$F$703,B156,Benefits!$R$4:$R$703,"avoided_cost_realised"),0)</f>
        <v>0</v>
      </c>
      <c r="I156" s="11" t="n">
        <f aca="false">IF(D156=1,SUMIFS(Benefits!$S$4:$S$703,Benefits!$B$4:$B$703,A156,Benefits!$F$4:$F$703,B156,Benefits!$R$4:$R$703,"capacity_converted"),0)</f>
        <v>0</v>
      </c>
      <c r="J156" s="11" t="n">
        <f aca="false">SUM(F156:I156)</f>
        <v>0</v>
      </c>
      <c r="K156" s="11" t="n">
        <f aca="false">J156-E156</f>
        <v>-343650</v>
      </c>
      <c r="L156" s="11" t="n">
        <f aca="false">IF(D156=1,L155+K156,0)</f>
        <v>-357650</v>
      </c>
      <c r="M156" s="11" t="n">
        <f aca="false">IF(D156=1,1/(1+Controls!$B$11)^B156,0)</f>
        <v>0.949986864412542</v>
      </c>
      <c r="N156" s="11" t="n">
        <f aca="false">K156*M156</f>
        <v>-326462.98595537</v>
      </c>
      <c r="O156" s="11" t="n">
        <f aca="false">IF(D156=1,O155+N156,0)</f>
        <v>-340462.98595537</v>
      </c>
      <c r="P156" s="11" t="n">
        <f aca="false">IF(AND(D156=1,L156&lt;0),1,0)</f>
        <v>1</v>
      </c>
      <c r="Q156" s="11" t="n">
        <f aca="false">IF(AND(D156=1,O156&lt;0),1,0)</f>
        <v>1</v>
      </c>
    </row>
    <row r="157" customFormat="false" ht="15" hidden="false" customHeight="false" outlineLevel="0" collapsed="false">
      <c r="A157" s="4" t="s">
        <v>87</v>
      </c>
      <c r="B157" s="4" t="n">
        <v>9</v>
      </c>
      <c r="C157" s="11" t="n">
        <f aca="false">IF(COUNTIF('Scenario inputs'!$A$4:$A$213,Controls!$B$3&amp;"|"&amp;A157)&gt;0,1,0)</f>
        <v>1</v>
      </c>
      <c r="D157" s="11" t="n">
        <f aca="false">IF(AND(C157=1,B157&lt;Controls!$B$12),1,0)</f>
        <v>1</v>
      </c>
      <c r="E157" s="11" t="n">
        <f aca="false">IF(D157=1,SUMPRODUCT((Costs!$B$4:$B$903=A157)*(Costs!$D$4:$D$903="planned")*(Costs!$J$4:$J$903&lt;=B157)*(Costs!$K$4:$K$903&gt;B157)*Costs!$E$4:$E$903),0)</f>
        <v>176700</v>
      </c>
      <c r="F157" s="11" t="n">
        <f aca="false">IF(D157=1,SUMIFS(Benefits!$S$4:$S$703,Benefits!$B$4:$B$703,A157,Benefits!$F$4:$F$703,B157,Benefits!$R$4:$R$703,"cash"),0)</f>
        <v>0</v>
      </c>
      <c r="G157" s="11" t="n">
        <f aca="false">IF(D157=1,SUMIFS(Benefits!$S$4:$S$703,Benefits!$B$4:$B$703,A157,Benefits!$F$4:$F$703,B157,Benefits!$R$4:$R$703,"revenue"),0)</f>
        <v>0</v>
      </c>
      <c r="H157" s="11" t="n">
        <f aca="false">IF(D157=1,SUMIFS(Benefits!$S$4:$S$703,Benefits!$B$4:$B$703,A157,Benefits!$F$4:$F$703,B157,Benefits!$R$4:$R$703,"avoided_cost_realised"),0)</f>
        <v>0</v>
      </c>
      <c r="I157" s="11" t="n">
        <f aca="false">IF(D157=1,SUMIFS(Benefits!$S$4:$S$703,Benefits!$B$4:$B$703,A157,Benefits!$F$4:$F$703,B157,Benefits!$R$4:$R$703,"capacity_converted"),0)</f>
        <v>0</v>
      </c>
      <c r="J157" s="11" t="n">
        <f aca="false">SUM(F157:I157)</f>
        <v>0</v>
      </c>
      <c r="K157" s="11" t="n">
        <f aca="false">J157-E157</f>
        <v>-176700</v>
      </c>
      <c r="L157" s="11" t="n">
        <f aca="false">IF(D157=1,L156+K157,0)</f>
        <v>-534350</v>
      </c>
      <c r="M157" s="11" t="n">
        <f aca="false">IF(D157=1,1/(1+Controls!$B$11)^B157,0)</f>
        <v>0.943913723515444</v>
      </c>
      <c r="N157" s="11" t="n">
        <f aca="false">K157*M157</f>
        <v>-166789.554945179</v>
      </c>
      <c r="O157" s="11" t="n">
        <f aca="false">IF(D157=1,O156+N157,0)</f>
        <v>-507252.540900549</v>
      </c>
      <c r="P157" s="11" t="n">
        <f aca="false">IF(AND(D157=1,L157&lt;0),1,0)</f>
        <v>1</v>
      </c>
      <c r="Q157" s="11" t="n">
        <f aca="false">IF(AND(D157=1,O157&lt;0),1,0)</f>
        <v>1</v>
      </c>
    </row>
    <row r="158" customFormat="false" ht="15" hidden="false" customHeight="false" outlineLevel="0" collapsed="false">
      <c r="A158" s="4" t="s">
        <v>87</v>
      </c>
      <c r="B158" s="4" t="n">
        <v>10</v>
      </c>
      <c r="C158" s="11" t="n">
        <f aca="false">IF(COUNTIF('Scenario inputs'!$A$4:$A$213,Controls!$B$3&amp;"|"&amp;A158)&gt;0,1,0)</f>
        <v>1</v>
      </c>
      <c r="D158" s="11" t="n">
        <f aca="false">IF(AND(C158=1,B158&lt;Controls!$B$12),1,0)</f>
        <v>1</v>
      </c>
      <c r="E158" s="11" t="n">
        <f aca="false">IF(D158=1,SUMPRODUCT((Costs!$B$4:$B$903=A158)*(Costs!$D$4:$D$903="planned")*(Costs!$J$4:$J$903&lt;=B158)*(Costs!$K$4:$K$903&gt;B158)*Costs!$E$4:$E$903),0)</f>
        <v>200650</v>
      </c>
      <c r="F158" s="11" t="n">
        <f aca="false">IF(D158=1,SUMIFS(Benefits!$S$4:$S$703,Benefits!$B$4:$B$703,A158,Benefits!$F$4:$F$703,B158,Benefits!$R$4:$R$703,"cash"),0)</f>
        <v>8423.37545</v>
      </c>
      <c r="G158" s="11" t="n">
        <f aca="false">IF(D158=1,SUMIFS(Benefits!$S$4:$S$703,Benefits!$B$4:$B$703,A158,Benefits!$F$4:$F$703,B158,Benefits!$R$4:$R$703,"revenue"),0)</f>
        <v>0</v>
      </c>
      <c r="H158" s="11" t="n">
        <f aca="false">IF(D158=1,SUMIFS(Benefits!$S$4:$S$703,Benefits!$B$4:$B$703,A158,Benefits!$F$4:$F$703,B158,Benefits!$R$4:$R$703,"avoided_cost_realised"),0)</f>
        <v>0</v>
      </c>
      <c r="I158" s="11" t="n">
        <f aca="false">IF(D158=1,SUMIFS(Benefits!$S$4:$S$703,Benefits!$B$4:$B$703,A158,Benefits!$F$4:$F$703,B158,Benefits!$R$4:$R$703,"capacity_converted"),0)</f>
        <v>0</v>
      </c>
      <c r="J158" s="11" t="n">
        <f aca="false">SUM(F158:I158)</f>
        <v>8423.37545</v>
      </c>
      <c r="K158" s="11" t="n">
        <f aca="false">J158-E158</f>
        <v>-192226.62455</v>
      </c>
      <c r="L158" s="11" t="n">
        <f aca="false">IF(D158=1,L157+K158,0)</f>
        <v>-726576.62455</v>
      </c>
      <c r="M158" s="11" t="n">
        <f aca="false">IF(D158=1,1/(1+Controls!$B$11)^B158,0)</f>
        <v>0.93787940740818</v>
      </c>
      <c r="N158" s="11" t="n">
        <f aca="false">K158*M158</f>
        <v>-180285.392721029</v>
      </c>
      <c r="O158" s="11" t="n">
        <f aca="false">IF(D158=1,O157+N158,0)</f>
        <v>-687537.933621578</v>
      </c>
      <c r="P158" s="11" t="n">
        <f aca="false">IF(AND(D158=1,L158&lt;0),1,0)</f>
        <v>1</v>
      </c>
      <c r="Q158" s="11" t="n">
        <f aca="false">IF(AND(D158=1,O158&lt;0),1,0)</f>
        <v>1</v>
      </c>
    </row>
    <row r="159" customFormat="false" ht="15" hidden="false" customHeight="false" outlineLevel="0" collapsed="false">
      <c r="A159" s="4" t="s">
        <v>87</v>
      </c>
      <c r="B159" s="4" t="n">
        <v>11</v>
      </c>
      <c r="C159" s="11" t="n">
        <f aca="false">IF(COUNTIF('Scenario inputs'!$A$4:$A$213,Controls!$B$3&amp;"|"&amp;A159)&gt;0,1,0)</f>
        <v>1</v>
      </c>
      <c r="D159" s="11" t="n">
        <f aca="false">IF(AND(C159=1,B159&lt;Controls!$B$12),1,0)</f>
        <v>1</v>
      </c>
      <c r="E159" s="11" t="n">
        <f aca="false">IF(D159=1,SUMPRODUCT((Costs!$B$4:$B$903=A159)*(Costs!$D$4:$D$903="planned")*(Costs!$J$4:$J$903&lt;=B159)*(Costs!$K$4:$K$903&gt;B159)*Costs!$E$4:$E$903),0)</f>
        <v>14000</v>
      </c>
      <c r="F159" s="11" t="n">
        <f aca="false">IF(D159=1,SUMIFS(Benefits!$S$4:$S$703,Benefits!$B$4:$B$703,A159,Benefits!$F$4:$F$703,B159,Benefits!$R$4:$R$703,"cash"),0)</f>
        <v>25270</v>
      </c>
      <c r="G159" s="11" t="n">
        <f aca="false">IF(D159=1,SUMIFS(Benefits!$S$4:$S$703,Benefits!$B$4:$B$703,A159,Benefits!$F$4:$F$703,B159,Benefits!$R$4:$R$703,"revenue"),0)</f>
        <v>0</v>
      </c>
      <c r="H159" s="11" t="n">
        <f aca="false">IF(D159=1,SUMIFS(Benefits!$S$4:$S$703,Benefits!$B$4:$B$703,A159,Benefits!$F$4:$F$703,B159,Benefits!$R$4:$R$703,"avoided_cost_realised"),0)</f>
        <v>0</v>
      </c>
      <c r="I159" s="11" t="n">
        <f aca="false">IF(D159=1,SUMIFS(Benefits!$S$4:$S$703,Benefits!$B$4:$B$703,A159,Benefits!$F$4:$F$703,B159,Benefits!$R$4:$R$703,"capacity_converted"),0)</f>
        <v>0</v>
      </c>
      <c r="J159" s="11" t="n">
        <f aca="false">SUM(F159:I159)</f>
        <v>25270</v>
      </c>
      <c r="K159" s="11" t="n">
        <f aca="false">J159-E159</f>
        <v>11270</v>
      </c>
      <c r="L159" s="11" t="n">
        <f aca="false">IF(D159=1,L158+K159,0)</f>
        <v>-715306.62455</v>
      </c>
      <c r="M159" s="11" t="n">
        <f aca="false">IF(D159=1,1/(1+Controls!$B$11)^B159,0)</f>
        <v>0.931883667888982</v>
      </c>
      <c r="N159" s="11" t="n">
        <f aca="false">K159*M159</f>
        <v>10502.3289371088</v>
      </c>
      <c r="O159" s="11" t="n">
        <f aca="false">IF(D159=1,O158+N159,0)</f>
        <v>-677035.604684469</v>
      </c>
      <c r="P159" s="11" t="n">
        <f aca="false">IF(AND(D159=1,L159&lt;0),1,0)</f>
        <v>1</v>
      </c>
      <c r="Q159" s="11" t="n">
        <f aca="false">IF(AND(D159=1,O159&lt;0),1,0)</f>
        <v>1</v>
      </c>
    </row>
    <row r="160" customFormat="false" ht="15" hidden="false" customHeight="false" outlineLevel="0" collapsed="false">
      <c r="A160" s="4" t="s">
        <v>87</v>
      </c>
      <c r="B160" s="4" t="n">
        <v>12</v>
      </c>
      <c r="C160" s="11" t="n">
        <f aca="false">IF(COUNTIF('Scenario inputs'!$A$4:$A$213,Controls!$B$3&amp;"|"&amp;A160)&gt;0,1,0)</f>
        <v>1</v>
      </c>
      <c r="D160" s="11" t="n">
        <f aca="false">IF(AND(C160=1,B160&lt;Controls!$B$12),1,0)</f>
        <v>1</v>
      </c>
      <c r="E160" s="11" t="n">
        <f aca="false">IF(D160=1,SUMPRODUCT((Costs!$B$4:$B$903=A160)*(Costs!$D$4:$D$903="planned")*(Costs!$J$4:$J$903&lt;=B160)*(Costs!$K$4:$K$903&gt;B160)*Costs!$E$4:$E$903),0)</f>
        <v>14000</v>
      </c>
      <c r="F160" s="11" t="n">
        <f aca="false">IF(D160=1,SUMIFS(Benefits!$S$4:$S$703,Benefits!$B$4:$B$703,A160,Benefits!$F$4:$F$703,B160,Benefits!$R$4:$R$703,"cash"),0)</f>
        <v>50540</v>
      </c>
      <c r="G160" s="11" t="n">
        <f aca="false">IF(D160=1,SUMIFS(Benefits!$S$4:$S$703,Benefits!$B$4:$B$703,A160,Benefits!$F$4:$F$703,B160,Benefits!$R$4:$R$703,"revenue"),0)</f>
        <v>0</v>
      </c>
      <c r="H160" s="11" t="n">
        <f aca="false">IF(D160=1,SUMIFS(Benefits!$S$4:$S$703,Benefits!$B$4:$B$703,A160,Benefits!$F$4:$F$703,B160,Benefits!$R$4:$R$703,"avoided_cost_realised"),0)</f>
        <v>0</v>
      </c>
      <c r="I160" s="11" t="n">
        <f aca="false">IF(D160=1,SUMIFS(Benefits!$S$4:$S$703,Benefits!$B$4:$B$703,A160,Benefits!$F$4:$F$703,B160,Benefits!$R$4:$R$703,"capacity_converted"),0)</f>
        <v>0</v>
      </c>
      <c r="J160" s="11" t="n">
        <f aca="false">SUM(F160:I160)</f>
        <v>50540</v>
      </c>
      <c r="K160" s="11" t="n">
        <f aca="false">J160-E160</f>
        <v>36540</v>
      </c>
      <c r="L160" s="11" t="n">
        <f aca="false">IF(D160=1,L159+K160,0)</f>
        <v>-678766.62455</v>
      </c>
      <c r="M160" s="11" t="n">
        <f aca="false">IF(D160=1,1/(1+Controls!$B$11)^B160,0)</f>
        <v>0.925926258342804</v>
      </c>
      <c r="N160" s="11" t="n">
        <f aca="false">K160*M160</f>
        <v>33833.3454798461</v>
      </c>
      <c r="O160" s="11" t="n">
        <f aca="false">IF(D160=1,O159+N160,0)</f>
        <v>-643202.259204623</v>
      </c>
      <c r="P160" s="11" t="n">
        <f aca="false">IF(AND(D160=1,L160&lt;0),1,0)</f>
        <v>1</v>
      </c>
      <c r="Q160" s="11" t="n">
        <f aca="false">IF(AND(D160=1,O160&lt;0),1,0)</f>
        <v>1</v>
      </c>
    </row>
    <row r="161" customFormat="false" ht="15" hidden="false" customHeight="false" outlineLevel="0" collapsed="false">
      <c r="A161" s="4" t="s">
        <v>87</v>
      </c>
      <c r="B161" s="4" t="n">
        <v>13</v>
      </c>
      <c r="C161" s="11" t="n">
        <f aca="false">IF(COUNTIF('Scenario inputs'!$A$4:$A$213,Controls!$B$3&amp;"|"&amp;A161)&gt;0,1,0)</f>
        <v>1</v>
      </c>
      <c r="D161" s="11" t="n">
        <f aca="false">IF(AND(C161=1,B161&lt;Controls!$B$12),1,0)</f>
        <v>1</v>
      </c>
      <c r="E161" s="11" t="n">
        <f aca="false">IF(D161=1,SUMPRODUCT((Costs!$B$4:$B$903=A161)*(Costs!$D$4:$D$903="planned")*(Costs!$J$4:$J$903&lt;=B161)*(Costs!$K$4:$K$903&gt;B161)*Costs!$E$4:$E$903),0)</f>
        <v>14000</v>
      </c>
      <c r="F161" s="11" t="n">
        <f aca="false">IF(D161=1,SUMIFS(Benefits!$S$4:$S$703,Benefits!$B$4:$B$703,A161,Benefits!$F$4:$F$703,B161,Benefits!$R$4:$R$703,"cash"),0)</f>
        <v>84233.37545</v>
      </c>
      <c r="G161" s="11" t="n">
        <f aca="false">IF(D161=1,SUMIFS(Benefits!$S$4:$S$703,Benefits!$B$4:$B$703,A161,Benefits!$F$4:$F$703,B161,Benefits!$R$4:$R$703,"revenue"),0)</f>
        <v>0</v>
      </c>
      <c r="H161" s="11" t="n">
        <f aca="false">IF(D161=1,SUMIFS(Benefits!$S$4:$S$703,Benefits!$B$4:$B$703,A161,Benefits!$F$4:$F$703,B161,Benefits!$R$4:$R$703,"avoided_cost_realised"),0)</f>
        <v>0</v>
      </c>
      <c r="I161" s="11" t="n">
        <f aca="false">IF(D161=1,SUMIFS(Benefits!$S$4:$S$703,Benefits!$B$4:$B$703,A161,Benefits!$F$4:$F$703,B161,Benefits!$R$4:$R$703,"capacity_converted"),0)</f>
        <v>0</v>
      </c>
      <c r="J161" s="11" t="n">
        <f aca="false">SUM(F161:I161)</f>
        <v>84233.37545</v>
      </c>
      <c r="K161" s="11" t="n">
        <f aca="false">J161-E161</f>
        <v>70233.37545</v>
      </c>
      <c r="L161" s="11" t="n">
        <f aca="false">IF(D161=1,L160+K161,0)</f>
        <v>-608533.2491</v>
      </c>
      <c r="M161" s="11" t="n">
        <f aca="false">IF(D161=1,1/(1+Controls!$B$11)^B161,0)</f>
        <v>0.920006933731178</v>
      </c>
      <c r="N161" s="11" t="n">
        <f aca="false">K161*M161</f>
        <v>64615.1923933451</v>
      </c>
      <c r="O161" s="11" t="n">
        <f aca="false">IF(D161=1,O160+N161,0)</f>
        <v>-578587.066811278</v>
      </c>
      <c r="P161" s="11" t="n">
        <f aca="false">IF(AND(D161=1,L161&lt;0),1,0)</f>
        <v>1</v>
      </c>
      <c r="Q161" s="11" t="n">
        <f aca="false">IF(AND(D161=1,O161&lt;0),1,0)</f>
        <v>1</v>
      </c>
    </row>
    <row r="162" customFormat="false" ht="15" hidden="false" customHeight="false" outlineLevel="0" collapsed="false">
      <c r="A162" s="4" t="s">
        <v>87</v>
      </c>
      <c r="B162" s="4" t="n">
        <v>14</v>
      </c>
      <c r="C162" s="11" t="n">
        <f aca="false">IF(COUNTIF('Scenario inputs'!$A$4:$A$213,Controls!$B$3&amp;"|"&amp;A162)&gt;0,1,0)</f>
        <v>1</v>
      </c>
      <c r="D162" s="11" t="n">
        <f aca="false">IF(AND(C162=1,B162&lt;Controls!$B$12),1,0)</f>
        <v>1</v>
      </c>
      <c r="E162" s="11" t="n">
        <f aca="false">IF(D162=1,SUMPRODUCT((Costs!$B$4:$B$903=A162)*(Costs!$D$4:$D$903="planned")*(Costs!$J$4:$J$903&lt;=B162)*(Costs!$K$4:$K$903&gt;B162)*Costs!$E$4:$E$903),0)</f>
        <v>14000</v>
      </c>
      <c r="F162" s="11" t="n">
        <f aca="false">IF(D162=1,SUMIFS(Benefits!$S$4:$S$703,Benefits!$B$4:$B$703,A162,Benefits!$F$4:$F$703,B162,Benefits!$R$4:$R$703,"cash"),0)</f>
        <v>126350</v>
      </c>
      <c r="G162" s="11" t="n">
        <f aca="false">IF(D162=1,SUMIFS(Benefits!$S$4:$S$703,Benefits!$B$4:$B$703,A162,Benefits!$F$4:$F$703,B162,Benefits!$R$4:$R$703,"revenue"),0)</f>
        <v>0</v>
      </c>
      <c r="H162" s="11" t="n">
        <f aca="false">IF(D162=1,SUMIFS(Benefits!$S$4:$S$703,Benefits!$B$4:$B$703,A162,Benefits!$F$4:$F$703,B162,Benefits!$R$4:$R$703,"avoided_cost_realised"),0)</f>
        <v>0</v>
      </c>
      <c r="I162" s="11" t="n">
        <f aca="false">IF(D162=1,SUMIFS(Benefits!$S$4:$S$703,Benefits!$B$4:$B$703,A162,Benefits!$F$4:$F$703,B162,Benefits!$R$4:$R$703,"capacity_converted"),0)</f>
        <v>0</v>
      </c>
      <c r="J162" s="11" t="n">
        <f aca="false">SUM(F162:I162)</f>
        <v>126350</v>
      </c>
      <c r="K162" s="11" t="n">
        <f aca="false">J162-E162</f>
        <v>112350</v>
      </c>
      <c r="L162" s="11" t="n">
        <f aca="false">IF(D162=1,L161+K162,0)</f>
        <v>-496183.2491</v>
      </c>
      <c r="M162" s="11" t="n">
        <f aca="false">IF(D162=1,1/(1+Controls!$B$11)^B162,0)</f>
        <v>0.914125450582132</v>
      </c>
      <c r="N162" s="11" t="n">
        <f aca="false">K162*M162</f>
        <v>102701.994372903</v>
      </c>
      <c r="O162" s="11" t="n">
        <f aca="false">IF(D162=1,O161+N162,0)</f>
        <v>-475885.072438375</v>
      </c>
      <c r="P162" s="11" t="n">
        <f aca="false">IF(AND(D162=1,L162&lt;0),1,0)</f>
        <v>1</v>
      </c>
      <c r="Q162" s="11" t="n">
        <f aca="false">IF(AND(D162=1,O162&lt;0),1,0)</f>
        <v>1</v>
      </c>
    </row>
    <row r="163" customFormat="false" ht="15" hidden="false" customHeight="false" outlineLevel="0" collapsed="false">
      <c r="A163" s="4" t="s">
        <v>87</v>
      </c>
      <c r="B163" s="4" t="n">
        <v>15</v>
      </c>
      <c r="C163" s="11" t="n">
        <f aca="false">IF(COUNTIF('Scenario inputs'!$A$4:$A$213,Controls!$B$3&amp;"|"&amp;A163)&gt;0,1,0)</f>
        <v>1</v>
      </c>
      <c r="D163" s="11" t="n">
        <f aca="false">IF(AND(C163=1,B163&lt;Controls!$B$12),1,0)</f>
        <v>1</v>
      </c>
      <c r="E163" s="11" t="n">
        <f aca="false">IF(D163=1,SUMPRODUCT((Costs!$B$4:$B$903=A163)*(Costs!$D$4:$D$903="planned")*(Costs!$J$4:$J$903&lt;=B163)*(Costs!$K$4:$K$903&gt;B163)*Costs!$E$4:$E$903),0)</f>
        <v>14000</v>
      </c>
      <c r="F163" s="11" t="n">
        <f aca="false">IF(D163=1,SUMIFS(Benefits!$S$4:$S$703,Benefits!$B$4:$B$703,A163,Benefits!$F$4:$F$703,B163,Benefits!$R$4:$R$703,"cash"),0)</f>
        <v>126350</v>
      </c>
      <c r="G163" s="11" t="n">
        <f aca="false">IF(D163=1,SUMIFS(Benefits!$S$4:$S$703,Benefits!$B$4:$B$703,A163,Benefits!$F$4:$F$703,B163,Benefits!$R$4:$R$703,"revenue"),0)</f>
        <v>0</v>
      </c>
      <c r="H163" s="11" t="n">
        <f aca="false">IF(D163=1,SUMIFS(Benefits!$S$4:$S$703,Benefits!$B$4:$B$703,A163,Benefits!$F$4:$F$703,B163,Benefits!$R$4:$R$703,"avoided_cost_realised"),0)</f>
        <v>0</v>
      </c>
      <c r="I163" s="11" t="n">
        <f aca="false">IF(D163=1,SUMIFS(Benefits!$S$4:$S$703,Benefits!$B$4:$B$703,A163,Benefits!$F$4:$F$703,B163,Benefits!$R$4:$R$703,"capacity_converted"),0)</f>
        <v>0</v>
      </c>
      <c r="J163" s="11" t="n">
        <f aca="false">SUM(F163:I163)</f>
        <v>126350</v>
      </c>
      <c r="K163" s="11" t="n">
        <f aca="false">J163-E163</f>
        <v>112350</v>
      </c>
      <c r="L163" s="11" t="n">
        <f aca="false">IF(D163=1,L162+K163,0)</f>
        <v>-383833.2491</v>
      </c>
      <c r="M163" s="11" t="n">
        <f aca="false">IF(D163=1,1/(1+Controls!$B$11)^B163,0)</f>
        <v>0.908281566980182</v>
      </c>
      <c r="N163" s="11" t="n">
        <f aca="false">K163*M163</f>
        <v>102045.434050223</v>
      </c>
      <c r="O163" s="11" t="n">
        <f aca="false">IF(D163=1,O162+N163,0)</f>
        <v>-373839.638388152</v>
      </c>
      <c r="P163" s="11" t="n">
        <f aca="false">IF(AND(D163=1,L163&lt;0),1,0)</f>
        <v>1</v>
      </c>
      <c r="Q163" s="11" t="n">
        <f aca="false">IF(AND(D163=1,O163&lt;0),1,0)</f>
        <v>1</v>
      </c>
    </row>
    <row r="164" customFormat="false" ht="15" hidden="false" customHeight="false" outlineLevel="0" collapsed="false">
      <c r="A164" s="4" t="s">
        <v>87</v>
      </c>
      <c r="B164" s="4" t="n">
        <v>16</v>
      </c>
      <c r="C164" s="11" t="n">
        <f aca="false">IF(COUNTIF('Scenario inputs'!$A$4:$A$213,Controls!$B$3&amp;"|"&amp;A164)&gt;0,1,0)</f>
        <v>1</v>
      </c>
      <c r="D164" s="11" t="n">
        <f aca="false">IF(AND(C164=1,B164&lt;Controls!$B$12),1,0)</f>
        <v>1</v>
      </c>
      <c r="E164" s="11" t="n">
        <f aca="false">IF(D164=1,SUMPRODUCT((Costs!$B$4:$B$903=A164)*(Costs!$D$4:$D$903="planned")*(Costs!$J$4:$J$903&lt;=B164)*(Costs!$K$4:$K$903&gt;B164)*Costs!$E$4:$E$903),0)</f>
        <v>14600</v>
      </c>
      <c r="F164" s="11" t="n">
        <f aca="false">IF(D164=1,SUMIFS(Benefits!$S$4:$S$703,Benefits!$B$4:$B$703,A164,Benefits!$F$4:$F$703,B164,Benefits!$R$4:$R$703,"cash"),0)</f>
        <v>126350</v>
      </c>
      <c r="G164" s="11" t="n">
        <f aca="false">IF(D164=1,SUMIFS(Benefits!$S$4:$S$703,Benefits!$B$4:$B$703,A164,Benefits!$F$4:$F$703,B164,Benefits!$R$4:$R$703,"revenue"),0)</f>
        <v>0</v>
      </c>
      <c r="H164" s="11" t="n">
        <f aca="false">IF(D164=1,SUMIFS(Benefits!$S$4:$S$703,Benefits!$B$4:$B$703,A164,Benefits!$F$4:$F$703,B164,Benefits!$R$4:$R$703,"avoided_cost_realised"),0)</f>
        <v>0</v>
      </c>
      <c r="I164" s="11" t="n">
        <f aca="false">IF(D164=1,SUMIFS(Benefits!$S$4:$S$703,Benefits!$B$4:$B$703,A164,Benefits!$F$4:$F$703,B164,Benefits!$R$4:$R$703,"capacity_converted"),0)</f>
        <v>0</v>
      </c>
      <c r="J164" s="11" t="n">
        <f aca="false">SUM(F164:I164)</f>
        <v>126350</v>
      </c>
      <c r="K164" s="11" t="n">
        <f aca="false">J164-E164</f>
        <v>111750</v>
      </c>
      <c r="L164" s="11" t="n">
        <f aca="false">IF(D164=1,L163+K164,0)</f>
        <v>-272083.2491</v>
      </c>
      <c r="M164" s="11" t="n">
        <f aca="false">IF(D164=1,1/(1+Controls!$B$11)^B164,0)</f>
        <v>0.902475042556374</v>
      </c>
      <c r="N164" s="11" t="n">
        <f aca="false">K164*M164</f>
        <v>100851.586005675</v>
      </c>
      <c r="O164" s="11" t="n">
        <f aca="false">IF(D164=1,O163+N164,0)</f>
        <v>-272988.052382477</v>
      </c>
      <c r="P164" s="11" t="n">
        <f aca="false">IF(AND(D164=1,L164&lt;0),1,0)</f>
        <v>1</v>
      </c>
      <c r="Q164" s="11" t="n">
        <f aca="false">IF(AND(D164=1,O164&lt;0),1,0)</f>
        <v>1</v>
      </c>
    </row>
    <row r="165" customFormat="false" ht="15" hidden="false" customHeight="false" outlineLevel="0" collapsed="false">
      <c r="A165" s="4" t="s">
        <v>87</v>
      </c>
      <c r="B165" s="4" t="n">
        <v>17</v>
      </c>
      <c r="C165" s="11" t="n">
        <f aca="false">IF(COUNTIF('Scenario inputs'!$A$4:$A$213,Controls!$B$3&amp;"|"&amp;A165)&gt;0,1,0)</f>
        <v>1</v>
      </c>
      <c r="D165" s="11" t="n">
        <f aca="false">IF(AND(C165=1,B165&lt;Controls!$B$12),1,0)</f>
        <v>1</v>
      </c>
      <c r="E165" s="11" t="n">
        <f aca="false">IF(D165=1,SUMPRODUCT((Costs!$B$4:$B$903=A165)*(Costs!$D$4:$D$903="planned")*(Costs!$J$4:$J$903&lt;=B165)*(Costs!$K$4:$K$903&gt;B165)*Costs!$E$4:$E$903),0)</f>
        <v>14600</v>
      </c>
      <c r="F165" s="11" t="n">
        <f aca="false">IF(D165=1,SUMIFS(Benefits!$S$4:$S$703,Benefits!$B$4:$B$703,A165,Benefits!$F$4:$F$703,B165,Benefits!$R$4:$R$703,"cash"),0)</f>
        <v>126350</v>
      </c>
      <c r="G165" s="11" t="n">
        <f aca="false">IF(D165=1,SUMIFS(Benefits!$S$4:$S$703,Benefits!$B$4:$B$703,A165,Benefits!$F$4:$F$703,B165,Benefits!$R$4:$R$703,"revenue"),0)</f>
        <v>0</v>
      </c>
      <c r="H165" s="11" t="n">
        <f aca="false">IF(D165=1,SUMIFS(Benefits!$S$4:$S$703,Benefits!$B$4:$B$703,A165,Benefits!$F$4:$F$703,B165,Benefits!$R$4:$R$703,"avoided_cost_realised"),0)</f>
        <v>0</v>
      </c>
      <c r="I165" s="11" t="n">
        <f aca="false">IF(D165=1,SUMIFS(Benefits!$S$4:$S$703,Benefits!$B$4:$B$703,A165,Benefits!$F$4:$F$703,B165,Benefits!$R$4:$R$703,"capacity_converted"),0)</f>
        <v>0</v>
      </c>
      <c r="J165" s="11" t="n">
        <f aca="false">SUM(F165:I165)</f>
        <v>126350</v>
      </c>
      <c r="K165" s="11" t="n">
        <f aca="false">J165-E165</f>
        <v>111750</v>
      </c>
      <c r="L165" s="11" t="n">
        <f aca="false">IF(D165=1,L164+K165,0)</f>
        <v>-160333.2491</v>
      </c>
      <c r="M165" s="11" t="n">
        <f aca="false">IF(D165=1,1/(1+Controls!$B$11)^B165,0)</f>
        <v>0.896705638478404</v>
      </c>
      <c r="N165" s="11" t="n">
        <f aca="false">K165*M165</f>
        <v>100206.855099962</v>
      </c>
      <c r="O165" s="11" t="n">
        <f aca="false">IF(D165=1,O164+N165,0)</f>
        <v>-172781.197282515</v>
      </c>
      <c r="P165" s="11" t="n">
        <f aca="false">IF(AND(D165=1,L165&lt;0),1,0)</f>
        <v>1</v>
      </c>
      <c r="Q165" s="11" t="n">
        <f aca="false">IF(AND(D165=1,O165&lt;0),1,0)</f>
        <v>1</v>
      </c>
    </row>
    <row r="166" customFormat="false" ht="15" hidden="false" customHeight="false" outlineLevel="0" collapsed="false">
      <c r="A166" s="4" t="s">
        <v>87</v>
      </c>
      <c r="B166" s="4" t="n">
        <v>18</v>
      </c>
      <c r="C166" s="11" t="n">
        <f aca="false">IF(COUNTIF('Scenario inputs'!$A$4:$A$213,Controls!$B$3&amp;"|"&amp;A166)&gt;0,1,0)</f>
        <v>1</v>
      </c>
      <c r="D166" s="11" t="n">
        <f aca="false">IF(AND(C166=1,B166&lt;Controls!$B$12),1,0)</f>
        <v>1</v>
      </c>
      <c r="E166" s="11" t="n">
        <f aca="false">IF(D166=1,SUMPRODUCT((Costs!$B$4:$B$903=A166)*(Costs!$D$4:$D$903="planned")*(Costs!$J$4:$J$903&lt;=B166)*(Costs!$K$4:$K$903&gt;B166)*Costs!$E$4:$E$903),0)</f>
        <v>14600</v>
      </c>
      <c r="F166" s="11" t="n">
        <f aca="false">IF(D166=1,SUMIFS(Benefits!$S$4:$S$703,Benefits!$B$4:$B$703,A166,Benefits!$F$4:$F$703,B166,Benefits!$R$4:$R$703,"cash"),0)</f>
        <v>126350</v>
      </c>
      <c r="G166" s="11" t="n">
        <f aca="false">IF(D166=1,SUMIFS(Benefits!$S$4:$S$703,Benefits!$B$4:$B$703,A166,Benefits!$F$4:$F$703,B166,Benefits!$R$4:$R$703,"revenue"),0)</f>
        <v>0</v>
      </c>
      <c r="H166" s="11" t="n">
        <f aca="false">IF(D166=1,SUMIFS(Benefits!$S$4:$S$703,Benefits!$B$4:$B$703,A166,Benefits!$F$4:$F$703,B166,Benefits!$R$4:$R$703,"avoided_cost_realised"),0)</f>
        <v>0</v>
      </c>
      <c r="I166" s="11" t="n">
        <f aca="false">IF(D166=1,SUMIFS(Benefits!$S$4:$S$703,Benefits!$B$4:$B$703,A166,Benefits!$F$4:$F$703,B166,Benefits!$R$4:$R$703,"capacity_converted"),0)</f>
        <v>0</v>
      </c>
      <c r="J166" s="11" t="n">
        <f aca="false">SUM(F166:I166)</f>
        <v>126350</v>
      </c>
      <c r="K166" s="11" t="n">
        <f aca="false">J166-E166</f>
        <v>111750</v>
      </c>
      <c r="L166" s="11" t="n">
        <f aca="false">IF(D166=1,L165+K166,0)</f>
        <v>-48583.2491</v>
      </c>
      <c r="M166" s="11" t="n">
        <f aca="false">IF(D166=1,1/(1+Controls!$B$11)^B166,0)</f>
        <v>0.89097311744079</v>
      </c>
      <c r="N166" s="11" t="n">
        <f aca="false">K166*M166</f>
        <v>99566.2458740083</v>
      </c>
      <c r="O166" s="11" t="n">
        <f aca="false">IF(D166=1,O165+N166,0)</f>
        <v>-73214.9514085071</v>
      </c>
      <c r="P166" s="11" t="n">
        <f aca="false">IF(AND(D166=1,L166&lt;0),1,0)</f>
        <v>1</v>
      </c>
      <c r="Q166" s="11" t="n">
        <f aca="false">IF(AND(D166=1,O166&lt;0),1,0)</f>
        <v>1</v>
      </c>
    </row>
    <row r="167" customFormat="false" ht="15" hidden="false" customHeight="false" outlineLevel="0" collapsed="false">
      <c r="A167" s="4" t="s">
        <v>87</v>
      </c>
      <c r="B167" s="4" t="n">
        <v>19</v>
      </c>
      <c r="C167" s="11" t="n">
        <f aca="false">IF(COUNTIF('Scenario inputs'!$A$4:$A$213,Controls!$B$3&amp;"|"&amp;A167)&gt;0,1,0)</f>
        <v>1</v>
      </c>
      <c r="D167" s="11" t="n">
        <f aca="false">IF(AND(C167=1,B167&lt;Controls!$B$12),1,0)</f>
        <v>1</v>
      </c>
      <c r="E167" s="11" t="n">
        <f aca="false">IF(D167=1,SUMPRODUCT((Costs!$B$4:$B$903=A167)*(Costs!$D$4:$D$903="planned")*(Costs!$J$4:$J$903&lt;=B167)*(Costs!$K$4:$K$903&gt;B167)*Costs!$E$4:$E$903),0)</f>
        <v>14600</v>
      </c>
      <c r="F167" s="11" t="n">
        <f aca="false">IF(D167=1,SUMIFS(Benefits!$S$4:$S$703,Benefits!$B$4:$B$703,A167,Benefits!$F$4:$F$703,B167,Benefits!$R$4:$R$703,"cash"),0)</f>
        <v>126350</v>
      </c>
      <c r="G167" s="11" t="n">
        <f aca="false">IF(D167=1,SUMIFS(Benefits!$S$4:$S$703,Benefits!$B$4:$B$703,A167,Benefits!$F$4:$F$703,B167,Benefits!$R$4:$R$703,"revenue"),0)</f>
        <v>0</v>
      </c>
      <c r="H167" s="11" t="n">
        <f aca="false">IF(D167=1,SUMIFS(Benefits!$S$4:$S$703,Benefits!$B$4:$B$703,A167,Benefits!$F$4:$F$703,B167,Benefits!$R$4:$R$703,"avoided_cost_realised"),0)</f>
        <v>0</v>
      </c>
      <c r="I167" s="11" t="n">
        <f aca="false">IF(D167=1,SUMIFS(Benefits!$S$4:$S$703,Benefits!$B$4:$B$703,A167,Benefits!$F$4:$F$703,B167,Benefits!$R$4:$R$703,"capacity_converted"),0)</f>
        <v>0</v>
      </c>
      <c r="J167" s="11" t="n">
        <f aca="false">SUM(F167:I167)</f>
        <v>126350</v>
      </c>
      <c r="K167" s="11" t="n">
        <f aca="false">J167-E167</f>
        <v>111750</v>
      </c>
      <c r="L167" s="11" t="n">
        <f aca="false">IF(D167=1,L166+K167,0)</f>
        <v>63166.7509</v>
      </c>
      <c r="M167" s="11" t="n">
        <f aca="false">IF(D167=1,1/(1+Controls!$B$11)^B167,0)</f>
        <v>0.885277243655113</v>
      </c>
      <c r="N167" s="11" t="n">
        <f aca="false">K167*M167</f>
        <v>98929.7319784589</v>
      </c>
      <c r="O167" s="11" t="n">
        <f aca="false">IF(D167=1,O166+N167,0)</f>
        <v>25714.7805699518</v>
      </c>
      <c r="P167" s="11" t="n">
        <f aca="false">IF(AND(D167=1,L167&lt;0),1,0)</f>
        <v>0</v>
      </c>
      <c r="Q167" s="11" t="n">
        <f aca="false">IF(AND(D167=1,O167&lt;0),1,0)</f>
        <v>0</v>
      </c>
    </row>
    <row r="168" customFormat="false" ht="15" hidden="false" customHeight="false" outlineLevel="0" collapsed="false">
      <c r="A168" s="4" t="s">
        <v>87</v>
      </c>
      <c r="B168" s="4" t="n">
        <v>20</v>
      </c>
      <c r="C168" s="11" t="n">
        <f aca="false">IF(COUNTIF('Scenario inputs'!$A$4:$A$213,Controls!$B$3&amp;"|"&amp;A168)&gt;0,1,0)</f>
        <v>1</v>
      </c>
      <c r="D168" s="11" t="n">
        <f aca="false">IF(AND(C168=1,B168&lt;Controls!$B$12),1,0)</f>
        <v>1</v>
      </c>
      <c r="E168" s="11" t="n">
        <f aca="false">IF(D168=1,SUMPRODUCT((Costs!$B$4:$B$903=A168)*(Costs!$D$4:$D$903="planned")*(Costs!$J$4:$J$903&lt;=B168)*(Costs!$K$4:$K$903&gt;B168)*Costs!$E$4:$E$903),0)</f>
        <v>14600</v>
      </c>
      <c r="F168" s="11" t="n">
        <f aca="false">IF(D168=1,SUMIFS(Benefits!$S$4:$S$703,Benefits!$B$4:$B$703,A168,Benefits!$F$4:$F$703,B168,Benefits!$R$4:$R$703,"cash"),0)</f>
        <v>126350</v>
      </c>
      <c r="G168" s="11" t="n">
        <f aca="false">IF(D168=1,SUMIFS(Benefits!$S$4:$S$703,Benefits!$B$4:$B$703,A168,Benefits!$F$4:$F$703,B168,Benefits!$R$4:$R$703,"revenue"),0)</f>
        <v>0</v>
      </c>
      <c r="H168" s="11" t="n">
        <f aca="false">IF(D168=1,SUMIFS(Benefits!$S$4:$S$703,Benefits!$B$4:$B$703,A168,Benefits!$F$4:$F$703,B168,Benefits!$R$4:$R$703,"avoided_cost_realised"),0)</f>
        <v>0</v>
      </c>
      <c r="I168" s="11" t="n">
        <f aca="false">IF(D168=1,SUMIFS(Benefits!$S$4:$S$703,Benefits!$B$4:$B$703,A168,Benefits!$F$4:$F$703,B168,Benefits!$R$4:$R$703,"capacity_converted"),0)</f>
        <v>0</v>
      </c>
      <c r="J168" s="11" t="n">
        <f aca="false">SUM(F168:I168)</f>
        <v>126350</v>
      </c>
      <c r="K168" s="11" t="n">
        <f aca="false">J168-E168</f>
        <v>111750</v>
      </c>
      <c r="L168" s="11" t="n">
        <f aca="false">IF(D168=1,L167+K168,0)</f>
        <v>174916.7509</v>
      </c>
      <c r="M168" s="11" t="n">
        <f aca="false">IF(D168=1,1/(1+Controls!$B$11)^B168,0)</f>
        <v>0.879617782840318</v>
      </c>
      <c r="N168" s="11" t="n">
        <f aca="false">K168*M168</f>
        <v>98297.2872324055</v>
      </c>
      <c r="O168" s="11" t="n">
        <f aca="false">IF(D168=1,O167+N168,0)</f>
        <v>124012.067802357</v>
      </c>
      <c r="P168" s="11" t="n">
        <f aca="false">IF(AND(D168=1,L168&lt;0),1,0)</f>
        <v>0</v>
      </c>
      <c r="Q168" s="11" t="n">
        <f aca="false">IF(AND(D168=1,O168&lt;0),1,0)</f>
        <v>0</v>
      </c>
    </row>
    <row r="169" customFormat="false" ht="15" hidden="false" customHeight="false" outlineLevel="0" collapsed="false">
      <c r="A169" s="4" t="s">
        <v>87</v>
      </c>
      <c r="B169" s="4" t="n">
        <v>21</v>
      </c>
      <c r="C169" s="11" t="n">
        <f aca="false">IF(COUNTIF('Scenario inputs'!$A$4:$A$213,Controls!$B$3&amp;"|"&amp;A169)&gt;0,1,0)</f>
        <v>1</v>
      </c>
      <c r="D169" s="11" t="n">
        <f aca="false">IF(AND(C169=1,B169&lt;Controls!$B$12),1,0)</f>
        <v>1</v>
      </c>
      <c r="E169" s="11" t="n">
        <f aca="false">IF(D169=1,SUMPRODUCT((Costs!$B$4:$B$903=A169)*(Costs!$D$4:$D$903="planned")*(Costs!$J$4:$J$903&lt;=B169)*(Costs!$K$4:$K$903&gt;B169)*Costs!$E$4:$E$903),0)</f>
        <v>14600</v>
      </c>
      <c r="F169" s="11" t="n">
        <f aca="false">IF(D169=1,SUMIFS(Benefits!$S$4:$S$703,Benefits!$B$4:$B$703,A169,Benefits!$F$4:$F$703,B169,Benefits!$R$4:$R$703,"cash"),0)</f>
        <v>126350</v>
      </c>
      <c r="G169" s="11" t="n">
        <f aca="false">IF(D169=1,SUMIFS(Benefits!$S$4:$S$703,Benefits!$B$4:$B$703,A169,Benefits!$F$4:$F$703,B169,Benefits!$R$4:$R$703,"revenue"),0)</f>
        <v>0</v>
      </c>
      <c r="H169" s="11" t="n">
        <f aca="false">IF(D169=1,SUMIFS(Benefits!$S$4:$S$703,Benefits!$B$4:$B$703,A169,Benefits!$F$4:$F$703,B169,Benefits!$R$4:$R$703,"avoided_cost_realised"),0)</f>
        <v>0</v>
      </c>
      <c r="I169" s="11" t="n">
        <f aca="false">IF(D169=1,SUMIFS(Benefits!$S$4:$S$703,Benefits!$B$4:$B$703,A169,Benefits!$F$4:$F$703,B169,Benefits!$R$4:$R$703,"capacity_converted"),0)</f>
        <v>0</v>
      </c>
      <c r="J169" s="11" t="n">
        <f aca="false">SUM(F169:I169)</f>
        <v>126350</v>
      </c>
      <c r="K169" s="11" t="n">
        <f aca="false">J169-E169</f>
        <v>111750</v>
      </c>
      <c r="L169" s="11" t="n">
        <f aca="false">IF(D169=1,L168+K169,0)</f>
        <v>286666.7509</v>
      </c>
      <c r="M169" s="11" t="n">
        <f aca="false">IF(D169=1,1/(1+Controls!$B$11)^B169,0)</f>
        <v>0.873994502213079</v>
      </c>
      <c r="N169" s="11" t="n">
        <f aca="false">K169*M169</f>
        <v>97668.8856223116</v>
      </c>
      <c r="O169" s="11" t="n">
        <f aca="false">IF(D169=1,O168+N169,0)</f>
        <v>221680.953424669</v>
      </c>
      <c r="P169" s="11" t="n">
        <f aca="false">IF(AND(D169=1,L169&lt;0),1,0)</f>
        <v>0</v>
      </c>
      <c r="Q169" s="11" t="n">
        <f aca="false">IF(AND(D169=1,O169&lt;0),1,0)</f>
        <v>0</v>
      </c>
    </row>
    <row r="170" customFormat="false" ht="15" hidden="false" customHeight="false" outlineLevel="0" collapsed="false">
      <c r="A170" s="4" t="s">
        <v>87</v>
      </c>
      <c r="B170" s="4" t="n">
        <v>22</v>
      </c>
      <c r="C170" s="11" t="n">
        <f aca="false">IF(COUNTIF('Scenario inputs'!$A$4:$A$213,Controls!$B$3&amp;"|"&amp;A170)&gt;0,1,0)</f>
        <v>1</v>
      </c>
      <c r="D170" s="11" t="n">
        <f aca="false">IF(AND(C170=1,B170&lt;Controls!$B$12),1,0)</f>
        <v>1</v>
      </c>
      <c r="E170" s="11" t="n">
        <f aca="false">IF(D170=1,SUMPRODUCT((Costs!$B$4:$B$903=A170)*(Costs!$D$4:$D$903="planned")*(Costs!$J$4:$J$903&lt;=B170)*(Costs!$K$4:$K$903&gt;B170)*Costs!$E$4:$E$903),0)</f>
        <v>14600</v>
      </c>
      <c r="F170" s="11" t="n">
        <f aca="false">IF(D170=1,SUMIFS(Benefits!$S$4:$S$703,Benefits!$B$4:$B$703,A170,Benefits!$F$4:$F$703,B170,Benefits!$R$4:$R$703,"cash"),0)</f>
        <v>0</v>
      </c>
      <c r="G170" s="11" t="n">
        <f aca="false">IF(D170=1,SUMIFS(Benefits!$S$4:$S$703,Benefits!$B$4:$B$703,A170,Benefits!$F$4:$F$703,B170,Benefits!$R$4:$R$703,"revenue"),0)</f>
        <v>0</v>
      </c>
      <c r="H170" s="11" t="n">
        <f aca="false">IF(D170=1,SUMIFS(Benefits!$S$4:$S$703,Benefits!$B$4:$B$703,A170,Benefits!$F$4:$F$703,B170,Benefits!$R$4:$R$703,"avoided_cost_realised"),0)</f>
        <v>0</v>
      </c>
      <c r="I170" s="11" t="n">
        <f aca="false">IF(D170=1,SUMIFS(Benefits!$S$4:$S$703,Benefits!$B$4:$B$703,A170,Benefits!$F$4:$F$703,B170,Benefits!$R$4:$R$703,"capacity_converted"),0)</f>
        <v>0</v>
      </c>
      <c r="J170" s="11" t="n">
        <f aca="false">SUM(F170:I170)</f>
        <v>0</v>
      </c>
      <c r="K170" s="11" t="n">
        <f aca="false">J170-E170</f>
        <v>-14600</v>
      </c>
      <c r="L170" s="11" t="n">
        <f aca="false">IF(D170=1,L169+K170,0)</f>
        <v>272066.7509</v>
      </c>
      <c r="M170" s="11" t="n">
        <f aca="false">IF(D170=1,1/(1+Controls!$B$11)^B170,0)</f>
        <v>0.868407170478222</v>
      </c>
      <c r="N170" s="11" t="n">
        <f aca="false">K170*M170</f>
        <v>-12678.744688982</v>
      </c>
      <c r="O170" s="11" t="n">
        <f aca="false">IF(D170=1,O169+N170,0)</f>
        <v>209002.208735687</v>
      </c>
      <c r="P170" s="11" t="n">
        <f aca="false">IF(AND(D170=1,L170&lt;0),1,0)</f>
        <v>0</v>
      </c>
      <c r="Q170" s="11" t="n">
        <f aca="false">IF(AND(D170=1,O170&lt;0),1,0)</f>
        <v>0</v>
      </c>
    </row>
    <row r="171" customFormat="false" ht="15" hidden="false" customHeight="false" outlineLevel="0" collapsed="false">
      <c r="A171" s="4" t="s">
        <v>87</v>
      </c>
      <c r="B171" s="4" t="n">
        <v>23</v>
      </c>
      <c r="C171" s="11" t="n">
        <f aca="false">IF(COUNTIF('Scenario inputs'!$A$4:$A$213,Controls!$B$3&amp;"|"&amp;A171)&gt;0,1,0)</f>
        <v>1</v>
      </c>
      <c r="D171" s="11" t="n">
        <f aca="false">IF(AND(C171=1,B171&lt;Controls!$B$12),1,0)</f>
        <v>1</v>
      </c>
      <c r="E171" s="11" t="n">
        <f aca="false">IF(D171=1,SUMPRODUCT((Costs!$B$4:$B$903=A171)*(Costs!$D$4:$D$903="planned")*(Costs!$J$4:$J$903&lt;=B171)*(Costs!$K$4:$K$903&gt;B171)*Costs!$E$4:$E$903),0)</f>
        <v>0</v>
      </c>
      <c r="F171" s="11" t="n">
        <f aca="false">IF(D171=1,SUMIFS(Benefits!$S$4:$S$703,Benefits!$B$4:$B$703,A171,Benefits!$F$4:$F$703,B171,Benefits!$R$4:$R$703,"cash"),0)</f>
        <v>0</v>
      </c>
      <c r="G171" s="11" t="n">
        <f aca="false">IF(D171=1,SUMIFS(Benefits!$S$4:$S$703,Benefits!$B$4:$B$703,A171,Benefits!$F$4:$F$703,B171,Benefits!$R$4:$R$703,"revenue"),0)</f>
        <v>0</v>
      </c>
      <c r="H171" s="11" t="n">
        <f aca="false">IF(D171=1,SUMIFS(Benefits!$S$4:$S$703,Benefits!$B$4:$B$703,A171,Benefits!$F$4:$F$703,B171,Benefits!$R$4:$R$703,"avoided_cost_realised"),0)</f>
        <v>0</v>
      </c>
      <c r="I171" s="11" t="n">
        <f aca="false">IF(D171=1,SUMIFS(Benefits!$S$4:$S$703,Benefits!$B$4:$B$703,A171,Benefits!$F$4:$F$703,B171,Benefits!$R$4:$R$703,"capacity_converted"),0)</f>
        <v>0</v>
      </c>
      <c r="J171" s="11" t="n">
        <f aca="false">SUM(F171:I171)</f>
        <v>0</v>
      </c>
      <c r="K171" s="11" t="n">
        <f aca="false">J171-E171</f>
        <v>0</v>
      </c>
      <c r="L171" s="11" t="n">
        <f aca="false">IF(D171=1,L170+K171,0)</f>
        <v>272066.7509</v>
      </c>
      <c r="M171" s="11" t="n">
        <f aca="false">IF(D171=1,1/(1+Controls!$B$11)^B171,0)</f>
        <v>0.862855557819213</v>
      </c>
      <c r="N171" s="11" t="n">
        <f aca="false">K171*M171</f>
        <v>0</v>
      </c>
      <c r="O171" s="11" t="n">
        <f aca="false">IF(D171=1,O170+N171,0)</f>
        <v>209002.208735687</v>
      </c>
      <c r="P171" s="11" t="n">
        <f aca="false">IF(AND(D171=1,L171&lt;0),1,0)</f>
        <v>0</v>
      </c>
      <c r="Q171" s="11" t="n">
        <f aca="false">IF(AND(D171=1,O171&lt;0),1,0)</f>
        <v>0</v>
      </c>
    </row>
    <row r="172" customFormat="false" ht="15" hidden="false" customHeight="false" outlineLevel="0" collapsed="false">
      <c r="A172" s="4" t="s">
        <v>87</v>
      </c>
      <c r="B172" s="4" t="n">
        <v>24</v>
      </c>
      <c r="C172" s="11" t="n">
        <f aca="false">IF(COUNTIF('Scenario inputs'!$A$4:$A$213,Controls!$B$3&amp;"|"&amp;A172)&gt;0,1,0)</f>
        <v>1</v>
      </c>
      <c r="D172" s="11" t="n">
        <f aca="false">IF(AND(C172=1,B172&lt;Controls!$B$12),1,0)</f>
        <v>1</v>
      </c>
      <c r="E172" s="11" t="n">
        <f aca="false">IF(D172=1,SUMPRODUCT((Costs!$B$4:$B$903=A172)*(Costs!$D$4:$D$903="planned")*(Costs!$J$4:$J$903&lt;=B172)*(Costs!$K$4:$K$903&gt;B172)*Costs!$E$4:$E$903),0)</f>
        <v>0</v>
      </c>
      <c r="F172" s="11" t="n">
        <f aca="false">IF(D172=1,SUMIFS(Benefits!$S$4:$S$703,Benefits!$B$4:$B$703,A172,Benefits!$F$4:$F$703,B172,Benefits!$R$4:$R$703,"cash"),0)</f>
        <v>0</v>
      </c>
      <c r="G172" s="11" t="n">
        <f aca="false">IF(D172=1,SUMIFS(Benefits!$S$4:$S$703,Benefits!$B$4:$B$703,A172,Benefits!$F$4:$F$703,B172,Benefits!$R$4:$R$703,"revenue"),0)</f>
        <v>0</v>
      </c>
      <c r="H172" s="11" t="n">
        <f aca="false">IF(D172=1,SUMIFS(Benefits!$S$4:$S$703,Benefits!$B$4:$B$703,A172,Benefits!$F$4:$F$703,B172,Benefits!$R$4:$R$703,"avoided_cost_realised"),0)</f>
        <v>0</v>
      </c>
      <c r="I172" s="11" t="n">
        <f aca="false">IF(D172=1,SUMIFS(Benefits!$S$4:$S$703,Benefits!$B$4:$B$703,A172,Benefits!$F$4:$F$703,B172,Benefits!$R$4:$R$703,"capacity_converted"),0)</f>
        <v>0</v>
      </c>
      <c r="J172" s="11" t="n">
        <f aca="false">SUM(F172:I172)</f>
        <v>0</v>
      </c>
      <c r="K172" s="11" t="n">
        <f aca="false">J172-E172</f>
        <v>0</v>
      </c>
      <c r="L172" s="11" t="n">
        <f aca="false">IF(D172=1,L171+K172,0)</f>
        <v>272066.7509</v>
      </c>
      <c r="M172" s="11" t="n">
        <f aca="false">IF(D172=1,1/(1+Controls!$B$11)^B172,0)</f>
        <v>0.857339435888705</v>
      </c>
      <c r="N172" s="11" t="n">
        <f aca="false">K172*M172</f>
        <v>0</v>
      </c>
      <c r="O172" s="11" t="n">
        <f aca="false">IF(D172=1,O171+N172,0)</f>
        <v>209002.208735687</v>
      </c>
      <c r="P172" s="11" t="n">
        <f aca="false">IF(AND(D172=1,L172&lt;0),1,0)</f>
        <v>0</v>
      </c>
      <c r="Q172" s="11" t="n">
        <f aca="false">IF(AND(D172=1,O172&lt;0),1,0)</f>
        <v>0</v>
      </c>
    </row>
    <row r="173" customFormat="false" ht="15" hidden="false" customHeight="false" outlineLevel="0" collapsed="false">
      <c r="A173" s="4" t="s">
        <v>87</v>
      </c>
      <c r="B173" s="4" t="n">
        <v>25</v>
      </c>
      <c r="C173" s="11" t="n">
        <f aca="false">IF(COUNTIF('Scenario inputs'!$A$4:$A$213,Controls!$B$3&amp;"|"&amp;A173)&gt;0,1,0)</f>
        <v>1</v>
      </c>
      <c r="D173" s="11" t="n">
        <f aca="false">IF(AND(C173=1,B173&lt;Controls!$B$12),1,0)</f>
        <v>1</v>
      </c>
      <c r="E173" s="11" t="n">
        <f aca="false">IF(D173=1,SUMPRODUCT((Costs!$B$4:$B$903=A173)*(Costs!$D$4:$D$903="planned")*(Costs!$J$4:$J$903&lt;=B173)*(Costs!$K$4:$K$903&gt;B173)*Costs!$E$4:$E$903),0)</f>
        <v>0</v>
      </c>
      <c r="F173" s="11" t="n">
        <f aca="false">IF(D173=1,SUMIFS(Benefits!$S$4:$S$703,Benefits!$B$4:$B$703,A173,Benefits!$F$4:$F$703,B173,Benefits!$R$4:$R$703,"cash"),0)</f>
        <v>0</v>
      </c>
      <c r="G173" s="11" t="n">
        <f aca="false">IF(D173=1,SUMIFS(Benefits!$S$4:$S$703,Benefits!$B$4:$B$703,A173,Benefits!$F$4:$F$703,B173,Benefits!$R$4:$R$703,"revenue"),0)</f>
        <v>0</v>
      </c>
      <c r="H173" s="11" t="n">
        <f aca="false">IF(D173=1,SUMIFS(Benefits!$S$4:$S$703,Benefits!$B$4:$B$703,A173,Benefits!$F$4:$F$703,B173,Benefits!$R$4:$R$703,"avoided_cost_realised"),0)</f>
        <v>0</v>
      </c>
      <c r="I173" s="11" t="n">
        <f aca="false">IF(D173=1,SUMIFS(Benefits!$S$4:$S$703,Benefits!$B$4:$B$703,A173,Benefits!$F$4:$F$703,B173,Benefits!$R$4:$R$703,"capacity_converted"),0)</f>
        <v>0</v>
      </c>
      <c r="J173" s="11" t="n">
        <f aca="false">SUM(F173:I173)</f>
        <v>0</v>
      </c>
      <c r="K173" s="11" t="n">
        <f aca="false">J173-E173</f>
        <v>0</v>
      </c>
      <c r="L173" s="11" t="n">
        <f aca="false">IF(D173=1,L172+K173,0)</f>
        <v>272066.7509</v>
      </c>
      <c r="M173" s="11" t="n">
        <f aca="false">IF(D173=1,1/(1+Controls!$B$11)^B173,0)</f>
        <v>0.851858577799146</v>
      </c>
      <c r="N173" s="11" t="n">
        <f aca="false">K173*M173</f>
        <v>0</v>
      </c>
      <c r="O173" s="11" t="n">
        <f aca="false">IF(D173=1,O172+N173,0)</f>
        <v>209002.208735687</v>
      </c>
      <c r="P173" s="11" t="n">
        <f aca="false">IF(AND(D173=1,L173&lt;0),1,0)</f>
        <v>0</v>
      </c>
      <c r="Q173" s="11" t="n">
        <f aca="false">IF(AND(D173=1,O173&lt;0),1,0)</f>
        <v>0</v>
      </c>
    </row>
    <row r="174" customFormat="false" ht="15" hidden="false" customHeight="false" outlineLevel="0" collapsed="false">
      <c r="A174" s="4" t="s">
        <v>87</v>
      </c>
      <c r="B174" s="4" t="n">
        <v>26</v>
      </c>
      <c r="C174" s="11" t="n">
        <f aca="false">IF(COUNTIF('Scenario inputs'!$A$4:$A$213,Controls!$B$3&amp;"|"&amp;A174)&gt;0,1,0)</f>
        <v>1</v>
      </c>
      <c r="D174" s="11" t="n">
        <f aca="false">IF(AND(C174=1,B174&lt;Controls!$B$12),1,0)</f>
        <v>1</v>
      </c>
      <c r="E174" s="11" t="n">
        <f aca="false">IF(D174=1,SUMPRODUCT((Costs!$B$4:$B$903=A174)*(Costs!$D$4:$D$903="planned")*(Costs!$J$4:$J$903&lt;=B174)*(Costs!$K$4:$K$903&gt;B174)*Costs!$E$4:$E$903),0)</f>
        <v>0</v>
      </c>
      <c r="F174" s="11" t="n">
        <f aca="false">IF(D174=1,SUMIFS(Benefits!$S$4:$S$703,Benefits!$B$4:$B$703,A174,Benefits!$F$4:$F$703,B174,Benefits!$R$4:$R$703,"cash"),0)</f>
        <v>0</v>
      </c>
      <c r="G174" s="11" t="n">
        <f aca="false">IF(D174=1,SUMIFS(Benefits!$S$4:$S$703,Benefits!$B$4:$B$703,A174,Benefits!$F$4:$F$703,B174,Benefits!$R$4:$R$703,"revenue"),0)</f>
        <v>0</v>
      </c>
      <c r="H174" s="11" t="n">
        <f aca="false">IF(D174=1,SUMIFS(Benefits!$S$4:$S$703,Benefits!$B$4:$B$703,A174,Benefits!$F$4:$F$703,B174,Benefits!$R$4:$R$703,"avoided_cost_realised"),0)</f>
        <v>0</v>
      </c>
      <c r="I174" s="11" t="n">
        <f aca="false">IF(D174=1,SUMIFS(Benefits!$S$4:$S$703,Benefits!$B$4:$B$703,A174,Benefits!$F$4:$F$703,B174,Benefits!$R$4:$R$703,"capacity_converted"),0)</f>
        <v>0</v>
      </c>
      <c r="J174" s="11" t="n">
        <f aca="false">SUM(F174:I174)</f>
        <v>0</v>
      </c>
      <c r="K174" s="11" t="n">
        <f aca="false">J174-E174</f>
        <v>0</v>
      </c>
      <c r="L174" s="11" t="n">
        <f aca="false">IF(D174=1,L173+K174,0)</f>
        <v>272066.7509</v>
      </c>
      <c r="M174" s="11" t="n">
        <f aca="false">IF(D174=1,1/(1+Controls!$B$11)^B174,0)</f>
        <v>0.846412758113444</v>
      </c>
      <c r="N174" s="11" t="n">
        <f aca="false">K174*M174</f>
        <v>0</v>
      </c>
      <c r="O174" s="11" t="n">
        <f aca="false">IF(D174=1,O173+N174,0)</f>
        <v>209002.208735687</v>
      </c>
      <c r="P174" s="11" t="n">
        <f aca="false">IF(AND(D174=1,L174&lt;0),1,0)</f>
        <v>0</v>
      </c>
      <c r="Q174" s="11" t="n">
        <f aca="false">IF(AND(D174=1,O174&lt;0),1,0)</f>
        <v>0</v>
      </c>
    </row>
    <row r="175" customFormat="false" ht="15" hidden="false" customHeight="false" outlineLevel="0" collapsed="false">
      <c r="A175" s="4" t="s">
        <v>87</v>
      </c>
      <c r="B175" s="4" t="n">
        <v>27</v>
      </c>
      <c r="C175" s="11" t="n">
        <f aca="false">IF(COUNTIF('Scenario inputs'!$A$4:$A$213,Controls!$B$3&amp;"|"&amp;A175)&gt;0,1,0)</f>
        <v>1</v>
      </c>
      <c r="D175" s="11" t="n">
        <f aca="false">IF(AND(C175=1,B175&lt;Controls!$B$12),1,0)</f>
        <v>1</v>
      </c>
      <c r="E175" s="11" t="n">
        <f aca="false">IF(D175=1,SUMPRODUCT((Costs!$B$4:$B$903=A175)*(Costs!$D$4:$D$903="planned")*(Costs!$J$4:$J$903&lt;=B175)*(Costs!$K$4:$K$903&gt;B175)*Costs!$E$4:$E$903),0)</f>
        <v>0</v>
      </c>
      <c r="F175" s="11" t="n">
        <f aca="false">IF(D175=1,SUMIFS(Benefits!$S$4:$S$703,Benefits!$B$4:$B$703,A175,Benefits!$F$4:$F$703,B175,Benefits!$R$4:$R$703,"cash"),0)</f>
        <v>0</v>
      </c>
      <c r="G175" s="11" t="n">
        <f aca="false">IF(D175=1,SUMIFS(Benefits!$S$4:$S$703,Benefits!$B$4:$B$703,A175,Benefits!$F$4:$F$703,B175,Benefits!$R$4:$R$703,"revenue"),0)</f>
        <v>0</v>
      </c>
      <c r="H175" s="11" t="n">
        <f aca="false">IF(D175=1,SUMIFS(Benefits!$S$4:$S$703,Benefits!$B$4:$B$703,A175,Benefits!$F$4:$F$703,B175,Benefits!$R$4:$R$703,"avoided_cost_realised"),0)</f>
        <v>0</v>
      </c>
      <c r="I175" s="11" t="n">
        <f aca="false">IF(D175=1,SUMIFS(Benefits!$S$4:$S$703,Benefits!$B$4:$B$703,A175,Benefits!$F$4:$F$703,B175,Benefits!$R$4:$R$703,"capacity_converted"),0)</f>
        <v>0</v>
      </c>
      <c r="J175" s="11" t="n">
        <f aca="false">SUM(F175:I175)</f>
        <v>0</v>
      </c>
      <c r="K175" s="11" t="n">
        <f aca="false">J175-E175</f>
        <v>0</v>
      </c>
      <c r="L175" s="11" t="n">
        <f aca="false">IF(D175=1,L174+K175,0)</f>
        <v>272066.7509</v>
      </c>
      <c r="M175" s="11" t="n">
        <f aca="false">IF(D175=1,1/(1+Controls!$B$11)^B175,0)</f>
        <v>0.841001752835699</v>
      </c>
      <c r="N175" s="11" t="n">
        <f aca="false">K175*M175</f>
        <v>0</v>
      </c>
      <c r="O175" s="11" t="n">
        <f aca="false">IF(D175=1,O174+N175,0)</f>
        <v>209002.208735687</v>
      </c>
      <c r="P175" s="11" t="n">
        <f aca="false">IF(AND(D175=1,L175&lt;0),1,0)</f>
        <v>0</v>
      </c>
      <c r="Q175" s="11" t="n">
        <f aca="false">IF(AND(D175=1,O175&lt;0),1,0)</f>
        <v>0</v>
      </c>
    </row>
    <row r="176" customFormat="false" ht="15" hidden="false" customHeight="false" outlineLevel="0" collapsed="false">
      <c r="A176" s="4" t="s">
        <v>87</v>
      </c>
      <c r="B176" s="4" t="n">
        <v>28</v>
      </c>
      <c r="C176" s="11" t="n">
        <f aca="false">IF(COUNTIF('Scenario inputs'!$A$4:$A$213,Controls!$B$3&amp;"|"&amp;A176)&gt;0,1,0)</f>
        <v>1</v>
      </c>
      <c r="D176" s="11" t="n">
        <f aca="false">IF(AND(C176=1,B176&lt;Controls!$B$12),1,0)</f>
        <v>1</v>
      </c>
      <c r="E176" s="11" t="n">
        <f aca="false">IF(D176=1,SUMPRODUCT((Costs!$B$4:$B$903=A176)*(Costs!$D$4:$D$903="planned")*(Costs!$J$4:$J$903&lt;=B176)*(Costs!$K$4:$K$903&gt;B176)*Costs!$E$4:$E$903),0)</f>
        <v>0</v>
      </c>
      <c r="F176" s="11" t="n">
        <f aca="false">IF(D176=1,SUMIFS(Benefits!$S$4:$S$703,Benefits!$B$4:$B$703,A176,Benefits!$F$4:$F$703,B176,Benefits!$R$4:$R$703,"cash"),0)</f>
        <v>0</v>
      </c>
      <c r="G176" s="11" t="n">
        <f aca="false">IF(D176=1,SUMIFS(Benefits!$S$4:$S$703,Benefits!$B$4:$B$703,A176,Benefits!$F$4:$F$703,B176,Benefits!$R$4:$R$703,"revenue"),0)</f>
        <v>0</v>
      </c>
      <c r="H176" s="11" t="n">
        <f aca="false">IF(D176=1,SUMIFS(Benefits!$S$4:$S$703,Benefits!$B$4:$B$703,A176,Benefits!$F$4:$F$703,B176,Benefits!$R$4:$R$703,"avoided_cost_realised"),0)</f>
        <v>0</v>
      </c>
      <c r="I176" s="11" t="n">
        <f aca="false">IF(D176=1,SUMIFS(Benefits!$S$4:$S$703,Benefits!$B$4:$B$703,A176,Benefits!$F$4:$F$703,B176,Benefits!$R$4:$R$703,"capacity_converted"),0)</f>
        <v>0</v>
      </c>
      <c r="J176" s="11" t="n">
        <f aca="false">SUM(F176:I176)</f>
        <v>0</v>
      </c>
      <c r="K176" s="11" t="n">
        <f aca="false">J176-E176</f>
        <v>0</v>
      </c>
      <c r="L176" s="11" t="n">
        <f aca="false">IF(D176=1,L175+K176,0)</f>
        <v>272066.7509</v>
      </c>
      <c r="M176" s="11" t="n">
        <f aca="false">IF(D176=1,1/(1+Controls!$B$11)^B176,0)</f>
        <v>0.835625339401986</v>
      </c>
      <c r="N176" s="11" t="n">
        <f aca="false">K176*M176</f>
        <v>0</v>
      </c>
      <c r="O176" s="11" t="n">
        <f aca="false">IF(D176=1,O175+N176,0)</f>
        <v>209002.208735687</v>
      </c>
      <c r="P176" s="11" t="n">
        <f aca="false">IF(AND(D176=1,L176&lt;0),1,0)</f>
        <v>0</v>
      </c>
      <c r="Q176" s="11" t="n">
        <f aca="false">IF(AND(D176=1,O176&lt;0),1,0)</f>
        <v>0</v>
      </c>
    </row>
    <row r="177" customFormat="false" ht="15" hidden="false" customHeight="false" outlineLevel="0" collapsed="false">
      <c r="A177" s="4" t="s">
        <v>87</v>
      </c>
      <c r="B177" s="4" t="n">
        <v>29</v>
      </c>
      <c r="C177" s="11" t="n">
        <f aca="false">IF(COUNTIF('Scenario inputs'!$A$4:$A$213,Controls!$B$3&amp;"|"&amp;A177)&gt;0,1,0)</f>
        <v>1</v>
      </c>
      <c r="D177" s="11" t="n">
        <f aca="false">IF(AND(C177=1,B177&lt;Controls!$B$12),1,0)</f>
        <v>1</v>
      </c>
      <c r="E177" s="11" t="n">
        <f aca="false">IF(D177=1,SUMPRODUCT((Costs!$B$4:$B$903=A177)*(Costs!$D$4:$D$903="planned")*(Costs!$J$4:$J$903&lt;=B177)*(Costs!$K$4:$K$903&gt;B177)*Costs!$E$4:$E$903),0)</f>
        <v>0</v>
      </c>
      <c r="F177" s="11" t="n">
        <f aca="false">IF(D177=1,SUMIFS(Benefits!$S$4:$S$703,Benefits!$B$4:$B$703,A177,Benefits!$F$4:$F$703,B177,Benefits!$R$4:$R$703,"cash"),0)</f>
        <v>0</v>
      </c>
      <c r="G177" s="11" t="n">
        <f aca="false">IF(D177=1,SUMIFS(Benefits!$S$4:$S$703,Benefits!$B$4:$B$703,A177,Benefits!$F$4:$F$703,B177,Benefits!$R$4:$R$703,"revenue"),0)</f>
        <v>0</v>
      </c>
      <c r="H177" s="11" t="n">
        <f aca="false">IF(D177=1,SUMIFS(Benefits!$S$4:$S$703,Benefits!$B$4:$B$703,A177,Benefits!$F$4:$F$703,B177,Benefits!$R$4:$R$703,"avoided_cost_realised"),0)</f>
        <v>0</v>
      </c>
      <c r="I177" s="11" t="n">
        <f aca="false">IF(D177=1,SUMIFS(Benefits!$S$4:$S$703,Benefits!$B$4:$B$703,A177,Benefits!$F$4:$F$703,B177,Benefits!$R$4:$R$703,"capacity_converted"),0)</f>
        <v>0</v>
      </c>
      <c r="J177" s="11" t="n">
        <f aca="false">SUM(F177:I177)</f>
        <v>0</v>
      </c>
      <c r="K177" s="11" t="n">
        <f aca="false">J177-E177</f>
        <v>0</v>
      </c>
      <c r="L177" s="11" t="n">
        <f aca="false">IF(D177=1,L176+K177,0)</f>
        <v>272066.7509</v>
      </c>
      <c r="M177" s="11" t="n">
        <f aca="false">IF(D177=1,1/(1+Controls!$B$11)^B177,0)</f>
        <v>0.830283296671204</v>
      </c>
      <c r="N177" s="11" t="n">
        <f aca="false">K177*M177</f>
        <v>0</v>
      </c>
      <c r="O177" s="11" t="n">
        <f aca="false">IF(D177=1,O176+N177,0)</f>
        <v>209002.208735687</v>
      </c>
      <c r="P177" s="11" t="n">
        <f aca="false">IF(AND(D177=1,L177&lt;0),1,0)</f>
        <v>0</v>
      </c>
      <c r="Q177" s="11" t="n">
        <f aca="false">IF(AND(D177=1,O177&lt;0),1,0)</f>
        <v>0</v>
      </c>
    </row>
    <row r="178" customFormat="false" ht="15" hidden="false" customHeight="false" outlineLevel="0" collapsed="false">
      <c r="A178" s="4" t="s">
        <v>87</v>
      </c>
      <c r="B178" s="4" t="n">
        <v>30</v>
      </c>
      <c r="C178" s="11" t="n">
        <f aca="false">IF(COUNTIF('Scenario inputs'!$A$4:$A$213,Controls!$B$3&amp;"|"&amp;A178)&gt;0,1,0)</f>
        <v>1</v>
      </c>
      <c r="D178" s="11" t="n">
        <f aca="false">IF(AND(C178=1,B178&lt;Controls!$B$12),1,0)</f>
        <v>1</v>
      </c>
      <c r="E178" s="11" t="n">
        <f aca="false">IF(D178=1,SUMPRODUCT((Costs!$B$4:$B$903=A178)*(Costs!$D$4:$D$903="planned")*(Costs!$J$4:$J$903&lt;=B178)*(Costs!$K$4:$K$903&gt;B178)*Costs!$E$4:$E$903),0)</f>
        <v>0</v>
      </c>
      <c r="F178" s="11" t="n">
        <f aca="false">IF(D178=1,SUMIFS(Benefits!$S$4:$S$703,Benefits!$B$4:$B$703,A178,Benefits!$F$4:$F$703,B178,Benefits!$R$4:$R$703,"cash"),0)</f>
        <v>0</v>
      </c>
      <c r="G178" s="11" t="n">
        <f aca="false">IF(D178=1,SUMIFS(Benefits!$S$4:$S$703,Benefits!$B$4:$B$703,A178,Benefits!$F$4:$F$703,B178,Benefits!$R$4:$R$703,"revenue"),0)</f>
        <v>0</v>
      </c>
      <c r="H178" s="11" t="n">
        <f aca="false">IF(D178=1,SUMIFS(Benefits!$S$4:$S$703,Benefits!$B$4:$B$703,A178,Benefits!$F$4:$F$703,B178,Benefits!$R$4:$R$703,"avoided_cost_realised"),0)</f>
        <v>0</v>
      </c>
      <c r="I178" s="11" t="n">
        <f aca="false">IF(D178=1,SUMIFS(Benefits!$S$4:$S$703,Benefits!$B$4:$B$703,A178,Benefits!$F$4:$F$703,B178,Benefits!$R$4:$R$703,"capacity_converted"),0)</f>
        <v>0</v>
      </c>
      <c r="J178" s="11" t="n">
        <f aca="false">SUM(F178:I178)</f>
        <v>0</v>
      </c>
      <c r="K178" s="11" t="n">
        <f aca="false">J178-E178</f>
        <v>0</v>
      </c>
      <c r="L178" s="11" t="n">
        <f aca="false">IF(D178=1,L177+K178,0)</f>
        <v>272066.7509</v>
      </c>
      <c r="M178" s="11" t="n">
        <f aca="false">IF(D178=1,1/(1+Controls!$B$11)^B178,0)</f>
        <v>0.824975404915974</v>
      </c>
      <c r="N178" s="11" t="n">
        <f aca="false">K178*M178</f>
        <v>0</v>
      </c>
      <c r="O178" s="11" t="n">
        <f aca="false">IF(D178=1,O177+N178,0)</f>
        <v>209002.208735687</v>
      </c>
      <c r="P178" s="11" t="n">
        <f aca="false">IF(AND(D178=1,L178&lt;0),1,0)</f>
        <v>0</v>
      </c>
      <c r="Q178" s="11" t="n">
        <f aca="false">IF(AND(D178=1,O178&lt;0),1,0)</f>
        <v>0</v>
      </c>
    </row>
    <row r="179" customFormat="false" ht="15" hidden="false" customHeight="false" outlineLevel="0" collapsed="false">
      <c r="A179" s="4" t="s">
        <v>87</v>
      </c>
      <c r="B179" s="4" t="n">
        <v>31</v>
      </c>
      <c r="C179" s="11" t="n">
        <f aca="false">IF(COUNTIF('Scenario inputs'!$A$4:$A$213,Controls!$B$3&amp;"|"&amp;A179)&gt;0,1,0)</f>
        <v>1</v>
      </c>
      <c r="D179" s="11" t="n">
        <f aca="false">IF(AND(C179=1,B179&lt;Controls!$B$12),1,0)</f>
        <v>1</v>
      </c>
      <c r="E179" s="11" t="n">
        <f aca="false">IF(D179=1,SUMPRODUCT((Costs!$B$4:$B$903=A179)*(Costs!$D$4:$D$903="planned")*(Costs!$J$4:$J$903&lt;=B179)*(Costs!$K$4:$K$903&gt;B179)*Costs!$E$4:$E$903),0)</f>
        <v>0</v>
      </c>
      <c r="F179" s="11" t="n">
        <f aca="false">IF(D179=1,SUMIFS(Benefits!$S$4:$S$703,Benefits!$B$4:$B$703,A179,Benefits!$F$4:$F$703,B179,Benefits!$R$4:$R$703,"cash"),0)</f>
        <v>0</v>
      </c>
      <c r="G179" s="11" t="n">
        <f aca="false">IF(D179=1,SUMIFS(Benefits!$S$4:$S$703,Benefits!$B$4:$B$703,A179,Benefits!$F$4:$F$703,B179,Benefits!$R$4:$R$703,"revenue"),0)</f>
        <v>0</v>
      </c>
      <c r="H179" s="11" t="n">
        <f aca="false">IF(D179=1,SUMIFS(Benefits!$S$4:$S$703,Benefits!$B$4:$B$703,A179,Benefits!$F$4:$F$703,B179,Benefits!$R$4:$R$703,"avoided_cost_realised"),0)</f>
        <v>0</v>
      </c>
      <c r="I179" s="11" t="n">
        <f aca="false">IF(D179=1,SUMIFS(Benefits!$S$4:$S$703,Benefits!$B$4:$B$703,A179,Benefits!$F$4:$F$703,B179,Benefits!$R$4:$R$703,"capacity_converted"),0)</f>
        <v>0</v>
      </c>
      <c r="J179" s="11" t="n">
        <f aca="false">SUM(F179:I179)</f>
        <v>0</v>
      </c>
      <c r="K179" s="11" t="n">
        <f aca="false">J179-E179</f>
        <v>0</v>
      </c>
      <c r="L179" s="11" t="n">
        <f aca="false">IF(D179=1,L178+K179,0)</f>
        <v>272066.7509</v>
      </c>
      <c r="M179" s="11" t="n">
        <f aca="false">IF(D179=1,1/(1+Controls!$B$11)^B179,0)</f>
        <v>0.81970144581361</v>
      </c>
      <c r="N179" s="11" t="n">
        <f aca="false">K179*M179</f>
        <v>0</v>
      </c>
      <c r="O179" s="11" t="n">
        <f aca="false">IF(D179=1,O178+N179,0)</f>
        <v>209002.208735687</v>
      </c>
      <c r="P179" s="11" t="n">
        <f aca="false">IF(AND(D179=1,L179&lt;0),1,0)</f>
        <v>0</v>
      </c>
      <c r="Q179" s="11" t="n">
        <f aca="false">IF(AND(D179=1,O179&lt;0),1,0)</f>
        <v>0</v>
      </c>
    </row>
    <row r="180" customFormat="false" ht="15" hidden="false" customHeight="false" outlineLevel="0" collapsed="false">
      <c r="A180" s="4" t="s">
        <v>87</v>
      </c>
      <c r="B180" s="4" t="n">
        <v>32</v>
      </c>
      <c r="C180" s="11" t="n">
        <f aca="false">IF(COUNTIF('Scenario inputs'!$A$4:$A$213,Controls!$B$3&amp;"|"&amp;A180)&gt;0,1,0)</f>
        <v>1</v>
      </c>
      <c r="D180" s="11" t="n">
        <f aca="false">IF(AND(C180=1,B180&lt;Controls!$B$12),1,0)</f>
        <v>1</v>
      </c>
      <c r="E180" s="11" t="n">
        <f aca="false">IF(D180=1,SUMPRODUCT((Costs!$B$4:$B$903=A180)*(Costs!$D$4:$D$903="planned")*(Costs!$J$4:$J$903&lt;=B180)*(Costs!$K$4:$K$903&gt;B180)*Costs!$E$4:$E$903),0)</f>
        <v>0</v>
      </c>
      <c r="F180" s="11" t="n">
        <f aca="false">IF(D180=1,SUMIFS(Benefits!$S$4:$S$703,Benefits!$B$4:$B$703,A180,Benefits!$F$4:$F$703,B180,Benefits!$R$4:$R$703,"cash"),0)</f>
        <v>0</v>
      </c>
      <c r="G180" s="11" t="n">
        <f aca="false">IF(D180=1,SUMIFS(Benefits!$S$4:$S$703,Benefits!$B$4:$B$703,A180,Benefits!$F$4:$F$703,B180,Benefits!$R$4:$R$703,"revenue"),0)</f>
        <v>0</v>
      </c>
      <c r="H180" s="11" t="n">
        <f aca="false">IF(D180=1,SUMIFS(Benefits!$S$4:$S$703,Benefits!$B$4:$B$703,A180,Benefits!$F$4:$F$703,B180,Benefits!$R$4:$R$703,"avoided_cost_realised"),0)</f>
        <v>0</v>
      </c>
      <c r="I180" s="11" t="n">
        <f aca="false">IF(D180=1,SUMIFS(Benefits!$S$4:$S$703,Benefits!$B$4:$B$703,A180,Benefits!$F$4:$F$703,B180,Benefits!$R$4:$R$703,"capacity_converted"),0)</f>
        <v>0</v>
      </c>
      <c r="J180" s="11" t="n">
        <f aca="false">SUM(F180:I180)</f>
        <v>0</v>
      </c>
      <c r="K180" s="11" t="n">
        <f aca="false">J180-E180</f>
        <v>0</v>
      </c>
      <c r="L180" s="11" t="n">
        <f aca="false">IF(D180=1,L179+K180,0)</f>
        <v>272066.7509</v>
      </c>
      <c r="M180" s="11" t="n">
        <f aca="false">IF(D180=1,1/(1+Controls!$B$11)^B180,0)</f>
        <v>0.814461202437129</v>
      </c>
      <c r="N180" s="11" t="n">
        <f aca="false">K180*M180</f>
        <v>0</v>
      </c>
      <c r="O180" s="11" t="n">
        <f aca="false">IF(D180=1,O179+N180,0)</f>
        <v>209002.208735687</v>
      </c>
      <c r="P180" s="11" t="n">
        <f aca="false">IF(AND(D180=1,L180&lt;0),1,0)</f>
        <v>0</v>
      </c>
      <c r="Q180" s="11" t="n">
        <f aca="false">IF(AND(D180=1,O180&lt;0),1,0)</f>
        <v>0</v>
      </c>
    </row>
    <row r="181" customFormat="false" ht="15" hidden="false" customHeight="false" outlineLevel="0" collapsed="false">
      <c r="A181" s="4" t="s">
        <v>87</v>
      </c>
      <c r="B181" s="4" t="n">
        <v>33</v>
      </c>
      <c r="C181" s="11" t="n">
        <f aca="false">IF(COUNTIF('Scenario inputs'!$A$4:$A$213,Controls!$B$3&amp;"|"&amp;A181)&gt;0,1,0)</f>
        <v>1</v>
      </c>
      <c r="D181" s="11" t="n">
        <f aca="false">IF(AND(C181=1,B181&lt;Controls!$B$12),1,0)</f>
        <v>1</v>
      </c>
      <c r="E181" s="11" t="n">
        <f aca="false">IF(D181=1,SUMPRODUCT((Costs!$B$4:$B$903=A181)*(Costs!$D$4:$D$903="planned")*(Costs!$J$4:$J$903&lt;=B181)*(Costs!$K$4:$K$903&gt;B181)*Costs!$E$4:$E$903),0)</f>
        <v>0</v>
      </c>
      <c r="F181" s="11" t="n">
        <f aca="false">IF(D181=1,SUMIFS(Benefits!$S$4:$S$703,Benefits!$B$4:$B$703,A181,Benefits!$F$4:$F$703,B181,Benefits!$R$4:$R$703,"cash"),0)</f>
        <v>0</v>
      </c>
      <c r="G181" s="11" t="n">
        <f aca="false">IF(D181=1,SUMIFS(Benefits!$S$4:$S$703,Benefits!$B$4:$B$703,A181,Benefits!$F$4:$F$703,B181,Benefits!$R$4:$R$703,"revenue"),0)</f>
        <v>0</v>
      </c>
      <c r="H181" s="11" t="n">
        <f aca="false">IF(D181=1,SUMIFS(Benefits!$S$4:$S$703,Benefits!$B$4:$B$703,A181,Benefits!$F$4:$F$703,B181,Benefits!$R$4:$R$703,"avoided_cost_realised"),0)</f>
        <v>0</v>
      </c>
      <c r="I181" s="11" t="n">
        <f aca="false">IF(D181=1,SUMIFS(Benefits!$S$4:$S$703,Benefits!$B$4:$B$703,A181,Benefits!$F$4:$F$703,B181,Benefits!$R$4:$R$703,"capacity_converted"),0)</f>
        <v>0</v>
      </c>
      <c r="J181" s="11" t="n">
        <f aca="false">SUM(F181:I181)</f>
        <v>0</v>
      </c>
      <c r="K181" s="11" t="n">
        <f aca="false">J181-E181</f>
        <v>0</v>
      </c>
      <c r="L181" s="11" t="n">
        <f aca="false">IF(D181=1,L180+K181,0)</f>
        <v>272066.7509</v>
      </c>
      <c r="M181" s="11" t="n">
        <f aca="false">IF(D181=1,1/(1+Controls!$B$11)^B181,0)</f>
        <v>0.809254459246338</v>
      </c>
      <c r="N181" s="11" t="n">
        <f aca="false">K181*M181</f>
        <v>0</v>
      </c>
      <c r="O181" s="11" t="n">
        <f aca="false">IF(D181=1,O180+N181,0)</f>
        <v>209002.208735687</v>
      </c>
      <c r="P181" s="11" t="n">
        <f aca="false">IF(AND(D181=1,L181&lt;0),1,0)</f>
        <v>0</v>
      </c>
      <c r="Q181" s="11" t="n">
        <f aca="false">IF(AND(D181=1,O181&lt;0),1,0)</f>
        <v>0</v>
      </c>
    </row>
    <row r="182" customFormat="false" ht="15" hidden="false" customHeight="false" outlineLevel="0" collapsed="false">
      <c r="A182" s="4" t="s">
        <v>87</v>
      </c>
      <c r="B182" s="4" t="n">
        <v>34</v>
      </c>
      <c r="C182" s="11" t="n">
        <f aca="false">IF(COUNTIF('Scenario inputs'!$A$4:$A$213,Controls!$B$3&amp;"|"&amp;A182)&gt;0,1,0)</f>
        <v>1</v>
      </c>
      <c r="D182" s="11" t="n">
        <f aca="false">IF(AND(C182=1,B182&lt;Controls!$B$12),1,0)</f>
        <v>1</v>
      </c>
      <c r="E182" s="11" t="n">
        <f aca="false">IF(D182=1,SUMPRODUCT((Costs!$B$4:$B$903=A182)*(Costs!$D$4:$D$903="planned")*(Costs!$J$4:$J$903&lt;=B182)*(Costs!$K$4:$K$903&gt;B182)*Costs!$E$4:$E$903),0)</f>
        <v>0</v>
      </c>
      <c r="F182" s="11" t="n">
        <f aca="false">IF(D182=1,SUMIFS(Benefits!$S$4:$S$703,Benefits!$B$4:$B$703,A182,Benefits!$F$4:$F$703,B182,Benefits!$R$4:$R$703,"cash"),0)</f>
        <v>0</v>
      </c>
      <c r="G182" s="11" t="n">
        <f aca="false">IF(D182=1,SUMIFS(Benefits!$S$4:$S$703,Benefits!$B$4:$B$703,A182,Benefits!$F$4:$F$703,B182,Benefits!$R$4:$R$703,"revenue"),0)</f>
        <v>0</v>
      </c>
      <c r="H182" s="11" t="n">
        <f aca="false">IF(D182=1,SUMIFS(Benefits!$S$4:$S$703,Benefits!$B$4:$B$703,A182,Benefits!$F$4:$F$703,B182,Benefits!$R$4:$R$703,"avoided_cost_realised"),0)</f>
        <v>0</v>
      </c>
      <c r="I182" s="11" t="n">
        <f aca="false">IF(D182=1,SUMIFS(Benefits!$S$4:$S$703,Benefits!$B$4:$B$703,A182,Benefits!$F$4:$F$703,B182,Benefits!$R$4:$R$703,"capacity_converted"),0)</f>
        <v>0</v>
      </c>
      <c r="J182" s="11" t="n">
        <f aca="false">SUM(F182:I182)</f>
        <v>0</v>
      </c>
      <c r="K182" s="11" t="n">
        <f aca="false">J182-E182</f>
        <v>0</v>
      </c>
      <c r="L182" s="11" t="n">
        <f aca="false">IF(D182=1,L181+K182,0)</f>
        <v>272066.7509</v>
      </c>
      <c r="M182" s="11" t="n">
        <f aca="false">IF(D182=1,1/(1+Controls!$B$11)^B182,0)</f>
        <v>0.804081002078962</v>
      </c>
      <c r="N182" s="11" t="n">
        <f aca="false">K182*M182</f>
        <v>0</v>
      </c>
      <c r="O182" s="11" t="n">
        <f aca="false">IF(D182=1,O181+N182,0)</f>
        <v>209002.208735687</v>
      </c>
      <c r="P182" s="11" t="n">
        <f aca="false">IF(AND(D182=1,L182&lt;0),1,0)</f>
        <v>0</v>
      </c>
      <c r="Q182" s="11" t="n">
        <f aca="false">IF(AND(D182=1,O182&lt;0),1,0)</f>
        <v>0</v>
      </c>
    </row>
    <row r="183" customFormat="false" ht="15" hidden="false" customHeight="false" outlineLevel="0" collapsed="false">
      <c r="A183" s="4" t="s">
        <v>87</v>
      </c>
      <c r="B183" s="4" t="n">
        <v>35</v>
      </c>
      <c r="C183" s="11" t="n">
        <f aca="false">IF(COUNTIF('Scenario inputs'!$A$4:$A$213,Controls!$B$3&amp;"|"&amp;A183)&gt;0,1,0)</f>
        <v>1</v>
      </c>
      <c r="D183" s="11" t="n">
        <f aca="false">IF(AND(C183=1,B183&lt;Controls!$B$12),1,0)</f>
        <v>1</v>
      </c>
      <c r="E183" s="11" t="n">
        <f aca="false">IF(D183=1,SUMPRODUCT((Costs!$B$4:$B$903=A183)*(Costs!$D$4:$D$903="planned")*(Costs!$J$4:$J$903&lt;=B183)*(Costs!$K$4:$K$903&gt;B183)*Costs!$E$4:$E$903),0)</f>
        <v>0</v>
      </c>
      <c r="F183" s="11" t="n">
        <f aca="false">IF(D183=1,SUMIFS(Benefits!$S$4:$S$703,Benefits!$B$4:$B$703,A183,Benefits!$F$4:$F$703,B183,Benefits!$R$4:$R$703,"cash"),0)</f>
        <v>0</v>
      </c>
      <c r="G183" s="11" t="n">
        <f aca="false">IF(D183=1,SUMIFS(Benefits!$S$4:$S$703,Benefits!$B$4:$B$703,A183,Benefits!$F$4:$F$703,B183,Benefits!$R$4:$R$703,"revenue"),0)</f>
        <v>0</v>
      </c>
      <c r="H183" s="11" t="n">
        <f aca="false">IF(D183=1,SUMIFS(Benefits!$S$4:$S$703,Benefits!$B$4:$B$703,A183,Benefits!$F$4:$F$703,B183,Benefits!$R$4:$R$703,"avoided_cost_realised"),0)</f>
        <v>0</v>
      </c>
      <c r="I183" s="11" t="n">
        <f aca="false">IF(D183=1,SUMIFS(Benefits!$S$4:$S$703,Benefits!$B$4:$B$703,A183,Benefits!$F$4:$F$703,B183,Benefits!$R$4:$R$703,"capacity_converted"),0)</f>
        <v>0</v>
      </c>
      <c r="J183" s="11" t="n">
        <f aca="false">SUM(F183:I183)</f>
        <v>0</v>
      </c>
      <c r="K183" s="11" t="n">
        <f aca="false">J183-E183</f>
        <v>0</v>
      </c>
      <c r="L183" s="11" t="n">
        <f aca="false">IF(D183=1,L182+K183,0)</f>
        <v>272066.7509</v>
      </c>
      <c r="M183" s="11" t="n">
        <f aca="false">IF(D183=1,1/(1+Controls!$B$11)^B183,0)</f>
        <v>0.798940618141837</v>
      </c>
      <c r="N183" s="11" t="n">
        <f aca="false">K183*M183</f>
        <v>0</v>
      </c>
      <c r="O183" s="11" t="n">
        <f aca="false">IF(D183=1,O182+N183,0)</f>
        <v>209002.208735687</v>
      </c>
      <c r="P183" s="11" t="n">
        <f aca="false">IF(AND(D183=1,L183&lt;0),1,0)</f>
        <v>0</v>
      </c>
      <c r="Q183" s="11" t="n">
        <f aca="false">IF(AND(D183=1,O183&lt;0),1,0)</f>
        <v>0</v>
      </c>
    </row>
    <row r="184" customFormat="false" ht="15" hidden="false" customHeight="false" outlineLevel="0" collapsed="false">
      <c r="A184" s="4" t="s">
        <v>88</v>
      </c>
      <c r="B184" s="4" t="n">
        <v>0</v>
      </c>
      <c r="C184" s="11" t="n">
        <f aca="false">IF(COUNTIF('Scenario inputs'!$A$4:$A$213,Controls!$B$3&amp;"|"&amp;A184)&gt;0,1,0)</f>
        <v>1</v>
      </c>
      <c r="D184" s="11" t="n">
        <f aca="false">IF(AND(C184=1,B184&lt;Controls!$B$12),1,0)</f>
        <v>1</v>
      </c>
      <c r="E184" s="11" t="n">
        <f aca="false">IF(D184=1,SUMPRODUCT((Costs!$B$4:$B$903=A184)*(Costs!$D$4:$D$903="planned")*(Costs!$J$4:$J$903&lt;=B184)*(Costs!$K$4:$K$903&gt;B184)*Costs!$E$4:$E$903),0)</f>
        <v>9000</v>
      </c>
      <c r="F184" s="11" t="n">
        <f aca="false">IF(D184=1,SUMIFS(Benefits!$S$4:$S$703,Benefits!$B$4:$B$703,A184,Benefits!$F$4:$F$703,B184,Benefits!$R$4:$R$703,"cash"),0)</f>
        <v>0</v>
      </c>
      <c r="G184" s="11" t="n">
        <f aca="false">IF(D184=1,SUMIFS(Benefits!$S$4:$S$703,Benefits!$B$4:$B$703,A184,Benefits!$F$4:$F$703,B184,Benefits!$R$4:$R$703,"revenue"),0)</f>
        <v>0</v>
      </c>
      <c r="H184" s="11" t="n">
        <f aca="false">IF(D184=1,SUMIFS(Benefits!$S$4:$S$703,Benefits!$B$4:$B$703,A184,Benefits!$F$4:$F$703,B184,Benefits!$R$4:$R$703,"avoided_cost_realised"),0)</f>
        <v>0</v>
      </c>
      <c r="I184" s="11" t="n">
        <f aca="false">IF(D184=1,SUMIFS(Benefits!$S$4:$S$703,Benefits!$B$4:$B$703,A184,Benefits!$F$4:$F$703,B184,Benefits!$R$4:$R$703,"capacity_converted"),0)</f>
        <v>0</v>
      </c>
      <c r="J184" s="11" t="n">
        <f aca="false">SUM(F184:I184)</f>
        <v>0</v>
      </c>
      <c r="K184" s="11" t="n">
        <f aca="false">J184-E184</f>
        <v>-9000</v>
      </c>
      <c r="L184" s="11" t="n">
        <f aca="false">IF(D184=1,K184,0)</f>
        <v>-9000</v>
      </c>
      <c r="M184" s="11" t="n">
        <f aca="false">IF(D184=1,1/(1+Controls!$B$11)^B184,0)</f>
        <v>1</v>
      </c>
      <c r="N184" s="11" t="n">
        <f aca="false">K184*M184</f>
        <v>-9000</v>
      </c>
      <c r="O184" s="11" t="n">
        <f aca="false">IF(D184=1,N184,0)</f>
        <v>-9000</v>
      </c>
      <c r="P184" s="11" t="n">
        <f aca="false">IF(AND(D184=1,L184&lt;0),1,0)</f>
        <v>1</v>
      </c>
      <c r="Q184" s="11" t="n">
        <f aca="false">IF(AND(D184=1,O184&lt;0),1,0)</f>
        <v>1</v>
      </c>
    </row>
    <row r="185" customFormat="false" ht="15" hidden="false" customHeight="false" outlineLevel="0" collapsed="false">
      <c r="A185" s="4" t="s">
        <v>88</v>
      </c>
      <c r="B185" s="4" t="n">
        <v>1</v>
      </c>
      <c r="C185" s="11" t="n">
        <f aca="false">IF(COUNTIF('Scenario inputs'!$A$4:$A$213,Controls!$B$3&amp;"|"&amp;A185)&gt;0,1,0)</f>
        <v>1</v>
      </c>
      <c r="D185" s="11" t="n">
        <f aca="false">IF(AND(C185=1,B185&lt;Controls!$B$12),1,0)</f>
        <v>1</v>
      </c>
      <c r="E185" s="11" t="n">
        <f aca="false">IF(D185=1,SUMPRODUCT((Costs!$B$4:$B$903=A185)*(Costs!$D$4:$D$903="planned")*(Costs!$J$4:$J$903&lt;=B185)*(Costs!$K$4:$K$903&gt;B185)*Costs!$E$4:$E$903),0)</f>
        <v>0</v>
      </c>
      <c r="F185" s="11" t="n">
        <f aca="false">IF(D185=1,SUMIFS(Benefits!$S$4:$S$703,Benefits!$B$4:$B$703,A185,Benefits!$F$4:$F$703,B185,Benefits!$R$4:$R$703,"cash"),0)</f>
        <v>0</v>
      </c>
      <c r="G185" s="11" t="n">
        <f aca="false">IF(D185=1,SUMIFS(Benefits!$S$4:$S$703,Benefits!$B$4:$B$703,A185,Benefits!$F$4:$F$703,B185,Benefits!$R$4:$R$703,"revenue"),0)</f>
        <v>0</v>
      </c>
      <c r="H185" s="11" t="n">
        <f aca="false">IF(D185=1,SUMIFS(Benefits!$S$4:$S$703,Benefits!$B$4:$B$703,A185,Benefits!$F$4:$F$703,B185,Benefits!$R$4:$R$703,"avoided_cost_realised"),0)</f>
        <v>0</v>
      </c>
      <c r="I185" s="11" t="n">
        <f aca="false">IF(D185=1,SUMIFS(Benefits!$S$4:$S$703,Benefits!$B$4:$B$703,A185,Benefits!$F$4:$F$703,B185,Benefits!$R$4:$R$703,"capacity_converted"),0)</f>
        <v>0</v>
      </c>
      <c r="J185" s="11" t="n">
        <f aca="false">SUM(F185:I185)</f>
        <v>0</v>
      </c>
      <c r="K185" s="11" t="n">
        <f aca="false">J185-E185</f>
        <v>0</v>
      </c>
      <c r="L185" s="11" t="n">
        <f aca="false">IF(D185=1,L184+K185,0)</f>
        <v>-9000</v>
      </c>
      <c r="M185" s="11" t="n">
        <f aca="false">IF(D185=1,1/(1+Controls!$B$11)^B185,0)</f>
        <v>0.993607131714549</v>
      </c>
      <c r="N185" s="11" t="n">
        <f aca="false">K185*M185</f>
        <v>0</v>
      </c>
      <c r="O185" s="11" t="n">
        <f aca="false">IF(D185=1,O184+N185,0)</f>
        <v>-9000</v>
      </c>
      <c r="P185" s="11" t="n">
        <f aca="false">IF(AND(D185=1,L185&lt;0),1,0)</f>
        <v>1</v>
      </c>
      <c r="Q185" s="11" t="n">
        <f aca="false">IF(AND(D185=1,O185&lt;0),1,0)</f>
        <v>1</v>
      </c>
    </row>
    <row r="186" customFormat="false" ht="15" hidden="false" customHeight="false" outlineLevel="0" collapsed="false">
      <c r="A186" s="4" t="s">
        <v>88</v>
      </c>
      <c r="B186" s="4" t="n">
        <v>2</v>
      </c>
      <c r="C186" s="11" t="n">
        <f aca="false">IF(COUNTIF('Scenario inputs'!$A$4:$A$213,Controls!$B$3&amp;"|"&amp;A186)&gt;0,1,0)</f>
        <v>1</v>
      </c>
      <c r="D186" s="11" t="n">
        <f aca="false">IF(AND(C186=1,B186&lt;Controls!$B$12),1,0)</f>
        <v>1</v>
      </c>
      <c r="E186" s="11" t="n">
        <f aca="false">IF(D186=1,SUMPRODUCT((Costs!$B$4:$B$903=A186)*(Costs!$D$4:$D$903="planned")*(Costs!$J$4:$J$903&lt;=B186)*(Costs!$K$4:$K$903&gt;B186)*Costs!$E$4:$E$903),0)</f>
        <v>0</v>
      </c>
      <c r="F186" s="11" t="n">
        <f aca="false">IF(D186=1,SUMIFS(Benefits!$S$4:$S$703,Benefits!$B$4:$B$703,A186,Benefits!$F$4:$F$703,B186,Benefits!$R$4:$R$703,"cash"),0)</f>
        <v>0</v>
      </c>
      <c r="G186" s="11" t="n">
        <f aca="false">IF(D186=1,SUMIFS(Benefits!$S$4:$S$703,Benefits!$B$4:$B$703,A186,Benefits!$F$4:$F$703,B186,Benefits!$R$4:$R$703,"revenue"),0)</f>
        <v>0</v>
      </c>
      <c r="H186" s="11" t="n">
        <f aca="false">IF(D186=1,SUMIFS(Benefits!$S$4:$S$703,Benefits!$B$4:$B$703,A186,Benefits!$F$4:$F$703,B186,Benefits!$R$4:$R$703,"avoided_cost_realised"),0)</f>
        <v>0</v>
      </c>
      <c r="I186" s="11" t="n">
        <f aca="false">IF(D186=1,SUMIFS(Benefits!$S$4:$S$703,Benefits!$B$4:$B$703,A186,Benefits!$F$4:$F$703,B186,Benefits!$R$4:$R$703,"capacity_converted"),0)</f>
        <v>0</v>
      </c>
      <c r="J186" s="11" t="n">
        <f aca="false">SUM(F186:I186)</f>
        <v>0</v>
      </c>
      <c r="K186" s="11" t="n">
        <f aca="false">J186-E186</f>
        <v>0</v>
      </c>
      <c r="L186" s="11" t="n">
        <f aca="false">IF(D186=1,L185+K186,0)</f>
        <v>-9000</v>
      </c>
      <c r="M186" s="11" t="n">
        <f aca="false">IF(D186=1,1/(1+Controls!$B$11)^B186,0)</f>
        <v>0.987255132194012</v>
      </c>
      <c r="N186" s="11" t="n">
        <f aca="false">K186*M186</f>
        <v>0</v>
      </c>
      <c r="O186" s="11" t="n">
        <f aca="false">IF(D186=1,O185+N186,0)</f>
        <v>-9000</v>
      </c>
      <c r="P186" s="11" t="n">
        <f aca="false">IF(AND(D186=1,L186&lt;0),1,0)</f>
        <v>1</v>
      </c>
      <c r="Q186" s="11" t="n">
        <f aca="false">IF(AND(D186=1,O186&lt;0),1,0)</f>
        <v>1</v>
      </c>
    </row>
    <row r="187" customFormat="false" ht="15" hidden="false" customHeight="false" outlineLevel="0" collapsed="false">
      <c r="A187" s="4" t="s">
        <v>88</v>
      </c>
      <c r="B187" s="4" t="n">
        <v>3</v>
      </c>
      <c r="C187" s="11" t="n">
        <f aca="false">IF(COUNTIF('Scenario inputs'!$A$4:$A$213,Controls!$B$3&amp;"|"&amp;A187)&gt;0,1,0)</f>
        <v>1</v>
      </c>
      <c r="D187" s="11" t="n">
        <f aca="false">IF(AND(C187=1,B187&lt;Controls!$B$12),1,0)</f>
        <v>1</v>
      </c>
      <c r="E187" s="11" t="n">
        <f aca="false">IF(D187=1,SUMPRODUCT((Costs!$B$4:$B$903=A187)*(Costs!$D$4:$D$903="planned")*(Costs!$J$4:$J$903&lt;=B187)*(Costs!$K$4:$K$903&gt;B187)*Costs!$E$4:$E$903),0)</f>
        <v>0</v>
      </c>
      <c r="F187" s="11" t="n">
        <f aca="false">IF(D187=1,SUMIFS(Benefits!$S$4:$S$703,Benefits!$B$4:$B$703,A187,Benefits!$F$4:$F$703,B187,Benefits!$R$4:$R$703,"cash"),0)</f>
        <v>0</v>
      </c>
      <c r="G187" s="11" t="n">
        <f aca="false">IF(D187=1,SUMIFS(Benefits!$S$4:$S$703,Benefits!$B$4:$B$703,A187,Benefits!$F$4:$F$703,B187,Benefits!$R$4:$R$703,"revenue"),0)</f>
        <v>0</v>
      </c>
      <c r="H187" s="11" t="n">
        <f aca="false">IF(D187=1,SUMIFS(Benefits!$S$4:$S$703,Benefits!$B$4:$B$703,A187,Benefits!$F$4:$F$703,B187,Benefits!$R$4:$R$703,"avoided_cost_realised"),0)</f>
        <v>0</v>
      </c>
      <c r="I187" s="11" t="n">
        <f aca="false">IF(D187=1,SUMIFS(Benefits!$S$4:$S$703,Benefits!$B$4:$B$703,A187,Benefits!$F$4:$F$703,B187,Benefits!$R$4:$R$703,"capacity_converted"),0)</f>
        <v>0</v>
      </c>
      <c r="J187" s="11" t="n">
        <f aca="false">SUM(F187:I187)</f>
        <v>0</v>
      </c>
      <c r="K187" s="11" t="n">
        <f aca="false">J187-E187</f>
        <v>0</v>
      </c>
      <c r="L187" s="11" t="n">
        <f aca="false">IF(D187=1,L186+K187,0)</f>
        <v>-9000</v>
      </c>
      <c r="M187" s="11" t="n">
        <f aca="false">IF(D187=1,1/(1+Controls!$B$11)^B187,0)</f>
        <v>0.98094374016976</v>
      </c>
      <c r="N187" s="11" t="n">
        <f aca="false">K187*M187</f>
        <v>0</v>
      </c>
      <c r="O187" s="11" t="n">
        <f aca="false">IF(D187=1,O186+N187,0)</f>
        <v>-9000</v>
      </c>
      <c r="P187" s="11" t="n">
        <f aca="false">IF(AND(D187=1,L187&lt;0),1,0)</f>
        <v>1</v>
      </c>
      <c r="Q187" s="11" t="n">
        <f aca="false">IF(AND(D187=1,O187&lt;0),1,0)</f>
        <v>1</v>
      </c>
    </row>
    <row r="188" customFormat="false" ht="15" hidden="false" customHeight="false" outlineLevel="0" collapsed="false">
      <c r="A188" s="4" t="s">
        <v>88</v>
      </c>
      <c r="B188" s="4" t="n">
        <v>4</v>
      </c>
      <c r="C188" s="11" t="n">
        <f aca="false">IF(COUNTIF('Scenario inputs'!$A$4:$A$213,Controls!$B$3&amp;"|"&amp;A188)&gt;0,1,0)</f>
        <v>1</v>
      </c>
      <c r="D188" s="11" t="n">
        <f aca="false">IF(AND(C188=1,B188&lt;Controls!$B$12),1,0)</f>
        <v>1</v>
      </c>
      <c r="E188" s="11" t="n">
        <f aca="false">IF(D188=1,SUMPRODUCT((Costs!$B$4:$B$903=A188)*(Costs!$D$4:$D$903="planned")*(Costs!$J$4:$J$903&lt;=B188)*(Costs!$K$4:$K$903&gt;B188)*Costs!$E$4:$E$903),0)</f>
        <v>0</v>
      </c>
      <c r="F188" s="11" t="n">
        <f aca="false">IF(D188=1,SUMIFS(Benefits!$S$4:$S$703,Benefits!$B$4:$B$703,A188,Benefits!$F$4:$F$703,B188,Benefits!$R$4:$R$703,"cash"),0)</f>
        <v>0</v>
      </c>
      <c r="G188" s="11" t="n">
        <f aca="false">IF(D188=1,SUMIFS(Benefits!$S$4:$S$703,Benefits!$B$4:$B$703,A188,Benefits!$F$4:$F$703,B188,Benefits!$R$4:$R$703,"revenue"),0)</f>
        <v>0</v>
      </c>
      <c r="H188" s="11" t="n">
        <f aca="false">IF(D188=1,SUMIFS(Benefits!$S$4:$S$703,Benefits!$B$4:$B$703,A188,Benefits!$F$4:$F$703,B188,Benefits!$R$4:$R$703,"avoided_cost_realised"),0)</f>
        <v>0</v>
      </c>
      <c r="I188" s="11" t="n">
        <f aca="false">IF(D188=1,SUMIFS(Benefits!$S$4:$S$703,Benefits!$B$4:$B$703,A188,Benefits!$F$4:$F$703,B188,Benefits!$R$4:$R$703,"capacity_converted"),0)</f>
        <v>0</v>
      </c>
      <c r="J188" s="11" t="n">
        <f aca="false">SUM(F188:I188)</f>
        <v>0</v>
      </c>
      <c r="K188" s="11" t="n">
        <f aca="false">J188-E188</f>
        <v>0</v>
      </c>
      <c r="L188" s="11" t="n">
        <f aca="false">IF(D188=1,L187+K188,0)</f>
        <v>-9000</v>
      </c>
      <c r="M188" s="11" t="n">
        <f aca="false">IF(D188=1,1/(1+Controls!$B$11)^B188,0)</f>
        <v>0.974672696043417</v>
      </c>
      <c r="N188" s="11" t="n">
        <f aca="false">K188*M188</f>
        <v>0</v>
      </c>
      <c r="O188" s="11" t="n">
        <f aca="false">IF(D188=1,O187+N188,0)</f>
        <v>-9000</v>
      </c>
      <c r="P188" s="11" t="n">
        <f aca="false">IF(AND(D188=1,L188&lt;0),1,0)</f>
        <v>1</v>
      </c>
      <c r="Q188" s="11" t="n">
        <f aca="false">IF(AND(D188=1,O188&lt;0),1,0)</f>
        <v>1</v>
      </c>
    </row>
    <row r="189" customFormat="false" ht="15" hidden="false" customHeight="false" outlineLevel="0" collapsed="false">
      <c r="A189" s="4" t="s">
        <v>88</v>
      </c>
      <c r="B189" s="4" t="n">
        <v>5</v>
      </c>
      <c r="C189" s="11" t="n">
        <f aca="false">IF(COUNTIF('Scenario inputs'!$A$4:$A$213,Controls!$B$3&amp;"|"&amp;A189)&gt;0,1,0)</f>
        <v>1</v>
      </c>
      <c r="D189" s="11" t="n">
        <f aca="false">IF(AND(C189=1,B189&lt;Controls!$B$12),1,0)</f>
        <v>1</v>
      </c>
      <c r="E189" s="11" t="n">
        <f aca="false">IF(D189=1,SUMPRODUCT((Costs!$B$4:$B$903=A189)*(Costs!$D$4:$D$903="planned")*(Costs!$J$4:$J$903&lt;=B189)*(Costs!$K$4:$K$903&gt;B189)*Costs!$E$4:$E$903),0)</f>
        <v>0</v>
      </c>
      <c r="F189" s="11" t="n">
        <f aca="false">IF(D189=1,SUMIFS(Benefits!$S$4:$S$703,Benefits!$B$4:$B$703,A189,Benefits!$F$4:$F$703,B189,Benefits!$R$4:$R$703,"cash"),0)</f>
        <v>0</v>
      </c>
      <c r="G189" s="11" t="n">
        <f aca="false">IF(D189=1,SUMIFS(Benefits!$S$4:$S$703,Benefits!$B$4:$B$703,A189,Benefits!$F$4:$F$703,B189,Benefits!$R$4:$R$703,"revenue"),0)</f>
        <v>0</v>
      </c>
      <c r="H189" s="11" t="n">
        <f aca="false">IF(D189=1,SUMIFS(Benefits!$S$4:$S$703,Benefits!$B$4:$B$703,A189,Benefits!$F$4:$F$703,B189,Benefits!$R$4:$R$703,"avoided_cost_realised"),0)</f>
        <v>0</v>
      </c>
      <c r="I189" s="11" t="n">
        <f aca="false">IF(D189=1,SUMIFS(Benefits!$S$4:$S$703,Benefits!$B$4:$B$703,A189,Benefits!$F$4:$F$703,B189,Benefits!$R$4:$R$703,"capacity_converted"),0)</f>
        <v>0</v>
      </c>
      <c r="J189" s="11" t="n">
        <f aca="false">SUM(F189:I189)</f>
        <v>0</v>
      </c>
      <c r="K189" s="11" t="n">
        <f aca="false">J189-E189</f>
        <v>0</v>
      </c>
      <c r="L189" s="11" t="n">
        <f aca="false">IF(D189=1,L188+K189,0)</f>
        <v>-9000</v>
      </c>
      <c r="M189" s="11" t="n">
        <f aca="false">IF(D189=1,1/(1+Controls!$B$11)^B189,0)</f>
        <v>0.968441741876185</v>
      </c>
      <c r="N189" s="11" t="n">
        <f aca="false">K189*M189</f>
        <v>0</v>
      </c>
      <c r="O189" s="11" t="n">
        <f aca="false">IF(D189=1,O188+N189,0)</f>
        <v>-9000</v>
      </c>
      <c r="P189" s="11" t="n">
        <f aca="false">IF(AND(D189=1,L189&lt;0),1,0)</f>
        <v>1</v>
      </c>
      <c r="Q189" s="11" t="n">
        <f aca="false">IF(AND(D189=1,O189&lt;0),1,0)</f>
        <v>1</v>
      </c>
    </row>
    <row r="190" customFormat="false" ht="15" hidden="false" customHeight="false" outlineLevel="0" collapsed="false">
      <c r="A190" s="4" t="s">
        <v>88</v>
      </c>
      <c r="B190" s="4" t="n">
        <v>6</v>
      </c>
      <c r="C190" s="11" t="n">
        <f aca="false">IF(COUNTIF('Scenario inputs'!$A$4:$A$213,Controls!$B$3&amp;"|"&amp;A190)&gt;0,1,0)</f>
        <v>1</v>
      </c>
      <c r="D190" s="11" t="n">
        <f aca="false">IF(AND(C190=1,B190&lt;Controls!$B$12),1,0)</f>
        <v>1</v>
      </c>
      <c r="E190" s="11" t="n">
        <f aca="false">IF(D190=1,SUMPRODUCT((Costs!$B$4:$B$903=A190)*(Costs!$D$4:$D$903="planned")*(Costs!$J$4:$J$903&lt;=B190)*(Costs!$K$4:$K$903&gt;B190)*Costs!$E$4:$E$903),0)</f>
        <v>0</v>
      </c>
      <c r="F190" s="11" t="n">
        <f aca="false">IF(D190=1,SUMIFS(Benefits!$S$4:$S$703,Benefits!$B$4:$B$703,A190,Benefits!$F$4:$F$703,B190,Benefits!$R$4:$R$703,"cash"),0)</f>
        <v>0</v>
      </c>
      <c r="G190" s="11" t="n">
        <f aca="false">IF(D190=1,SUMIFS(Benefits!$S$4:$S$703,Benefits!$B$4:$B$703,A190,Benefits!$F$4:$F$703,B190,Benefits!$R$4:$R$703,"revenue"),0)</f>
        <v>0</v>
      </c>
      <c r="H190" s="11" t="n">
        <f aca="false">IF(D190=1,SUMIFS(Benefits!$S$4:$S$703,Benefits!$B$4:$B$703,A190,Benefits!$F$4:$F$703,B190,Benefits!$R$4:$R$703,"avoided_cost_realised"),0)</f>
        <v>0</v>
      </c>
      <c r="I190" s="11" t="n">
        <f aca="false">IF(D190=1,SUMIFS(Benefits!$S$4:$S$703,Benefits!$B$4:$B$703,A190,Benefits!$F$4:$F$703,B190,Benefits!$R$4:$R$703,"capacity_converted"),0)</f>
        <v>0</v>
      </c>
      <c r="J190" s="11" t="n">
        <f aca="false">SUM(F190:I190)</f>
        <v>0</v>
      </c>
      <c r="K190" s="11" t="n">
        <f aca="false">J190-E190</f>
        <v>0</v>
      </c>
      <c r="L190" s="11" t="n">
        <f aca="false">IF(D190=1,L189+K190,0)</f>
        <v>-9000</v>
      </c>
      <c r="M190" s="11" t="n">
        <f aca="false">IF(D190=1,1/(1+Controls!$B$11)^B190,0)</f>
        <v>0.962250621378238</v>
      </c>
      <c r="N190" s="11" t="n">
        <f aca="false">K190*M190</f>
        <v>0</v>
      </c>
      <c r="O190" s="11" t="n">
        <f aca="false">IF(D190=1,O189+N190,0)</f>
        <v>-9000</v>
      </c>
      <c r="P190" s="11" t="n">
        <f aca="false">IF(AND(D190=1,L190&lt;0),1,0)</f>
        <v>1</v>
      </c>
      <c r="Q190" s="11" t="n">
        <f aca="false">IF(AND(D190=1,O190&lt;0),1,0)</f>
        <v>1</v>
      </c>
    </row>
    <row r="191" customFormat="false" ht="15" hidden="false" customHeight="false" outlineLevel="0" collapsed="false">
      <c r="A191" s="4" t="s">
        <v>88</v>
      </c>
      <c r="B191" s="4" t="n">
        <v>7</v>
      </c>
      <c r="C191" s="11" t="n">
        <f aca="false">IF(COUNTIF('Scenario inputs'!$A$4:$A$213,Controls!$B$3&amp;"|"&amp;A191)&gt;0,1,0)</f>
        <v>1</v>
      </c>
      <c r="D191" s="11" t="n">
        <f aca="false">IF(AND(C191=1,B191&lt;Controls!$B$12),1,0)</f>
        <v>1</v>
      </c>
      <c r="E191" s="11" t="n">
        <f aca="false">IF(D191=1,SUMPRODUCT((Costs!$B$4:$B$903=A191)*(Costs!$D$4:$D$903="planned")*(Costs!$J$4:$J$903&lt;=B191)*(Costs!$K$4:$K$903&gt;B191)*Costs!$E$4:$E$903),0)</f>
        <v>0</v>
      </c>
      <c r="F191" s="11" t="n">
        <f aca="false">IF(D191=1,SUMIFS(Benefits!$S$4:$S$703,Benefits!$B$4:$B$703,A191,Benefits!$F$4:$F$703,B191,Benefits!$R$4:$R$703,"cash"),0)</f>
        <v>0</v>
      </c>
      <c r="G191" s="11" t="n">
        <f aca="false">IF(D191=1,SUMIFS(Benefits!$S$4:$S$703,Benefits!$B$4:$B$703,A191,Benefits!$F$4:$F$703,B191,Benefits!$R$4:$R$703,"revenue"),0)</f>
        <v>0</v>
      </c>
      <c r="H191" s="11" t="n">
        <f aca="false">IF(D191=1,SUMIFS(Benefits!$S$4:$S$703,Benefits!$B$4:$B$703,A191,Benefits!$F$4:$F$703,B191,Benefits!$R$4:$R$703,"avoided_cost_realised"),0)</f>
        <v>0</v>
      </c>
      <c r="I191" s="11" t="n">
        <f aca="false">IF(D191=1,SUMIFS(Benefits!$S$4:$S$703,Benefits!$B$4:$B$703,A191,Benefits!$F$4:$F$703,B191,Benefits!$R$4:$R$703,"capacity_converted"),0)</f>
        <v>0</v>
      </c>
      <c r="J191" s="11" t="n">
        <f aca="false">SUM(F191:I191)</f>
        <v>0</v>
      </c>
      <c r="K191" s="11" t="n">
        <f aca="false">J191-E191</f>
        <v>0</v>
      </c>
      <c r="L191" s="11" t="n">
        <f aca="false">IF(D191=1,L190+K191,0)</f>
        <v>-9000</v>
      </c>
      <c r="M191" s="11" t="n">
        <f aca="false">IF(D191=1,1/(1+Controls!$B$11)^B191,0)</f>
        <v>0.956099079898173</v>
      </c>
      <c r="N191" s="11" t="n">
        <f aca="false">K191*M191</f>
        <v>0</v>
      </c>
      <c r="O191" s="11" t="n">
        <f aca="false">IF(D191=1,O190+N191,0)</f>
        <v>-9000</v>
      </c>
      <c r="P191" s="11" t="n">
        <f aca="false">IF(AND(D191=1,L191&lt;0),1,0)</f>
        <v>1</v>
      </c>
      <c r="Q191" s="11" t="n">
        <f aca="false">IF(AND(D191=1,O191&lt;0),1,0)</f>
        <v>1</v>
      </c>
    </row>
    <row r="192" customFormat="false" ht="15" hidden="false" customHeight="false" outlineLevel="0" collapsed="false">
      <c r="A192" s="4" t="s">
        <v>88</v>
      </c>
      <c r="B192" s="4" t="n">
        <v>8</v>
      </c>
      <c r="C192" s="11" t="n">
        <f aca="false">IF(COUNTIF('Scenario inputs'!$A$4:$A$213,Controls!$B$3&amp;"|"&amp;A192)&gt;0,1,0)</f>
        <v>1</v>
      </c>
      <c r="D192" s="11" t="n">
        <f aca="false">IF(AND(C192=1,B192&lt;Controls!$B$12),1,0)</f>
        <v>1</v>
      </c>
      <c r="E192" s="11" t="n">
        <f aca="false">IF(D192=1,SUMPRODUCT((Costs!$B$4:$B$903=A192)*(Costs!$D$4:$D$903="planned")*(Costs!$J$4:$J$903&lt;=B192)*(Costs!$K$4:$K$903&gt;B192)*Costs!$E$4:$E$903),0)</f>
        <v>0</v>
      </c>
      <c r="F192" s="11" t="n">
        <f aca="false">IF(D192=1,SUMIFS(Benefits!$S$4:$S$703,Benefits!$B$4:$B$703,A192,Benefits!$F$4:$F$703,B192,Benefits!$R$4:$R$703,"cash"),0)</f>
        <v>0</v>
      </c>
      <c r="G192" s="11" t="n">
        <f aca="false">IF(D192=1,SUMIFS(Benefits!$S$4:$S$703,Benefits!$B$4:$B$703,A192,Benefits!$F$4:$F$703,B192,Benefits!$R$4:$R$703,"revenue"),0)</f>
        <v>0</v>
      </c>
      <c r="H192" s="11" t="n">
        <f aca="false">IF(D192=1,SUMIFS(Benefits!$S$4:$S$703,Benefits!$B$4:$B$703,A192,Benefits!$F$4:$F$703,B192,Benefits!$R$4:$R$703,"avoided_cost_realised"),0)</f>
        <v>0</v>
      </c>
      <c r="I192" s="11" t="n">
        <f aca="false">IF(D192=1,SUMIFS(Benefits!$S$4:$S$703,Benefits!$B$4:$B$703,A192,Benefits!$F$4:$F$703,B192,Benefits!$R$4:$R$703,"capacity_converted"),0)</f>
        <v>0</v>
      </c>
      <c r="J192" s="11" t="n">
        <f aca="false">SUM(F192:I192)</f>
        <v>0</v>
      </c>
      <c r="K192" s="11" t="n">
        <f aca="false">J192-E192</f>
        <v>0</v>
      </c>
      <c r="L192" s="11" t="n">
        <f aca="false">IF(D192=1,L191+K192,0)</f>
        <v>-9000</v>
      </c>
      <c r="M192" s="11" t="n">
        <f aca="false">IF(D192=1,1/(1+Controls!$B$11)^B192,0)</f>
        <v>0.949986864412542</v>
      </c>
      <c r="N192" s="11" t="n">
        <f aca="false">K192*M192</f>
        <v>0</v>
      </c>
      <c r="O192" s="11" t="n">
        <f aca="false">IF(D192=1,O191+N192,0)</f>
        <v>-9000</v>
      </c>
      <c r="P192" s="11" t="n">
        <f aca="false">IF(AND(D192=1,L192&lt;0),1,0)</f>
        <v>1</v>
      </c>
      <c r="Q192" s="11" t="n">
        <f aca="false">IF(AND(D192=1,O192&lt;0),1,0)</f>
        <v>1</v>
      </c>
    </row>
    <row r="193" customFormat="false" ht="15" hidden="false" customHeight="false" outlineLevel="0" collapsed="false">
      <c r="A193" s="4" t="s">
        <v>88</v>
      </c>
      <c r="B193" s="4" t="n">
        <v>9</v>
      </c>
      <c r="C193" s="11" t="n">
        <f aca="false">IF(COUNTIF('Scenario inputs'!$A$4:$A$213,Controls!$B$3&amp;"|"&amp;A193)&gt;0,1,0)</f>
        <v>1</v>
      </c>
      <c r="D193" s="11" t="n">
        <f aca="false">IF(AND(C193=1,B193&lt;Controls!$B$12),1,0)</f>
        <v>1</v>
      </c>
      <c r="E193" s="11" t="n">
        <f aca="false">IF(D193=1,SUMPRODUCT((Costs!$B$4:$B$903=A193)*(Costs!$D$4:$D$903="planned")*(Costs!$J$4:$J$903&lt;=B193)*(Costs!$K$4:$K$903&gt;B193)*Costs!$E$4:$E$903),0)</f>
        <v>0</v>
      </c>
      <c r="F193" s="11" t="n">
        <f aca="false">IF(D193=1,SUMIFS(Benefits!$S$4:$S$703,Benefits!$B$4:$B$703,A193,Benefits!$F$4:$F$703,B193,Benefits!$R$4:$R$703,"cash"),0)</f>
        <v>0</v>
      </c>
      <c r="G193" s="11" t="n">
        <f aca="false">IF(D193=1,SUMIFS(Benefits!$S$4:$S$703,Benefits!$B$4:$B$703,A193,Benefits!$F$4:$F$703,B193,Benefits!$R$4:$R$703,"revenue"),0)</f>
        <v>0</v>
      </c>
      <c r="H193" s="11" t="n">
        <f aca="false">IF(D193=1,SUMIFS(Benefits!$S$4:$S$703,Benefits!$B$4:$B$703,A193,Benefits!$F$4:$F$703,B193,Benefits!$R$4:$R$703,"avoided_cost_realised"),0)</f>
        <v>0</v>
      </c>
      <c r="I193" s="11" t="n">
        <f aca="false">IF(D193=1,SUMIFS(Benefits!$S$4:$S$703,Benefits!$B$4:$B$703,A193,Benefits!$F$4:$F$703,B193,Benefits!$R$4:$R$703,"capacity_converted"),0)</f>
        <v>0</v>
      </c>
      <c r="J193" s="11" t="n">
        <f aca="false">SUM(F193:I193)</f>
        <v>0</v>
      </c>
      <c r="K193" s="11" t="n">
        <f aca="false">J193-E193</f>
        <v>0</v>
      </c>
      <c r="L193" s="11" t="n">
        <f aca="false">IF(D193=1,L192+K193,0)</f>
        <v>-9000</v>
      </c>
      <c r="M193" s="11" t="n">
        <f aca="false">IF(D193=1,1/(1+Controls!$B$11)^B193,0)</f>
        <v>0.943913723515444</v>
      </c>
      <c r="N193" s="11" t="n">
        <f aca="false">K193*M193</f>
        <v>0</v>
      </c>
      <c r="O193" s="11" t="n">
        <f aca="false">IF(D193=1,O192+N193,0)</f>
        <v>-9000</v>
      </c>
      <c r="P193" s="11" t="n">
        <f aca="false">IF(AND(D193=1,L193&lt;0),1,0)</f>
        <v>1</v>
      </c>
      <c r="Q193" s="11" t="n">
        <f aca="false">IF(AND(D193=1,O193&lt;0),1,0)</f>
        <v>1</v>
      </c>
    </row>
    <row r="194" customFormat="false" ht="15" hidden="false" customHeight="false" outlineLevel="0" collapsed="false">
      <c r="A194" s="4" t="s">
        <v>88</v>
      </c>
      <c r="B194" s="4" t="n">
        <v>10</v>
      </c>
      <c r="C194" s="11" t="n">
        <f aca="false">IF(COUNTIF('Scenario inputs'!$A$4:$A$213,Controls!$B$3&amp;"|"&amp;A194)&gt;0,1,0)</f>
        <v>1</v>
      </c>
      <c r="D194" s="11" t="n">
        <f aca="false">IF(AND(C194=1,B194&lt;Controls!$B$12),1,0)</f>
        <v>1</v>
      </c>
      <c r="E194" s="11" t="n">
        <f aca="false">IF(D194=1,SUMPRODUCT((Costs!$B$4:$B$903=A194)*(Costs!$D$4:$D$903="planned")*(Costs!$J$4:$J$903&lt;=B194)*(Costs!$K$4:$K$903&gt;B194)*Costs!$E$4:$E$903),0)</f>
        <v>0</v>
      </c>
      <c r="F194" s="11" t="n">
        <f aca="false">IF(D194=1,SUMIFS(Benefits!$S$4:$S$703,Benefits!$B$4:$B$703,A194,Benefits!$F$4:$F$703,B194,Benefits!$R$4:$R$703,"cash"),0)</f>
        <v>0</v>
      </c>
      <c r="G194" s="11" t="n">
        <f aca="false">IF(D194=1,SUMIFS(Benefits!$S$4:$S$703,Benefits!$B$4:$B$703,A194,Benefits!$F$4:$F$703,B194,Benefits!$R$4:$R$703,"revenue"),0)</f>
        <v>0</v>
      </c>
      <c r="H194" s="11" t="n">
        <f aca="false">IF(D194=1,SUMIFS(Benefits!$S$4:$S$703,Benefits!$B$4:$B$703,A194,Benefits!$F$4:$F$703,B194,Benefits!$R$4:$R$703,"avoided_cost_realised"),0)</f>
        <v>0</v>
      </c>
      <c r="I194" s="11" t="n">
        <f aca="false">IF(D194=1,SUMIFS(Benefits!$S$4:$S$703,Benefits!$B$4:$B$703,A194,Benefits!$F$4:$F$703,B194,Benefits!$R$4:$R$703,"capacity_converted"),0)</f>
        <v>0</v>
      </c>
      <c r="J194" s="11" t="n">
        <f aca="false">SUM(F194:I194)</f>
        <v>0</v>
      </c>
      <c r="K194" s="11" t="n">
        <f aca="false">J194-E194</f>
        <v>0</v>
      </c>
      <c r="L194" s="11" t="n">
        <f aca="false">IF(D194=1,L193+K194,0)</f>
        <v>-9000</v>
      </c>
      <c r="M194" s="11" t="n">
        <f aca="false">IF(D194=1,1/(1+Controls!$B$11)^B194,0)</f>
        <v>0.93787940740818</v>
      </c>
      <c r="N194" s="11" t="n">
        <f aca="false">K194*M194</f>
        <v>0</v>
      </c>
      <c r="O194" s="11" t="n">
        <f aca="false">IF(D194=1,O193+N194,0)</f>
        <v>-9000</v>
      </c>
      <c r="P194" s="11" t="n">
        <f aca="false">IF(AND(D194=1,L194&lt;0),1,0)</f>
        <v>1</v>
      </c>
      <c r="Q194" s="11" t="n">
        <f aca="false">IF(AND(D194=1,O194&lt;0),1,0)</f>
        <v>1</v>
      </c>
    </row>
    <row r="195" customFormat="false" ht="15" hidden="false" customHeight="false" outlineLevel="0" collapsed="false">
      <c r="A195" s="4" t="s">
        <v>88</v>
      </c>
      <c r="B195" s="4" t="n">
        <v>11</v>
      </c>
      <c r="C195" s="11" t="n">
        <f aca="false">IF(COUNTIF('Scenario inputs'!$A$4:$A$213,Controls!$B$3&amp;"|"&amp;A195)&gt;0,1,0)</f>
        <v>1</v>
      </c>
      <c r="D195" s="11" t="n">
        <f aca="false">IF(AND(C195=1,B195&lt;Controls!$B$12),1,0)</f>
        <v>1</v>
      </c>
      <c r="E195" s="11" t="n">
        <f aca="false">IF(D195=1,SUMPRODUCT((Costs!$B$4:$B$903=A195)*(Costs!$D$4:$D$903="planned")*(Costs!$J$4:$J$903&lt;=B195)*(Costs!$K$4:$K$903&gt;B195)*Costs!$E$4:$E$903),0)</f>
        <v>0</v>
      </c>
      <c r="F195" s="11" t="n">
        <f aca="false">IF(D195=1,SUMIFS(Benefits!$S$4:$S$703,Benefits!$B$4:$B$703,A195,Benefits!$F$4:$F$703,B195,Benefits!$R$4:$R$703,"cash"),0)</f>
        <v>0</v>
      </c>
      <c r="G195" s="11" t="n">
        <f aca="false">IF(D195=1,SUMIFS(Benefits!$S$4:$S$703,Benefits!$B$4:$B$703,A195,Benefits!$F$4:$F$703,B195,Benefits!$R$4:$R$703,"revenue"),0)</f>
        <v>0</v>
      </c>
      <c r="H195" s="11" t="n">
        <f aca="false">IF(D195=1,SUMIFS(Benefits!$S$4:$S$703,Benefits!$B$4:$B$703,A195,Benefits!$F$4:$F$703,B195,Benefits!$R$4:$R$703,"avoided_cost_realised"),0)</f>
        <v>0</v>
      </c>
      <c r="I195" s="11" t="n">
        <f aca="false">IF(D195=1,SUMIFS(Benefits!$S$4:$S$703,Benefits!$B$4:$B$703,A195,Benefits!$F$4:$F$703,B195,Benefits!$R$4:$R$703,"capacity_converted"),0)</f>
        <v>0</v>
      </c>
      <c r="J195" s="11" t="n">
        <f aca="false">SUM(F195:I195)</f>
        <v>0</v>
      </c>
      <c r="K195" s="11" t="n">
        <f aca="false">J195-E195</f>
        <v>0</v>
      </c>
      <c r="L195" s="11" t="n">
        <f aca="false">IF(D195=1,L194+K195,0)</f>
        <v>-9000</v>
      </c>
      <c r="M195" s="11" t="n">
        <f aca="false">IF(D195=1,1/(1+Controls!$B$11)^B195,0)</f>
        <v>0.931883667888982</v>
      </c>
      <c r="N195" s="11" t="n">
        <f aca="false">K195*M195</f>
        <v>0</v>
      </c>
      <c r="O195" s="11" t="n">
        <f aca="false">IF(D195=1,O194+N195,0)</f>
        <v>-9000</v>
      </c>
      <c r="P195" s="11" t="n">
        <f aca="false">IF(AND(D195=1,L195&lt;0),1,0)</f>
        <v>1</v>
      </c>
      <c r="Q195" s="11" t="n">
        <f aca="false">IF(AND(D195=1,O195&lt;0),1,0)</f>
        <v>1</v>
      </c>
    </row>
    <row r="196" customFormat="false" ht="15" hidden="false" customHeight="false" outlineLevel="0" collapsed="false">
      <c r="A196" s="4" t="s">
        <v>88</v>
      </c>
      <c r="B196" s="4" t="n">
        <v>12</v>
      </c>
      <c r="C196" s="11" t="n">
        <f aca="false">IF(COUNTIF('Scenario inputs'!$A$4:$A$213,Controls!$B$3&amp;"|"&amp;A196)&gt;0,1,0)</f>
        <v>1</v>
      </c>
      <c r="D196" s="11" t="n">
        <f aca="false">IF(AND(C196=1,B196&lt;Controls!$B$12),1,0)</f>
        <v>1</v>
      </c>
      <c r="E196" s="11" t="n">
        <f aca="false">IF(D196=1,SUMPRODUCT((Costs!$B$4:$B$903=A196)*(Costs!$D$4:$D$903="planned")*(Costs!$J$4:$J$903&lt;=B196)*(Costs!$K$4:$K$903&gt;B196)*Costs!$E$4:$E$903),0)</f>
        <v>150400</v>
      </c>
      <c r="F196" s="11" t="n">
        <f aca="false">IF(D196=1,SUMIFS(Benefits!$S$4:$S$703,Benefits!$B$4:$B$703,A196,Benefits!$F$4:$F$703,B196,Benefits!$R$4:$R$703,"cash"),0)</f>
        <v>0</v>
      </c>
      <c r="G196" s="11" t="n">
        <f aca="false">IF(D196=1,SUMIFS(Benefits!$S$4:$S$703,Benefits!$B$4:$B$703,A196,Benefits!$F$4:$F$703,B196,Benefits!$R$4:$R$703,"revenue"),0)</f>
        <v>0</v>
      </c>
      <c r="H196" s="11" t="n">
        <f aca="false">IF(D196=1,SUMIFS(Benefits!$S$4:$S$703,Benefits!$B$4:$B$703,A196,Benefits!$F$4:$F$703,B196,Benefits!$R$4:$R$703,"avoided_cost_realised"),0)</f>
        <v>0</v>
      </c>
      <c r="I196" s="11" t="n">
        <f aca="false">IF(D196=1,SUMIFS(Benefits!$S$4:$S$703,Benefits!$B$4:$B$703,A196,Benefits!$F$4:$F$703,B196,Benefits!$R$4:$R$703,"capacity_converted"),0)</f>
        <v>0</v>
      </c>
      <c r="J196" s="11" t="n">
        <f aca="false">SUM(F196:I196)</f>
        <v>0</v>
      </c>
      <c r="K196" s="11" t="n">
        <f aca="false">J196-E196</f>
        <v>-150400</v>
      </c>
      <c r="L196" s="11" t="n">
        <f aca="false">IF(D196=1,L195+K196,0)</f>
        <v>-159400</v>
      </c>
      <c r="M196" s="11" t="n">
        <f aca="false">IF(D196=1,1/(1+Controls!$B$11)^B196,0)</f>
        <v>0.925926258342804</v>
      </c>
      <c r="N196" s="11" t="n">
        <f aca="false">K196*M196</f>
        <v>-139259.309254758</v>
      </c>
      <c r="O196" s="11" t="n">
        <f aca="false">IF(D196=1,O195+N196,0)</f>
        <v>-148259.309254758</v>
      </c>
      <c r="P196" s="11" t="n">
        <f aca="false">IF(AND(D196=1,L196&lt;0),1,0)</f>
        <v>1</v>
      </c>
      <c r="Q196" s="11" t="n">
        <f aca="false">IF(AND(D196=1,O196&lt;0),1,0)</f>
        <v>1</v>
      </c>
    </row>
    <row r="197" customFormat="false" ht="15" hidden="false" customHeight="false" outlineLevel="0" collapsed="false">
      <c r="A197" s="4" t="s">
        <v>88</v>
      </c>
      <c r="B197" s="4" t="n">
        <v>13</v>
      </c>
      <c r="C197" s="11" t="n">
        <f aca="false">IF(COUNTIF('Scenario inputs'!$A$4:$A$213,Controls!$B$3&amp;"|"&amp;A197)&gt;0,1,0)</f>
        <v>1</v>
      </c>
      <c r="D197" s="11" t="n">
        <f aca="false">IF(AND(C197=1,B197&lt;Controls!$B$12),1,0)</f>
        <v>1</v>
      </c>
      <c r="E197" s="11" t="n">
        <f aca="false">IF(D197=1,SUMPRODUCT((Costs!$B$4:$B$903=A197)*(Costs!$D$4:$D$903="planned")*(Costs!$J$4:$J$903&lt;=B197)*(Costs!$K$4:$K$903&gt;B197)*Costs!$E$4:$E$903),0)</f>
        <v>64050</v>
      </c>
      <c r="F197" s="11" t="n">
        <f aca="false">IF(D197=1,SUMIFS(Benefits!$S$4:$S$703,Benefits!$B$4:$B$703,A197,Benefits!$F$4:$F$703,B197,Benefits!$R$4:$R$703,"cash"),0)</f>
        <v>0</v>
      </c>
      <c r="G197" s="11" t="n">
        <f aca="false">IF(D197=1,SUMIFS(Benefits!$S$4:$S$703,Benefits!$B$4:$B$703,A197,Benefits!$F$4:$F$703,B197,Benefits!$R$4:$R$703,"revenue"),0)</f>
        <v>0</v>
      </c>
      <c r="H197" s="11" t="n">
        <f aca="false">IF(D197=1,SUMIFS(Benefits!$S$4:$S$703,Benefits!$B$4:$B$703,A197,Benefits!$F$4:$F$703,B197,Benefits!$R$4:$R$703,"avoided_cost_realised"),0)</f>
        <v>0</v>
      </c>
      <c r="I197" s="11" t="n">
        <f aca="false">IF(D197=1,SUMIFS(Benefits!$S$4:$S$703,Benefits!$B$4:$B$703,A197,Benefits!$F$4:$F$703,B197,Benefits!$R$4:$R$703,"capacity_converted"),0)</f>
        <v>0</v>
      </c>
      <c r="J197" s="11" t="n">
        <f aca="false">SUM(F197:I197)</f>
        <v>0</v>
      </c>
      <c r="K197" s="11" t="n">
        <f aca="false">J197-E197</f>
        <v>-64050</v>
      </c>
      <c r="L197" s="11" t="n">
        <f aca="false">IF(D197=1,L196+K197,0)</f>
        <v>-223450</v>
      </c>
      <c r="M197" s="11" t="n">
        <f aca="false">IF(D197=1,1/(1+Controls!$B$11)^B197,0)</f>
        <v>0.920006933731178</v>
      </c>
      <c r="N197" s="11" t="n">
        <f aca="false">K197*M197</f>
        <v>-58926.4441054819</v>
      </c>
      <c r="O197" s="11" t="n">
        <f aca="false">IF(D197=1,O196+N197,0)</f>
        <v>-207185.75336024</v>
      </c>
      <c r="P197" s="11" t="n">
        <f aca="false">IF(AND(D197=1,L197&lt;0),1,0)</f>
        <v>1</v>
      </c>
      <c r="Q197" s="11" t="n">
        <f aca="false">IF(AND(D197=1,O197&lt;0),1,0)</f>
        <v>1</v>
      </c>
    </row>
    <row r="198" customFormat="false" ht="15" hidden="false" customHeight="false" outlineLevel="0" collapsed="false">
      <c r="A198" s="4" t="s">
        <v>88</v>
      </c>
      <c r="B198" s="4" t="n">
        <v>14</v>
      </c>
      <c r="C198" s="11" t="n">
        <f aca="false">IF(COUNTIF('Scenario inputs'!$A$4:$A$213,Controls!$B$3&amp;"|"&amp;A198)&gt;0,1,0)</f>
        <v>1</v>
      </c>
      <c r="D198" s="11" t="n">
        <f aca="false">IF(AND(C198=1,B198&lt;Controls!$B$12),1,0)</f>
        <v>1</v>
      </c>
      <c r="E198" s="11" t="n">
        <f aca="false">IF(D198=1,SUMPRODUCT((Costs!$B$4:$B$903=A198)*(Costs!$D$4:$D$903="planned")*(Costs!$J$4:$J$903&lt;=B198)*(Costs!$K$4:$K$903&gt;B198)*Costs!$E$4:$E$903),0)</f>
        <v>126300</v>
      </c>
      <c r="F198" s="11" t="n">
        <f aca="false">IF(D198=1,SUMIFS(Benefits!$S$4:$S$703,Benefits!$B$4:$B$703,A198,Benefits!$F$4:$F$703,B198,Benefits!$R$4:$R$703,"cash"),0)</f>
        <v>0</v>
      </c>
      <c r="G198" s="11" t="n">
        <f aca="false">IF(D198=1,SUMIFS(Benefits!$S$4:$S$703,Benefits!$B$4:$B$703,A198,Benefits!$F$4:$F$703,B198,Benefits!$R$4:$R$703,"revenue"),0)</f>
        <v>0</v>
      </c>
      <c r="H198" s="11" t="n">
        <f aca="false">IF(D198=1,SUMIFS(Benefits!$S$4:$S$703,Benefits!$B$4:$B$703,A198,Benefits!$F$4:$F$703,B198,Benefits!$R$4:$R$703,"avoided_cost_realised"),0)</f>
        <v>0</v>
      </c>
      <c r="I198" s="11" t="n">
        <f aca="false">IF(D198=1,SUMIFS(Benefits!$S$4:$S$703,Benefits!$B$4:$B$703,A198,Benefits!$F$4:$F$703,B198,Benefits!$R$4:$R$703,"capacity_converted"),0)</f>
        <v>0</v>
      </c>
      <c r="J198" s="11" t="n">
        <f aca="false">SUM(F198:I198)</f>
        <v>0</v>
      </c>
      <c r="K198" s="11" t="n">
        <f aca="false">J198-E198</f>
        <v>-126300</v>
      </c>
      <c r="L198" s="11" t="n">
        <f aca="false">IF(D198=1,L197+K198,0)</f>
        <v>-349750</v>
      </c>
      <c r="M198" s="11" t="n">
        <f aca="false">IF(D198=1,1/(1+Controls!$B$11)^B198,0)</f>
        <v>0.914125450582132</v>
      </c>
      <c r="N198" s="11" t="n">
        <f aca="false">K198*M198</f>
        <v>-115454.044408523</v>
      </c>
      <c r="O198" s="11" t="n">
        <f aca="false">IF(D198=1,O197+N198,0)</f>
        <v>-322639.797768763</v>
      </c>
      <c r="P198" s="11" t="n">
        <f aca="false">IF(AND(D198=1,L198&lt;0),1,0)</f>
        <v>1</v>
      </c>
      <c r="Q198" s="11" t="n">
        <f aca="false">IF(AND(D198=1,O198&lt;0),1,0)</f>
        <v>1</v>
      </c>
    </row>
    <row r="199" customFormat="false" ht="15" hidden="false" customHeight="false" outlineLevel="0" collapsed="false">
      <c r="A199" s="4" t="s">
        <v>88</v>
      </c>
      <c r="B199" s="4" t="n">
        <v>15</v>
      </c>
      <c r="C199" s="11" t="n">
        <f aca="false">IF(COUNTIF('Scenario inputs'!$A$4:$A$213,Controls!$B$3&amp;"|"&amp;A199)&gt;0,1,0)</f>
        <v>1</v>
      </c>
      <c r="D199" s="11" t="n">
        <f aca="false">IF(AND(C199=1,B199&lt;Controls!$B$12),1,0)</f>
        <v>1</v>
      </c>
      <c r="E199" s="11" t="n">
        <f aca="false">IF(D199=1,SUMPRODUCT((Costs!$B$4:$B$903=A199)*(Costs!$D$4:$D$903="planned")*(Costs!$J$4:$J$903&lt;=B199)*(Costs!$K$4:$K$903&gt;B199)*Costs!$E$4:$E$903),0)</f>
        <v>127250</v>
      </c>
      <c r="F199" s="11" t="n">
        <f aca="false">IF(D199=1,SUMIFS(Benefits!$S$4:$S$703,Benefits!$B$4:$B$703,A199,Benefits!$F$4:$F$703,B199,Benefits!$R$4:$R$703,"cash"),0)</f>
        <v>0</v>
      </c>
      <c r="G199" s="11" t="n">
        <f aca="false">IF(D199=1,SUMIFS(Benefits!$S$4:$S$703,Benefits!$B$4:$B$703,A199,Benefits!$F$4:$F$703,B199,Benefits!$R$4:$R$703,"revenue"),0)</f>
        <v>0</v>
      </c>
      <c r="H199" s="11" t="n">
        <f aca="false">IF(D199=1,SUMIFS(Benefits!$S$4:$S$703,Benefits!$B$4:$B$703,A199,Benefits!$F$4:$F$703,B199,Benefits!$R$4:$R$703,"avoided_cost_realised"),0)</f>
        <v>0</v>
      </c>
      <c r="I199" s="11" t="n">
        <f aca="false">IF(D199=1,SUMIFS(Benefits!$S$4:$S$703,Benefits!$B$4:$B$703,A199,Benefits!$F$4:$F$703,B199,Benefits!$R$4:$R$703,"capacity_converted"),0)</f>
        <v>0</v>
      </c>
      <c r="J199" s="11" t="n">
        <f aca="false">SUM(F199:I199)</f>
        <v>0</v>
      </c>
      <c r="K199" s="11" t="n">
        <f aca="false">J199-E199</f>
        <v>-127250</v>
      </c>
      <c r="L199" s="11" t="n">
        <f aca="false">IF(D199=1,L198+K199,0)</f>
        <v>-477000</v>
      </c>
      <c r="M199" s="11" t="n">
        <f aca="false">IF(D199=1,1/(1+Controls!$B$11)^B199,0)</f>
        <v>0.908281566980182</v>
      </c>
      <c r="N199" s="11" t="n">
        <f aca="false">K199*M199</f>
        <v>-115578.829398228</v>
      </c>
      <c r="O199" s="11" t="n">
        <f aca="false">IF(D199=1,O198+N199,0)</f>
        <v>-438218.627166991</v>
      </c>
      <c r="P199" s="11" t="n">
        <f aca="false">IF(AND(D199=1,L199&lt;0),1,0)</f>
        <v>1</v>
      </c>
      <c r="Q199" s="11" t="n">
        <f aca="false">IF(AND(D199=1,O199&lt;0),1,0)</f>
        <v>1</v>
      </c>
    </row>
    <row r="200" customFormat="false" ht="15" hidden="false" customHeight="false" outlineLevel="0" collapsed="false">
      <c r="A200" s="4" t="s">
        <v>88</v>
      </c>
      <c r="B200" s="4" t="n">
        <v>16</v>
      </c>
      <c r="C200" s="11" t="n">
        <f aca="false">IF(COUNTIF('Scenario inputs'!$A$4:$A$213,Controls!$B$3&amp;"|"&amp;A200)&gt;0,1,0)</f>
        <v>1</v>
      </c>
      <c r="D200" s="11" t="n">
        <f aca="false">IF(AND(C200=1,B200&lt;Controls!$B$12),1,0)</f>
        <v>1</v>
      </c>
      <c r="E200" s="11" t="n">
        <f aca="false">IF(D200=1,SUMPRODUCT((Costs!$B$4:$B$903=A200)*(Costs!$D$4:$D$903="planned")*(Costs!$J$4:$J$903&lt;=B200)*(Costs!$K$4:$K$903&gt;B200)*Costs!$E$4:$E$903),0)</f>
        <v>9000</v>
      </c>
      <c r="F200" s="11" t="n">
        <f aca="false">IF(D200=1,SUMIFS(Benefits!$S$4:$S$703,Benefits!$B$4:$B$703,A200,Benefits!$F$4:$F$703,B200,Benefits!$R$4:$R$703,"cash"),0)</f>
        <v>0</v>
      </c>
      <c r="G200" s="11" t="n">
        <f aca="false">IF(D200=1,SUMIFS(Benefits!$S$4:$S$703,Benefits!$B$4:$B$703,A200,Benefits!$F$4:$F$703,B200,Benefits!$R$4:$R$703,"revenue"),0)</f>
        <v>0</v>
      </c>
      <c r="H200" s="11" t="n">
        <f aca="false">IF(D200=1,SUMIFS(Benefits!$S$4:$S$703,Benefits!$B$4:$B$703,A200,Benefits!$F$4:$F$703,B200,Benefits!$R$4:$R$703,"avoided_cost_realised"),0)</f>
        <v>0</v>
      </c>
      <c r="I200" s="11" t="n">
        <f aca="false">IF(D200=1,SUMIFS(Benefits!$S$4:$S$703,Benefits!$B$4:$B$703,A200,Benefits!$F$4:$F$703,B200,Benefits!$R$4:$R$703,"capacity_converted"),0)</f>
        <v>0</v>
      </c>
      <c r="J200" s="11" t="n">
        <f aca="false">SUM(F200:I200)</f>
        <v>0</v>
      </c>
      <c r="K200" s="11" t="n">
        <f aca="false">J200-E200</f>
        <v>-9000</v>
      </c>
      <c r="L200" s="11" t="n">
        <f aca="false">IF(D200=1,L199+K200,0)</f>
        <v>-486000</v>
      </c>
      <c r="M200" s="11" t="n">
        <f aca="false">IF(D200=1,1/(1+Controls!$B$11)^B200,0)</f>
        <v>0.902475042556374</v>
      </c>
      <c r="N200" s="11" t="n">
        <f aca="false">K200*M200</f>
        <v>-8122.27538300737</v>
      </c>
      <c r="O200" s="11" t="n">
        <f aca="false">IF(D200=1,O199+N200,0)</f>
        <v>-446340.902549999</v>
      </c>
      <c r="P200" s="11" t="n">
        <f aca="false">IF(AND(D200=1,L200&lt;0),1,0)</f>
        <v>1</v>
      </c>
      <c r="Q200" s="11" t="n">
        <f aca="false">IF(AND(D200=1,O200&lt;0),1,0)</f>
        <v>1</v>
      </c>
    </row>
    <row r="201" customFormat="false" ht="15" hidden="false" customHeight="false" outlineLevel="0" collapsed="false">
      <c r="A201" s="4" t="s">
        <v>88</v>
      </c>
      <c r="B201" s="4" t="n">
        <v>17</v>
      </c>
      <c r="C201" s="11" t="n">
        <f aca="false">IF(COUNTIF('Scenario inputs'!$A$4:$A$213,Controls!$B$3&amp;"|"&amp;A201)&gt;0,1,0)</f>
        <v>1</v>
      </c>
      <c r="D201" s="11" t="n">
        <f aca="false">IF(AND(C201=1,B201&lt;Controls!$B$12),1,0)</f>
        <v>1</v>
      </c>
      <c r="E201" s="11" t="n">
        <f aca="false">IF(D201=1,SUMPRODUCT((Costs!$B$4:$B$903=A201)*(Costs!$D$4:$D$903="planned")*(Costs!$J$4:$J$903&lt;=B201)*(Costs!$K$4:$K$903&gt;B201)*Costs!$E$4:$E$903),0)</f>
        <v>9000</v>
      </c>
      <c r="F201" s="11" t="n">
        <f aca="false">IF(D201=1,SUMIFS(Benefits!$S$4:$S$703,Benefits!$B$4:$B$703,A201,Benefits!$F$4:$F$703,B201,Benefits!$R$4:$R$703,"cash"),0)</f>
        <v>0</v>
      </c>
      <c r="G201" s="11" t="n">
        <f aca="false">IF(D201=1,SUMIFS(Benefits!$S$4:$S$703,Benefits!$B$4:$B$703,A201,Benefits!$F$4:$F$703,B201,Benefits!$R$4:$R$703,"revenue"),0)</f>
        <v>0</v>
      </c>
      <c r="H201" s="11" t="n">
        <f aca="false">IF(D201=1,SUMIFS(Benefits!$S$4:$S$703,Benefits!$B$4:$B$703,A201,Benefits!$F$4:$F$703,B201,Benefits!$R$4:$R$703,"avoided_cost_realised"),0)</f>
        <v>0</v>
      </c>
      <c r="I201" s="11" t="n">
        <f aca="false">IF(D201=1,SUMIFS(Benefits!$S$4:$S$703,Benefits!$B$4:$B$703,A201,Benefits!$F$4:$F$703,B201,Benefits!$R$4:$R$703,"capacity_converted"),0)</f>
        <v>0</v>
      </c>
      <c r="J201" s="11" t="n">
        <f aca="false">SUM(F201:I201)</f>
        <v>0</v>
      </c>
      <c r="K201" s="11" t="n">
        <f aca="false">J201-E201</f>
        <v>-9000</v>
      </c>
      <c r="L201" s="11" t="n">
        <f aca="false">IF(D201=1,L200+K201,0)</f>
        <v>-495000</v>
      </c>
      <c r="M201" s="11" t="n">
        <f aca="false">IF(D201=1,1/(1+Controls!$B$11)^B201,0)</f>
        <v>0.896705638478404</v>
      </c>
      <c r="N201" s="11" t="n">
        <f aca="false">K201*M201</f>
        <v>-8070.35074630563</v>
      </c>
      <c r="O201" s="11" t="n">
        <f aca="false">IF(D201=1,O200+N201,0)</f>
        <v>-454411.253296304</v>
      </c>
      <c r="P201" s="11" t="n">
        <f aca="false">IF(AND(D201=1,L201&lt;0),1,0)</f>
        <v>1</v>
      </c>
      <c r="Q201" s="11" t="n">
        <f aca="false">IF(AND(D201=1,O201&lt;0),1,0)</f>
        <v>1</v>
      </c>
    </row>
    <row r="202" customFormat="false" ht="15" hidden="false" customHeight="false" outlineLevel="0" collapsed="false">
      <c r="A202" s="4" t="s">
        <v>88</v>
      </c>
      <c r="B202" s="4" t="n">
        <v>18</v>
      </c>
      <c r="C202" s="11" t="n">
        <f aca="false">IF(COUNTIF('Scenario inputs'!$A$4:$A$213,Controls!$B$3&amp;"|"&amp;A202)&gt;0,1,0)</f>
        <v>1</v>
      </c>
      <c r="D202" s="11" t="n">
        <f aca="false">IF(AND(C202=1,B202&lt;Controls!$B$12),1,0)</f>
        <v>1</v>
      </c>
      <c r="E202" s="11" t="n">
        <f aca="false">IF(D202=1,SUMPRODUCT((Costs!$B$4:$B$903=A202)*(Costs!$D$4:$D$903="planned")*(Costs!$J$4:$J$903&lt;=B202)*(Costs!$K$4:$K$903&gt;B202)*Costs!$E$4:$E$903),0)</f>
        <v>9000</v>
      </c>
      <c r="F202" s="11" t="n">
        <f aca="false">IF(D202=1,SUMIFS(Benefits!$S$4:$S$703,Benefits!$B$4:$B$703,A202,Benefits!$F$4:$F$703,B202,Benefits!$R$4:$R$703,"cash"),0)</f>
        <v>0</v>
      </c>
      <c r="G202" s="11" t="n">
        <f aca="false">IF(D202=1,SUMIFS(Benefits!$S$4:$S$703,Benefits!$B$4:$B$703,A202,Benefits!$F$4:$F$703,B202,Benefits!$R$4:$R$703,"revenue"),0)</f>
        <v>0</v>
      </c>
      <c r="H202" s="11" t="n">
        <f aca="false">IF(D202=1,SUMIFS(Benefits!$S$4:$S$703,Benefits!$B$4:$B$703,A202,Benefits!$F$4:$F$703,B202,Benefits!$R$4:$R$703,"avoided_cost_realised"),0)</f>
        <v>0</v>
      </c>
      <c r="I202" s="11" t="n">
        <f aca="false">IF(D202=1,SUMIFS(Benefits!$S$4:$S$703,Benefits!$B$4:$B$703,A202,Benefits!$F$4:$F$703,B202,Benefits!$R$4:$R$703,"capacity_converted"),0)</f>
        <v>0</v>
      </c>
      <c r="J202" s="11" t="n">
        <f aca="false">SUM(F202:I202)</f>
        <v>0</v>
      </c>
      <c r="K202" s="11" t="n">
        <f aca="false">J202-E202</f>
        <v>-9000</v>
      </c>
      <c r="L202" s="11" t="n">
        <f aca="false">IF(D202=1,L201+K202,0)</f>
        <v>-504000</v>
      </c>
      <c r="M202" s="11" t="n">
        <f aca="false">IF(D202=1,1/(1+Controls!$B$11)^B202,0)</f>
        <v>0.89097311744079</v>
      </c>
      <c r="N202" s="11" t="n">
        <f aca="false">K202*M202</f>
        <v>-8018.75805696711</v>
      </c>
      <c r="O202" s="11" t="n">
        <f aca="false">IF(D202=1,O201+N202,0)</f>
        <v>-462430.011353271</v>
      </c>
      <c r="P202" s="11" t="n">
        <f aca="false">IF(AND(D202=1,L202&lt;0),1,0)</f>
        <v>1</v>
      </c>
      <c r="Q202" s="11" t="n">
        <f aca="false">IF(AND(D202=1,O202&lt;0),1,0)</f>
        <v>1</v>
      </c>
    </row>
    <row r="203" customFormat="false" ht="15" hidden="false" customHeight="false" outlineLevel="0" collapsed="false">
      <c r="A203" s="4" t="s">
        <v>88</v>
      </c>
      <c r="B203" s="4" t="n">
        <v>19</v>
      </c>
      <c r="C203" s="11" t="n">
        <f aca="false">IF(COUNTIF('Scenario inputs'!$A$4:$A$213,Controls!$B$3&amp;"|"&amp;A203)&gt;0,1,0)</f>
        <v>1</v>
      </c>
      <c r="D203" s="11" t="n">
        <f aca="false">IF(AND(C203=1,B203&lt;Controls!$B$12),1,0)</f>
        <v>1</v>
      </c>
      <c r="E203" s="11" t="n">
        <f aca="false">IF(D203=1,SUMPRODUCT((Costs!$B$4:$B$903=A203)*(Costs!$D$4:$D$903="planned")*(Costs!$J$4:$J$903&lt;=B203)*(Costs!$K$4:$K$903&gt;B203)*Costs!$E$4:$E$903),0)</f>
        <v>9000</v>
      </c>
      <c r="F203" s="11" t="n">
        <f aca="false">IF(D203=1,SUMIFS(Benefits!$S$4:$S$703,Benefits!$B$4:$B$703,A203,Benefits!$F$4:$F$703,B203,Benefits!$R$4:$R$703,"cash"),0)</f>
        <v>0</v>
      </c>
      <c r="G203" s="11" t="n">
        <f aca="false">IF(D203=1,SUMIFS(Benefits!$S$4:$S$703,Benefits!$B$4:$B$703,A203,Benefits!$F$4:$F$703,B203,Benefits!$R$4:$R$703,"revenue"),0)</f>
        <v>0</v>
      </c>
      <c r="H203" s="11" t="n">
        <f aca="false">IF(D203=1,SUMIFS(Benefits!$S$4:$S$703,Benefits!$B$4:$B$703,A203,Benefits!$F$4:$F$703,B203,Benefits!$R$4:$R$703,"avoided_cost_realised"),0)</f>
        <v>0</v>
      </c>
      <c r="I203" s="11" t="n">
        <f aca="false">IF(D203=1,SUMIFS(Benefits!$S$4:$S$703,Benefits!$B$4:$B$703,A203,Benefits!$F$4:$F$703,B203,Benefits!$R$4:$R$703,"capacity_converted"),0)</f>
        <v>0</v>
      </c>
      <c r="J203" s="11" t="n">
        <f aca="false">SUM(F203:I203)</f>
        <v>0</v>
      </c>
      <c r="K203" s="11" t="n">
        <f aca="false">J203-E203</f>
        <v>-9000</v>
      </c>
      <c r="L203" s="11" t="n">
        <f aca="false">IF(D203=1,L202+K203,0)</f>
        <v>-513000</v>
      </c>
      <c r="M203" s="11" t="n">
        <f aca="false">IF(D203=1,1/(1+Controls!$B$11)^B203,0)</f>
        <v>0.885277243655113</v>
      </c>
      <c r="N203" s="11" t="n">
        <f aca="false">K203*M203</f>
        <v>-7967.49519289601</v>
      </c>
      <c r="O203" s="11" t="n">
        <f aca="false">IF(D203=1,O202+N203,0)</f>
        <v>-470397.506546167</v>
      </c>
      <c r="P203" s="11" t="n">
        <f aca="false">IF(AND(D203=1,L203&lt;0),1,0)</f>
        <v>1</v>
      </c>
      <c r="Q203" s="11" t="n">
        <f aca="false">IF(AND(D203=1,O203&lt;0),1,0)</f>
        <v>1</v>
      </c>
    </row>
    <row r="204" customFormat="false" ht="15" hidden="false" customHeight="false" outlineLevel="0" collapsed="false">
      <c r="A204" s="4" t="s">
        <v>88</v>
      </c>
      <c r="B204" s="4" t="n">
        <v>20</v>
      </c>
      <c r="C204" s="11" t="n">
        <f aca="false">IF(COUNTIF('Scenario inputs'!$A$4:$A$213,Controls!$B$3&amp;"|"&amp;A204)&gt;0,1,0)</f>
        <v>1</v>
      </c>
      <c r="D204" s="11" t="n">
        <f aca="false">IF(AND(C204=1,B204&lt;Controls!$B$12),1,0)</f>
        <v>1</v>
      </c>
      <c r="E204" s="11" t="n">
        <f aca="false">IF(D204=1,SUMPRODUCT((Costs!$B$4:$B$903=A204)*(Costs!$D$4:$D$903="planned")*(Costs!$J$4:$J$903&lt;=B204)*(Costs!$K$4:$K$903&gt;B204)*Costs!$E$4:$E$903),0)</f>
        <v>9000</v>
      </c>
      <c r="F204" s="11" t="n">
        <f aca="false">IF(D204=1,SUMIFS(Benefits!$S$4:$S$703,Benefits!$B$4:$B$703,A204,Benefits!$F$4:$F$703,B204,Benefits!$R$4:$R$703,"cash"),0)</f>
        <v>0</v>
      </c>
      <c r="G204" s="11" t="n">
        <f aca="false">IF(D204=1,SUMIFS(Benefits!$S$4:$S$703,Benefits!$B$4:$B$703,A204,Benefits!$F$4:$F$703,B204,Benefits!$R$4:$R$703,"revenue"),0)</f>
        <v>0</v>
      </c>
      <c r="H204" s="11" t="n">
        <f aca="false">IF(D204=1,SUMIFS(Benefits!$S$4:$S$703,Benefits!$B$4:$B$703,A204,Benefits!$F$4:$F$703,B204,Benefits!$R$4:$R$703,"avoided_cost_realised"),0)</f>
        <v>0</v>
      </c>
      <c r="I204" s="11" t="n">
        <f aca="false">IF(D204=1,SUMIFS(Benefits!$S$4:$S$703,Benefits!$B$4:$B$703,A204,Benefits!$F$4:$F$703,B204,Benefits!$R$4:$R$703,"capacity_converted"),0)</f>
        <v>0</v>
      </c>
      <c r="J204" s="11" t="n">
        <f aca="false">SUM(F204:I204)</f>
        <v>0</v>
      </c>
      <c r="K204" s="11" t="n">
        <f aca="false">J204-E204</f>
        <v>-9000</v>
      </c>
      <c r="L204" s="11" t="n">
        <f aca="false">IF(D204=1,L203+K204,0)</f>
        <v>-522000</v>
      </c>
      <c r="M204" s="11" t="n">
        <f aca="false">IF(D204=1,1/(1+Controls!$B$11)^B204,0)</f>
        <v>0.879617782840318</v>
      </c>
      <c r="N204" s="11" t="n">
        <f aca="false">K204*M204</f>
        <v>-7916.56004556286</v>
      </c>
      <c r="O204" s="11" t="n">
        <f aca="false">IF(D204=1,O203+N204,0)</f>
        <v>-478314.06659173</v>
      </c>
      <c r="P204" s="11" t="n">
        <f aca="false">IF(AND(D204=1,L204&lt;0),1,0)</f>
        <v>1</v>
      </c>
      <c r="Q204" s="11" t="n">
        <f aca="false">IF(AND(D204=1,O204&lt;0),1,0)</f>
        <v>1</v>
      </c>
    </row>
    <row r="205" customFormat="false" ht="15" hidden="false" customHeight="false" outlineLevel="0" collapsed="false">
      <c r="A205" s="4" t="s">
        <v>88</v>
      </c>
      <c r="B205" s="4" t="n">
        <v>21</v>
      </c>
      <c r="C205" s="11" t="n">
        <f aca="false">IF(COUNTIF('Scenario inputs'!$A$4:$A$213,Controls!$B$3&amp;"|"&amp;A205)&gt;0,1,0)</f>
        <v>1</v>
      </c>
      <c r="D205" s="11" t="n">
        <f aca="false">IF(AND(C205=1,B205&lt;Controls!$B$12),1,0)</f>
        <v>1</v>
      </c>
      <c r="E205" s="11" t="n">
        <f aca="false">IF(D205=1,SUMPRODUCT((Costs!$B$4:$B$903=A205)*(Costs!$D$4:$D$903="planned")*(Costs!$J$4:$J$903&lt;=B205)*(Costs!$K$4:$K$903&gt;B205)*Costs!$E$4:$E$903),0)</f>
        <v>9550</v>
      </c>
      <c r="F205" s="11" t="n">
        <f aca="false">IF(D205=1,SUMIFS(Benefits!$S$4:$S$703,Benefits!$B$4:$B$703,A205,Benefits!$F$4:$F$703,B205,Benefits!$R$4:$R$703,"cash"),0)</f>
        <v>0</v>
      </c>
      <c r="G205" s="11" t="n">
        <f aca="false">IF(D205=1,SUMIFS(Benefits!$S$4:$S$703,Benefits!$B$4:$B$703,A205,Benefits!$F$4:$F$703,B205,Benefits!$R$4:$R$703,"revenue"),0)</f>
        <v>0</v>
      </c>
      <c r="H205" s="11" t="n">
        <f aca="false">IF(D205=1,SUMIFS(Benefits!$S$4:$S$703,Benefits!$B$4:$B$703,A205,Benefits!$F$4:$F$703,B205,Benefits!$R$4:$R$703,"avoided_cost_realised"),0)</f>
        <v>0</v>
      </c>
      <c r="I205" s="11" t="n">
        <f aca="false">IF(D205=1,SUMIFS(Benefits!$S$4:$S$703,Benefits!$B$4:$B$703,A205,Benefits!$F$4:$F$703,B205,Benefits!$R$4:$R$703,"capacity_converted"),0)</f>
        <v>0</v>
      </c>
      <c r="J205" s="11" t="n">
        <f aca="false">SUM(F205:I205)</f>
        <v>0</v>
      </c>
      <c r="K205" s="11" t="n">
        <f aca="false">J205-E205</f>
        <v>-9550</v>
      </c>
      <c r="L205" s="11" t="n">
        <f aca="false">IF(D205=1,L204+K205,0)</f>
        <v>-531550</v>
      </c>
      <c r="M205" s="11" t="n">
        <f aca="false">IF(D205=1,1/(1+Controls!$B$11)^B205,0)</f>
        <v>0.873994502213079</v>
      </c>
      <c r="N205" s="11" t="n">
        <f aca="false">K205*M205</f>
        <v>-8346.64749613491</v>
      </c>
      <c r="O205" s="11" t="n">
        <f aca="false">IF(D205=1,O204+N205,0)</f>
        <v>-486660.714087865</v>
      </c>
      <c r="P205" s="11" t="n">
        <f aca="false">IF(AND(D205=1,L205&lt;0),1,0)</f>
        <v>1</v>
      </c>
      <c r="Q205" s="11" t="n">
        <f aca="false">IF(AND(D205=1,O205&lt;0),1,0)</f>
        <v>1</v>
      </c>
    </row>
    <row r="206" customFormat="false" ht="15" hidden="false" customHeight="false" outlineLevel="0" collapsed="false">
      <c r="A206" s="4" t="s">
        <v>88</v>
      </c>
      <c r="B206" s="4" t="n">
        <v>22</v>
      </c>
      <c r="C206" s="11" t="n">
        <f aca="false">IF(COUNTIF('Scenario inputs'!$A$4:$A$213,Controls!$B$3&amp;"|"&amp;A206)&gt;0,1,0)</f>
        <v>1</v>
      </c>
      <c r="D206" s="11" t="n">
        <f aca="false">IF(AND(C206=1,B206&lt;Controls!$B$12),1,0)</f>
        <v>1</v>
      </c>
      <c r="E206" s="11" t="n">
        <f aca="false">IF(D206=1,SUMPRODUCT((Costs!$B$4:$B$903=A206)*(Costs!$D$4:$D$903="planned")*(Costs!$J$4:$J$903&lt;=B206)*(Costs!$K$4:$K$903&gt;B206)*Costs!$E$4:$E$903),0)</f>
        <v>9550</v>
      </c>
      <c r="F206" s="11" t="n">
        <f aca="false">IF(D206=1,SUMIFS(Benefits!$S$4:$S$703,Benefits!$B$4:$B$703,A206,Benefits!$F$4:$F$703,B206,Benefits!$R$4:$R$703,"cash"),0)</f>
        <v>0</v>
      </c>
      <c r="G206" s="11" t="n">
        <f aca="false">IF(D206=1,SUMIFS(Benefits!$S$4:$S$703,Benefits!$B$4:$B$703,A206,Benefits!$F$4:$F$703,B206,Benefits!$R$4:$R$703,"revenue"),0)</f>
        <v>0</v>
      </c>
      <c r="H206" s="11" t="n">
        <f aca="false">IF(D206=1,SUMIFS(Benefits!$S$4:$S$703,Benefits!$B$4:$B$703,A206,Benefits!$F$4:$F$703,B206,Benefits!$R$4:$R$703,"avoided_cost_realised"),0)</f>
        <v>0</v>
      </c>
      <c r="I206" s="11" t="n">
        <f aca="false">IF(D206=1,SUMIFS(Benefits!$S$4:$S$703,Benefits!$B$4:$B$703,A206,Benefits!$F$4:$F$703,B206,Benefits!$R$4:$R$703,"capacity_converted"),0)</f>
        <v>0</v>
      </c>
      <c r="J206" s="11" t="n">
        <f aca="false">SUM(F206:I206)</f>
        <v>0</v>
      </c>
      <c r="K206" s="11" t="n">
        <f aca="false">J206-E206</f>
        <v>-9550</v>
      </c>
      <c r="L206" s="11" t="n">
        <f aca="false">IF(D206=1,L205+K206,0)</f>
        <v>-541100</v>
      </c>
      <c r="M206" s="11" t="n">
        <f aca="false">IF(D206=1,1/(1+Controls!$B$11)^B206,0)</f>
        <v>0.868407170478222</v>
      </c>
      <c r="N206" s="11" t="n">
        <f aca="false">K206*M206</f>
        <v>-8293.28847806702</v>
      </c>
      <c r="O206" s="11" t="n">
        <f aca="false">IF(D206=1,O205+N206,0)</f>
        <v>-494954.002565932</v>
      </c>
      <c r="P206" s="11" t="n">
        <f aca="false">IF(AND(D206=1,L206&lt;0),1,0)</f>
        <v>1</v>
      </c>
      <c r="Q206" s="11" t="n">
        <f aca="false">IF(AND(D206=1,O206&lt;0),1,0)</f>
        <v>1</v>
      </c>
    </row>
    <row r="207" customFormat="false" ht="15" hidden="false" customHeight="false" outlineLevel="0" collapsed="false">
      <c r="A207" s="4" t="s">
        <v>88</v>
      </c>
      <c r="B207" s="4" t="n">
        <v>23</v>
      </c>
      <c r="C207" s="11" t="n">
        <f aca="false">IF(COUNTIF('Scenario inputs'!$A$4:$A$213,Controls!$B$3&amp;"|"&amp;A207)&gt;0,1,0)</f>
        <v>1</v>
      </c>
      <c r="D207" s="11" t="n">
        <f aca="false">IF(AND(C207=1,B207&lt;Controls!$B$12),1,0)</f>
        <v>1</v>
      </c>
      <c r="E207" s="11" t="n">
        <f aca="false">IF(D207=1,SUMPRODUCT((Costs!$B$4:$B$903=A207)*(Costs!$D$4:$D$903="planned")*(Costs!$J$4:$J$903&lt;=B207)*(Costs!$K$4:$K$903&gt;B207)*Costs!$E$4:$E$903),0)</f>
        <v>9550</v>
      </c>
      <c r="F207" s="11" t="n">
        <f aca="false">IF(D207=1,SUMIFS(Benefits!$S$4:$S$703,Benefits!$B$4:$B$703,A207,Benefits!$F$4:$F$703,B207,Benefits!$R$4:$R$703,"cash"),0)</f>
        <v>0</v>
      </c>
      <c r="G207" s="11" t="n">
        <f aca="false">IF(D207=1,SUMIFS(Benefits!$S$4:$S$703,Benefits!$B$4:$B$703,A207,Benefits!$F$4:$F$703,B207,Benefits!$R$4:$R$703,"revenue"),0)</f>
        <v>0</v>
      </c>
      <c r="H207" s="11" t="n">
        <f aca="false">IF(D207=1,SUMIFS(Benefits!$S$4:$S$703,Benefits!$B$4:$B$703,A207,Benefits!$F$4:$F$703,B207,Benefits!$R$4:$R$703,"avoided_cost_realised"),0)</f>
        <v>0</v>
      </c>
      <c r="I207" s="11" t="n">
        <f aca="false">IF(D207=1,SUMIFS(Benefits!$S$4:$S$703,Benefits!$B$4:$B$703,A207,Benefits!$F$4:$F$703,B207,Benefits!$R$4:$R$703,"capacity_converted"),0)</f>
        <v>0</v>
      </c>
      <c r="J207" s="11" t="n">
        <f aca="false">SUM(F207:I207)</f>
        <v>0</v>
      </c>
      <c r="K207" s="11" t="n">
        <f aca="false">J207-E207</f>
        <v>-9550</v>
      </c>
      <c r="L207" s="11" t="n">
        <f aca="false">IF(D207=1,L206+K207,0)</f>
        <v>-550650</v>
      </c>
      <c r="M207" s="11" t="n">
        <f aca="false">IF(D207=1,1/(1+Controls!$B$11)^B207,0)</f>
        <v>0.862855557819213</v>
      </c>
      <c r="N207" s="11" t="n">
        <f aca="false">K207*M207</f>
        <v>-8240.27057717349</v>
      </c>
      <c r="O207" s="11" t="n">
        <f aca="false">IF(D207=1,O206+N207,0)</f>
        <v>-503194.273143106</v>
      </c>
      <c r="P207" s="11" t="n">
        <f aca="false">IF(AND(D207=1,L207&lt;0),1,0)</f>
        <v>1</v>
      </c>
      <c r="Q207" s="11" t="n">
        <f aca="false">IF(AND(D207=1,O207&lt;0),1,0)</f>
        <v>1</v>
      </c>
    </row>
    <row r="208" customFormat="false" ht="15" hidden="false" customHeight="false" outlineLevel="0" collapsed="false">
      <c r="A208" s="4" t="s">
        <v>88</v>
      </c>
      <c r="B208" s="4" t="n">
        <v>24</v>
      </c>
      <c r="C208" s="11" t="n">
        <f aca="false">IF(COUNTIF('Scenario inputs'!$A$4:$A$213,Controls!$B$3&amp;"|"&amp;A208)&gt;0,1,0)</f>
        <v>1</v>
      </c>
      <c r="D208" s="11" t="n">
        <f aca="false">IF(AND(C208=1,B208&lt;Controls!$B$12),1,0)</f>
        <v>1</v>
      </c>
      <c r="E208" s="11" t="n">
        <f aca="false">IF(D208=1,SUMPRODUCT((Costs!$B$4:$B$903=A208)*(Costs!$D$4:$D$903="planned")*(Costs!$J$4:$J$903&lt;=B208)*(Costs!$K$4:$K$903&gt;B208)*Costs!$E$4:$E$903),0)</f>
        <v>9550</v>
      </c>
      <c r="F208" s="11" t="n">
        <f aca="false">IF(D208=1,SUMIFS(Benefits!$S$4:$S$703,Benefits!$B$4:$B$703,A208,Benefits!$F$4:$F$703,B208,Benefits!$R$4:$R$703,"cash"),0)</f>
        <v>0</v>
      </c>
      <c r="G208" s="11" t="n">
        <f aca="false">IF(D208=1,SUMIFS(Benefits!$S$4:$S$703,Benefits!$B$4:$B$703,A208,Benefits!$F$4:$F$703,B208,Benefits!$R$4:$R$703,"revenue"),0)</f>
        <v>0</v>
      </c>
      <c r="H208" s="11" t="n">
        <f aca="false">IF(D208=1,SUMIFS(Benefits!$S$4:$S$703,Benefits!$B$4:$B$703,A208,Benefits!$F$4:$F$703,B208,Benefits!$R$4:$R$703,"avoided_cost_realised"),0)</f>
        <v>0</v>
      </c>
      <c r="I208" s="11" t="n">
        <f aca="false">IF(D208=1,SUMIFS(Benefits!$S$4:$S$703,Benefits!$B$4:$B$703,A208,Benefits!$F$4:$F$703,B208,Benefits!$R$4:$R$703,"capacity_converted"),0)</f>
        <v>0</v>
      </c>
      <c r="J208" s="11" t="n">
        <f aca="false">SUM(F208:I208)</f>
        <v>0</v>
      </c>
      <c r="K208" s="11" t="n">
        <f aca="false">J208-E208</f>
        <v>-9550</v>
      </c>
      <c r="L208" s="11" t="n">
        <f aca="false">IF(D208=1,L207+K208,0)</f>
        <v>-560200</v>
      </c>
      <c r="M208" s="11" t="n">
        <f aca="false">IF(D208=1,1/(1+Controls!$B$11)^B208,0)</f>
        <v>0.857339435888705</v>
      </c>
      <c r="N208" s="11" t="n">
        <f aca="false">K208*M208</f>
        <v>-8187.59161273714</v>
      </c>
      <c r="O208" s="11" t="n">
        <f aca="false">IF(D208=1,O207+N208,0)</f>
        <v>-511381.864755843</v>
      </c>
      <c r="P208" s="11" t="n">
        <f aca="false">IF(AND(D208=1,L208&lt;0),1,0)</f>
        <v>1</v>
      </c>
      <c r="Q208" s="11" t="n">
        <f aca="false">IF(AND(D208=1,O208&lt;0),1,0)</f>
        <v>1</v>
      </c>
    </row>
    <row r="209" customFormat="false" ht="15" hidden="false" customHeight="false" outlineLevel="0" collapsed="false">
      <c r="A209" s="4" t="s">
        <v>88</v>
      </c>
      <c r="B209" s="4" t="n">
        <v>25</v>
      </c>
      <c r="C209" s="11" t="n">
        <f aca="false">IF(COUNTIF('Scenario inputs'!$A$4:$A$213,Controls!$B$3&amp;"|"&amp;A209)&gt;0,1,0)</f>
        <v>1</v>
      </c>
      <c r="D209" s="11" t="n">
        <f aca="false">IF(AND(C209=1,B209&lt;Controls!$B$12),1,0)</f>
        <v>1</v>
      </c>
      <c r="E209" s="11" t="n">
        <f aca="false">IF(D209=1,SUMPRODUCT((Costs!$B$4:$B$903=A209)*(Costs!$D$4:$D$903="planned")*(Costs!$J$4:$J$903&lt;=B209)*(Costs!$K$4:$K$903&gt;B209)*Costs!$E$4:$E$903),0)</f>
        <v>9550</v>
      </c>
      <c r="F209" s="11" t="n">
        <f aca="false">IF(D209=1,SUMIFS(Benefits!$S$4:$S$703,Benefits!$B$4:$B$703,A209,Benefits!$F$4:$F$703,B209,Benefits!$R$4:$R$703,"cash"),0)</f>
        <v>0</v>
      </c>
      <c r="G209" s="11" t="n">
        <f aca="false">IF(D209=1,SUMIFS(Benefits!$S$4:$S$703,Benefits!$B$4:$B$703,A209,Benefits!$F$4:$F$703,B209,Benefits!$R$4:$R$703,"revenue"),0)</f>
        <v>0</v>
      </c>
      <c r="H209" s="11" t="n">
        <f aca="false">IF(D209=1,SUMIFS(Benefits!$S$4:$S$703,Benefits!$B$4:$B$703,A209,Benefits!$F$4:$F$703,B209,Benefits!$R$4:$R$703,"avoided_cost_realised"),0)</f>
        <v>0</v>
      </c>
      <c r="I209" s="11" t="n">
        <f aca="false">IF(D209=1,SUMIFS(Benefits!$S$4:$S$703,Benefits!$B$4:$B$703,A209,Benefits!$F$4:$F$703,B209,Benefits!$R$4:$R$703,"capacity_converted"),0)</f>
        <v>0</v>
      </c>
      <c r="J209" s="11" t="n">
        <f aca="false">SUM(F209:I209)</f>
        <v>0</v>
      </c>
      <c r="K209" s="11" t="n">
        <f aca="false">J209-E209</f>
        <v>-9550</v>
      </c>
      <c r="L209" s="11" t="n">
        <f aca="false">IF(D209=1,L208+K209,0)</f>
        <v>-569750</v>
      </c>
      <c r="M209" s="11" t="n">
        <f aca="false">IF(D209=1,1/(1+Controls!$B$11)^B209,0)</f>
        <v>0.851858577799146</v>
      </c>
      <c r="N209" s="11" t="n">
        <f aca="false">K209*M209</f>
        <v>-8135.24941798184</v>
      </c>
      <c r="O209" s="11" t="n">
        <f aca="false">IF(D209=1,O208+N209,0)</f>
        <v>-519517.114173825</v>
      </c>
      <c r="P209" s="11" t="n">
        <f aca="false">IF(AND(D209=1,L209&lt;0),1,0)</f>
        <v>1</v>
      </c>
      <c r="Q209" s="11" t="n">
        <f aca="false">IF(AND(D209=1,O209&lt;0),1,0)</f>
        <v>1</v>
      </c>
    </row>
    <row r="210" customFormat="false" ht="15" hidden="false" customHeight="false" outlineLevel="0" collapsed="false">
      <c r="A210" s="4" t="s">
        <v>88</v>
      </c>
      <c r="B210" s="4" t="n">
        <v>26</v>
      </c>
      <c r="C210" s="11" t="n">
        <f aca="false">IF(COUNTIF('Scenario inputs'!$A$4:$A$213,Controls!$B$3&amp;"|"&amp;A210)&gt;0,1,0)</f>
        <v>1</v>
      </c>
      <c r="D210" s="11" t="n">
        <f aca="false">IF(AND(C210=1,B210&lt;Controls!$B$12),1,0)</f>
        <v>1</v>
      </c>
      <c r="E210" s="11" t="n">
        <f aca="false">IF(D210=1,SUMPRODUCT((Costs!$B$4:$B$903=A210)*(Costs!$D$4:$D$903="planned")*(Costs!$J$4:$J$903&lt;=B210)*(Costs!$K$4:$K$903&gt;B210)*Costs!$E$4:$E$903),0)</f>
        <v>9550</v>
      </c>
      <c r="F210" s="11" t="n">
        <f aca="false">IF(D210=1,SUMIFS(Benefits!$S$4:$S$703,Benefits!$B$4:$B$703,A210,Benefits!$F$4:$F$703,B210,Benefits!$R$4:$R$703,"cash"),0)</f>
        <v>0</v>
      </c>
      <c r="G210" s="11" t="n">
        <f aca="false">IF(D210=1,SUMIFS(Benefits!$S$4:$S$703,Benefits!$B$4:$B$703,A210,Benefits!$F$4:$F$703,B210,Benefits!$R$4:$R$703,"revenue"),0)</f>
        <v>0</v>
      </c>
      <c r="H210" s="11" t="n">
        <f aca="false">IF(D210=1,SUMIFS(Benefits!$S$4:$S$703,Benefits!$B$4:$B$703,A210,Benefits!$F$4:$F$703,B210,Benefits!$R$4:$R$703,"avoided_cost_realised"),0)</f>
        <v>0</v>
      </c>
      <c r="I210" s="11" t="n">
        <f aca="false">IF(D210=1,SUMIFS(Benefits!$S$4:$S$703,Benefits!$B$4:$B$703,A210,Benefits!$F$4:$F$703,B210,Benefits!$R$4:$R$703,"capacity_converted"),0)</f>
        <v>0</v>
      </c>
      <c r="J210" s="11" t="n">
        <f aca="false">SUM(F210:I210)</f>
        <v>0</v>
      </c>
      <c r="K210" s="11" t="n">
        <f aca="false">J210-E210</f>
        <v>-9550</v>
      </c>
      <c r="L210" s="11" t="n">
        <f aca="false">IF(D210=1,L209+K210,0)</f>
        <v>-579300</v>
      </c>
      <c r="M210" s="11" t="n">
        <f aca="false">IF(D210=1,1/(1+Controls!$B$11)^B210,0)</f>
        <v>0.846412758113444</v>
      </c>
      <c r="N210" s="11" t="n">
        <f aca="false">K210*M210</f>
        <v>-8083.24183998339</v>
      </c>
      <c r="O210" s="11" t="n">
        <f aca="false">IF(D210=1,O209+N210,0)</f>
        <v>-527600.356013808</v>
      </c>
      <c r="P210" s="11" t="n">
        <f aca="false">IF(AND(D210=1,L210&lt;0),1,0)</f>
        <v>1</v>
      </c>
      <c r="Q210" s="11" t="n">
        <f aca="false">IF(AND(D210=1,O210&lt;0),1,0)</f>
        <v>1</v>
      </c>
    </row>
    <row r="211" customFormat="false" ht="15" hidden="false" customHeight="false" outlineLevel="0" collapsed="false">
      <c r="A211" s="4" t="s">
        <v>88</v>
      </c>
      <c r="B211" s="4" t="n">
        <v>27</v>
      </c>
      <c r="C211" s="11" t="n">
        <f aca="false">IF(COUNTIF('Scenario inputs'!$A$4:$A$213,Controls!$B$3&amp;"|"&amp;A211)&gt;0,1,0)</f>
        <v>1</v>
      </c>
      <c r="D211" s="11" t="n">
        <f aca="false">IF(AND(C211=1,B211&lt;Controls!$B$12),1,0)</f>
        <v>1</v>
      </c>
      <c r="E211" s="11" t="n">
        <f aca="false">IF(D211=1,SUMPRODUCT((Costs!$B$4:$B$903=A211)*(Costs!$D$4:$D$903="planned")*(Costs!$J$4:$J$903&lt;=B211)*(Costs!$K$4:$K$903&gt;B211)*Costs!$E$4:$E$903),0)</f>
        <v>9550</v>
      </c>
      <c r="F211" s="11" t="n">
        <f aca="false">IF(D211=1,SUMIFS(Benefits!$S$4:$S$703,Benefits!$B$4:$B$703,A211,Benefits!$F$4:$F$703,B211,Benefits!$R$4:$R$703,"cash"),0)</f>
        <v>0</v>
      </c>
      <c r="G211" s="11" t="n">
        <f aca="false">IF(D211=1,SUMIFS(Benefits!$S$4:$S$703,Benefits!$B$4:$B$703,A211,Benefits!$F$4:$F$703,B211,Benefits!$R$4:$R$703,"revenue"),0)</f>
        <v>0</v>
      </c>
      <c r="H211" s="11" t="n">
        <f aca="false">IF(D211=1,SUMIFS(Benefits!$S$4:$S$703,Benefits!$B$4:$B$703,A211,Benefits!$F$4:$F$703,B211,Benefits!$R$4:$R$703,"avoided_cost_realised"),0)</f>
        <v>0</v>
      </c>
      <c r="I211" s="11" t="n">
        <f aca="false">IF(D211=1,SUMIFS(Benefits!$S$4:$S$703,Benefits!$B$4:$B$703,A211,Benefits!$F$4:$F$703,B211,Benefits!$R$4:$R$703,"capacity_converted"),0)</f>
        <v>0</v>
      </c>
      <c r="J211" s="11" t="n">
        <f aca="false">SUM(F211:I211)</f>
        <v>0</v>
      </c>
      <c r="K211" s="11" t="n">
        <f aca="false">J211-E211</f>
        <v>-9550</v>
      </c>
      <c r="L211" s="11" t="n">
        <f aca="false">IF(D211=1,L210+K211,0)</f>
        <v>-588850</v>
      </c>
      <c r="M211" s="11" t="n">
        <f aca="false">IF(D211=1,1/(1+Controls!$B$11)^B211,0)</f>
        <v>0.841001752835699</v>
      </c>
      <c r="N211" s="11" t="n">
        <f aca="false">K211*M211</f>
        <v>-8031.56673958092</v>
      </c>
      <c r="O211" s="11" t="n">
        <f aca="false">IF(D211=1,O210+N211,0)</f>
        <v>-535631.922753389</v>
      </c>
      <c r="P211" s="11" t="n">
        <f aca="false">IF(AND(D211=1,L211&lt;0),1,0)</f>
        <v>1</v>
      </c>
      <c r="Q211" s="11" t="n">
        <f aca="false">IF(AND(D211=1,O211&lt;0),1,0)</f>
        <v>1</v>
      </c>
    </row>
    <row r="212" customFormat="false" ht="15" hidden="false" customHeight="false" outlineLevel="0" collapsed="false">
      <c r="A212" s="4" t="s">
        <v>88</v>
      </c>
      <c r="B212" s="4" t="n">
        <v>28</v>
      </c>
      <c r="C212" s="11" t="n">
        <f aca="false">IF(COUNTIF('Scenario inputs'!$A$4:$A$213,Controls!$B$3&amp;"|"&amp;A212)&gt;0,1,0)</f>
        <v>1</v>
      </c>
      <c r="D212" s="11" t="n">
        <f aca="false">IF(AND(C212=1,B212&lt;Controls!$B$12),1,0)</f>
        <v>1</v>
      </c>
      <c r="E212" s="11" t="n">
        <f aca="false">IF(D212=1,SUMPRODUCT((Costs!$B$4:$B$903=A212)*(Costs!$D$4:$D$903="planned")*(Costs!$J$4:$J$903&lt;=B212)*(Costs!$K$4:$K$903&gt;B212)*Costs!$E$4:$E$903),0)</f>
        <v>0</v>
      </c>
      <c r="F212" s="11" t="n">
        <f aca="false">IF(D212=1,SUMIFS(Benefits!$S$4:$S$703,Benefits!$B$4:$B$703,A212,Benefits!$F$4:$F$703,B212,Benefits!$R$4:$R$703,"cash"),0)</f>
        <v>0</v>
      </c>
      <c r="G212" s="11" t="n">
        <f aca="false">IF(D212=1,SUMIFS(Benefits!$S$4:$S$703,Benefits!$B$4:$B$703,A212,Benefits!$F$4:$F$703,B212,Benefits!$R$4:$R$703,"revenue"),0)</f>
        <v>0</v>
      </c>
      <c r="H212" s="11" t="n">
        <f aca="false">IF(D212=1,SUMIFS(Benefits!$S$4:$S$703,Benefits!$B$4:$B$703,A212,Benefits!$F$4:$F$703,B212,Benefits!$R$4:$R$703,"avoided_cost_realised"),0)</f>
        <v>0</v>
      </c>
      <c r="I212" s="11" t="n">
        <f aca="false">IF(D212=1,SUMIFS(Benefits!$S$4:$S$703,Benefits!$B$4:$B$703,A212,Benefits!$F$4:$F$703,B212,Benefits!$R$4:$R$703,"capacity_converted"),0)</f>
        <v>0</v>
      </c>
      <c r="J212" s="11" t="n">
        <f aca="false">SUM(F212:I212)</f>
        <v>0</v>
      </c>
      <c r="K212" s="11" t="n">
        <f aca="false">J212-E212</f>
        <v>0</v>
      </c>
      <c r="L212" s="11" t="n">
        <f aca="false">IF(D212=1,L211+K212,0)</f>
        <v>-588850</v>
      </c>
      <c r="M212" s="11" t="n">
        <f aca="false">IF(D212=1,1/(1+Controls!$B$11)^B212,0)</f>
        <v>0.835625339401986</v>
      </c>
      <c r="N212" s="11" t="n">
        <f aca="false">K212*M212</f>
        <v>0</v>
      </c>
      <c r="O212" s="11" t="n">
        <f aca="false">IF(D212=1,O211+N212,0)</f>
        <v>-535631.922753389</v>
      </c>
      <c r="P212" s="11" t="n">
        <f aca="false">IF(AND(D212=1,L212&lt;0),1,0)</f>
        <v>1</v>
      </c>
      <c r="Q212" s="11" t="n">
        <f aca="false">IF(AND(D212=1,O212&lt;0),1,0)</f>
        <v>1</v>
      </c>
    </row>
    <row r="213" customFormat="false" ht="15" hidden="false" customHeight="false" outlineLevel="0" collapsed="false">
      <c r="A213" s="4" t="s">
        <v>88</v>
      </c>
      <c r="B213" s="4" t="n">
        <v>29</v>
      </c>
      <c r="C213" s="11" t="n">
        <f aca="false">IF(COUNTIF('Scenario inputs'!$A$4:$A$213,Controls!$B$3&amp;"|"&amp;A213)&gt;0,1,0)</f>
        <v>1</v>
      </c>
      <c r="D213" s="11" t="n">
        <f aca="false">IF(AND(C213=1,B213&lt;Controls!$B$12),1,0)</f>
        <v>1</v>
      </c>
      <c r="E213" s="11" t="n">
        <f aca="false">IF(D213=1,SUMPRODUCT((Costs!$B$4:$B$903=A213)*(Costs!$D$4:$D$903="planned")*(Costs!$J$4:$J$903&lt;=B213)*(Costs!$K$4:$K$903&gt;B213)*Costs!$E$4:$E$903),0)</f>
        <v>0</v>
      </c>
      <c r="F213" s="11" t="n">
        <f aca="false">IF(D213=1,SUMIFS(Benefits!$S$4:$S$703,Benefits!$B$4:$B$703,A213,Benefits!$F$4:$F$703,B213,Benefits!$R$4:$R$703,"cash"),0)</f>
        <v>0</v>
      </c>
      <c r="G213" s="11" t="n">
        <f aca="false">IF(D213=1,SUMIFS(Benefits!$S$4:$S$703,Benefits!$B$4:$B$703,A213,Benefits!$F$4:$F$703,B213,Benefits!$R$4:$R$703,"revenue"),0)</f>
        <v>0</v>
      </c>
      <c r="H213" s="11" t="n">
        <f aca="false">IF(D213=1,SUMIFS(Benefits!$S$4:$S$703,Benefits!$B$4:$B$703,A213,Benefits!$F$4:$F$703,B213,Benefits!$R$4:$R$703,"avoided_cost_realised"),0)</f>
        <v>0</v>
      </c>
      <c r="I213" s="11" t="n">
        <f aca="false">IF(D213=1,SUMIFS(Benefits!$S$4:$S$703,Benefits!$B$4:$B$703,A213,Benefits!$F$4:$F$703,B213,Benefits!$R$4:$R$703,"capacity_converted"),0)</f>
        <v>0</v>
      </c>
      <c r="J213" s="11" t="n">
        <f aca="false">SUM(F213:I213)</f>
        <v>0</v>
      </c>
      <c r="K213" s="11" t="n">
        <f aca="false">J213-E213</f>
        <v>0</v>
      </c>
      <c r="L213" s="11" t="n">
        <f aca="false">IF(D213=1,L212+K213,0)</f>
        <v>-588850</v>
      </c>
      <c r="M213" s="11" t="n">
        <f aca="false">IF(D213=1,1/(1+Controls!$B$11)^B213,0)</f>
        <v>0.830283296671204</v>
      </c>
      <c r="N213" s="11" t="n">
        <f aca="false">K213*M213</f>
        <v>0</v>
      </c>
      <c r="O213" s="11" t="n">
        <f aca="false">IF(D213=1,O212+N213,0)</f>
        <v>-535631.922753389</v>
      </c>
      <c r="P213" s="11" t="n">
        <f aca="false">IF(AND(D213=1,L213&lt;0),1,0)</f>
        <v>1</v>
      </c>
      <c r="Q213" s="11" t="n">
        <f aca="false">IF(AND(D213=1,O213&lt;0),1,0)</f>
        <v>1</v>
      </c>
    </row>
    <row r="214" customFormat="false" ht="15" hidden="false" customHeight="false" outlineLevel="0" collapsed="false">
      <c r="A214" s="4" t="s">
        <v>88</v>
      </c>
      <c r="B214" s="4" t="n">
        <v>30</v>
      </c>
      <c r="C214" s="11" t="n">
        <f aca="false">IF(COUNTIF('Scenario inputs'!$A$4:$A$213,Controls!$B$3&amp;"|"&amp;A214)&gt;0,1,0)</f>
        <v>1</v>
      </c>
      <c r="D214" s="11" t="n">
        <f aca="false">IF(AND(C214=1,B214&lt;Controls!$B$12),1,0)</f>
        <v>1</v>
      </c>
      <c r="E214" s="11" t="n">
        <f aca="false">IF(D214=1,SUMPRODUCT((Costs!$B$4:$B$903=A214)*(Costs!$D$4:$D$903="planned")*(Costs!$J$4:$J$903&lt;=B214)*(Costs!$K$4:$K$903&gt;B214)*Costs!$E$4:$E$903),0)</f>
        <v>0</v>
      </c>
      <c r="F214" s="11" t="n">
        <f aca="false">IF(D214=1,SUMIFS(Benefits!$S$4:$S$703,Benefits!$B$4:$B$703,A214,Benefits!$F$4:$F$703,B214,Benefits!$R$4:$R$703,"cash"),0)</f>
        <v>0</v>
      </c>
      <c r="G214" s="11" t="n">
        <f aca="false">IF(D214=1,SUMIFS(Benefits!$S$4:$S$703,Benefits!$B$4:$B$703,A214,Benefits!$F$4:$F$703,B214,Benefits!$R$4:$R$703,"revenue"),0)</f>
        <v>0</v>
      </c>
      <c r="H214" s="11" t="n">
        <f aca="false">IF(D214=1,SUMIFS(Benefits!$S$4:$S$703,Benefits!$B$4:$B$703,A214,Benefits!$F$4:$F$703,B214,Benefits!$R$4:$R$703,"avoided_cost_realised"),0)</f>
        <v>0</v>
      </c>
      <c r="I214" s="11" t="n">
        <f aca="false">IF(D214=1,SUMIFS(Benefits!$S$4:$S$703,Benefits!$B$4:$B$703,A214,Benefits!$F$4:$F$703,B214,Benefits!$R$4:$R$703,"capacity_converted"),0)</f>
        <v>0</v>
      </c>
      <c r="J214" s="11" t="n">
        <f aca="false">SUM(F214:I214)</f>
        <v>0</v>
      </c>
      <c r="K214" s="11" t="n">
        <f aca="false">J214-E214</f>
        <v>0</v>
      </c>
      <c r="L214" s="11" t="n">
        <f aca="false">IF(D214=1,L213+K214,0)</f>
        <v>-588850</v>
      </c>
      <c r="M214" s="11" t="n">
        <f aca="false">IF(D214=1,1/(1+Controls!$B$11)^B214,0)</f>
        <v>0.824975404915974</v>
      </c>
      <c r="N214" s="11" t="n">
        <f aca="false">K214*M214</f>
        <v>0</v>
      </c>
      <c r="O214" s="11" t="n">
        <f aca="false">IF(D214=1,O213+N214,0)</f>
        <v>-535631.922753389</v>
      </c>
      <c r="P214" s="11" t="n">
        <f aca="false">IF(AND(D214=1,L214&lt;0),1,0)</f>
        <v>1</v>
      </c>
      <c r="Q214" s="11" t="n">
        <f aca="false">IF(AND(D214=1,O214&lt;0),1,0)</f>
        <v>1</v>
      </c>
    </row>
    <row r="215" customFormat="false" ht="15" hidden="false" customHeight="false" outlineLevel="0" collapsed="false">
      <c r="A215" s="4" t="s">
        <v>88</v>
      </c>
      <c r="B215" s="4" t="n">
        <v>31</v>
      </c>
      <c r="C215" s="11" t="n">
        <f aca="false">IF(COUNTIF('Scenario inputs'!$A$4:$A$213,Controls!$B$3&amp;"|"&amp;A215)&gt;0,1,0)</f>
        <v>1</v>
      </c>
      <c r="D215" s="11" t="n">
        <f aca="false">IF(AND(C215=1,B215&lt;Controls!$B$12),1,0)</f>
        <v>1</v>
      </c>
      <c r="E215" s="11" t="n">
        <f aca="false">IF(D215=1,SUMPRODUCT((Costs!$B$4:$B$903=A215)*(Costs!$D$4:$D$903="planned")*(Costs!$J$4:$J$903&lt;=B215)*(Costs!$K$4:$K$903&gt;B215)*Costs!$E$4:$E$903),0)</f>
        <v>0</v>
      </c>
      <c r="F215" s="11" t="n">
        <f aca="false">IF(D215=1,SUMIFS(Benefits!$S$4:$S$703,Benefits!$B$4:$B$703,A215,Benefits!$F$4:$F$703,B215,Benefits!$R$4:$R$703,"cash"),0)</f>
        <v>0</v>
      </c>
      <c r="G215" s="11" t="n">
        <f aca="false">IF(D215=1,SUMIFS(Benefits!$S$4:$S$703,Benefits!$B$4:$B$703,A215,Benefits!$F$4:$F$703,B215,Benefits!$R$4:$R$703,"revenue"),0)</f>
        <v>0</v>
      </c>
      <c r="H215" s="11" t="n">
        <f aca="false">IF(D215=1,SUMIFS(Benefits!$S$4:$S$703,Benefits!$B$4:$B$703,A215,Benefits!$F$4:$F$703,B215,Benefits!$R$4:$R$703,"avoided_cost_realised"),0)</f>
        <v>0</v>
      </c>
      <c r="I215" s="11" t="n">
        <f aca="false">IF(D215=1,SUMIFS(Benefits!$S$4:$S$703,Benefits!$B$4:$B$703,A215,Benefits!$F$4:$F$703,B215,Benefits!$R$4:$R$703,"capacity_converted"),0)</f>
        <v>0</v>
      </c>
      <c r="J215" s="11" t="n">
        <f aca="false">SUM(F215:I215)</f>
        <v>0</v>
      </c>
      <c r="K215" s="11" t="n">
        <f aca="false">J215-E215</f>
        <v>0</v>
      </c>
      <c r="L215" s="11" t="n">
        <f aca="false">IF(D215=1,L214+K215,0)</f>
        <v>-588850</v>
      </c>
      <c r="M215" s="11" t="n">
        <f aca="false">IF(D215=1,1/(1+Controls!$B$11)^B215,0)</f>
        <v>0.81970144581361</v>
      </c>
      <c r="N215" s="11" t="n">
        <f aca="false">K215*M215</f>
        <v>0</v>
      </c>
      <c r="O215" s="11" t="n">
        <f aca="false">IF(D215=1,O214+N215,0)</f>
        <v>-535631.922753389</v>
      </c>
      <c r="P215" s="11" t="n">
        <f aca="false">IF(AND(D215=1,L215&lt;0),1,0)</f>
        <v>1</v>
      </c>
      <c r="Q215" s="11" t="n">
        <f aca="false">IF(AND(D215=1,O215&lt;0),1,0)</f>
        <v>1</v>
      </c>
    </row>
    <row r="216" customFormat="false" ht="15" hidden="false" customHeight="false" outlineLevel="0" collapsed="false">
      <c r="A216" s="4" t="s">
        <v>88</v>
      </c>
      <c r="B216" s="4" t="n">
        <v>32</v>
      </c>
      <c r="C216" s="11" t="n">
        <f aca="false">IF(COUNTIF('Scenario inputs'!$A$4:$A$213,Controls!$B$3&amp;"|"&amp;A216)&gt;0,1,0)</f>
        <v>1</v>
      </c>
      <c r="D216" s="11" t="n">
        <f aca="false">IF(AND(C216=1,B216&lt;Controls!$B$12),1,0)</f>
        <v>1</v>
      </c>
      <c r="E216" s="11" t="n">
        <f aca="false">IF(D216=1,SUMPRODUCT((Costs!$B$4:$B$903=A216)*(Costs!$D$4:$D$903="planned")*(Costs!$J$4:$J$903&lt;=B216)*(Costs!$K$4:$K$903&gt;B216)*Costs!$E$4:$E$903),0)</f>
        <v>0</v>
      </c>
      <c r="F216" s="11" t="n">
        <f aca="false">IF(D216=1,SUMIFS(Benefits!$S$4:$S$703,Benefits!$B$4:$B$703,A216,Benefits!$F$4:$F$703,B216,Benefits!$R$4:$R$703,"cash"),0)</f>
        <v>0</v>
      </c>
      <c r="G216" s="11" t="n">
        <f aca="false">IF(D216=1,SUMIFS(Benefits!$S$4:$S$703,Benefits!$B$4:$B$703,A216,Benefits!$F$4:$F$703,B216,Benefits!$R$4:$R$703,"revenue"),0)</f>
        <v>0</v>
      </c>
      <c r="H216" s="11" t="n">
        <f aca="false">IF(D216=1,SUMIFS(Benefits!$S$4:$S$703,Benefits!$B$4:$B$703,A216,Benefits!$F$4:$F$703,B216,Benefits!$R$4:$R$703,"avoided_cost_realised"),0)</f>
        <v>0</v>
      </c>
      <c r="I216" s="11" t="n">
        <f aca="false">IF(D216=1,SUMIFS(Benefits!$S$4:$S$703,Benefits!$B$4:$B$703,A216,Benefits!$F$4:$F$703,B216,Benefits!$R$4:$R$703,"capacity_converted"),0)</f>
        <v>0</v>
      </c>
      <c r="J216" s="11" t="n">
        <f aca="false">SUM(F216:I216)</f>
        <v>0</v>
      </c>
      <c r="K216" s="11" t="n">
        <f aca="false">J216-E216</f>
        <v>0</v>
      </c>
      <c r="L216" s="11" t="n">
        <f aca="false">IF(D216=1,L215+K216,0)</f>
        <v>-588850</v>
      </c>
      <c r="M216" s="11" t="n">
        <f aca="false">IF(D216=1,1/(1+Controls!$B$11)^B216,0)</f>
        <v>0.814461202437129</v>
      </c>
      <c r="N216" s="11" t="n">
        <f aca="false">K216*M216</f>
        <v>0</v>
      </c>
      <c r="O216" s="11" t="n">
        <f aca="false">IF(D216=1,O215+N216,0)</f>
        <v>-535631.922753389</v>
      </c>
      <c r="P216" s="11" t="n">
        <f aca="false">IF(AND(D216=1,L216&lt;0),1,0)</f>
        <v>1</v>
      </c>
      <c r="Q216" s="11" t="n">
        <f aca="false">IF(AND(D216=1,O216&lt;0),1,0)</f>
        <v>1</v>
      </c>
    </row>
    <row r="217" customFormat="false" ht="15" hidden="false" customHeight="false" outlineLevel="0" collapsed="false">
      <c r="A217" s="4" t="s">
        <v>88</v>
      </c>
      <c r="B217" s="4" t="n">
        <v>33</v>
      </c>
      <c r="C217" s="11" t="n">
        <f aca="false">IF(COUNTIF('Scenario inputs'!$A$4:$A$213,Controls!$B$3&amp;"|"&amp;A217)&gt;0,1,0)</f>
        <v>1</v>
      </c>
      <c r="D217" s="11" t="n">
        <f aca="false">IF(AND(C217=1,B217&lt;Controls!$B$12),1,0)</f>
        <v>1</v>
      </c>
      <c r="E217" s="11" t="n">
        <f aca="false">IF(D217=1,SUMPRODUCT((Costs!$B$4:$B$903=A217)*(Costs!$D$4:$D$903="planned")*(Costs!$J$4:$J$903&lt;=B217)*(Costs!$K$4:$K$903&gt;B217)*Costs!$E$4:$E$903),0)</f>
        <v>0</v>
      </c>
      <c r="F217" s="11" t="n">
        <f aca="false">IF(D217=1,SUMIFS(Benefits!$S$4:$S$703,Benefits!$B$4:$B$703,A217,Benefits!$F$4:$F$703,B217,Benefits!$R$4:$R$703,"cash"),0)</f>
        <v>0</v>
      </c>
      <c r="G217" s="11" t="n">
        <f aca="false">IF(D217=1,SUMIFS(Benefits!$S$4:$S$703,Benefits!$B$4:$B$703,A217,Benefits!$F$4:$F$703,B217,Benefits!$R$4:$R$703,"revenue"),0)</f>
        <v>0</v>
      </c>
      <c r="H217" s="11" t="n">
        <f aca="false">IF(D217=1,SUMIFS(Benefits!$S$4:$S$703,Benefits!$B$4:$B$703,A217,Benefits!$F$4:$F$703,B217,Benefits!$R$4:$R$703,"avoided_cost_realised"),0)</f>
        <v>0</v>
      </c>
      <c r="I217" s="11" t="n">
        <f aca="false">IF(D217=1,SUMIFS(Benefits!$S$4:$S$703,Benefits!$B$4:$B$703,A217,Benefits!$F$4:$F$703,B217,Benefits!$R$4:$R$703,"capacity_converted"),0)</f>
        <v>0</v>
      </c>
      <c r="J217" s="11" t="n">
        <f aca="false">SUM(F217:I217)</f>
        <v>0</v>
      </c>
      <c r="K217" s="11" t="n">
        <f aca="false">J217-E217</f>
        <v>0</v>
      </c>
      <c r="L217" s="11" t="n">
        <f aca="false">IF(D217=1,L216+K217,0)</f>
        <v>-588850</v>
      </c>
      <c r="M217" s="11" t="n">
        <f aca="false">IF(D217=1,1/(1+Controls!$B$11)^B217,0)</f>
        <v>0.809254459246338</v>
      </c>
      <c r="N217" s="11" t="n">
        <f aca="false">K217*M217</f>
        <v>0</v>
      </c>
      <c r="O217" s="11" t="n">
        <f aca="false">IF(D217=1,O216+N217,0)</f>
        <v>-535631.922753389</v>
      </c>
      <c r="P217" s="11" t="n">
        <f aca="false">IF(AND(D217=1,L217&lt;0),1,0)</f>
        <v>1</v>
      </c>
      <c r="Q217" s="11" t="n">
        <f aca="false">IF(AND(D217=1,O217&lt;0),1,0)</f>
        <v>1</v>
      </c>
    </row>
    <row r="218" customFormat="false" ht="15" hidden="false" customHeight="false" outlineLevel="0" collapsed="false">
      <c r="A218" s="4" t="s">
        <v>88</v>
      </c>
      <c r="B218" s="4" t="n">
        <v>34</v>
      </c>
      <c r="C218" s="11" t="n">
        <f aca="false">IF(COUNTIF('Scenario inputs'!$A$4:$A$213,Controls!$B$3&amp;"|"&amp;A218)&gt;0,1,0)</f>
        <v>1</v>
      </c>
      <c r="D218" s="11" t="n">
        <f aca="false">IF(AND(C218=1,B218&lt;Controls!$B$12),1,0)</f>
        <v>1</v>
      </c>
      <c r="E218" s="11" t="n">
        <f aca="false">IF(D218=1,SUMPRODUCT((Costs!$B$4:$B$903=A218)*(Costs!$D$4:$D$903="planned")*(Costs!$J$4:$J$903&lt;=B218)*(Costs!$K$4:$K$903&gt;B218)*Costs!$E$4:$E$903),0)</f>
        <v>0</v>
      </c>
      <c r="F218" s="11" t="n">
        <f aca="false">IF(D218=1,SUMIFS(Benefits!$S$4:$S$703,Benefits!$B$4:$B$703,A218,Benefits!$F$4:$F$703,B218,Benefits!$R$4:$R$703,"cash"),0)</f>
        <v>0</v>
      </c>
      <c r="G218" s="11" t="n">
        <f aca="false">IF(D218=1,SUMIFS(Benefits!$S$4:$S$703,Benefits!$B$4:$B$703,A218,Benefits!$F$4:$F$703,B218,Benefits!$R$4:$R$703,"revenue"),0)</f>
        <v>0</v>
      </c>
      <c r="H218" s="11" t="n">
        <f aca="false">IF(D218=1,SUMIFS(Benefits!$S$4:$S$703,Benefits!$B$4:$B$703,A218,Benefits!$F$4:$F$703,B218,Benefits!$R$4:$R$703,"avoided_cost_realised"),0)</f>
        <v>0</v>
      </c>
      <c r="I218" s="11" t="n">
        <f aca="false">IF(D218=1,SUMIFS(Benefits!$S$4:$S$703,Benefits!$B$4:$B$703,A218,Benefits!$F$4:$F$703,B218,Benefits!$R$4:$R$703,"capacity_converted"),0)</f>
        <v>0</v>
      </c>
      <c r="J218" s="11" t="n">
        <f aca="false">SUM(F218:I218)</f>
        <v>0</v>
      </c>
      <c r="K218" s="11" t="n">
        <f aca="false">J218-E218</f>
        <v>0</v>
      </c>
      <c r="L218" s="11" t="n">
        <f aca="false">IF(D218=1,L217+K218,0)</f>
        <v>-588850</v>
      </c>
      <c r="M218" s="11" t="n">
        <f aca="false">IF(D218=1,1/(1+Controls!$B$11)^B218,0)</f>
        <v>0.804081002078962</v>
      </c>
      <c r="N218" s="11" t="n">
        <f aca="false">K218*M218</f>
        <v>0</v>
      </c>
      <c r="O218" s="11" t="n">
        <f aca="false">IF(D218=1,O217+N218,0)</f>
        <v>-535631.922753389</v>
      </c>
      <c r="P218" s="11" t="n">
        <f aca="false">IF(AND(D218=1,L218&lt;0),1,0)</f>
        <v>1</v>
      </c>
      <c r="Q218" s="11" t="n">
        <f aca="false">IF(AND(D218=1,O218&lt;0),1,0)</f>
        <v>1</v>
      </c>
    </row>
    <row r="219" customFormat="false" ht="15" hidden="false" customHeight="false" outlineLevel="0" collapsed="false">
      <c r="A219" s="4" t="s">
        <v>88</v>
      </c>
      <c r="B219" s="4" t="n">
        <v>35</v>
      </c>
      <c r="C219" s="11" t="n">
        <f aca="false">IF(COUNTIF('Scenario inputs'!$A$4:$A$213,Controls!$B$3&amp;"|"&amp;A219)&gt;0,1,0)</f>
        <v>1</v>
      </c>
      <c r="D219" s="11" t="n">
        <f aca="false">IF(AND(C219=1,B219&lt;Controls!$B$12),1,0)</f>
        <v>1</v>
      </c>
      <c r="E219" s="11" t="n">
        <f aca="false">IF(D219=1,SUMPRODUCT((Costs!$B$4:$B$903=A219)*(Costs!$D$4:$D$903="planned")*(Costs!$J$4:$J$903&lt;=B219)*(Costs!$K$4:$K$903&gt;B219)*Costs!$E$4:$E$903),0)</f>
        <v>0</v>
      </c>
      <c r="F219" s="11" t="n">
        <f aca="false">IF(D219=1,SUMIFS(Benefits!$S$4:$S$703,Benefits!$B$4:$B$703,A219,Benefits!$F$4:$F$703,B219,Benefits!$R$4:$R$703,"cash"),0)</f>
        <v>0</v>
      </c>
      <c r="G219" s="11" t="n">
        <f aca="false">IF(D219=1,SUMIFS(Benefits!$S$4:$S$703,Benefits!$B$4:$B$703,A219,Benefits!$F$4:$F$703,B219,Benefits!$R$4:$R$703,"revenue"),0)</f>
        <v>0</v>
      </c>
      <c r="H219" s="11" t="n">
        <f aca="false">IF(D219=1,SUMIFS(Benefits!$S$4:$S$703,Benefits!$B$4:$B$703,A219,Benefits!$F$4:$F$703,B219,Benefits!$R$4:$R$703,"avoided_cost_realised"),0)</f>
        <v>0</v>
      </c>
      <c r="I219" s="11" t="n">
        <f aca="false">IF(D219=1,SUMIFS(Benefits!$S$4:$S$703,Benefits!$B$4:$B$703,A219,Benefits!$F$4:$F$703,B219,Benefits!$R$4:$R$703,"capacity_converted"),0)</f>
        <v>0</v>
      </c>
      <c r="J219" s="11" t="n">
        <f aca="false">SUM(F219:I219)</f>
        <v>0</v>
      </c>
      <c r="K219" s="11" t="n">
        <f aca="false">J219-E219</f>
        <v>0</v>
      </c>
      <c r="L219" s="11" t="n">
        <f aca="false">IF(D219=1,L218+K219,0)</f>
        <v>-588850</v>
      </c>
      <c r="M219" s="11" t="n">
        <f aca="false">IF(D219=1,1/(1+Controls!$B$11)^B219,0)</f>
        <v>0.798940618141837</v>
      </c>
      <c r="N219" s="11" t="n">
        <f aca="false">K219*M219</f>
        <v>0</v>
      </c>
      <c r="O219" s="11" t="n">
        <f aca="false">IF(D219=1,O218+N219,0)</f>
        <v>-535631.922753389</v>
      </c>
      <c r="P219" s="11" t="n">
        <f aca="false">IF(AND(D219=1,L219&lt;0),1,0)</f>
        <v>1</v>
      </c>
      <c r="Q219" s="11" t="n">
        <f aca="false">IF(AND(D219=1,O219&lt;0),1,0)</f>
        <v>1</v>
      </c>
    </row>
    <row r="220" customFormat="false" ht="15" hidden="false" customHeight="false" outlineLevel="0" collapsed="false">
      <c r="A220" s="4" t="s">
        <v>89</v>
      </c>
      <c r="B220" s="4" t="n">
        <v>0</v>
      </c>
      <c r="C220" s="11" t="n">
        <f aca="false">IF(COUNTIF('Scenario inputs'!$A$4:$A$213,Controls!$B$3&amp;"|"&amp;A220)&gt;0,1,0)</f>
        <v>1</v>
      </c>
      <c r="D220" s="11" t="n">
        <f aca="false">IF(AND(C220=1,B220&lt;Controls!$B$12),1,0)</f>
        <v>1</v>
      </c>
      <c r="E220" s="11" t="n">
        <f aca="false">IF(D220=1,SUMPRODUCT((Costs!$B$4:$B$903=A220)*(Costs!$D$4:$D$903="planned")*(Costs!$J$4:$J$903&lt;=B220)*(Costs!$K$4:$K$903&gt;B220)*Costs!$E$4:$E$903),0)</f>
        <v>1017700</v>
      </c>
      <c r="F220" s="11" t="n">
        <f aca="false">IF(D220=1,SUMIFS(Benefits!$S$4:$S$703,Benefits!$B$4:$B$703,A220,Benefits!$F$4:$F$703,B220,Benefits!$R$4:$R$703,"cash"),0)</f>
        <v>0</v>
      </c>
      <c r="G220" s="11" t="n">
        <f aca="false">IF(D220=1,SUMIFS(Benefits!$S$4:$S$703,Benefits!$B$4:$B$703,A220,Benefits!$F$4:$F$703,B220,Benefits!$R$4:$R$703,"revenue"),0)</f>
        <v>0</v>
      </c>
      <c r="H220" s="11" t="n">
        <f aca="false">IF(D220=1,SUMIFS(Benefits!$S$4:$S$703,Benefits!$B$4:$B$703,A220,Benefits!$F$4:$F$703,B220,Benefits!$R$4:$R$703,"avoided_cost_realised"),0)</f>
        <v>0</v>
      </c>
      <c r="I220" s="11" t="n">
        <f aca="false">IF(D220=1,SUMIFS(Benefits!$S$4:$S$703,Benefits!$B$4:$B$703,A220,Benefits!$F$4:$F$703,B220,Benefits!$R$4:$R$703,"capacity_converted"),0)</f>
        <v>0</v>
      </c>
      <c r="J220" s="11" t="n">
        <f aca="false">SUM(F220:I220)</f>
        <v>0</v>
      </c>
      <c r="K220" s="11" t="n">
        <f aca="false">J220-E220</f>
        <v>-1017700</v>
      </c>
      <c r="L220" s="11" t="n">
        <f aca="false">IF(D220=1,K220,0)</f>
        <v>-1017700</v>
      </c>
      <c r="M220" s="11" t="n">
        <f aca="false">IF(D220=1,1/(1+Controls!$B$11)^B220,0)</f>
        <v>1</v>
      </c>
      <c r="N220" s="11" t="n">
        <f aca="false">K220*M220</f>
        <v>-1017700</v>
      </c>
      <c r="O220" s="11" t="n">
        <f aca="false">IF(D220=1,N220,0)</f>
        <v>-1017700</v>
      </c>
      <c r="P220" s="11" t="n">
        <f aca="false">IF(AND(D220=1,L220&lt;0),1,0)</f>
        <v>1</v>
      </c>
      <c r="Q220" s="11" t="n">
        <f aca="false">IF(AND(D220=1,O220&lt;0),1,0)</f>
        <v>1</v>
      </c>
    </row>
    <row r="221" customFormat="false" ht="15" hidden="false" customHeight="false" outlineLevel="0" collapsed="false">
      <c r="A221" s="4" t="s">
        <v>89</v>
      </c>
      <c r="B221" s="4" t="n">
        <v>1</v>
      </c>
      <c r="C221" s="11" t="n">
        <f aca="false">IF(COUNTIF('Scenario inputs'!$A$4:$A$213,Controls!$B$3&amp;"|"&amp;A221)&gt;0,1,0)</f>
        <v>1</v>
      </c>
      <c r="D221" s="11" t="n">
        <f aca="false">IF(AND(C221=1,B221&lt;Controls!$B$12),1,0)</f>
        <v>1</v>
      </c>
      <c r="E221" s="11" t="n">
        <f aca="false">IF(D221=1,SUMPRODUCT((Costs!$B$4:$B$903=A221)*(Costs!$D$4:$D$903="planned")*(Costs!$J$4:$J$903&lt;=B221)*(Costs!$K$4:$K$903&gt;B221)*Costs!$E$4:$E$903),0)</f>
        <v>572300</v>
      </c>
      <c r="F221" s="11" t="n">
        <f aca="false">IF(D221=1,SUMIFS(Benefits!$S$4:$S$703,Benefits!$B$4:$B$703,A221,Benefits!$F$4:$F$703,B221,Benefits!$R$4:$R$703,"cash"),0)</f>
        <v>0</v>
      </c>
      <c r="G221" s="11" t="n">
        <f aca="false">IF(D221=1,SUMIFS(Benefits!$S$4:$S$703,Benefits!$B$4:$B$703,A221,Benefits!$F$4:$F$703,B221,Benefits!$R$4:$R$703,"revenue"),0)</f>
        <v>8801.4593</v>
      </c>
      <c r="H221" s="11" t="n">
        <f aca="false">IF(D221=1,SUMIFS(Benefits!$S$4:$S$703,Benefits!$B$4:$B$703,A221,Benefits!$F$4:$F$703,B221,Benefits!$R$4:$R$703,"avoided_cost_realised"),0)</f>
        <v>0</v>
      </c>
      <c r="I221" s="11" t="n">
        <f aca="false">IF(D221=1,SUMIFS(Benefits!$S$4:$S$703,Benefits!$B$4:$B$703,A221,Benefits!$F$4:$F$703,B221,Benefits!$R$4:$R$703,"capacity_converted"),0)</f>
        <v>0</v>
      </c>
      <c r="J221" s="11" t="n">
        <f aca="false">SUM(F221:I221)</f>
        <v>8801.4593</v>
      </c>
      <c r="K221" s="11" t="n">
        <f aca="false">J221-E221</f>
        <v>-563498.5407</v>
      </c>
      <c r="L221" s="11" t="n">
        <f aca="false">IF(D221=1,L220+K221,0)</f>
        <v>-1581198.5407</v>
      </c>
      <c r="M221" s="11" t="n">
        <f aca="false">IF(D221=1,1/(1+Controls!$B$11)^B221,0)</f>
        <v>0.993607131714549</v>
      </c>
      <c r="N221" s="11" t="n">
        <f aca="false">K221*M221</f>
        <v>-559896.168750261</v>
      </c>
      <c r="O221" s="11" t="n">
        <f aca="false">IF(D221=1,O220+N221,0)</f>
        <v>-1577596.16875026</v>
      </c>
      <c r="P221" s="11" t="n">
        <f aca="false">IF(AND(D221=1,L221&lt;0),1,0)</f>
        <v>1</v>
      </c>
      <c r="Q221" s="11" t="n">
        <f aca="false">IF(AND(D221=1,O221&lt;0),1,0)</f>
        <v>1</v>
      </c>
    </row>
    <row r="222" customFormat="false" ht="15" hidden="false" customHeight="false" outlineLevel="0" collapsed="false">
      <c r="A222" s="4" t="s">
        <v>89</v>
      </c>
      <c r="B222" s="4" t="n">
        <v>2</v>
      </c>
      <c r="C222" s="11" t="n">
        <f aca="false">IF(COUNTIF('Scenario inputs'!$A$4:$A$213,Controls!$B$3&amp;"|"&amp;A222)&gt;0,1,0)</f>
        <v>1</v>
      </c>
      <c r="D222" s="11" t="n">
        <f aca="false">IF(AND(C222=1,B222&lt;Controls!$B$12),1,0)</f>
        <v>1</v>
      </c>
      <c r="E222" s="11" t="n">
        <f aca="false">IF(D222=1,SUMPRODUCT((Costs!$B$4:$B$903=A222)*(Costs!$D$4:$D$903="planned")*(Costs!$J$4:$J$903&lt;=B222)*(Costs!$K$4:$K$903&gt;B222)*Costs!$E$4:$E$903),0)</f>
        <v>30000</v>
      </c>
      <c r="F222" s="11" t="n">
        <f aca="false">IF(D222=1,SUMIFS(Benefits!$S$4:$S$703,Benefits!$B$4:$B$703,A222,Benefits!$F$4:$F$703,B222,Benefits!$R$4:$R$703,"cash"),0)</f>
        <v>0</v>
      </c>
      <c r="G222" s="11" t="n">
        <f aca="false">IF(D222=1,SUMIFS(Benefits!$S$4:$S$703,Benefits!$B$4:$B$703,A222,Benefits!$F$4:$F$703,B222,Benefits!$R$4:$R$703,"revenue"),0)</f>
        <v>26404.06105</v>
      </c>
      <c r="H222" s="11" t="n">
        <f aca="false">IF(D222=1,SUMIFS(Benefits!$S$4:$S$703,Benefits!$B$4:$B$703,A222,Benefits!$F$4:$F$703,B222,Benefits!$R$4:$R$703,"avoided_cost_realised"),0)</f>
        <v>0</v>
      </c>
      <c r="I222" s="11" t="n">
        <f aca="false">IF(D222=1,SUMIFS(Benefits!$S$4:$S$703,Benefits!$B$4:$B$703,A222,Benefits!$F$4:$F$703,B222,Benefits!$R$4:$R$703,"capacity_converted"),0)</f>
        <v>628.6125344156</v>
      </c>
      <c r="J222" s="11" t="n">
        <f aca="false">SUM(F222:I222)</f>
        <v>27032.6735844156</v>
      </c>
      <c r="K222" s="11" t="n">
        <f aca="false">J222-E222</f>
        <v>-2967.3264155844</v>
      </c>
      <c r="L222" s="11" t="n">
        <f aca="false">IF(D222=1,L221+K222,0)</f>
        <v>-1584165.86711558</v>
      </c>
      <c r="M222" s="11" t="n">
        <f aca="false">IF(D222=1,1/(1+Controls!$B$11)^B222,0)</f>
        <v>0.987255132194012</v>
      </c>
      <c r="N222" s="11" t="n">
        <f aca="false">K222*M222</f>
        <v>-2929.50823268056</v>
      </c>
      <c r="O222" s="11" t="n">
        <f aca="false">IF(D222=1,O221+N222,0)</f>
        <v>-1580525.67698294</v>
      </c>
      <c r="P222" s="11" t="n">
        <f aca="false">IF(AND(D222=1,L222&lt;0),1,0)</f>
        <v>1</v>
      </c>
      <c r="Q222" s="11" t="n">
        <f aca="false">IF(AND(D222=1,O222&lt;0),1,0)</f>
        <v>1</v>
      </c>
    </row>
    <row r="223" customFormat="false" ht="15" hidden="false" customHeight="false" outlineLevel="0" collapsed="false">
      <c r="A223" s="4" t="s">
        <v>89</v>
      </c>
      <c r="B223" s="4" t="n">
        <v>3</v>
      </c>
      <c r="C223" s="11" t="n">
        <f aca="false">IF(COUNTIF('Scenario inputs'!$A$4:$A$213,Controls!$B$3&amp;"|"&amp;A223)&gt;0,1,0)</f>
        <v>1</v>
      </c>
      <c r="D223" s="11" t="n">
        <f aca="false">IF(AND(C223=1,B223&lt;Controls!$B$12),1,0)</f>
        <v>1</v>
      </c>
      <c r="E223" s="11" t="n">
        <f aca="false">IF(D223=1,SUMPRODUCT((Costs!$B$4:$B$903=A223)*(Costs!$D$4:$D$903="planned")*(Costs!$J$4:$J$903&lt;=B223)*(Costs!$K$4:$K$903&gt;B223)*Costs!$E$4:$E$903),0)</f>
        <v>30000</v>
      </c>
      <c r="F223" s="11" t="n">
        <f aca="false">IF(D223=1,SUMIFS(Benefits!$S$4:$S$703,Benefits!$B$4:$B$703,A223,Benefits!$F$4:$F$703,B223,Benefits!$R$4:$R$703,"cash"),0)</f>
        <v>0</v>
      </c>
      <c r="G223" s="11" t="n">
        <f aca="false">IF(D223=1,SUMIFS(Benefits!$S$4:$S$703,Benefits!$B$4:$B$703,A223,Benefits!$F$4:$F$703,B223,Benefits!$R$4:$R$703,"revenue"),0)</f>
        <v>52808.43895</v>
      </c>
      <c r="H223" s="11" t="n">
        <f aca="false">IF(D223=1,SUMIFS(Benefits!$S$4:$S$703,Benefits!$B$4:$B$703,A223,Benefits!$F$4:$F$703,B223,Benefits!$R$4:$R$703,"avoided_cost_realised"),0)</f>
        <v>0</v>
      </c>
      <c r="I223" s="11" t="n">
        <f aca="false">IF(D223=1,SUMIFS(Benefits!$S$4:$S$703,Benefits!$B$4:$B$703,A223,Benefits!$F$4:$F$703,B223,Benefits!$R$4:$R$703,"capacity_converted"),0)</f>
        <v>1885.8149733766</v>
      </c>
      <c r="J223" s="11" t="n">
        <f aca="false">SUM(F223:I223)</f>
        <v>54694.2539233766</v>
      </c>
      <c r="K223" s="11" t="n">
        <f aca="false">J223-E223</f>
        <v>24694.2539233766</v>
      </c>
      <c r="L223" s="11" t="n">
        <f aca="false">IF(D223=1,L222+K223,0)</f>
        <v>-1559471.61319221</v>
      </c>
      <c r="M223" s="11" t="n">
        <f aca="false">IF(D223=1,1/(1+Controls!$B$11)^B223,0)</f>
        <v>0.98094374016976</v>
      </c>
      <c r="N223" s="11" t="n">
        <f aca="false">K223*M223</f>
        <v>24223.6738042988</v>
      </c>
      <c r="O223" s="11" t="n">
        <f aca="false">IF(D223=1,O222+N223,0)</f>
        <v>-1556302.00317864</v>
      </c>
      <c r="P223" s="11" t="n">
        <f aca="false">IF(AND(D223=1,L223&lt;0),1,0)</f>
        <v>1</v>
      </c>
      <c r="Q223" s="11" t="n">
        <f aca="false">IF(AND(D223=1,O223&lt;0),1,0)</f>
        <v>1</v>
      </c>
    </row>
    <row r="224" customFormat="false" ht="15" hidden="false" customHeight="false" outlineLevel="0" collapsed="false">
      <c r="A224" s="4" t="s">
        <v>89</v>
      </c>
      <c r="B224" s="4" t="n">
        <v>4</v>
      </c>
      <c r="C224" s="11" t="n">
        <f aca="false">IF(COUNTIF('Scenario inputs'!$A$4:$A$213,Controls!$B$3&amp;"|"&amp;A224)&gt;0,1,0)</f>
        <v>1</v>
      </c>
      <c r="D224" s="11" t="n">
        <f aca="false">IF(AND(C224=1,B224&lt;Controls!$B$12),1,0)</f>
        <v>1</v>
      </c>
      <c r="E224" s="11" t="n">
        <f aca="false">IF(D224=1,SUMPRODUCT((Costs!$B$4:$B$903=A224)*(Costs!$D$4:$D$903="planned")*(Costs!$J$4:$J$903&lt;=B224)*(Costs!$K$4:$K$903&gt;B224)*Costs!$E$4:$E$903),0)</f>
        <v>30000</v>
      </c>
      <c r="F224" s="11" t="n">
        <f aca="false">IF(D224=1,SUMIFS(Benefits!$S$4:$S$703,Benefits!$B$4:$B$703,A224,Benefits!$F$4:$F$703,B224,Benefits!$R$4:$R$703,"cash"),0)</f>
        <v>0</v>
      </c>
      <c r="G224" s="11" t="n">
        <f aca="false">IF(D224=1,SUMIFS(Benefits!$S$4:$S$703,Benefits!$B$4:$B$703,A224,Benefits!$F$4:$F$703,B224,Benefits!$R$4:$R$703,"revenue"),0)</f>
        <v>88013.9593</v>
      </c>
      <c r="H224" s="11" t="n">
        <f aca="false">IF(D224=1,SUMIFS(Benefits!$S$4:$S$703,Benefits!$B$4:$B$703,A224,Benefits!$F$4:$F$703,B224,Benefits!$R$4:$R$703,"avoided_cost_realised"),0)</f>
        <v>0</v>
      </c>
      <c r="I224" s="11" t="n">
        <f aca="false">IF(D224=1,SUMIFS(Benefits!$S$4:$S$703,Benefits!$B$4:$B$703,A224,Benefits!$F$4:$F$703,B224,Benefits!$R$4:$R$703,"capacity_converted"),0)</f>
        <v>3771.6525766234</v>
      </c>
      <c r="J224" s="11" t="n">
        <f aca="false">SUM(F224:I224)</f>
        <v>91785.6118766234</v>
      </c>
      <c r="K224" s="11" t="n">
        <f aca="false">J224-E224</f>
        <v>61785.6118766234</v>
      </c>
      <c r="L224" s="11" t="n">
        <f aca="false">IF(D224=1,L223+K224,0)</f>
        <v>-1497686.00131558</v>
      </c>
      <c r="M224" s="11" t="n">
        <f aca="false">IF(D224=1,1/(1+Controls!$B$11)^B224,0)</f>
        <v>0.974672696043417</v>
      </c>
      <c r="N224" s="11" t="n">
        <f aca="false">K224*M224</f>
        <v>60220.7489044807</v>
      </c>
      <c r="O224" s="11" t="n">
        <f aca="false">IF(D224=1,O223+N224,0)</f>
        <v>-1496081.25427416</v>
      </c>
      <c r="P224" s="11" t="n">
        <f aca="false">IF(AND(D224=1,L224&lt;0),1,0)</f>
        <v>1</v>
      </c>
      <c r="Q224" s="11" t="n">
        <f aca="false">IF(AND(D224=1,O224&lt;0),1,0)</f>
        <v>1</v>
      </c>
    </row>
    <row r="225" customFormat="false" ht="15" hidden="false" customHeight="false" outlineLevel="0" collapsed="false">
      <c r="A225" s="4" t="s">
        <v>89</v>
      </c>
      <c r="B225" s="4" t="n">
        <v>5</v>
      </c>
      <c r="C225" s="11" t="n">
        <f aca="false">IF(COUNTIF('Scenario inputs'!$A$4:$A$213,Controls!$B$3&amp;"|"&amp;A225)&gt;0,1,0)</f>
        <v>1</v>
      </c>
      <c r="D225" s="11" t="n">
        <f aca="false">IF(AND(C225=1,B225&lt;Controls!$B$12),1,0)</f>
        <v>1</v>
      </c>
      <c r="E225" s="11" t="n">
        <f aca="false">IF(D225=1,SUMPRODUCT((Costs!$B$4:$B$903=A225)*(Costs!$D$4:$D$903="planned")*(Costs!$J$4:$J$903&lt;=B225)*(Costs!$K$4:$K$903&gt;B225)*Costs!$E$4:$E$903),0)</f>
        <v>30000</v>
      </c>
      <c r="F225" s="11" t="n">
        <f aca="false">IF(D225=1,SUMIFS(Benefits!$S$4:$S$703,Benefits!$B$4:$B$703,A225,Benefits!$F$4:$F$703,B225,Benefits!$R$4:$R$703,"cash"),0)</f>
        <v>0</v>
      </c>
      <c r="G225" s="11" t="n">
        <f aca="false">IF(D225=1,SUMIFS(Benefits!$S$4:$S$703,Benefits!$B$4:$B$703,A225,Benefits!$F$4:$F$703,B225,Benefits!$R$4:$R$703,"revenue"),0)</f>
        <v>132020.93895</v>
      </c>
      <c r="H225" s="11" t="n">
        <f aca="false">IF(D225=1,SUMIFS(Benefits!$S$4:$S$703,Benefits!$B$4:$B$703,A225,Benefits!$F$4:$F$703,B225,Benefits!$R$4:$R$703,"avoided_cost_realised"),0)</f>
        <v>0</v>
      </c>
      <c r="I225" s="11" t="n">
        <f aca="false">IF(D225=1,SUMIFS(Benefits!$S$4:$S$703,Benefits!$B$4:$B$703,A225,Benefits!$F$4:$F$703,B225,Benefits!$R$4:$R$703,"capacity_converted"),0)</f>
        <v>6286.0800844156</v>
      </c>
      <c r="J225" s="11" t="n">
        <f aca="false">SUM(F225:I225)</f>
        <v>138307.019034416</v>
      </c>
      <c r="K225" s="11" t="n">
        <f aca="false">J225-E225</f>
        <v>108307.019034416</v>
      </c>
      <c r="L225" s="11" t="n">
        <f aca="false">IF(D225=1,L224+K225,0)</f>
        <v>-1389378.98228117</v>
      </c>
      <c r="M225" s="11" t="n">
        <f aca="false">IF(D225=1,1/(1+Controls!$B$11)^B225,0)</f>
        <v>0.968441741876185</v>
      </c>
      <c r="N225" s="11" t="n">
        <f aca="false">K225*M225</f>
        <v>104889.038171107</v>
      </c>
      <c r="O225" s="11" t="n">
        <f aca="false">IF(D225=1,O224+N225,0)</f>
        <v>-1391192.21610306</v>
      </c>
      <c r="P225" s="11" t="n">
        <f aca="false">IF(AND(D225=1,L225&lt;0),1,0)</f>
        <v>1</v>
      </c>
      <c r="Q225" s="11" t="n">
        <f aca="false">IF(AND(D225=1,O225&lt;0),1,0)</f>
        <v>1</v>
      </c>
    </row>
    <row r="226" customFormat="false" ht="15" hidden="false" customHeight="false" outlineLevel="0" collapsed="false">
      <c r="A226" s="4" t="s">
        <v>89</v>
      </c>
      <c r="B226" s="4" t="n">
        <v>6</v>
      </c>
      <c r="C226" s="11" t="n">
        <f aca="false">IF(COUNTIF('Scenario inputs'!$A$4:$A$213,Controls!$B$3&amp;"|"&amp;A226)&gt;0,1,0)</f>
        <v>1</v>
      </c>
      <c r="D226" s="11" t="n">
        <f aca="false">IF(AND(C226=1,B226&lt;Controls!$B$12),1,0)</f>
        <v>1</v>
      </c>
      <c r="E226" s="11" t="n">
        <f aca="false">IF(D226=1,SUMPRODUCT((Costs!$B$4:$B$903=A226)*(Costs!$D$4:$D$903="planned")*(Costs!$J$4:$J$903&lt;=B226)*(Costs!$K$4:$K$903&gt;B226)*Costs!$E$4:$E$903),0)</f>
        <v>30000</v>
      </c>
      <c r="F226" s="11" t="n">
        <f aca="false">IF(D226=1,SUMIFS(Benefits!$S$4:$S$703,Benefits!$B$4:$B$703,A226,Benefits!$F$4:$F$703,B226,Benefits!$R$4:$R$703,"cash"),0)</f>
        <v>0</v>
      </c>
      <c r="G226" s="11" t="n">
        <f aca="false">IF(D226=1,SUMIFS(Benefits!$S$4:$S$703,Benefits!$B$4:$B$703,A226,Benefits!$F$4:$F$703,B226,Benefits!$R$4:$R$703,"revenue"),0)</f>
        <v>184829.06105</v>
      </c>
      <c r="H226" s="11" t="n">
        <f aca="false">IF(D226=1,SUMIFS(Benefits!$S$4:$S$703,Benefits!$B$4:$B$703,A226,Benefits!$F$4:$F$703,B226,Benefits!$R$4:$R$703,"avoided_cost_realised"),0)</f>
        <v>0</v>
      </c>
      <c r="I226" s="11" t="n">
        <f aca="false">IF(D226=1,SUMIFS(Benefits!$S$4:$S$703,Benefits!$B$4:$B$703,A226,Benefits!$F$4:$F$703,B226,Benefits!$R$4:$R$703,"capacity_converted"),0)</f>
        <v>9429.1201266234</v>
      </c>
      <c r="J226" s="11" t="n">
        <f aca="false">SUM(F226:I226)</f>
        <v>194258.181176623</v>
      </c>
      <c r="K226" s="11" t="n">
        <f aca="false">J226-E226</f>
        <v>164258.181176623</v>
      </c>
      <c r="L226" s="11" t="n">
        <f aca="false">IF(D226=1,L225+K226,0)</f>
        <v>-1225120.80110455</v>
      </c>
      <c r="M226" s="11" t="n">
        <f aca="false">IF(D226=1,1/(1+Controls!$B$11)^B226,0)</f>
        <v>0.962250621378238</v>
      </c>
      <c r="N226" s="11" t="n">
        <f aca="false">K226*M226</f>
        <v>158057.536903665</v>
      </c>
      <c r="O226" s="11" t="n">
        <f aca="false">IF(D226=1,O225+N226,0)</f>
        <v>-1233134.67919939</v>
      </c>
      <c r="P226" s="11" t="n">
        <f aca="false">IF(AND(D226=1,L226&lt;0),1,0)</f>
        <v>1</v>
      </c>
      <c r="Q226" s="11" t="n">
        <f aca="false">IF(AND(D226=1,O226&lt;0),1,0)</f>
        <v>1</v>
      </c>
    </row>
    <row r="227" customFormat="false" ht="15" hidden="false" customHeight="false" outlineLevel="0" collapsed="false">
      <c r="A227" s="4" t="s">
        <v>89</v>
      </c>
      <c r="B227" s="4" t="n">
        <v>7</v>
      </c>
      <c r="C227" s="11" t="n">
        <f aca="false">IF(COUNTIF('Scenario inputs'!$A$4:$A$213,Controls!$B$3&amp;"|"&amp;A227)&gt;0,1,0)</f>
        <v>1</v>
      </c>
      <c r="D227" s="11" t="n">
        <f aca="false">IF(AND(C227=1,B227&lt;Controls!$B$12),1,0)</f>
        <v>1</v>
      </c>
      <c r="E227" s="11" t="n">
        <f aca="false">IF(D227=1,SUMPRODUCT((Costs!$B$4:$B$903=A227)*(Costs!$D$4:$D$903="planned")*(Costs!$J$4:$J$903&lt;=B227)*(Costs!$K$4:$K$903&gt;B227)*Costs!$E$4:$E$903),0)</f>
        <v>31650</v>
      </c>
      <c r="F227" s="11" t="n">
        <f aca="false">IF(D227=1,SUMIFS(Benefits!$S$4:$S$703,Benefits!$B$4:$B$703,A227,Benefits!$F$4:$F$703,B227,Benefits!$R$4:$R$703,"cash"),0)</f>
        <v>0</v>
      </c>
      <c r="G227" s="11" t="n">
        <f aca="false">IF(D227=1,SUMIFS(Benefits!$S$4:$S$703,Benefits!$B$4:$B$703,A227,Benefits!$F$4:$F$703,B227,Benefits!$R$4:$R$703,"revenue"),0)</f>
        <v>246438.9593</v>
      </c>
      <c r="H227" s="11" t="n">
        <f aca="false">IF(D227=1,SUMIFS(Benefits!$S$4:$S$703,Benefits!$B$4:$B$703,A227,Benefits!$F$4:$F$703,B227,Benefits!$R$4:$R$703,"avoided_cost_realised"),0)</f>
        <v>0</v>
      </c>
      <c r="I227" s="11" t="n">
        <f aca="false">IF(D227=1,SUMIFS(Benefits!$S$4:$S$703,Benefits!$B$4:$B$703,A227,Benefits!$F$4:$F$703,B227,Benefits!$R$4:$R$703,"capacity_converted"),0)</f>
        <v>13200.7500733766</v>
      </c>
      <c r="J227" s="11" t="n">
        <f aca="false">SUM(F227:I227)</f>
        <v>259639.709373377</v>
      </c>
      <c r="K227" s="11" t="n">
        <f aca="false">J227-E227</f>
        <v>227989.709373377</v>
      </c>
      <c r="L227" s="11" t="n">
        <f aca="false">IF(D227=1,L226+K227,0)</f>
        <v>-997131.091731169</v>
      </c>
      <c r="M227" s="11" t="n">
        <f aca="false">IF(D227=1,1/(1+Controls!$B$11)^B227,0)</f>
        <v>0.956099079898173</v>
      </c>
      <c r="N227" s="11" t="n">
        <f aca="false">K227*M227</f>
        <v>217980.751358137</v>
      </c>
      <c r="O227" s="11" t="n">
        <f aca="false">IF(D227=1,O226+N227,0)</f>
        <v>-1015153.92784125</v>
      </c>
      <c r="P227" s="11" t="n">
        <f aca="false">IF(AND(D227=1,L227&lt;0),1,0)</f>
        <v>1</v>
      </c>
      <c r="Q227" s="11" t="n">
        <f aca="false">IF(AND(D227=1,O227&lt;0),1,0)</f>
        <v>1</v>
      </c>
    </row>
    <row r="228" customFormat="false" ht="15" hidden="false" customHeight="false" outlineLevel="0" collapsed="false">
      <c r="A228" s="4" t="s">
        <v>89</v>
      </c>
      <c r="B228" s="4" t="n">
        <v>8</v>
      </c>
      <c r="C228" s="11" t="n">
        <f aca="false">IF(COUNTIF('Scenario inputs'!$A$4:$A$213,Controls!$B$3&amp;"|"&amp;A228)&gt;0,1,0)</f>
        <v>1</v>
      </c>
      <c r="D228" s="11" t="n">
        <f aca="false">IF(AND(C228=1,B228&lt;Controls!$B$12),1,0)</f>
        <v>1</v>
      </c>
      <c r="E228" s="11" t="n">
        <f aca="false">IF(D228=1,SUMPRODUCT((Costs!$B$4:$B$903=A228)*(Costs!$D$4:$D$903="planned")*(Costs!$J$4:$J$903&lt;=B228)*(Costs!$K$4:$K$903&gt;B228)*Costs!$E$4:$E$903),0)</f>
        <v>31650</v>
      </c>
      <c r="F228" s="11" t="n">
        <f aca="false">IF(D228=1,SUMIFS(Benefits!$S$4:$S$703,Benefits!$B$4:$B$703,A228,Benefits!$F$4:$F$703,B228,Benefits!$R$4:$R$703,"cash"),0)</f>
        <v>0</v>
      </c>
      <c r="G228" s="11" t="n">
        <f aca="false">IF(D228=1,SUMIFS(Benefits!$S$4:$S$703,Benefits!$B$4:$B$703,A228,Benefits!$F$4:$F$703,B228,Benefits!$R$4:$R$703,"revenue"),0)</f>
        <v>316850</v>
      </c>
      <c r="H228" s="11" t="n">
        <f aca="false">IF(D228=1,SUMIFS(Benefits!$S$4:$S$703,Benefits!$B$4:$B$703,A228,Benefits!$F$4:$F$703,B228,Benefits!$R$4:$R$703,"avoided_cost_realised"),0)</f>
        <v>0</v>
      </c>
      <c r="I228" s="11" t="n">
        <f aca="false">IF(D228=1,SUMIFS(Benefits!$S$4:$S$703,Benefits!$B$4:$B$703,A228,Benefits!$F$4:$F$703,B228,Benefits!$R$4:$R$703,"capacity_converted"),0)</f>
        <v>17601.0151844156</v>
      </c>
      <c r="J228" s="11" t="n">
        <f aca="false">SUM(F228:I228)</f>
        <v>334451.015184416</v>
      </c>
      <c r="K228" s="11" t="n">
        <f aca="false">J228-E228</f>
        <v>302801.015184416</v>
      </c>
      <c r="L228" s="11" t="n">
        <f aca="false">IF(D228=1,L227+K228,0)</f>
        <v>-694330.076546753</v>
      </c>
      <c r="M228" s="11" t="n">
        <f aca="false">IF(D228=1,1/(1+Controls!$B$11)^B228,0)</f>
        <v>0.949986864412542</v>
      </c>
      <c r="N228" s="11" t="n">
        <f aca="false">K228*M228</f>
        <v>287656.986955978</v>
      </c>
      <c r="O228" s="11" t="n">
        <f aca="false">IF(D228=1,O227+N228,0)</f>
        <v>-727496.940885276</v>
      </c>
      <c r="P228" s="11" t="n">
        <f aca="false">IF(AND(D228=1,L228&lt;0),1,0)</f>
        <v>1</v>
      </c>
      <c r="Q228" s="11" t="n">
        <f aca="false">IF(AND(D228=1,O228&lt;0),1,0)</f>
        <v>1</v>
      </c>
    </row>
    <row r="229" customFormat="false" ht="15" hidden="false" customHeight="false" outlineLevel="0" collapsed="false">
      <c r="A229" s="4" t="s">
        <v>89</v>
      </c>
      <c r="B229" s="4" t="n">
        <v>9</v>
      </c>
      <c r="C229" s="11" t="n">
        <f aca="false">IF(COUNTIF('Scenario inputs'!$A$4:$A$213,Controls!$B$3&amp;"|"&amp;A229)&gt;0,1,0)</f>
        <v>1</v>
      </c>
      <c r="D229" s="11" t="n">
        <f aca="false">IF(AND(C229=1,B229&lt;Controls!$B$12),1,0)</f>
        <v>1</v>
      </c>
      <c r="E229" s="11" t="n">
        <f aca="false">IF(D229=1,SUMPRODUCT((Costs!$B$4:$B$903=A229)*(Costs!$D$4:$D$903="planned")*(Costs!$J$4:$J$903&lt;=B229)*(Costs!$K$4:$K$903&gt;B229)*Costs!$E$4:$E$903),0)</f>
        <v>31650</v>
      </c>
      <c r="F229" s="11" t="n">
        <f aca="false">IF(D229=1,SUMIFS(Benefits!$S$4:$S$703,Benefits!$B$4:$B$703,A229,Benefits!$F$4:$F$703,B229,Benefits!$R$4:$R$703,"cash"),0)</f>
        <v>0</v>
      </c>
      <c r="G229" s="11" t="n">
        <f aca="false">IF(D229=1,SUMIFS(Benefits!$S$4:$S$703,Benefits!$B$4:$B$703,A229,Benefits!$F$4:$F$703,B229,Benefits!$R$4:$R$703,"revenue"),0)</f>
        <v>316850</v>
      </c>
      <c r="H229" s="11" t="n">
        <f aca="false">IF(D229=1,SUMIFS(Benefits!$S$4:$S$703,Benefits!$B$4:$B$703,A229,Benefits!$F$4:$F$703,B229,Benefits!$R$4:$R$703,"avoided_cost_realised"),0)</f>
        <v>0</v>
      </c>
      <c r="I229" s="11" t="n">
        <f aca="false">IF(D229=1,SUMIFS(Benefits!$S$4:$S$703,Benefits!$B$4:$B$703,A229,Benefits!$F$4:$F$703,B229,Benefits!$R$4:$R$703,"capacity_converted"),0)</f>
        <v>22629.8702</v>
      </c>
      <c r="J229" s="11" t="n">
        <f aca="false">SUM(F229:I229)</f>
        <v>339479.8702</v>
      </c>
      <c r="K229" s="11" t="n">
        <f aca="false">J229-E229</f>
        <v>307829.8702</v>
      </c>
      <c r="L229" s="11" t="n">
        <f aca="false">IF(D229=1,L228+K229,0)</f>
        <v>-386500.206346753</v>
      </c>
      <c r="M229" s="11" t="n">
        <f aca="false">IF(D229=1,1/(1+Controls!$B$11)^B229,0)</f>
        <v>0.943913723515444</v>
      </c>
      <c r="N229" s="11" t="n">
        <f aca="false">K229*M229</f>
        <v>290564.838989758</v>
      </c>
      <c r="O229" s="11" t="n">
        <f aca="false">IF(D229=1,O228+N229,0)</f>
        <v>-436932.101895518</v>
      </c>
      <c r="P229" s="11" t="n">
        <f aca="false">IF(AND(D229=1,L229&lt;0),1,0)</f>
        <v>1</v>
      </c>
      <c r="Q229" s="11" t="n">
        <f aca="false">IF(AND(D229=1,O229&lt;0),1,0)</f>
        <v>1</v>
      </c>
    </row>
    <row r="230" customFormat="false" ht="15" hidden="false" customHeight="false" outlineLevel="0" collapsed="false">
      <c r="A230" s="4" t="s">
        <v>89</v>
      </c>
      <c r="B230" s="4" t="n">
        <v>10</v>
      </c>
      <c r="C230" s="11" t="n">
        <f aca="false">IF(COUNTIF('Scenario inputs'!$A$4:$A$213,Controls!$B$3&amp;"|"&amp;A230)&gt;0,1,0)</f>
        <v>1</v>
      </c>
      <c r="D230" s="11" t="n">
        <f aca="false">IF(AND(C230=1,B230&lt;Controls!$B$12),1,0)</f>
        <v>1</v>
      </c>
      <c r="E230" s="11" t="n">
        <f aca="false">IF(D230=1,SUMPRODUCT((Costs!$B$4:$B$903=A230)*(Costs!$D$4:$D$903="planned")*(Costs!$J$4:$J$903&lt;=B230)*(Costs!$K$4:$K$903&gt;B230)*Costs!$E$4:$E$903),0)</f>
        <v>31650</v>
      </c>
      <c r="F230" s="11" t="n">
        <f aca="false">IF(D230=1,SUMIFS(Benefits!$S$4:$S$703,Benefits!$B$4:$B$703,A230,Benefits!$F$4:$F$703,B230,Benefits!$R$4:$R$703,"cash"),0)</f>
        <v>0</v>
      </c>
      <c r="G230" s="11" t="n">
        <f aca="false">IF(D230=1,SUMIFS(Benefits!$S$4:$S$703,Benefits!$B$4:$B$703,A230,Benefits!$F$4:$F$703,B230,Benefits!$R$4:$R$703,"revenue"),0)</f>
        <v>316850</v>
      </c>
      <c r="H230" s="11" t="n">
        <f aca="false">IF(D230=1,SUMIFS(Benefits!$S$4:$S$703,Benefits!$B$4:$B$703,A230,Benefits!$F$4:$F$703,B230,Benefits!$R$4:$R$703,"avoided_cost_realised"),0)</f>
        <v>0</v>
      </c>
      <c r="I230" s="11" t="n">
        <f aca="false">IF(D230=1,SUMIFS(Benefits!$S$4:$S$703,Benefits!$B$4:$B$703,A230,Benefits!$F$4:$F$703,B230,Benefits!$R$4:$R$703,"capacity_converted"),0)</f>
        <v>22629.8702</v>
      </c>
      <c r="J230" s="11" t="n">
        <f aca="false">SUM(F230:I230)</f>
        <v>339479.8702</v>
      </c>
      <c r="K230" s="11" t="n">
        <f aca="false">J230-E230</f>
        <v>307829.8702</v>
      </c>
      <c r="L230" s="11" t="n">
        <f aca="false">IF(D230=1,L229+K230,0)</f>
        <v>-78670.3361467534</v>
      </c>
      <c r="M230" s="11" t="n">
        <f aca="false">IF(D230=1,1/(1+Controls!$B$11)^B230,0)</f>
        <v>0.93787940740818</v>
      </c>
      <c r="N230" s="11" t="n">
        <f aca="false">K230*M230</f>
        <v>288707.296245713</v>
      </c>
      <c r="O230" s="11" t="n">
        <f aca="false">IF(D230=1,O229+N230,0)</f>
        <v>-148224.805649805</v>
      </c>
      <c r="P230" s="11" t="n">
        <f aca="false">IF(AND(D230=1,L230&lt;0),1,0)</f>
        <v>1</v>
      </c>
      <c r="Q230" s="11" t="n">
        <f aca="false">IF(AND(D230=1,O230&lt;0),1,0)</f>
        <v>1</v>
      </c>
    </row>
    <row r="231" customFormat="false" ht="15" hidden="false" customHeight="false" outlineLevel="0" collapsed="false">
      <c r="A231" s="4" t="s">
        <v>89</v>
      </c>
      <c r="B231" s="4" t="n">
        <v>11</v>
      </c>
      <c r="C231" s="11" t="n">
        <f aca="false">IF(COUNTIF('Scenario inputs'!$A$4:$A$213,Controls!$B$3&amp;"|"&amp;A231)&gt;0,1,0)</f>
        <v>1</v>
      </c>
      <c r="D231" s="11" t="n">
        <f aca="false">IF(AND(C231=1,B231&lt;Controls!$B$12),1,0)</f>
        <v>1</v>
      </c>
      <c r="E231" s="11" t="n">
        <f aca="false">IF(D231=1,SUMPRODUCT((Costs!$B$4:$B$903=A231)*(Costs!$D$4:$D$903="planned")*(Costs!$J$4:$J$903&lt;=B231)*(Costs!$K$4:$K$903&gt;B231)*Costs!$E$4:$E$903),0)</f>
        <v>31650</v>
      </c>
      <c r="F231" s="11" t="n">
        <f aca="false">IF(D231=1,SUMIFS(Benefits!$S$4:$S$703,Benefits!$B$4:$B$703,A231,Benefits!$F$4:$F$703,B231,Benefits!$R$4:$R$703,"cash"),0)</f>
        <v>0</v>
      </c>
      <c r="G231" s="11" t="n">
        <f aca="false">IF(D231=1,SUMIFS(Benefits!$S$4:$S$703,Benefits!$B$4:$B$703,A231,Benefits!$F$4:$F$703,B231,Benefits!$R$4:$R$703,"revenue"),0)</f>
        <v>316850</v>
      </c>
      <c r="H231" s="11" t="n">
        <f aca="false">IF(D231=1,SUMIFS(Benefits!$S$4:$S$703,Benefits!$B$4:$B$703,A231,Benefits!$F$4:$F$703,B231,Benefits!$R$4:$R$703,"avoided_cost_realised"),0)</f>
        <v>0</v>
      </c>
      <c r="I231" s="11" t="n">
        <f aca="false">IF(D231=1,SUMIFS(Benefits!$S$4:$S$703,Benefits!$B$4:$B$703,A231,Benefits!$F$4:$F$703,B231,Benefits!$R$4:$R$703,"capacity_converted"),0)</f>
        <v>22629.8702</v>
      </c>
      <c r="J231" s="11" t="n">
        <f aca="false">SUM(F231:I231)</f>
        <v>339479.8702</v>
      </c>
      <c r="K231" s="11" t="n">
        <f aca="false">J231-E231</f>
        <v>307829.8702</v>
      </c>
      <c r="L231" s="11" t="n">
        <f aca="false">IF(D231=1,L230+K231,0)</f>
        <v>229159.534053247</v>
      </c>
      <c r="M231" s="11" t="n">
        <f aca="false">IF(D231=1,1/(1+Controls!$B$11)^B231,0)</f>
        <v>0.931883667888982</v>
      </c>
      <c r="N231" s="11" t="n">
        <f aca="false">K231*M231</f>
        <v>286861.628527765</v>
      </c>
      <c r="O231" s="11" t="n">
        <f aca="false">IF(D231=1,O230+N231,0)</f>
        <v>138636.82287796</v>
      </c>
      <c r="P231" s="11" t="n">
        <f aca="false">IF(AND(D231=1,L231&lt;0),1,0)</f>
        <v>0</v>
      </c>
      <c r="Q231" s="11" t="n">
        <f aca="false">IF(AND(D231=1,O231&lt;0),1,0)</f>
        <v>0</v>
      </c>
    </row>
    <row r="232" customFormat="false" ht="15" hidden="false" customHeight="false" outlineLevel="0" collapsed="false">
      <c r="A232" s="4" t="s">
        <v>89</v>
      </c>
      <c r="B232" s="4" t="n">
        <v>12</v>
      </c>
      <c r="C232" s="11" t="n">
        <f aca="false">IF(COUNTIF('Scenario inputs'!$A$4:$A$213,Controls!$B$3&amp;"|"&amp;A232)&gt;0,1,0)</f>
        <v>1</v>
      </c>
      <c r="D232" s="11" t="n">
        <f aca="false">IF(AND(C232=1,B232&lt;Controls!$B$12),1,0)</f>
        <v>1</v>
      </c>
      <c r="E232" s="11" t="n">
        <f aca="false">IF(D232=1,SUMPRODUCT((Costs!$B$4:$B$903=A232)*(Costs!$D$4:$D$903="planned")*(Costs!$J$4:$J$903&lt;=B232)*(Costs!$K$4:$K$903&gt;B232)*Costs!$E$4:$E$903),0)</f>
        <v>31650</v>
      </c>
      <c r="F232" s="11" t="n">
        <f aca="false">IF(D232=1,SUMIFS(Benefits!$S$4:$S$703,Benefits!$B$4:$B$703,A232,Benefits!$F$4:$F$703,B232,Benefits!$R$4:$R$703,"cash"),0)</f>
        <v>0</v>
      </c>
      <c r="G232" s="11" t="n">
        <f aca="false">IF(D232=1,SUMIFS(Benefits!$S$4:$S$703,Benefits!$B$4:$B$703,A232,Benefits!$F$4:$F$703,B232,Benefits!$R$4:$R$703,"revenue"),0)</f>
        <v>316850</v>
      </c>
      <c r="H232" s="11" t="n">
        <f aca="false">IF(D232=1,SUMIFS(Benefits!$S$4:$S$703,Benefits!$B$4:$B$703,A232,Benefits!$F$4:$F$703,B232,Benefits!$R$4:$R$703,"avoided_cost_realised"),0)</f>
        <v>0</v>
      </c>
      <c r="I232" s="11" t="n">
        <f aca="false">IF(D232=1,SUMIFS(Benefits!$S$4:$S$703,Benefits!$B$4:$B$703,A232,Benefits!$F$4:$F$703,B232,Benefits!$R$4:$R$703,"capacity_converted"),0)</f>
        <v>22629.8702</v>
      </c>
      <c r="J232" s="11" t="n">
        <f aca="false">SUM(F232:I232)</f>
        <v>339479.8702</v>
      </c>
      <c r="K232" s="11" t="n">
        <f aca="false">J232-E232</f>
        <v>307829.8702</v>
      </c>
      <c r="L232" s="11" t="n">
        <f aca="false">IF(D232=1,L231+K232,0)</f>
        <v>536989.404253247</v>
      </c>
      <c r="M232" s="11" t="n">
        <f aca="false">IF(D232=1,1/(1+Controls!$B$11)^B232,0)</f>
        <v>0.925926258342804</v>
      </c>
      <c r="N232" s="11" t="n">
        <f aca="false">K232*M232</f>
        <v>285027.759920437</v>
      </c>
      <c r="O232" s="11" t="n">
        <f aca="false">IF(D232=1,O231+N232,0)</f>
        <v>423664.582798397</v>
      </c>
      <c r="P232" s="11" t="n">
        <f aca="false">IF(AND(D232=1,L232&lt;0),1,0)</f>
        <v>0</v>
      </c>
      <c r="Q232" s="11" t="n">
        <f aca="false">IF(AND(D232=1,O232&lt;0),1,0)</f>
        <v>0</v>
      </c>
    </row>
    <row r="233" customFormat="false" ht="15" hidden="false" customHeight="false" outlineLevel="0" collapsed="false">
      <c r="A233" s="4" t="s">
        <v>89</v>
      </c>
      <c r="B233" s="4" t="n">
        <v>13</v>
      </c>
      <c r="C233" s="11" t="n">
        <f aca="false">IF(COUNTIF('Scenario inputs'!$A$4:$A$213,Controls!$B$3&amp;"|"&amp;A233)&gt;0,1,0)</f>
        <v>1</v>
      </c>
      <c r="D233" s="11" t="n">
        <f aca="false">IF(AND(C233=1,B233&lt;Controls!$B$12),1,0)</f>
        <v>1</v>
      </c>
      <c r="E233" s="11" t="n">
        <f aca="false">IF(D233=1,SUMPRODUCT((Costs!$B$4:$B$903=A233)*(Costs!$D$4:$D$903="planned")*(Costs!$J$4:$J$903&lt;=B233)*(Costs!$K$4:$K$903&gt;B233)*Costs!$E$4:$E$903),0)</f>
        <v>31650</v>
      </c>
      <c r="F233" s="11" t="n">
        <f aca="false">IF(D233=1,SUMIFS(Benefits!$S$4:$S$703,Benefits!$B$4:$B$703,A233,Benefits!$F$4:$F$703,B233,Benefits!$R$4:$R$703,"cash"),0)</f>
        <v>0</v>
      </c>
      <c r="G233" s="11" t="n">
        <f aca="false">IF(D233=1,SUMIFS(Benefits!$S$4:$S$703,Benefits!$B$4:$B$703,A233,Benefits!$F$4:$F$703,B233,Benefits!$R$4:$R$703,"revenue"),0)</f>
        <v>0</v>
      </c>
      <c r="H233" s="11" t="n">
        <f aca="false">IF(D233=1,SUMIFS(Benefits!$S$4:$S$703,Benefits!$B$4:$B$703,A233,Benefits!$F$4:$F$703,B233,Benefits!$R$4:$R$703,"avoided_cost_realised"),0)</f>
        <v>0</v>
      </c>
      <c r="I233" s="11" t="n">
        <f aca="false">IF(D233=1,SUMIFS(Benefits!$S$4:$S$703,Benefits!$B$4:$B$703,A233,Benefits!$F$4:$F$703,B233,Benefits!$R$4:$R$703,"capacity_converted"),0)</f>
        <v>22629.8702</v>
      </c>
      <c r="J233" s="11" t="n">
        <f aca="false">SUM(F233:I233)</f>
        <v>22629.8702</v>
      </c>
      <c r="K233" s="11" t="n">
        <f aca="false">J233-E233</f>
        <v>-9020.1298</v>
      </c>
      <c r="L233" s="11" t="n">
        <f aca="false">IF(D233=1,L232+K233,0)</f>
        <v>527969.274453247</v>
      </c>
      <c r="M233" s="11" t="n">
        <f aca="false">IF(D233=1,1/(1+Controls!$B$11)^B233,0)</f>
        <v>0.920006933731178</v>
      </c>
      <c r="N233" s="11" t="n">
        <f aca="false">K233*M233</f>
        <v>-8298.58195915522</v>
      </c>
      <c r="O233" s="11" t="n">
        <f aca="false">IF(D233=1,O232+N233,0)</f>
        <v>415366.000839242</v>
      </c>
      <c r="P233" s="11" t="n">
        <f aca="false">IF(AND(D233=1,L233&lt;0),1,0)</f>
        <v>0</v>
      </c>
      <c r="Q233" s="11" t="n">
        <f aca="false">IF(AND(D233=1,O233&lt;0),1,0)</f>
        <v>0</v>
      </c>
    </row>
    <row r="234" customFormat="false" ht="15" hidden="false" customHeight="false" outlineLevel="0" collapsed="false">
      <c r="A234" s="4" t="s">
        <v>89</v>
      </c>
      <c r="B234" s="4" t="n">
        <v>14</v>
      </c>
      <c r="C234" s="11" t="n">
        <f aca="false">IF(COUNTIF('Scenario inputs'!$A$4:$A$213,Controls!$B$3&amp;"|"&amp;A234)&gt;0,1,0)</f>
        <v>1</v>
      </c>
      <c r="D234" s="11" t="n">
        <f aca="false">IF(AND(C234=1,B234&lt;Controls!$B$12),1,0)</f>
        <v>1</v>
      </c>
      <c r="E234" s="11" t="n">
        <f aca="false">IF(D234=1,SUMPRODUCT((Costs!$B$4:$B$903=A234)*(Costs!$D$4:$D$903="planned")*(Costs!$J$4:$J$903&lt;=B234)*(Costs!$K$4:$K$903&gt;B234)*Costs!$E$4:$E$903),0)</f>
        <v>0</v>
      </c>
      <c r="F234" s="11" t="n">
        <f aca="false">IF(D234=1,SUMIFS(Benefits!$S$4:$S$703,Benefits!$B$4:$B$703,A234,Benefits!$F$4:$F$703,B234,Benefits!$R$4:$R$703,"cash"),0)</f>
        <v>0</v>
      </c>
      <c r="G234" s="11" t="n">
        <f aca="false">IF(D234=1,SUMIFS(Benefits!$S$4:$S$703,Benefits!$B$4:$B$703,A234,Benefits!$F$4:$F$703,B234,Benefits!$R$4:$R$703,"revenue"),0)</f>
        <v>0</v>
      </c>
      <c r="H234" s="11" t="n">
        <f aca="false">IF(D234=1,SUMIFS(Benefits!$S$4:$S$703,Benefits!$B$4:$B$703,A234,Benefits!$F$4:$F$703,B234,Benefits!$R$4:$R$703,"avoided_cost_realised"),0)</f>
        <v>0</v>
      </c>
      <c r="I234" s="11" t="n">
        <f aca="false">IF(D234=1,SUMIFS(Benefits!$S$4:$S$703,Benefits!$B$4:$B$703,A234,Benefits!$F$4:$F$703,B234,Benefits!$R$4:$R$703,"capacity_converted"),0)</f>
        <v>0</v>
      </c>
      <c r="J234" s="11" t="n">
        <f aca="false">SUM(F234:I234)</f>
        <v>0</v>
      </c>
      <c r="K234" s="11" t="n">
        <f aca="false">J234-E234</f>
        <v>0</v>
      </c>
      <c r="L234" s="11" t="n">
        <f aca="false">IF(D234=1,L233+K234,0)</f>
        <v>527969.274453247</v>
      </c>
      <c r="M234" s="11" t="n">
        <f aca="false">IF(D234=1,1/(1+Controls!$B$11)^B234,0)</f>
        <v>0.914125450582132</v>
      </c>
      <c r="N234" s="11" t="n">
        <f aca="false">K234*M234</f>
        <v>0</v>
      </c>
      <c r="O234" s="11" t="n">
        <f aca="false">IF(D234=1,O233+N234,0)</f>
        <v>415366.000839242</v>
      </c>
      <c r="P234" s="11" t="n">
        <f aca="false">IF(AND(D234=1,L234&lt;0),1,0)</f>
        <v>0</v>
      </c>
      <c r="Q234" s="11" t="n">
        <f aca="false">IF(AND(D234=1,O234&lt;0),1,0)</f>
        <v>0</v>
      </c>
    </row>
    <row r="235" customFormat="false" ht="15" hidden="false" customHeight="false" outlineLevel="0" collapsed="false">
      <c r="A235" s="4" t="s">
        <v>89</v>
      </c>
      <c r="B235" s="4" t="n">
        <v>15</v>
      </c>
      <c r="C235" s="11" t="n">
        <f aca="false">IF(COUNTIF('Scenario inputs'!$A$4:$A$213,Controls!$B$3&amp;"|"&amp;A235)&gt;0,1,0)</f>
        <v>1</v>
      </c>
      <c r="D235" s="11" t="n">
        <f aca="false">IF(AND(C235=1,B235&lt;Controls!$B$12),1,0)</f>
        <v>1</v>
      </c>
      <c r="E235" s="11" t="n">
        <f aca="false">IF(D235=1,SUMPRODUCT((Costs!$B$4:$B$903=A235)*(Costs!$D$4:$D$903="planned")*(Costs!$J$4:$J$903&lt;=B235)*(Costs!$K$4:$K$903&gt;B235)*Costs!$E$4:$E$903),0)</f>
        <v>0</v>
      </c>
      <c r="F235" s="11" t="n">
        <f aca="false">IF(D235=1,SUMIFS(Benefits!$S$4:$S$703,Benefits!$B$4:$B$703,A235,Benefits!$F$4:$F$703,B235,Benefits!$R$4:$R$703,"cash"),0)</f>
        <v>0</v>
      </c>
      <c r="G235" s="11" t="n">
        <f aca="false">IF(D235=1,SUMIFS(Benefits!$S$4:$S$703,Benefits!$B$4:$B$703,A235,Benefits!$F$4:$F$703,B235,Benefits!$R$4:$R$703,"revenue"),0)</f>
        <v>0</v>
      </c>
      <c r="H235" s="11" t="n">
        <f aca="false">IF(D235=1,SUMIFS(Benefits!$S$4:$S$703,Benefits!$B$4:$B$703,A235,Benefits!$F$4:$F$703,B235,Benefits!$R$4:$R$703,"avoided_cost_realised"),0)</f>
        <v>0</v>
      </c>
      <c r="I235" s="11" t="n">
        <f aca="false">IF(D235=1,SUMIFS(Benefits!$S$4:$S$703,Benefits!$B$4:$B$703,A235,Benefits!$F$4:$F$703,B235,Benefits!$R$4:$R$703,"capacity_converted"),0)</f>
        <v>0</v>
      </c>
      <c r="J235" s="11" t="n">
        <f aca="false">SUM(F235:I235)</f>
        <v>0</v>
      </c>
      <c r="K235" s="11" t="n">
        <f aca="false">J235-E235</f>
        <v>0</v>
      </c>
      <c r="L235" s="11" t="n">
        <f aca="false">IF(D235=1,L234+K235,0)</f>
        <v>527969.274453247</v>
      </c>
      <c r="M235" s="11" t="n">
        <f aca="false">IF(D235=1,1/(1+Controls!$B$11)^B235,0)</f>
        <v>0.908281566980182</v>
      </c>
      <c r="N235" s="11" t="n">
        <f aca="false">K235*M235</f>
        <v>0</v>
      </c>
      <c r="O235" s="11" t="n">
        <f aca="false">IF(D235=1,O234+N235,0)</f>
        <v>415366.000839242</v>
      </c>
      <c r="P235" s="11" t="n">
        <f aca="false">IF(AND(D235=1,L235&lt;0),1,0)</f>
        <v>0</v>
      </c>
      <c r="Q235" s="11" t="n">
        <f aca="false">IF(AND(D235=1,O235&lt;0),1,0)</f>
        <v>0</v>
      </c>
    </row>
    <row r="236" customFormat="false" ht="15" hidden="false" customHeight="false" outlineLevel="0" collapsed="false">
      <c r="A236" s="4" t="s">
        <v>89</v>
      </c>
      <c r="B236" s="4" t="n">
        <v>16</v>
      </c>
      <c r="C236" s="11" t="n">
        <f aca="false">IF(COUNTIF('Scenario inputs'!$A$4:$A$213,Controls!$B$3&amp;"|"&amp;A236)&gt;0,1,0)</f>
        <v>1</v>
      </c>
      <c r="D236" s="11" t="n">
        <f aca="false">IF(AND(C236=1,B236&lt;Controls!$B$12),1,0)</f>
        <v>1</v>
      </c>
      <c r="E236" s="11" t="n">
        <f aca="false">IF(D236=1,SUMPRODUCT((Costs!$B$4:$B$903=A236)*(Costs!$D$4:$D$903="planned")*(Costs!$J$4:$J$903&lt;=B236)*(Costs!$K$4:$K$903&gt;B236)*Costs!$E$4:$E$903),0)</f>
        <v>0</v>
      </c>
      <c r="F236" s="11" t="n">
        <f aca="false">IF(D236=1,SUMIFS(Benefits!$S$4:$S$703,Benefits!$B$4:$B$703,A236,Benefits!$F$4:$F$703,B236,Benefits!$R$4:$R$703,"cash"),0)</f>
        <v>0</v>
      </c>
      <c r="G236" s="11" t="n">
        <f aca="false">IF(D236=1,SUMIFS(Benefits!$S$4:$S$703,Benefits!$B$4:$B$703,A236,Benefits!$F$4:$F$703,B236,Benefits!$R$4:$R$703,"revenue"),0)</f>
        <v>0</v>
      </c>
      <c r="H236" s="11" t="n">
        <f aca="false">IF(D236=1,SUMIFS(Benefits!$S$4:$S$703,Benefits!$B$4:$B$703,A236,Benefits!$F$4:$F$703,B236,Benefits!$R$4:$R$703,"avoided_cost_realised"),0)</f>
        <v>0</v>
      </c>
      <c r="I236" s="11" t="n">
        <f aca="false">IF(D236=1,SUMIFS(Benefits!$S$4:$S$703,Benefits!$B$4:$B$703,A236,Benefits!$F$4:$F$703,B236,Benefits!$R$4:$R$703,"capacity_converted"),0)</f>
        <v>0</v>
      </c>
      <c r="J236" s="11" t="n">
        <f aca="false">SUM(F236:I236)</f>
        <v>0</v>
      </c>
      <c r="K236" s="11" t="n">
        <f aca="false">J236-E236</f>
        <v>0</v>
      </c>
      <c r="L236" s="11" t="n">
        <f aca="false">IF(D236=1,L235+K236,0)</f>
        <v>527969.274453247</v>
      </c>
      <c r="M236" s="11" t="n">
        <f aca="false">IF(D236=1,1/(1+Controls!$B$11)^B236,0)</f>
        <v>0.902475042556374</v>
      </c>
      <c r="N236" s="11" t="n">
        <f aca="false">K236*M236</f>
        <v>0</v>
      </c>
      <c r="O236" s="11" t="n">
        <f aca="false">IF(D236=1,O235+N236,0)</f>
        <v>415366.000839242</v>
      </c>
      <c r="P236" s="11" t="n">
        <f aca="false">IF(AND(D236=1,L236&lt;0),1,0)</f>
        <v>0</v>
      </c>
      <c r="Q236" s="11" t="n">
        <f aca="false">IF(AND(D236=1,O236&lt;0),1,0)</f>
        <v>0</v>
      </c>
    </row>
    <row r="237" customFormat="false" ht="15" hidden="false" customHeight="false" outlineLevel="0" collapsed="false">
      <c r="A237" s="4" t="s">
        <v>89</v>
      </c>
      <c r="B237" s="4" t="n">
        <v>17</v>
      </c>
      <c r="C237" s="11" t="n">
        <f aca="false">IF(COUNTIF('Scenario inputs'!$A$4:$A$213,Controls!$B$3&amp;"|"&amp;A237)&gt;0,1,0)</f>
        <v>1</v>
      </c>
      <c r="D237" s="11" t="n">
        <f aca="false">IF(AND(C237=1,B237&lt;Controls!$B$12),1,0)</f>
        <v>1</v>
      </c>
      <c r="E237" s="11" t="n">
        <f aca="false">IF(D237=1,SUMPRODUCT((Costs!$B$4:$B$903=A237)*(Costs!$D$4:$D$903="planned")*(Costs!$J$4:$J$903&lt;=B237)*(Costs!$K$4:$K$903&gt;B237)*Costs!$E$4:$E$903),0)</f>
        <v>0</v>
      </c>
      <c r="F237" s="11" t="n">
        <f aca="false">IF(D237=1,SUMIFS(Benefits!$S$4:$S$703,Benefits!$B$4:$B$703,A237,Benefits!$F$4:$F$703,B237,Benefits!$R$4:$R$703,"cash"),0)</f>
        <v>0</v>
      </c>
      <c r="G237" s="11" t="n">
        <f aca="false">IF(D237=1,SUMIFS(Benefits!$S$4:$S$703,Benefits!$B$4:$B$703,A237,Benefits!$F$4:$F$703,B237,Benefits!$R$4:$R$703,"revenue"),0)</f>
        <v>0</v>
      </c>
      <c r="H237" s="11" t="n">
        <f aca="false">IF(D237=1,SUMIFS(Benefits!$S$4:$S$703,Benefits!$B$4:$B$703,A237,Benefits!$F$4:$F$703,B237,Benefits!$R$4:$R$703,"avoided_cost_realised"),0)</f>
        <v>0</v>
      </c>
      <c r="I237" s="11" t="n">
        <f aca="false">IF(D237=1,SUMIFS(Benefits!$S$4:$S$703,Benefits!$B$4:$B$703,A237,Benefits!$F$4:$F$703,B237,Benefits!$R$4:$R$703,"capacity_converted"),0)</f>
        <v>0</v>
      </c>
      <c r="J237" s="11" t="n">
        <f aca="false">SUM(F237:I237)</f>
        <v>0</v>
      </c>
      <c r="K237" s="11" t="n">
        <f aca="false">J237-E237</f>
        <v>0</v>
      </c>
      <c r="L237" s="11" t="n">
        <f aca="false">IF(D237=1,L236+K237,0)</f>
        <v>527969.274453247</v>
      </c>
      <c r="M237" s="11" t="n">
        <f aca="false">IF(D237=1,1/(1+Controls!$B$11)^B237,0)</f>
        <v>0.896705638478404</v>
      </c>
      <c r="N237" s="11" t="n">
        <f aca="false">K237*M237</f>
        <v>0</v>
      </c>
      <c r="O237" s="11" t="n">
        <f aca="false">IF(D237=1,O236+N237,0)</f>
        <v>415366.000839242</v>
      </c>
      <c r="P237" s="11" t="n">
        <f aca="false">IF(AND(D237=1,L237&lt;0),1,0)</f>
        <v>0</v>
      </c>
      <c r="Q237" s="11" t="n">
        <f aca="false">IF(AND(D237=1,O237&lt;0),1,0)</f>
        <v>0</v>
      </c>
    </row>
    <row r="238" customFormat="false" ht="15" hidden="false" customHeight="false" outlineLevel="0" collapsed="false">
      <c r="A238" s="4" t="s">
        <v>89</v>
      </c>
      <c r="B238" s="4" t="n">
        <v>18</v>
      </c>
      <c r="C238" s="11" t="n">
        <f aca="false">IF(COUNTIF('Scenario inputs'!$A$4:$A$213,Controls!$B$3&amp;"|"&amp;A238)&gt;0,1,0)</f>
        <v>1</v>
      </c>
      <c r="D238" s="11" t="n">
        <f aca="false">IF(AND(C238=1,B238&lt;Controls!$B$12),1,0)</f>
        <v>1</v>
      </c>
      <c r="E238" s="11" t="n">
        <f aca="false">IF(D238=1,SUMPRODUCT((Costs!$B$4:$B$903=A238)*(Costs!$D$4:$D$903="planned")*(Costs!$J$4:$J$903&lt;=B238)*(Costs!$K$4:$K$903&gt;B238)*Costs!$E$4:$E$903),0)</f>
        <v>0</v>
      </c>
      <c r="F238" s="11" t="n">
        <f aca="false">IF(D238=1,SUMIFS(Benefits!$S$4:$S$703,Benefits!$B$4:$B$703,A238,Benefits!$F$4:$F$703,B238,Benefits!$R$4:$R$703,"cash"),0)</f>
        <v>0</v>
      </c>
      <c r="G238" s="11" t="n">
        <f aca="false">IF(D238=1,SUMIFS(Benefits!$S$4:$S$703,Benefits!$B$4:$B$703,A238,Benefits!$F$4:$F$703,B238,Benefits!$R$4:$R$703,"revenue"),0)</f>
        <v>0</v>
      </c>
      <c r="H238" s="11" t="n">
        <f aca="false">IF(D238=1,SUMIFS(Benefits!$S$4:$S$703,Benefits!$B$4:$B$703,A238,Benefits!$F$4:$F$703,B238,Benefits!$R$4:$R$703,"avoided_cost_realised"),0)</f>
        <v>0</v>
      </c>
      <c r="I238" s="11" t="n">
        <f aca="false">IF(D238=1,SUMIFS(Benefits!$S$4:$S$703,Benefits!$B$4:$B$703,A238,Benefits!$F$4:$F$703,B238,Benefits!$R$4:$R$703,"capacity_converted"),0)</f>
        <v>0</v>
      </c>
      <c r="J238" s="11" t="n">
        <f aca="false">SUM(F238:I238)</f>
        <v>0</v>
      </c>
      <c r="K238" s="11" t="n">
        <f aca="false">J238-E238</f>
        <v>0</v>
      </c>
      <c r="L238" s="11" t="n">
        <f aca="false">IF(D238=1,L237+K238,0)</f>
        <v>527969.274453247</v>
      </c>
      <c r="M238" s="11" t="n">
        <f aca="false">IF(D238=1,1/(1+Controls!$B$11)^B238,0)</f>
        <v>0.89097311744079</v>
      </c>
      <c r="N238" s="11" t="n">
        <f aca="false">K238*M238</f>
        <v>0</v>
      </c>
      <c r="O238" s="11" t="n">
        <f aca="false">IF(D238=1,O237+N238,0)</f>
        <v>415366.000839242</v>
      </c>
      <c r="P238" s="11" t="n">
        <f aca="false">IF(AND(D238=1,L238&lt;0),1,0)</f>
        <v>0</v>
      </c>
      <c r="Q238" s="11" t="n">
        <f aca="false">IF(AND(D238=1,O238&lt;0),1,0)</f>
        <v>0</v>
      </c>
    </row>
    <row r="239" customFormat="false" ht="15" hidden="false" customHeight="false" outlineLevel="0" collapsed="false">
      <c r="A239" s="4" t="s">
        <v>89</v>
      </c>
      <c r="B239" s="4" t="n">
        <v>19</v>
      </c>
      <c r="C239" s="11" t="n">
        <f aca="false">IF(COUNTIF('Scenario inputs'!$A$4:$A$213,Controls!$B$3&amp;"|"&amp;A239)&gt;0,1,0)</f>
        <v>1</v>
      </c>
      <c r="D239" s="11" t="n">
        <f aca="false">IF(AND(C239=1,B239&lt;Controls!$B$12),1,0)</f>
        <v>1</v>
      </c>
      <c r="E239" s="11" t="n">
        <f aca="false">IF(D239=1,SUMPRODUCT((Costs!$B$4:$B$903=A239)*(Costs!$D$4:$D$903="planned")*(Costs!$J$4:$J$903&lt;=B239)*(Costs!$K$4:$K$903&gt;B239)*Costs!$E$4:$E$903),0)</f>
        <v>0</v>
      </c>
      <c r="F239" s="11" t="n">
        <f aca="false">IF(D239=1,SUMIFS(Benefits!$S$4:$S$703,Benefits!$B$4:$B$703,A239,Benefits!$F$4:$F$703,B239,Benefits!$R$4:$R$703,"cash"),0)</f>
        <v>0</v>
      </c>
      <c r="G239" s="11" t="n">
        <f aca="false">IF(D239=1,SUMIFS(Benefits!$S$4:$S$703,Benefits!$B$4:$B$703,A239,Benefits!$F$4:$F$703,B239,Benefits!$R$4:$R$703,"revenue"),0)</f>
        <v>0</v>
      </c>
      <c r="H239" s="11" t="n">
        <f aca="false">IF(D239=1,SUMIFS(Benefits!$S$4:$S$703,Benefits!$B$4:$B$703,A239,Benefits!$F$4:$F$703,B239,Benefits!$R$4:$R$703,"avoided_cost_realised"),0)</f>
        <v>0</v>
      </c>
      <c r="I239" s="11" t="n">
        <f aca="false">IF(D239=1,SUMIFS(Benefits!$S$4:$S$703,Benefits!$B$4:$B$703,A239,Benefits!$F$4:$F$703,B239,Benefits!$R$4:$R$703,"capacity_converted"),0)</f>
        <v>0</v>
      </c>
      <c r="J239" s="11" t="n">
        <f aca="false">SUM(F239:I239)</f>
        <v>0</v>
      </c>
      <c r="K239" s="11" t="n">
        <f aca="false">J239-E239</f>
        <v>0</v>
      </c>
      <c r="L239" s="11" t="n">
        <f aca="false">IF(D239=1,L238+K239,0)</f>
        <v>527969.274453247</v>
      </c>
      <c r="M239" s="11" t="n">
        <f aca="false">IF(D239=1,1/(1+Controls!$B$11)^B239,0)</f>
        <v>0.885277243655113</v>
      </c>
      <c r="N239" s="11" t="n">
        <f aca="false">K239*M239</f>
        <v>0</v>
      </c>
      <c r="O239" s="11" t="n">
        <f aca="false">IF(D239=1,O238+N239,0)</f>
        <v>415366.000839242</v>
      </c>
      <c r="P239" s="11" t="n">
        <f aca="false">IF(AND(D239=1,L239&lt;0),1,0)</f>
        <v>0</v>
      </c>
      <c r="Q239" s="11" t="n">
        <f aca="false">IF(AND(D239=1,O239&lt;0),1,0)</f>
        <v>0</v>
      </c>
    </row>
    <row r="240" customFormat="false" ht="15" hidden="false" customHeight="false" outlineLevel="0" collapsed="false">
      <c r="A240" s="4" t="s">
        <v>89</v>
      </c>
      <c r="B240" s="4" t="n">
        <v>20</v>
      </c>
      <c r="C240" s="11" t="n">
        <f aca="false">IF(COUNTIF('Scenario inputs'!$A$4:$A$213,Controls!$B$3&amp;"|"&amp;A240)&gt;0,1,0)</f>
        <v>1</v>
      </c>
      <c r="D240" s="11" t="n">
        <f aca="false">IF(AND(C240=1,B240&lt;Controls!$B$12),1,0)</f>
        <v>1</v>
      </c>
      <c r="E240" s="11" t="n">
        <f aca="false">IF(D240=1,SUMPRODUCT((Costs!$B$4:$B$903=A240)*(Costs!$D$4:$D$903="planned")*(Costs!$J$4:$J$903&lt;=B240)*(Costs!$K$4:$K$903&gt;B240)*Costs!$E$4:$E$903),0)</f>
        <v>0</v>
      </c>
      <c r="F240" s="11" t="n">
        <f aca="false">IF(D240=1,SUMIFS(Benefits!$S$4:$S$703,Benefits!$B$4:$B$703,A240,Benefits!$F$4:$F$703,B240,Benefits!$R$4:$R$703,"cash"),0)</f>
        <v>0</v>
      </c>
      <c r="G240" s="11" t="n">
        <f aca="false">IF(D240=1,SUMIFS(Benefits!$S$4:$S$703,Benefits!$B$4:$B$703,A240,Benefits!$F$4:$F$703,B240,Benefits!$R$4:$R$703,"revenue"),0)</f>
        <v>0</v>
      </c>
      <c r="H240" s="11" t="n">
        <f aca="false">IF(D240=1,SUMIFS(Benefits!$S$4:$S$703,Benefits!$B$4:$B$703,A240,Benefits!$F$4:$F$703,B240,Benefits!$R$4:$R$703,"avoided_cost_realised"),0)</f>
        <v>0</v>
      </c>
      <c r="I240" s="11" t="n">
        <f aca="false">IF(D240=1,SUMIFS(Benefits!$S$4:$S$703,Benefits!$B$4:$B$703,A240,Benefits!$F$4:$F$703,B240,Benefits!$R$4:$R$703,"capacity_converted"),0)</f>
        <v>0</v>
      </c>
      <c r="J240" s="11" t="n">
        <f aca="false">SUM(F240:I240)</f>
        <v>0</v>
      </c>
      <c r="K240" s="11" t="n">
        <f aca="false">J240-E240</f>
        <v>0</v>
      </c>
      <c r="L240" s="11" t="n">
        <f aca="false">IF(D240=1,L239+K240,0)</f>
        <v>527969.274453247</v>
      </c>
      <c r="M240" s="11" t="n">
        <f aca="false">IF(D240=1,1/(1+Controls!$B$11)^B240,0)</f>
        <v>0.879617782840318</v>
      </c>
      <c r="N240" s="11" t="n">
        <f aca="false">K240*M240</f>
        <v>0</v>
      </c>
      <c r="O240" s="11" t="n">
        <f aca="false">IF(D240=1,O239+N240,0)</f>
        <v>415366.000839242</v>
      </c>
      <c r="P240" s="11" t="n">
        <f aca="false">IF(AND(D240=1,L240&lt;0),1,0)</f>
        <v>0</v>
      </c>
      <c r="Q240" s="11" t="n">
        <f aca="false">IF(AND(D240=1,O240&lt;0),1,0)</f>
        <v>0</v>
      </c>
    </row>
    <row r="241" customFormat="false" ht="15" hidden="false" customHeight="false" outlineLevel="0" collapsed="false">
      <c r="A241" s="4" t="s">
        <v>89</v>
      </c>
      <c r="B241" s="4" t="n">
        <v>21</v>
      </c>
      <c r="C241" s="11" t="n">
        <f aca="false">IF(COUNTIF('Scenario inputs'!$A$4:$A$213,Controls!$B$3&amp;"|"&amp;A241)&gt;0,1,0)</f>
        <v>1</v>
      </c>
      <c r="D241" s="11" t="n">
        <f aca="false">IF(AND(C241=1,B241&lt;Controls!$B$12),1,0)</f>
        <v>1</v>
      </c>
      <c r="E241" s="11" t="n">
        <f aca="false">IF(D241=1,SUMPRODUCT((Costs!$B$4:$B$903=A241)*(Costs!$D$4:$D$903="planned")*(Costs!$J$4:$J$903&lt;=B241)*(Costs!$K$4:$K$903&gt;B241)*Costs!$E$4:$E$903),0)</f>
        <v>0</v>
      </c>
      <c r="F241" s="11" t="n">
        <f aca="false">IF(D241=1,SUMIFS(Benefits!$S$4:$S$703,Benefits!$B$4:$B$703,A241,Benefits!$F$4:$F$703,B241,Benefits!$R$4:$R$703,"cash"),0)</f>
        <v>0</v>
      </c>
      <c r="G241" s="11" t="n">
        <f aca="false">IF(D241=1,SUMIFS(Benefits!$S$4:$S$703,Benefits!$B$4:$B$703,A241,Benefits!$F$4:$F$703,B241,Benefits!$R$4:$R$703,"revenue"),0)</f>
        <v>0</v>
      </c>
      <c r="H241" s="11" t="n">
        <f aca="false">IF(D241=1,SUMIFS(Benefits!$S$4:$S$703,Benefits!$B$4:$B$703,A241,Benefits!$F$4:$F$703,B241,Benefits!$R$4:$R$703,"avoided_cost_realised"),0)</f>
        <v>0</v>
      </c>
      <c r="I241" s="11" t="n">
        <f aca="false">IF(D241=1,SUMIFS(Benefits!$S$4:$S$703,Benefits!$B$4:$B$703,A241,Benefits!$F$4:$F$703,B241,Benefits!$R$4:$R$703,"capacity_converted"),0)</f>
        <v>0</v>
      </c>
      <c r="J241" s="11" t="n">
        <f aca="false">SUM(F241:I241)</f>
        <v>0</v>
      </c>
      <c r="K241" s="11" t="n">
        <f aca="false">J241-E241</f>
        <v>0</v>
      </c>
      <c r="L241" s="11" t="n">
        <f aca="false">IF(D241=1,L240+K241,0)</f>
        <v>527969.274453247</v>
      </c>
      <c r="M241" s="11" t="n">
        <f aca="false">IF(D241=1,1/(1+Controls!$B$11)^B241,0)</f>
        <v>0.873994502213079</v>
      </c>
      <c r="N241" s="11" t="n">
        <f aca="false">K241*M241</f>
        <v>0</v>
      </c>
      <c r="O241" s="11" t="n">
        <f aca="false">IF(D241=1,O240+N241,0)</f>
        <v>415366.000839242</v>
      </c>
      <c r="P241" s="11" t="n">
        <f aca="false">IF(AND(D241=1,L241&lt;0),1,0)</f>
        <v>0</v>
      </c>
      <c r="Q241" s="11" t="n">
        <f aca="false">IF(AND(D241=1,O241&lt;0),1,0)</f>
        <v>0</v>
      </c>
    </row>
    <row r="242" customFormat="false" ht="15" hidden="false" customHeight="false" outlineLevel="0" collapsed="false">
      <c r="A242" s="4" t="s">
        <v>89</v>
      </c>
      <c r="B242" s="4" t="n">
        <v>22</v>
      </c>
      <c r="C242" s="11" t="n">
        <f aca="false">IF(COUNTIF('Scenario inputs'!$A$4:$A$213,Controls!$B$3&amp;"|"&amp;A242)&gt;0,1,0)</f>
        <v>1</v>
      </c>
      <c r="D242" s="11" t="n">
        <f aca="false">IF(AND(C242=1,B242&lt;Controls!$B$12),1,0)</f>
        <v>1</v>
      </c>
      <c r="E242" s="11" t="n">
        <f aca="false">IF(D242=1,SUMPRODUCT((Costs!$B$4:$B$903=A242)*(Costs!$D$4:$D$903="planned")*(Costs!$J$4:$J$903&lt;=B242)*(Costs!$K$4:$K$903&gt;B242)*Costs!$E$4:$E$903),0)</f>
        <v>0</v>
      </c>
      <c r="F242" s="11" t="n">
        <f aca="false">IF(D242=1,SUMIFS(Benefits!$S$4:$S$703,Benefits!$B$4:$B$703,A242,Benefits!$F$4:$F$703,B242,Benefits!$R$4:$R$703,"cash"),0)</f>
        <v>0</v>
      </c>
      <c r="G242" s="11" t="n">
        <f aca="false">IF(D242=1,SUMIFS(Benefits!$S$4:$S$703,Benefits!$B$4:$B$703,A242,Benefits!$F$4:$F$703,B242,Benefits!$R$4:$R$703,"revenue"),0)</f>
        <v>0</v>
      </c>
      <c r="H242" s="11" t="n">
        <f aca="false">IF(D242=1,SUMIFS(Benefits!$S$4:$S$703,Benefits!$B$4:$B$703,A242,Benefits!$F$4:$F$703,B242,Benefits!$R$4:$R$703,"avoided_cost_realised"),0)</f>
        <v>0</v>
      </c>
      <c r="I242" s="11" t="n">
        <f aca="false">IF(D242=1,SUMIFS(Benefits!$S$4:$S$703,Benefits!$B$4:$B$703,A242,Benefits!$F$4:$F$703,B242,Benefits!$R$4:$R$703,"capacity_converted"),0)</f>
        <v>0</v>
      </c>
      <c r="J242" s="11" t="n">
        <f aca="false">SUM(F242:I242)</f>
        <v>0</v>
      </c>
      <c r="K242" s="11" t="n">
        <f aca="false">J242-E242</f>
        <v>0</v>
      </c>
      <c r="L242" s="11" t="n">
        <f aca="false">IF(D242=1,L241+K242,0)</f>
        <v>527969.274453247</v>
      </c>
      <c r="M242" s="11" t="n">
        <f aca="false">IF(D242=1,1/(1+Controls!$B$11)^B242,0)</f>
        <v>0.868407170478222</v>
      </c>
      <c r="N242" s="11" t="n">
        <f aca="false">K242*M242</f>
        <v>0</v>
      </c>
      <c r="O242" s="11" t="n">
        <f aca="false">IF(D242=1,O241+N242,0)</f>
        <v>415366.000839242</v>
      </c>
      <c r="P242" s="11" t="n">
        <f aca="false">IF(AND(D242=1,L242&lt;0),1,0)</f>
        <v>0</v>
      </c>
      <c r="Q242" s="11" t="n">
        <f aca="false">IF(AND(D242=1,O242&lt;0),1,0)</f>
        <v>0</v>
      </c>
    </row>
    <row r="243" customFormat="false" ht="15" hidden="false" customHeight="false" outlineLevel="0" collapsed="false">
      <c r="A243" s="4" t="s">
        <v>89</v>
      </c>
      <c r="B243" s="4" t="n">
        <v>23</v>
      </c>
      <c r="C243" s="11" t="n">
        <f aca="false">IF(COUNTIF('Scenario inputs'!$A$4:$A$213,Controls!$B$3&amp;"|"&amp;A243)&gt;0,1,0)</f>
        <v>1</v>
      </c>
      <c r="D243" s="11" t="n">
        <f aca="false">IF(AND(C243=1,B243&lt;Controls!$B$12),1,0)</f>
        <v>1</v>
      </c>
      <c r="E243" s="11" t="n">
        <f aca="false">IF(D243=1,SUMPRODUCT((Costs!$B$4:$B$903=A243)*(Costs!$D$4:$D$903="planned")*(Costs!$J$4:$J$903&lt;=B243)*(Costs!$K$4:$K$903&gt;B243)*Costs!$E$4:$E$903),0)</f>
        <v>0</v>
      </c>
      <c r="F243" s="11" t="n">
        <f aca="false">IF(D243=1,SUMIFS(Benefits!$S$4:$S$703,Benefits!$B$4:$B$703,A243,Benefits!$F$4:$F$703,B243,Benefits!$R$4:$R$703,"cash"),0)</f>
        <v>0</v>
      </c>
      <c r="G243" s="11" t="n">
        <f aca="false">IF(D243=1,SUMIFS(Benefits!$S$4:$S$703,Benefits!$B$4:$B$703,A243,Benefits!$F$4:$F$703,B243,Benefits!$R$4:$R$703,"revenue"),0)</f>
        <v>0</v>
      </c>
      <c r="H243" s="11" t="n">
        <f aca="false">IF(D243=1,SUMIFS(Benefits!$S$4:$S$703,Benefits!$B$4:$B$703,A243,Benefits!$F$4:$F$703,B243,Benefits!$R$4:$R$703,"avoided_cost_realised"),0)</f>
        <v>0</v>
      </c>
      <c r="I243" s="11" t="n">
        <f aca="false">IF(D243=1,SUMIFS(Benefits!$S$4:$S$703,Benefits!$B$4:$B$703,A243,Benefits!$F$4:$F$703,B243,Benefits!$R$4:$R$703,"capacity_converted"),0)</f>
        <v>0</v>
      </c>
      <c r="J243" s="11" t="n">
        <f aca="false">SUM(F243:I243)</f>
        <v>0</v>
      </c>
      <c r="K243" s="11" t="n">
        <f aca="false">J243-E243</f>
        <v>0</v>
      </c>
      <c r="L243" s="11" t="n">
        <f aca="false">IF(D243=1,L242+K243,0)</f>
        <v>527969.274453247</v>
      </c>
      <c r="M243" s="11" t="n">
        <f aca="false">IF(D243=1,1/(1+Controls!$B$11)^B243,0)</f>
        <v>0.862855557819213</v>
      </c>
      <c r="N243" s="11" t="n">
        <f aca="false">K243*M243</f>
        <v>0</v>
      </c>
      <c r="O243" s="11" t="n">
        <f aca="false">IF(D243=1,O242+N243,0)</f>
        <v>415366.000839242</v>
      </c>
      <c r="P243" s="11" t="n">
        <f aca="false">IF(AND(D243=1,L243&lt;0),1,0)</f>
        <v>0</v>
      </c>
      <c r="Q243" s="11" t="n">
        <f aca="false">IF(AND(D243=1,O243&lt;0),1,0)</f>
        <v>0</v>
      </c>
    </row>
    <row r="244" customFormat="false" ht="15" hidden="false" customHeight="false" outlineLevel="0" collapsed="false">
      <c r="A244" s="4" t="s">
        <v>89</v>
      </c>
      <c r="B244" s="4" t="n">
        <v>24</v>
      </c>
      <c r="C244" s="11" t="n">
        <f aca="false">IF(COUNTIF('Scenario inputs'!$A$4:$A$213,Controls!$B$3&amp;"|"&amp;A244)&gt;0,1,0)</f>
        <v>1</v>
      </c>
      <c r="D244" s="11" t="n">
        <f aca="false">IF(AND(C244=1,B244&lt;Controls!$B$12),1,0)</f>
        <v>1</v>
      </c>
      <c r="E244" s="11" t="n">
        <f aca="false">IF(D244=1,SUMPRODUCT((Costs!$B$4:$B$903=A244)*(Costs!$D$4:$D$903="planned")*(Costs!$J$4:$J$903&lt;=B244)*(Costs!$K$4:$K$903&gt;B244)*Costs!$E$4:$E$903),0)</f>
        <v>0</v>
      </c>
      <c r="F244" s="11" t="n">
        <f aca="false">IF(D244=1,SUMIFS(Benefits!$S$4:$S$703,Benefits!$B$4:$B$703,A244,Benefits!$F$4:$F$703,B244,Benefits!$R$4:$R$703,"cash"),0)</f>
        <v>0</v>
      </c>
      <c r="G244" s="11" t="n">
        <f aca="false">IF(D244=1,SUMIFS(Benefits!$S$4:$S$703,Benefits!$B$4:$B$703,A244,Benefits!$F$4:$F$703,B244,Benefits!$R$4:$R$703,"revenue"),0)</f>
        <v>0</v>
      </c>
      <c r="H244" s="11" t="n">
        <f aca="false">IF(D244=1,SUMIFS(Benefits!$S$4:$S$703,Benefits!$B$4:$B$703,A244,Benefits!$F$4:$F$703,B244,Benefits!$R$4:$R$703,"avoided_cost_realised"),0)</f>
        <v>0</v>
      </c>
      <c r="I244" s="11" t="n">
        <f aca="false">IF(D244=1,SUMIFS(Benefits!$S$4:$S$703,Benefits!$B$4:$B$703,A244,Benefits!$F$4:$F$703,B244,Benefits!$R$4:$R$703,"capacity_converted"),0)</f>
        <v>0</v>
      </c>
      <c r="J244" s="11" t="n">
        <f aca="false">SUM(F244:I244)</f>
        <v>0</v>
      </c>
      <c r="K244" s="11" t="n">
        <f aca="false">J244-E244</f>
        <v>0</v>
      </c>
      <c r="L244" s="11" t="n">
        <f aca="false">IF(D244=1,L243+K244,0)</f>
        <v>527969.274453247</v>
      </c>
      <c r="M244" s="11" t="n">
        <f aca="false">IF(D244=1,1/(1+Controls!$B$11)^B244,0)</f>
        <v>0.857339435888705</v>
      </c>
      <c r="N244" s="11" t="n">
        <f aca="false">K244*M244</f>
        <v>0</v>
      </c>
      <c r="O244" s="11" t="n">
        <f aca="false">IF(D244=1,O243+N244,0)</f>
        <v>415366.000839242</v>
      </c>
      <c r="P244" s="11" t="n">
        <f aca="false">IF(AND(D244=1,L244&lt;0),1,0)</f>
        <v>0</v>
      </c>
      <c r="Q244" s="11" t="n">
        <f aca="false">IF(AND(D244=1,O244&lt;0),1,0)</f>
        <v>0</v>
      </c>
    </row>
    <row r="245" customFormat="false" ht="15" hidden="false" customHeight="false" outlineLevel="0" collapsed="false">
      <c r="A245" s="4" t="s">
        <v>89</v>
      </c>
      <c r="B245" s="4" t="n">
        <v>25</v>
      </c>
      <c r="C245" s="11" t="n">
        <f aca="false">IF(COUNTIF('Scenario inputs'!$A$4:$A$213,Controls!$B$3&amp;"|"&amp;A245)&gt;0,1,0)</f>
        <v>1</v>
      </c>
      <c r="D245" s="11" t="n">
        <f aca="false">IF(AND(C245=1,B245&lt;Controls!$B$12),1,0)</f>
        <v>1</v>
      </c>
      <c r="E245" s="11" t="n">
        <f aca="false">IF(D245=1,SUMPRODUCT((Costs!$B$4:$B$903=A245)*(Costs!$D$4:$D$903="planned")*(Costs!$J$4:$J$903&lt;=B245)*(Costs!$K$4:$K$903&gt;B245)*Costs!$E$4:$E$903),0)</f>
        <v>0</v>
      </c>
      <c r="F245" s="11" t="n">
        <f aca="false">IF(D245=1,SUMIFS(Benefits!$S$4:$S$703,Benefits!$B$4:$B$703,A245,Benefits!$F$4:$F$703,B245,Benefits!$R$4:$R$703,"cash"),0)</f>
        <v>0</v>
      </c>
      <c r="G245" s="11" t="n">
        <f aca="false">IF(D245=1,SUMIFS(Benefits!$S$4:$S$703,Benefits!$B$4:$B$703,A245,Benefits!$F$4:$F$703,B245,Benefits!$R$4:$R$703,"revenue"),0)</f>
        <v>0</v>
      </c>
      <c r="H245" s="11" t="n">
        <f aca="false">IF(D245=1,SUMIFS(Benefits!$S$4:$S$703,Benefits!$B$4:$B$703,A245,Benefits!$F$4:$F$703,B245,Benefits!$R$4:$R$703,"avoided_cost_realised"),0)</f>
        <v>0</v>
      </c>
      <c r="I245" s="11" t="n">
        <f aca="false">IF(D245=1,SUMIFS(Benefits!$S$4:$S$703,Benefits!$B$4:$B$703,A245,Benefits!$F$4:$F$703,B245,Benefits!$R$4:$R$703,"capacity_converted"),0)</f>
        <v>0</v>
      </c>
      <c r="J245" s="11" t="n">
        <f aca="false">SUM(F245:I245)</f>
        <v>0</v>
      </c>
      <c r="K245" s="11" t="n">
        <f aca="false">J245-E245</f>
        <v>0</v>
      </c>
      <c r="L245" s="11" t="n">
        <f aca="false">IF(D245=1,L244+K245,0)</f>
        <v>527969.274453247</v>
      </c>
      <c r="M245" s="11" t="n">
        <f aca="false">IF(D245=1,1/(1+Controls!$B$11)^B245,0)</f>
        <v>0.851858577799146</v>
      </c>
      <c r="N245" s="11" t="n">
        <f aca="false">K245*M245</f>
        <v>0</v>
      </c>
      <c r="O245" s="11" t="n">
        <f aca="false">IF(D245=1,O244+N245,0)</f>
        <v>415366.000839242</v>
      </c>
      <c r="P245" s="11" t="n">
        <f aca="false">IF(AND(D245=1,L245&lt;0),1,0)</f>
        <v>0</v>
      </c>
      <c r="Q245" s="11" t="n">
        <f aca="false">IF(AND(D245=1,O245&lt;0),1,0)</f>
        <v>0</v>
      </c>
    </row>
    <row r="246" customFormat="false" ht="15" hidden="false" customHeight="false" outlineLevel="0" collapsed="false">
      <c r="A246" s="4" t="s">
        <v>89</v>
      </c>
      <c r="B246" s="4" t="n">
        <v>26</v>
      </c>
      <c r="C246" s="11" t="n">
        <f aca="false">IF(COUNTIF('Scenario inputs'!$A$4:$A$213,Controls!$B$3&amp;"|"&amp;A246)&gt;0,1,0)</f>
        <v>1</v>
      </c>
      <c r="D246" s="11" t="n">
        <f aca="false">IF(AND(C246=1,B246&lt;Controls!$B$12),1,0)</f>
        <v>1</v>
      </c>
      <c r="E246" s="11" t="n">
        <f aca="false">IF(D246=1,SUMPRODUCT((Costs!$B$4:$B$903=A246)*(Costs!$D$4:$D$903="planned")*(Costs!$J$4:$J$903&lt;=B246)*(Costs!$K$4:$K$903&gt;B246)*Costs!$E$4:$E$903),0)</f>
        <v>0</v>
      </c>
      <c r="F246" s="11" t="n">
        <f aca="false">IF(D246=1,SUMIFS(Benefits!$S$4:$S$703,Benefits!$B$4:$B$703,A246,Benefits!$F$4:$F$703,B246,Benefits!$R$4:$R$703,"cash"),0)</f>
        <v>0</v>
      </c>
      <c r="G246" s="11" t="n">
        <f aca="false">IF(D246=1,SUMIFS(Benefits!$S$4:$S$703,Benefits!$B$4:$B$703,A246,Benefits!$F$4:$F$703,B246,Benefits!$R$4:$R$703,"revenue"),0)</f>
        <v>0</v>
      </c>
      <c r="H246" s="11" t="n">
        <f aca="false">IF(D246=1,SUMIFS(Benefits!$S$4:$S$703,Benefits!$B$4:$B$703,A246,Benefits!$F$4:$F$703,B246,Benefits!$R$4:$R$703,"avoided_cost_realised"),0)</f>
        <v>0</v>
      </c>
      <c r="I246" s="11" t="n">
        <f aca="false">IF(D246=1,SUMIFS(Benefits!$S$4:$S$703,Benefits!$B$4:$B$703,A246,Benefits!$F$4:$F$703,B246,Benefits!$R$4:$R$703,"capacity_converted"),0)</f>
        <v>0</v>
      </c>
      <c r="J246" s="11" t="n">
        <f aca="false">SUM(F246:I246)</f>
        <v>0</v>
      </c>
      <c r="K246" s="11" t="n">
        <f aca="false">J246-E246</f>
        <v>0</v>
      </c>
      <c r="L246" s="11" t="n">
        <f aca="false">IF(D246=1,L245+K246,0)</f>
        <v>527969.274453247</v>
      </c>
      <c r="M246" s="11" t="n">
        <f aca="false">IF(D246=1,1/(1+Controls!$B$11)^B246,0)</f>
        <v>0.846412758113444</v>
      </c>
      <c r="N246" s="11" t="n">
        <f aca="false">K246*M246</f>
        <v>0</v>
      </c>
      <c r="O246" s="11" t="n">
        <f aca="false">IF(D246=1,O245+N246,0)</f>
        <v>415366.000839242</v>
      </c>
      <c r="P246" s="11" t="n">
        <f aca="false">IF(AND(D246=1,L246&lt;0),1,0)</f>
        <v>0</v>
      </c>
      <c r="Q246" s="11" t="n">
        <f aca="false">IF(AND(D246=1,O246&lt;0),1,0)</f>
        <v>0</v>
      </c>
    </row>
    <row r="247" customFormat="false" ht="15" hidden="false" customHeight="false" outlineLevel="0" collapsed="false">
      <c r="A247" s="4" t="s">
        <v>89</v>
      </c>
      <c r="B247" s="4" t="n">
        <v>27</v>
      </c>
      <c r="C247" s="11" t="n">
        <f aca="false">IF(COUNTIF('Scenario inputs'!$A$4:$A$213,Controls!$B$3&amp;"|"&amp;A247)&gt;0,1,0)</f>
        <v>1</v>
      </c>
      <c r="D247" s="11" t="n">
        <f aca="false">IF(AND(C247=1,B247&lt;Controls!$B$12),1,0)</f>
        <v>1</v>
      </c>
      <c r="E247" s="11" t="n">
        <f aca="false">IF(D247=1,SUMPRODUCT((Costs!$B$4:$B$903=A247)*(Costs!$D$4:$D$903="planned")*(Costs!$J$4:$J$903&lt;=B247)*(Costs!$K$4:$K$903&gt;B247)*Costs!$E$4:$E$903),0)</f>
        <v>0</v>
      </c>
      <c r="F247" s="11" t="n">
        <f aca="false">IF(D247=1,SUMIFS(Benefits!$S$4:$S$703,Benefits!$B$4:$B$703,A247,Benefits!$F$4:$F$703,B247,Benefits!$R$4:$R$703,"cash"),0)</f>
        <v>0</v>
      </c>
      <c r="G247" s="11" t="n">
        <f aca="false">IF(D247=1,SUMIFS(Benefits!$S$4:$S$703,Benefits!$B$4:$B$703,A247,Benefits!$F$4:$F$703,B247,Benefits!$R$4:$R$703,"revenue"),0)</f>
        <v>0</v>
      </c>
      <c r="H247" s="11" t="n">
        <f aca="false">IF(D247=1,SUMIFS(Benefits!$S$4:$S$703,Benefits!$B$4:$B$703,A247,Benefits!$F$4:$F$703,B247,Benefits!$R$4:$R$703,"avoided_cost_realised"),0)</f>
        <v>0</v>
      </c>
      <c r="I247" s="11" t="n">
        <f aca="false">IF(D247=1,SUMIFS(Benefits!$S$4:$S$703,Benefits!$B$4:$B$703,A247,Benefits!$F$4:$F$703,B247,Benefits!$R$4:$R$703,"capacity_converted"),0)</f>
        <v>0</v>
      </c>
      <c r="J247" s="11" t="n">
        <f aca="false">SUM(F247:I247)</f>
        <v>0</v>
      </c>
      <c r="K247" s="11" t="n">
        <f aca="false">J247-E247</f>
        <v>0</v>
      </c>
      <c r="L247" s="11" t="n">
        <f aca="false">IF(D247=1,L246+K247,0)</f>
        <v>527969.274453247</v>
      </c>
      <c r="M247" s="11" t="n">
        <f aca="false">IF(D247=1,1/(1+Controls!$B$11)^B247,0)</f>
        <v>0.841001752835699</v>
      </c>
      <c r="N247" s="11" t="n">
        <f aca="false">K247*M247</f>
        <v>0</v>
      </c>
      <c r="O247" s="11" t="n">
        <f aca="false">IF(D247=1,O246+N247,0)</f>
        <v>415366.000839242</v>
      </c>
      <c r="P247" s="11" t="n">
        <f aca="false">IF(AND(D247=1,L247&lt;0),1,0)</f>
        <v>0</v>
      </c>
      <c r="Q247" s="11" t="n">
        <f aca="false">IF(AND(D247=1,O247&lt;0),1,0)</f>
        <v>0</v>
      </c>
    </row>
    <row r="248" customFormat="false" ht="15" hidden="false" customHeight="false" outlineLevel="0" collapsed="false">
      <c r="A248" s="4" t="s">
        <v>89</v>
      </c>
      <c r="B248" s="4" t="n">
        <v>28</v>
      </c>
      <c r="C248" s="11" t="n">
        <f aca="false">IF(COUNTIF('Scenario inputs'!$A$4:$A$213,Controls!$B$3&amp;"|"&amp;A248)&gt;0,1,0)</f>
        <v>1</v>
      </c>
      <c r="D248" s="11" t="n">
        <f aca="false">IF(AND(C248=1,B248&lt;Controls!$B$12),1,0)</f>
        <v>1</v>
      </c>
      <c r="E248" s="11" t="n">
        <f aca="false">IF(D248=1,SUMPRODUCT((Costs!$B$4:$B$903=A248)*(Costs!$D$4:$D$903="planned")*(Costs!$J$4:$J$903&lt;=B248)*(Costs!$K$4:$K$903&gt;B248)*Costs!$E$4:$E$903),0)</f>
        <v>0</v>
      </c>
      <c r="F248" s="11" t="n">
        <f aca="false">IF(D248=1,SUMIFS(Benefits!$S$4:$S$703,Benefits!$B$4:$B$703,A248,Benefits!$F$4:$F$703,B248,Benefits!$R$4:$R$703,"cash"),0)</f>
        <v>0</v>
      </c>
      <c r="G248" s="11" t="n">
        <f aca="false">IF(D248=1,SUMIFS(Benefits!$S$4:$S$703,Benefits!$B$4:$B$703,A248,Benefits!$F$4:$F$703,B248,Benefits!$R$4:$R$703,"revenue"),0)</f>
        <v>0</v>
      </c>
      <c r="H248" s="11" t="n">
        <f aca="false">IF(D248=1,SUMIFS(Benefits!$S$4:$S$703,Benefits!$B$4:$B$703,A248,Benefits!$F$4:$F$703,B248,Benefits!$R$4:$R$703,"avoided_cost_realised"),0)</f>
        <v>0</v>
      </c>
      <c r="I248" s="11" t="n">
        <f aca="false">IF(D248=1,SUMIFS(Benefits!$S$4:$S$703,Benefits!$B$4:$B$703,A248,Benefits!$F$4:$F$703,B248,Benefits!$R$4:$R$703,"capacity_converted"),0)</f>
        <v>0</v>
      </c>
      <c r="J248" s="11" t="n">
        <f aca="false">SUM(F248:I248)</f>
        <v>0</v>
      </c>
      <c r="K248" s="11" t="n">
        <f aca="false">J248-E248</f>
        <v>0</v>
      </c>
      <c r="L248" s="11" t="n">
        <f aca="false">IF(D248=1,L247+K248,0)</f>
        <v>527969.274453247</v>
      </c>
      <c r="M248" s="11" t="n">
        <f aca="false">IF(D248=1,1/(1+Controls!$B$11)^B248,0)</f>
        <v>0.835625339401986</v>
      </c>
      <c r="N248" s="11" t="n">
        <f aca="false">K248*M248</f>
        <v>0</v>
      </c>
      <c r="O248" s="11" t="n">
        <f aca="false">IF(D248=1,O247+N248,0)</f>
        <v>415366.000839242</v>
      </c>
      <c r="P248" s="11" t="n">
        <f aca="false">IF(AND(D248=1,L248&lt;0),1,0)</f>
        <v>0</v>
      </c>
      <c r="Q248" s="11" t="n">
        <f aca="false">IF(AND(D248=1,O248&lt;0),1,0)</f>
        <v>0</v>
      </c>
    </row>
    <row r="249" customFormat="false" ht="15" hidden="false" customHeight="false" outlineLevel="0" collapsed="false">
      <c r="A249" s="4" t="s">
        <v>89</v>
      </c>
      <c r="B249" s="4" t="n">
        <v>29</v>
      </c>
      <c r="C249" s="11" t="n">
        <f aca="false">IF(COUNTIF('Scenario inputs'!$A$4:$A$213,Controls!$B$3&amp;"|"&amp;A249)&gt;0,1,0)</f>
        <v>1</v>
      </c>
      <c r="D249" s="11" t="n">
        <f aca="false">IF(AND(C249=1,B249&lt;Controls!$B$12),1,0)</f>
        <v>1</v>
      </c>
      <c r="E249" s="11" t="n">
        <f aca="false">IF(D249=1,SUMPRODUCT((Costs!$B$4:$B$903=A249)*(Costs!$D$4:$D$903="planned")*(Costs!$J$4:$J$903&lt;=B249)*(Costs!$K$4:$K$903&gt;B249)*Costs!$E$4:$E$903),0)</f>
        <v>0</v>
      </c>
      <c r="F249" s="11" t="n">
        <f aca="false">IF(D249=1,SUMIFS(Benefits!$S$4:$S$703,Benefits!$B$4:$B$703,A249,Benefits!$F$4:$F$703,B249,Benefits!$R$4:$R$703,"cash"),0)</f>
        <v>0</v>
      </c>
      <c r="G249" s="11" t="n">
        <f aca="false">IF(D249=1,SUMIFS(Benefits!$S$4:$S$703,Benefits!$B$4:$B$703,A249,Benefits!$F$4:$F$703,B249,Benefits!$R$4:$R$703,"revenue"),0)</f>
        <v>0</v>
      </c>
      <c r="H249" s="11" t="n">
        <f aca="false">IF(D249=1,SUMIFS(Benefits!$S$4:$S$703,Benefits!$B$4:$B$703,A249,Benefits!$F$4:$F$703,B249,Benefits!$R$4:$R$703,"avoided_cost_realised"),0)</f>
        <v>0</v>
      </c>
      <c r="I249" s="11" t="n">
        <f aca="false">IF(D249=1,SUMIFS(Benefits!$S$4:$S$703,Benefits!$B$4:$B$703,A249,Benefits!$F$4:$F$703,B249,Benefits!$R$4:$R$703,"capacity_converted"),0)</f>
        <v>0</v>
      </c>
      <c r="J249" s="11" t="n">
        <f aca="false">SUM(F249:I249)</f>
        <v>0</v>
      </c>
      <c r="K249" s="11" t="n">
        <f aca="false">J249-E249</f>
        <v>0</v>
      </c>
      <c r="L249" s="11" t="n">
        <f aca="false">IF(D249=1,L248+K249,0)</f>
        <v>527969.274453247</v>
      </c>
      <c r="M249" s="11" t="n">
        <f aca="false">IF(D249=1,1/(1+Controls!$B$11)^B249,0)</f>
        <v>0.830283296671204</v>
      </c>
      <c r="N249" s="11" t="n">
        <f aca="false">K249*M249</f>
        <v>0</v>
      </c>
      <c r="O249" s="11" t="n">
        <f aca="false">IF(D249=1,O248+N249,0)</f>
        <v>415366.000839242</v>
      </c>
      <c r="P249" s="11" t="n">
        <f aca="false">IF(AND(D249=1,L249&lt;0),1,0)</f>
        <v>0</v>
      </c>
      <c r="Q249" s="11" t="n">
        <f aca="false">IF(AND(D249=1,O249&lt;0),1,0)</f>
        <v>0</v>
      </c>
    </row>
    <row r="250" customFormat="false" ht="15" hidden="false" customHeight="false" outlineLevel="0" collapsed="false">
      <c r="A250" s="4" t="s">
        <v>89</v>
      </c>
      <c r="B250" s="4" t="n">
        <v>30</v>
      </c>
      <c r="C250" s="11" t="n">
        <f aca="false">IF(COUNTIF('Scenario inputs'!$A$4:$A$213,Controls!$B$3&amp;"|"&amp;A250)&gt;0,1,0)</f>
        <v>1</v>
      </c>
      <c r="D250" s="11" t="n">
        <f aca="false">IF(AND(C250=1,B250&lt;Controls!$B$12),1,0)</f>
        <v>1</v>
      </c>
      <c r="E250" s="11" t="n">
        <f aca="false">IF(D250=1,SUMPRODUCT((Costs!$B$4:$B$903=A250)*(Costs!$D$4:$D$903="planned")*(Costs!$J$4:$J$903&lt;=B250)*(Costs!$K$4:$K$903&gt;B250)*Costs!$E$4:$E$903),0)</f>
        <v>0</v>
      </c>
      <c r="F250" s="11" t="n">
        <f aca="false">IF(D250=1,SUMIFS(Benefits!$S$4:$S$703,Benefits!$B$4:$B$703,A250,Benefits!$F$4:$F$703,B250,Benefits!$R$4:$R$703,"cash"),0)</f>
        <v>0</v>
      </c>
      <c r="G250" s="11" t="n">
        <f aca="false">IF(D250=1,SUMIFS(Benefits!$S$4:$S$703,Benefits!$B$4:$B$703,A250,Benefits!$F$4:$F$703,B250,Benefits!$R$4:$R$703,"revenue"),0)</f>
        <v>0</v>
      </c>
      <c r="H250" s="11" t="n">
        <f aca="false">IF(D250=1,SUMIFS(Benefits!$S$4:$S$703,Benefits!$B$4:$B$703,A250,Benefits!$F$4:$F$703,B250,Benefits!$R$4:$R$703,"avoided_cost_realised"),0)</f>
        <v>0</v>
      </c>
      <c r="I250" s="11" t="n">
        <f aca="false">IF(D250=1,SUMIFS(Benefits!$S$4:$S$703,Benefits!$B$4:$B$703,A250,Benefits!$F$4:$F$703,B250,Benefits!$R$4:$R$703,"capacity_converted"),0)</f>
        <v>0</v>
      </c>
      <c r="J250" s="11" t="n">
        <f aca="false">SUM(F250:I250)</f>
        <v>0</v>
      </c>
      <c r="K250" s="11" t="n">
        <f aca="false">J250-E250</f>
        <v>0</v>
      </c>
      <c r="L250" s="11" t="n">
        <f aca="false">IF(D250=1,L249+K250,0)</f>
        <v>527969.274453247</v>
      </c>
      <c r="M250" s="11" t="n">
        <f aca="false">IF(D250=1,1/(1+Controls!$B$11)^B250,0)</f>
        <v>0.824975404915974</v>
      </c>
      <c r="N250" s="11" t="n">
        <f aca="false">K250*M250</f>
        <v>0</v>
      </c>
      <c r="O250" s="11" t="n">
        <f aca="false">IF(D250=1,O249+N250,0)</f>
        <v>415366.000839242</v>
      </c>
      <c r="P250" s="11" t="n">
        <f aca="false">IF(AND(D250=1,L250&lt;0),1,0)</f>
        <v>0</v>
      </c>
      <c r="Q250" s="11" t="n">
        <f aca="false">IF(AND(D250=1,O250&lt;0),1,0)</f>
        <v>0</v>
      </c>
    </row>
    <row r="251" customFormat="false" ht="15" hidden="false" customHeight="false" outlineLevel="0" collapsed="false">
      <c r="A251" s="4" t="s">
        <v>89</v>
      </c>
      <c r="B251" s="4" t="n">
        <v>31</v>
      </c>
      <c r="C251" s="11" t="n">
        <f aca="false">IF(COUNTIF('Scenario inputs'!$A$4:$A$213,Controls!$B$3&amp;"|"&amp;A251)&gt;0,1,0)</f>
        <v>1</v>
      </c>
      <c r="D251" s="11" t="n">
        <f aca="false">IF(AND(C251=1,B251&lt;Controls!$B$12),1,0)</f>
        <v>1</v>
      </c>
      <c r="E251" s="11" t="n">
        <f aca="false">IF(D251=1,SUMPRODUCT((Costs!$B$4:$B$903=A251)*(Costs!$D$4:$D$903="planned")*(Costs!$J$4:$J$903&lt;=B251)*(Costs!$K$4:$K$903&gt;B251)*Costs!$E$4:$E$903),0)</f>
        <v>0</v>
      </c>
      <c r="F251" s="11" t="n">
        <f aca="false">IF(D251=1,SUMIFS(Benefits!$S$4:$S$703,Benefits!$B$4:$B$703,A251,Benefits!$F$4:$F$703,B251,Benefits!$R$4:$R$703,"cash"),0)</f>
        <v>0</v>
      </c>
      <c r="G251" s="11" t="n">
        <f aca="false">IF(D251=1,SUMIFS(Benefits!$S$4:$S$703,Benefits!$B$4:$B$703,A251,Benefits!$F$4:$F$703,B251,Benefits!$R$4:$R$703,"revenue"),0)</f>
        <v>0</v>
      </c>
      <c r="H251" s="11" t="n">
        <f aca="false">IF(D251=1,SUMIFS(Benefits!$S$4:$S$703,Benefits!$B$4:$B$703,A251,Benefits!$F$4:$F$703,B251,Benefits!$R$4:$R$703,"avoided_cost_realised"),0)</f>
        <v>0</v>
      </c>
      <c r="I251" s="11" t="n">
        <f aca="false">IF(D251=1,SUMIFS(Benefits!$S$4:$S$703,Benefits!$B$4:$B$703,A251,Benefits!$F$4:$F$703,B251,Benefits!$R$4:$R$703,"capacity_converted"),0)</f>
        <v>0</v>
      </c>
      <c r="J251" s="11" t="n">
        <f aca="false">SUM(F251:I251)</f>
        <v>0</v>
      </c>
      <c r="K251" s="11" t="n">
        <f aca="false">J251-E251</f>
        <v>0</v>
      </c>
      <c r="L251" s="11" t="n">
        <f aca="false">IF(D251=1,L250+K251,0)</f>
        <v>527969.274453247</v>
      </c>
      <c r="M251" s="11" t="n">
        <f aca="false">IF(D251=1,1/(1+Controls!$B$11)^B251,0)</f>
        <v>0.81970144581361</v>
      </c>
      <c r="N251" s="11" t="n">
        <f aca="false">K251*M251</f>
        <v>0</v>
      </c>
      <c r="O251" s="11" t="n">
        <f aca="false">IF(D251=1,O250+N251,0)</f>
        <v>415366.000839242</v>
      </c>
      <c r="P251" s="11" t="n">
        <f aca="false">IF(AND(D251=1,L251&lt;0),1,0)</f>
        <v>0</v>
      </c>
      <c r="Q251" s="11" t="n">
        <f aca="false">IF(AND(D251=1,O251&lt;0),1,0)</f>
        <v>0</v>
      </c>
    </row>
    <row r="252" customFormat="false" ht="15" hidden="false" customHeight="false" outlineLevel="0" collapsed="false">
      <c r="A252" s="4" t="s">
        <v>89</v>
      </c>
      <c r="B252" s="4" t="n">
        <v>32</v>
      </c>
      <c r="C252" s="11" t="n">
        <f aca="false">IF(COUNTIF('Scenario inputs'!$A$4:$A$213,Controls!$B$3&amp;"|"&amp;A252)&gt;0,1,0)</f>
        <v>1</v>
      </c>
      <c r="D252" s="11" t="n">
        <f aca="false">IF(AND(C252=1,B252&lt;Controls!$B$12),1,0)</f>
        <v>1</v>
      </c>
      <c r="E252" s="11" t="n">
        <f aca="false">IF(D252=1,SUMPRODUCT((Costs!$B$4:$B$903=A252)*(Costs!$D$4:$D$903="planned")*(Costs!$J$4:$J$903&lt;=B252)*(Costs!$K$4:$K$903&gt;B252)*Costs!$E$4:$E$903),0)</f>
        <v>0</v>
      </c>
      <c r="F252" s="11" t="n">
        <f aca="false">IF(D252=1,SUMIFS(Benefits!$S$4:$S$703,Benefits!$B$4:$B$703,A252,Benefits!$F$4:$F$703,B252,Benefits!$R$4:$R$703,"cash"),0)</f>
        <v>0</v>
      </c>
      <c r="G252" s="11" t="n">
        <f aca="false">IF(D252=1,SUMIFS(Benefits!$S$4:$S$703,Benefits!$B$4:$B$703,A252,Benefits!$F$4:$F$703,B252,Benefits!$R$4:$R$703,"revenue"),0)</f>
        <v>0</v>
      </c>
      <c r="H252" s="11" t="n">
        <f aca="false">IF(D252=1,SUMIFS(Benefits!$S$4:$S$703,Benefits!$B$4:$B$703,A252,Benefits!$F$4:$F$703,B252,Benefits!$R$4:$R$703,"avoided_cost_realised"),0)</f>
        <v>0</v>
      </c>
      <c r="I252" s="11" t="n">
        <f aca="false">IF(D252=1,SUMIFS(Benefits!$S$4:$S$703,Benefits!$B$4:$B$703,A252,Benefits!$F$4:$F$703,B252,Benefits!$R$4:$R$703,"capacity_converted"),0)</f>
        <v>0</v>
      </c>
      <c r="J252" s="11" t="n">
        <f aca="false">SUM(F252:I252)</f>
        <v>0</v>
      </c>
      <c r="K252" s="11" t="n">
        <f aca="false">J252-E252</f>
        <v>0</v>
      </c>
      <c r="L252" s="11" t="n">
        <f aca="false">IF(D252=1,L251+K252,0)</f>
        <v>527969.274453247</v>
      </c>
      <c r="M252" s="11" t="n">
        <f aca="false">IF(D252=1,1/(1+Controls!$B$11)^B252,0)</f>
        <v>0.814461202437129</v>
      </c>
      <c r="N252" s="11" t="n">
        <f aca="false">K252*M252</f>
        <v>0</v>
      </c>
      <c r="O252" s="11" t="n">
        <f aca="false">IF(D252=1,O251+N252,0)</f>
        <v>415366.000839242</v>
      </c>
      <c r="P252" s="11" t="n">
        <f aca="false">IF(AND(D252=1,L252&lt;0),1,0)</f>
        <v>0</v>
      </c>
      <c r="Q252" s="11" t="n">
        <f aca="false">IF(AND(D252=1,O252&lt;0),1,0)</f>
        <v>0</v>
      </c>
    </row>
    <row r="253" customFormat="false" ht="15" hidden="false" customHeight="false" outlineLevel="0" collapsed="false">
      <c r="A253" s="4" t="s">
        <v>89</v>
      </c>
      <c r="B253" s="4" t="n">
        <v>33</v>
      </c>
      <c r="C253" s="11" t="n">
        <f aca="false">IF(COUNTIF('Scenario inputs'!$A$4:$A$213,Controls!$B$3&amp;"|"&amp;A253)&gt;0,1,0)</f>
        <v>1</v>
      </c>
      <c r="D253" s="11" t="n">
        <f aca="false">IF(AND(C253=1,B253&lt;Controls!$B$12),1,0)</f>
        <v>1</v>
      </c>
      <c r="E253" s="11" t="n">
        <f aca="false">IF(D253=1,SUMPRODUCT((Costs!$B$4:$B$903=A253)*(Costs!$D$4:$D$903="planned")*(Costs!$J$4:$J$903&lt;=B253)*(Costs!$K$4:$K$903&gt;B253)*Costs!$E$4:$E$903),0)</f>
        <v>0</v>
      </c>
      <c r="F253" s="11" t="n">
        <f aca="false">IF(D253=1,SUMIFS(Benefits!$S$4:$S$703,Benefits!$B$4:$B$703,A253,Benefits!$F$4:$F$703,B253,Benefits!$R$4:$R$703,"cash"),0)</f>
        <v>0</v>
      </c>
      <c r="G253" s="11" t="n">
        <f aca="false">IF(D253=1,SUMIFS(Benefits!$S$4:$S$703,Benefits!$B$4:$B$703,A253,Benefits!$F$4:$F$703,B253,Benefits!$R$4:$R$703,"revenue"),0)</f>
        <v>0</v>
      </c>
      <c r="H253" s="11" t="n">
        <f aca="false">IF(D253=1,SUMIFS(Benefits!$S$4:$S$703,Benefits!$B$4:$B$703,A253,Benefits!$F$4:$F$703,B253,Benefits!$R$4:$R$703,"avoided_cost_realised"),0)</f>
        <v>0</v>
      </c>
      <c r="I253" s="11" t="n">
        <f aca="false">IF(D253=1,SUMIFS(Benefits!$S$4:$S$703,Benefits!$B$4:$B$703,A253,Benefits!$F$4:$F$703,B253,Benefits!$R$4:$R$703,"capacity_converted"),0)</f>
        <v>0</v>
      </c>
      <c r="J253" s="11" t="n">
        <f aca="false">SUM(F253:I253)</f>
        <v>0</v>
      </c>
      <c r="K253" s="11" t="n">
        <f aca="false">J253-E253</f>
        <v>0</v>
      </c>
      <c r="L253" s="11" t="n">
        <f aca="false">IF(D253=1,L252+K253,0)</f>
        <v>527969.274453247</v>
      </c>
      <c r="M253" s="11" t="n">
        <f aca="false">IF(D253=1,1/(1+Controls!$B$11)^B253,0)</f>
        <v>0.809254459246338</v>
      </c>
      <c r="N253" s="11" t="n">
        <f aca="false">K253*M253</f>
        <v>0</v>
      </c>
      <c r="O253" s="11" t="n">
        <f aca="false">IF(D253=1,O252+N253,0)</f>
        <v>415366.000839242</v>
      </c>
      <c r="P253" s="11" t="n">
        <f aca="false">IF(AND(D253=1,L253&lt;0),1,0)</f>
        <v>0</v>
      </c>
      <c r="Q253" s="11" t="n">
        <f aca="false">IF(AND(D253=1,O253&lt;0),1,0)</f>
        <v>0</v>
      </c>
    </row>
    <row r="254" customFormat="false" ht="15" hidden="false" customHeight="false" outlineLevel="0" collapsed="false">
      <c r="A254" s="4" t="s">
        <v>89</v>
      </c>
      <c r="B254" s="4" t="n">
        <v>34</v>
      </c>
      <c r="C254" s="11" t="n">
        <f aca="false">IF(COUNTIF('Scenario inputs'!$A$4:$A$213,Controls!$B$3&amp;"|"&amp;A254)&gt;0,1,0)</f>
        <v>1</v>
      </c>
      <c r="D254" s="11" t="n">
        <f aca="false">IF(AND(C254=1,B254&lt;Controls!$B$12),1,0)</f>
        <v>1</v>
      </c>
      <c r="E254" s="11" t="n">
        <f aca="false">IF(D254=1,SUMPRODUCT((Costs!$B$4:$B$903=A254)*(Costs!$D$4:$D$903="planned")*(Costs!$J$4:$J$903&lt;=B254)*(Costs!$K$4:$K$903&gt;B254)*Costs!$E$4:$E$903),0)</f>
        <v>0</v>
      </c>
      <c r="F254" s="11" t="n">
        <f aca="false">IF(D254=1,SUMIFS(Benefits!$S$4:$S$703,Benefits!$B$4:$B$703,A254,Benefits!$F$4:$F$703,B254,Benefits!$R$4:$R$703,"cash"),0)</f>
        <v>0</v>
      </c>
      <c r="G254" s="11" t="n">
        <f aca="false">IF(D254=1,SUMIFS(Benefits!$S$4:$S$703,Benefits!$B$4:$B$703,A254,Benefits!$F$4:$F$703,B254,Benefits!$R$4:$R$703,"revenue"),0)</f>
        <v>0</v>
      </c>
      <c r="H254" s="11" t="n">
        <f aca="false">IF(D254=1,SUMIFS(Benefits!$S$4:$S$703,Benefits!$B$4:$B$703,A254,Benefits!$F$4:$F$703,B254,Benefits!$R$4:$R$703,"avoided_cost_realised"),0)</f>
        <v>0</v>
      </c>
      <c r="I254" s="11" t="n">
        <f aca="false">IF(D254=1,SUMIFS(Benefits!$S$4:$S$703,Benefits!$B$4:$B$703,A254,Benefits!$F$4:$F$703,B254,Benefits!$R$4:$R$703,"capacity_converted"),0)</f>
        <v>0</v>
      </c>
      <c r="J254" s="11" t="n">
        <f aca="false">SUM(F254:I254)</f>
        <v>0</v>
      </c>
      <c r="K254" s="11" t="n">
        <f aca="false">J254-E254</f>
        <v>0</v>
      </c>
      <c r="L254" s="11" t="n">
        <f aca="false">IF(D254=1,L253+K254,0)</f>
        <v>527969.274453247</v>
      </c>
      <c r="M254" s="11" t="n">
        <f aca="false">IF(D254=1,1/(1+Controls!$B$11)^B254,0)</f>
        <v>0.804081002078962</v>
      </c>
      <c r="N254" s="11" t="n">
        <f aca="false">K254*M254</f>
        <v>0</v>
      </c>
      <c r="O254" s="11" t="n">
        <f aca="false">IF(D254=1,O253+N254,0)</f>
        <v>415366.000839242</v>
      </c>
      <c r="P254" s="11" t="n">
        <f aca="false">IF(AND(D254=1,L254&lt;0),1,0)</f>
        <v>0</v>
      </c>
      <c r="Q254" s="11" t="n">
        <f aca="false">IF(AND(D254=1,O254&lt;0),1,0)</f>
        <v>0</v>
      </c>
    </row>
    <row r="255" customFormat="false" ht="15" hidden="false" customHeight="false" outlineLevel="0" collapsed="false">
      <c r="A255" s="4" t="s">
        <v>89</v>
      </c>
      <c r="B255" s="4" t="n">
        <v>35</v>
      </c>
      <c r="C255" s="11" t="n">
        <f aca="false">IF(COUNTIF('Scenario inputs'!$A$4:$A$213,Controls!$B$3&amp;"|"&amp;A255)&gt;0,1,0)</f>
        <v>1</v>
      </c>
      <c r="D255" s="11" t="n">
        <f aca="false">IF(AND(C255=1,B255&lt;Controls!$B$12),1,0)</f>
        <v>1</v>
      </c>
      <c r="E255" s="11" t="n">
        <f aca="false">IF(D255=1,SUMPRODUCT((Costs!$B$4:$B$903=A255)*(Costs!$D$4:$D$903="planned")*(Costs!$J$4:$J$903&lt;=B255)*(Costs!$K$4:$K$903&gt;B255)*Costs!$E$4:$E$903),0)</f>
        <v>0</v>
      </c>
      <c r="F255" s="11" t="n">
        <f aca="false">IF(D255=1,SUMIFS(Benefits!$S$4:$S$703,Benefits!$B$4:$B$703,A255,Benefits!$F$4:$F$703,B255,Benefits!$R$4:$R$703,"cash"),0)</f>
        <v>0</v>
      </c>
      <c r="G255" s="11" t="n">
        <f aca="false">IF(D255=1,SUMIFS(Benefits!$S$4:$S$703,Benefits!$B$4:$B$703,A255,Benefits!$F$4:$F$703,B255,Benefits!$R$4:$R$703,"revenue"),0)</f>
        <v>0</v>
      </c>
      <c r="H255" s="11" t="n">
        <f aca="false">IF(D255=1,SUMIFS(Benefits!$S$4:$S$703,Benefits!$B$4:$B$703,A255,Benefits!$F$4:$F$703,B255,Benefits!$R$4:$R$703,"avoided_cost_realised"),0)</f>
        <v>0</v>
      </c>
      <c r="I255" s="11" t="n">
        <f aca="false">IF(D255=1,SUMIFS(Benefits!$S$4:$S$703,Benefits!$B$4:$B$703,A255,Benefits!$F$4:$F$703,B255,Benefits!$R$4:$R$703,"capacity_converted"),0)</f>
        <v>0</v>
      </c>
      <c r="J255" s="11" t="n">
        <f aca="false">SUM(F255:I255)</f>
        <v>0</v>
      </c>
      <c r="K255" s="11" t="n">
        <f aca="false">J255-E255</f>
        <v>0</v>
      </c>
      <c r="L255" s="11" t="n">
        <f aca="false">IF(D255=1,L254+K255,0)</f>
        <v>527969.274453247</v>
      </c>
      <c r="M255" s="11" t="n">
        <f aca="false">IF(D255=1,1/(1+Controls!$B$11)^B255,0)</f>
        <v>0.798940618141837</v>
      </c>
      <c r="N255" s="11" t="n">
        <f aca="false">K255*M255</f>
        <v>0</v>
      </c>
      <c r="O255" s="11" t="n">
        <f aca="false">IF(D255=1,O254+N255,0)</f>
        <v>415366.000839242</v>
      </c>
      <c r="P255" s="11" t="n">
        <f aca="false">IF(AND(D255=1,L255&lt;0),1,0)</f>
        <v>0</v>
      </c>
      <c r="Q255" s="11" t="n">
        <f aca="false">IF(AND(D255=1,O255&lt;0),1,0)</f>
        <v>0</v>
      </c>
    </row>
    <row r="256" customFormat="false" ht="15" hidden="false" customHeight="false" outlineLevel="0" collapsed="false">
      <c r="A256" s="4" t="s">
        <v>90</v>
      </c>
      <c r="B256" s="4" t="n">
        <v>0</v>
      </c>
      <c r="C256" s="11" t="n">
        <f aca="false">IF(COUNTIF('Scenario inputs'!$A$4:$A$213,Controls!$B$3&amp;"|"&amp;A256)&gt;0,1,0)</f>
        <v>1</v>
      </c>
      <c r="D256" s="11" t="n">
        <f aca="false">IF(AND(C256=1,B256&lt;Controls!$B$12),1,0)</f>
        <v>1</v>
      </c>
      <c r="E256" s="11" t="n">
        <f aca="false">IF(D256=1,SUMPRODUCT((Costs!$B$4:$B$903=A256)*(Costs!$D$4:$D$903="planned")*(Costs!$J$4:$J$903&lt;=B256)*(Costs!$K$4:$K$903&gt;B256)*Costs!$E$4:$E$903),0)</f>
        <v>274450</v>
      </c>
      <c r="F256" s="11" t="n">
        <f aca="false">IF(D256=1,SUMIFS(Benefits!$S$4:$S$703,Benefits!$B$4:$B$703,A256,Benefits!$F$4:$F$703,B256,Benefits!$R$4:$R$703,"cash"),0)</f>
        <v>0</v>
      </c>
      <c r="G256" s="11" t="n">
        <f aca="false">IF(D256=1,SUMIFS(Benefits!$S$4:$S$703,Benefits!$B$4:$B$703,A256,Benefits!$F$4:$F$703,B256,Benefits!$R$4:$R$703,"revenue"),0)</f>
        <v>0</v>
      </c>
      <c r="H256" s="11" t="n">
        <f aca="false">IF(D256=1,SUMIFS(Benefits!$S$4:$S$703,Benefits!$B$4:$B$703,A256,Benefits!$F$4:$F$703,B256,Benefits!$R$4:$R$703,"avoided_cost_realised"),0)</f>
        <v>0</v>
      </c>
      <c r="I256" s="11" t="n">
        <f aca="false">IF(D256=1,SUMIFS(Benefits!$S$4:$S$703,Benefits!$B$4:$B$703,A256,Benefits!$F$4:$F$703,B256,Benefits!$R$4:$R$703,"capacity_converted"),0)</f>
        <v>0</v>
      </c>
      <c r="J256" s="11" t="n">
        <f aca="false">SUM(F256:I256)</f>
        <v>0</v>
      </c>
      <c r="K256" s="11" t="n">
        <f aca="false">J256-E256</f>
        <v>-274450</v>
      </c>
      <c r="L256" s="11" t="n">
        <f aca="false">IF(D256=1,K256,0)</f>
        <v>-274450</v>
      </c>
      <c r="M256" s="11" t="n">
        <f aca="false">IF(D256=1,1/(1+Controls!$B$11)^B256,0)</f>
        <v>1</v>
      </c>
      <c r="N256" s="11" t="n">
        <f aca="false">K256*M256</f>
        <v>-274450</v>
      </c>
      <c r="O256" s="11" t="n">
        <f aca="false">IF(D256=1,N256,0)</f>
        <v>-274450</v>
      </c>
      <c r="P256" s="11" t="n">
        <f aca="false">IF(AND(D256=1,L256&lt;0),1,0)</f>
        <v>1</v>
      </c>
      <c r="Q256" s="11" t="n">
        <f aca="false">IF(AND(D256=1,O256&lt;0),1,0)</f>
        <v>1</v>
      </c>
    </row>
    <row r="257" customFormat="false" ht="15" hidden="false" customHeight="false" outlineLevel="0" collapsed="false">
      <c r="A257" s="4" t="s">
        <v>90</v>
      </c>
      <c r="B257" s="4" t="n">
        <v>1</v>
      </c>
      <c r="C257" s="11" t="n">
        <f aca="false">IF(COUNTIF('Scenario inputs'!$A$4:$A$213,Controls!$B$3&amp;"|"&amp;A257)&gt;0,1,0)</f>
        <v>1</v>
      </c>
      <c r="D257" s="11" t="n">
        <f aca="false">IF(AND(C257=1,B257&lt;Controls!$B$12),1,0)</f>
        <v>1</v>
      </c>
      <c r="E257" s="11" t="n">
        <f aca="false">IF(D257=1,SUMPRODUCT((Costs!$B$4:$B$903=A257)*(Costs!$D$4:$D$903="planned")*(Costs!$J$4:$J$903&lt;=B257)*(Costs!$K$4:$K$903&gt;B257)*Costs!$E$4:$E$903),0)</f>
        <v>298900</v>
      </c>
      <c r="F257" s="11" t="n">
        <f aca="false">IF(D257=1,SUMIFS(Benefits!$S$4:$S$703,Benefits!$B$4:$B$703,A257,Benefits!$F$4:$F$703,B257,Benefits!$R$4:$R$703,"cash"),0)</f>
        <v>0</v>
      </c>
      <c r="G257" s="11" t="n">
        <f aca="false">IF(D257=1,SUMIFS(Benefits!$S$4:$S$703,Benefits!$B$4:$B$703,A257,Benefits!$F$4:$F$703,B257,Benefits!$R$4:$R$703,"revenue"),0)</f>
        <v>0</v>
      </c>
      <c r="H257" s="11" t="n">
        <f aca="false">IF(D257=1,SUMIFS(Benefits!$S$4:$S$703,Benefits!$B$4:$B$703,A257,Benefits!$F$4:$F$703,B257,Benefits!$R$4:$R$703,"avoided_cost_realised"),0)</f>
        <v>0</v>
      </c>
      <c r="I257" s="11" t="n">
        <f aca="false">IF(D257=1,SUMIFS(Benefits!$S$4:$S$703,Benefits!$B$4:$B$703,A257,Benefits!$F$4:$F$703,B257,Benefits!$R$4:$R$703,"capacity_converted"),0)</f>
        <v>0</v>
      </c>
      <c r="J257" s="11" t="n">
        <f aca="false">SUM(F257:I257)</f>
        <v>0</v>
      </c>
      <c r="K257" s="11" t="n">
        <f aca="false">J257-E257</f>
        <v>-298900</v>
      </c>
      <c r="L257" s="11" t="n">
        <f aca="false">IF(D257=1,L256+K257,0)</f>
        <v>-573350</v>
      </c>
      <c r="M257" s="11" t="n">
        <f aca="false">IF(D257=1,1/(1+Controls!$B$11)^B257,0)</f>
        <v>0.993607131714549</v>
      </c>
      <c r="N257" s="11" t="n">
        <f aca="false">K257*M257</f>
        <v>-296989.171669479</v>
      </c>
      <c r="O257" s="11" t="n">
        <f aca="false">IF(D257=1,O256+N257,0)</f>
        <v>-571439.171669479</v>
      </c>
      <c r="P257" s="11" t="n">
        <f aca="false">IF(AND(D257=1,L257&lt;0),1,0)</f>
        <v>1</v>
      </c>
      <c r="Q257" s="11" t="n">
        <f aca="false">IF(AND(D257=1,O257&lt;0),1,0)</f>
        <v>1</v>
      </c>
    </row>
    <row r="258" customFormat="false" ht="15" hidden="false" customHeight="false" outlineLevel="0" collapsed="false">
      <c r="A258" s="4" t="s">
        <v>90</v>
      </c>
      <c r="B258" s="4" t="n">
        <v>2</v>
      </c>
      <c r="C258" s="11" t="n">
        <f aca="false">IF(COUNTIF('Scenario inputs'!$A$4:$A$213,Controls!$B$3&amp;"|"&amp;A258)&gt;0,1,0)</f>
        <v>1</v>
      </c>
      <c r="D258" s="11" t="n">
        <f aca="false">IF(AND(C258=1,B258&lt;Controls!$B$12),1,0)</f>
        <v>1</v>
      </c>
      <c r="E258" s="11" t="n">
        <f aca="false">IF(D258=1,SUMPRODUCT((Costs!$B$4:$B$903=A258)*(Costs!$D$4:$D$903="planned")*(Costs!$J$4:$J$903&lt;=B258)*(Costs!$K$4:$K$903&gt;B258)*Costs!$E$4:$E$903),0)</f>
        <v>266650</v>
      </c>
      <c r="F258" s="11" t="n">
        <f aca="false">IF(D258=1,SUMIFS(Benefits!$S$4:$S$703,Benefits!$B$4:$B$703,A258,Benefits!$F$4:$F$703,B258,Benefits!$R$4:$R$703,"cash"),0)</f>
        <v>3103.5466</v>
      </c>
      <c r="G258" s="11" t="n">
        <f aca="false">IF(D258=1,SUMIFS(Benefits!$S$4:$S$703,Benefits!$B$4:$B$703,A258,Benefits!$F$4:$F$703,B258,Benefits!$R$4:$R$703,"revenue"),0)</f>
        <v>0</v>
      </c>
      <c r="H258" s="11" t="n">
        <f aca="false">IF(D258=1,SUMIFS(Benefits!$S$4:$S$703,Benefits!$B$4:$B$703,A258,Benefits!$F$4:$F$703,B258,Benefits!$R$4:$R$703,"avoided_cost_realised"),0)</f>
        <v>0</v>
      </c>
      <c r="I258" s="11" t="n">
        <f aca="false">IF(D258=1,SUMIFS(Benefits!$S$4:$S$703,Benefits!$B$4:$B$703,A258,Benefits!$F$4:$F$703,B258,Benefits!$R$4:$R$703,"capacity_converted"),0)</f>
        <v>0</v>
      </c>
      <c r="J258" s="11" t="n">
        <f aca="false">SUM(F258:I258)</f>
        <v>3103.5466</v>
      </c>
      <c r="K258" s="11" t="n">
        <f aca="false">J258-E258</f>
        <v>-263546.4534</v>
      </c>
      <c r="L258" s="11" t="n">
        <f aca="false">IF(D258=1,L257+K258,0)</f>
        <v>-836896.4534</v>
      </c>
      <c r="M258" s="11" t="n">
        <f aca="false">IF(D258=1,1/(1+Controls!$B$11)^B258,0)</f>
        <v>0.987255132194012</v>
      </c>
      <c r="N258" s="11" t="n">
        <f aca="false">K258*M258</f>
        <v>-260187.58869068</v>
      </c>
      <c r="O258" s="11" t="n">
        <f aca="false">IF(D258=1,O257+N258,0)</f>
        <v>-831626.760360159</v>
      </c>
      <c r="P258" s="11" t="n">
        <f aca="false">IF(AND(D258=1,L258&lt;0),1,0)</f>
        <v>1</v>
      </c>
      <c r="Q258" s="11" t="n">
        <f aca="false">IF(AND(D258=1,O258&lt;0),1,0)</f>
        <v>1</v>
      </c>
    </row>
    <row r="259" customFormat="false" ht="15" hidden="false" customHeight="false" outlineLevel="0" collapsed="false">
      <c r="A259" s="4" t="s">
        <v>90</v>
      </c>
      <c r="B259" s="4" t="n">
        <v>3</v>
      </c>
      <c r="C259" s="11" t="n">
        <f aca="false">IF(COUNTIF('Scenario inputs'!$A$4:$A$213,Controls!$B$3&amp;"|"&amp;A259)&gt;0,1,0)</f>
        <v>1</v>
      </c>
      <c r="D259" s="11" t="n">
        <f aca="false">IF(AND(C259=1,B259&lt;Controls!$B$12),1,0)</f>
        <v>1</v>
      </c>
      <c r="E259" s="11" t="n">
        <f aca="false">IF(D259=1,SUMPRODUCT((Costs!$B$4:$B$903=A259)*(Costs!$D$4:$D$903="planned")*(Costs!$J$4:$J$903&lt;=B259)*(Costs!$K$4:$K$903&gt;B259)*Costs!$E$4:$E$903),0)</f>
        <v>16000</v>
      </c>
      <c r="F259" s="11" t="n">
        <f aca="false">IF(D259=1,SUMIFS(Benefits!$S$4:$S$703,Benefits!$B$4:$B$703,A259,Benefits!$F$4:$F$703,B259,Benefits!$R$4:$R$703,"cash"),0)</f>
        <v>9310.7267</v>
      </c>
      <c r="G259" s="11" t="n">
        <f aca="false">IF(D259=1,SUMIFS(Benefits!$S$4:$S$703,Benefits!$B$4:$B$703,A259,Benefits!$F$4:$F$703,B259,Benefits!$R$4:$R$703,"revenue"),0)</f>
        <v>2069.6263</v>
      </c>
      <c r="H259" s="11" t="n">
        <f aca="false">IF(D259=1,SUMIFS(Benefits!$S$4:$S$703,Benefits!$B$4:$B$703,A259,Benefits!$F$4:$F$703,B259,Benefits!$R$4:$R$703,"avoided_cost_realised"),0)</f>
        <v>0</v>
      </c>
      <c r="I259" s="11" t="n">
        <f aca="false">IF(D259=1,SUMIFS(Benefits!$S$4:$S$703,Benefits!$B$4:$B$703,A259,Benefits!$F$4:$F$703,B259,Benefits!$R$4:$R$703,"capacity_converted"),0)</f>
        <v>0</v>
      </c>
      <c r="J259" s="11" t="n">
        <f aca="false">SUM(F259:I259)</f>
        <v>11380.353</v>
      </c>
      <c r="K259" s="11" t="n">
        <f aca="false">J259-E259</f>
        <v>-4619.647</v>
      </c>
      <c r="L259" s="11" t="n">
        <f aca="false">IF(D259=1,L258+K259,0)</f>
        <v>-841516.1004</v>
      </c>
      <c r="M259" s="11" t="n">
        <f aca="false">IF(D259=1,1/(1+Controls!$B$11)^B259,0)</f>
        <v>0.98094374016976</v>
      </c>
      <c r="N259" s="11" t="n">
        <f aca="false">K259*M259</f>
        <v>-4531.61380644401</v>
      </c>
      <c r="O259" s="11" t="n">
        <f aca="false">IF(D259=1,O258+N259,0)</f>
        <v>-836158.374166603</v>
      </c>
      <c r="P259" s="11" t="n">
        <f aca="false">IF(AND(D259=1,L259&lt;0),1,0)</f>
        <v>1</v>
      </c>
      <c r="Q259" s="11" t="n">
        <f aca="false">IF(AND(D259=1,O259&lt;0),1,0)</f>
        <v>1</v>
      </c>
    </row>
    <row r="260" customFormat="false" ht="15" hidden="false" customHeight="false" outlineLevel="0" collapsed="false">
      <c r="A260" s="4" t="s">
        <v>90</v>
      </c>
      <c r="B260" s="4" t="n">
        <v>4</v>
      </c>
      <c r="C260" s="11" t="n">
        <f aca="false">IF(COUNTIF('Scenario inputs'!$A$4:$A$213,Controls!$B$3&amp;"|"&amp;A260)&gt;0,1,0)</f>
        <v>1</v>
      </c>
      <c r="D260" s="11" t="n">
        <f aca="false">IF(AND(C260=1,B260&lt;Controls!$B$12),1,0)</f>
        <v>1</v>
      </c>
      <c r="E260" s="11" t="n">
        <f aca="false">IF(D260=1,SUMPRODUCT((Costs!$B$4:$B$903=A260)*(Costs!$D$4:$D$903="planned")*(Costs!$J$4:$J$903&lt;=B260)*(Costs!$K$4:$K$903&gt;B260)*Costs!$E$4:$E$903),0)</f>
        <v>16000</v>
      </c>
      <c r="F260" s="11" t="n">
        <f aca="false">IF(D260=1,SUMIFS(Benefits!$S$4:$S$703,Benefits!$B$4:$B$703,A260,Benefits!$F$4:$F$703,B260,Benefits!$R$4:$R$703,"cash"),0)</f>
        <v>18621.4534</v>
      </c>
      <c r="G260" s="11" t="n">
        <f aca="false">IF(D260=1,SUMIFS(Benefits!$S$4:$S$703,Benefits!$B$4:$B$703,A260,Benefits!$F$4:$F$703,B260,Benefits!$R$4:$R$703,"revenue"),0)</f>
        <v>6208.93685</v>
      </c>
      <c r="H260" s="11" t="n">
        <f aca="false">IF(D260=1,SUMIFS(Benefits!$S$4:$S$703,Benefits!$B$4:$B$703,A260,Benefits!$F$4:$F$703,B260,Benefits!$R$4:$R$703,"avoided_cost_realised"),0)</f>
        <v>0</v>
      </c>
      <c r="I260" s="11" t="n">
        <f aca="false">IF(D260=1,SUMIFS(Benefits!$S$4:$S$703,Benefits!$B$4:$B$703,A260,Benefits!$F$4:$F$703,B260,Benefits!$R$4:$R$703,"capacity_converted"),0)</f>
        <v>0</v>
      </c>
      <c r="J260" s="11" t="n">
        <f aca="false">SUM(F260:I260)</f>
        <v>24830.39025</v>
      </c>
      <c r="K260" s="11" t="n">
        <f aca="false">J260-E260</f>
        <v>8830.39025</v>
      </c>
      <c r="L260" s="11" t="n">
        <f aca="false">IF(D260=1,L259+K260,0)</f>
        <v>-832685.71015</v>
      </c>
      <c r="M260" s="11" t="n">
        <f aca="false">IF(D260=1,1/(1+Controls!$B$11)^B260,0)</f>
        <v>0.974672696043417</v>
      </c>
      <c r="N260" s="11" t="n">
        <f aca="false">K260*M260</f>
        <v>8606.740272083</v>
      </c>
      <c r="O260" s="11" t="n">
        <f aca="false">IF(D260=1,O259+N260,0)</f>
        <v>-827551.63389452</v>
      </c>
      <c r="P260" s="11" t="n">
        <f aca="false">IF(AND(D260=1,L260&lt;0),1,0)</f>
        <v>1</v>
      </c>
      <c r="Q260" s="11" t="n">
        <f aca="false">IF(AND(D260=1,O260&lt;0),1,0)</f>
        <v>1</v>
      </c>
    </row>
    <row r="261" customFormat="false" ht="15" hidden="false" customHeight="false" outlineLevel="0" collapsed="false">
      <c r="A261" s="4" t="s">
        <v>90</v>
      </c>
      <c r="B261" s="4" t="n">
        <v>5</v>
      </c>
      <c r="C261" s="11" t="n">
        <f aca="false">IF(COUNTIF('Scenario inputs'!$A$4:$A$213,Controls!$B$3&amp;"|"&amp;A261)&gt;0,1,0)</f>
        <v>1</v>
      </c>
      <c r="D261" s="11" t="n">
        <f aca="false">IF(AND(C261=1,B261&lt;Controls!$B$12),1,0)</f>
        <v>1</v>
      </c>
      <c r="E261" s="11" t="n">
        <f aca="false">IF(D261=1,SUMPRODUCT((Costs!$B$4:$B$903=A261)*(Costs!$D$4:$D$903="planned")*(Costs!$J$4:$J$903&lt;=B261)*(Costs!$K$4:$K$903&gt;B261)*Costs!$E$4:$E$903),0)</f>
        <v>16000</v>
      </c>
      <c r="F261" s="11" t="n">
        <f aca="false">IF(D261=1,SUMIFS(Benefits!$S$4:$S$703,Benefits!$B$4:$B$703,A261,Benefits!$F$4:$F$703,B261,Benefits!$R$4:$R$703,"cash"),0)</f>
        <v>31035.7267</v>
      </c>
      <c r="G261" s="11" t="n">
        <f aca="false">IF(D261=1,SUMIFS(Benefits!$S$4:$S$703,Benefits!$B$4:$B$703,A261,Benefits!$F$4:$F$703,B261,Benefits!$R$4:$R$703,"revenue"),0)</f>
        <v>12417.8737</v>
      </c>
      <c r="H261" s="11" t="n">
        <f aca="false">IF(D261=1,SUMIFS(Benefits!$S$4:$S$703,Benefits!$B$4:$B$703,A261,Benefits!$F$4:$F$703,B261,Benefits!$R$4:$R$703,"avoided_cost_realised"),0)</f>
        <v>0</v>
      </c>
      <c r="I261" s="11" t="n">
        <f aca="false">IF(D261=1,SUMIFS(Benefits!$S$4:$S$703,Benefits!$B$4:$B$703,A261,Benefits!$F$4:$F$703,B261,Benefits!$R$4:$R$703,"capacity_converted"),0)</f>
        <v>0</v>
      </c>
      <c r="J261" s="11" t="n">
        <f aca="false">SUM(F261:I261)</f>
        <v>43453.6004</v>
      </c>
      <c r="K261" s="11" t="n">
        <f aca="false">J261-E261</f>
        <v>27453.6004</v>
      </c>
      <c r="L261" s="11" t="n">
        <f aca="false">IF(D261=1,L260+K261,0)</f>
        <v>-805232.10975</v>
      </c>
      <c r="M261" s="11" t="n">
        <f aca="false">IF(D261=1,1/(1+Controls!$B$11)^B261,0)</f>
        <v>0.968441741876185</v>
      </c>
      <c r="N261" s="11" t="n">
        <f aca="false">K261*M261</f>
        <v>26587.2125921487</v>
      </c>
      <c r="O261" s="11" t="n">
        <f aca="false">IF(D261=1,O260+N261,0)</f>
        <v>-800964.421302371</v>
      </c>
      <c r="P261" s="11" t="n">
        <f aca="false">IF(AND(D261=1,L261&lt;0),1,0)</f>
        <v>1</v>
      </c>
      <c r="Q261" s="11" t="n">
        <f aca="false">IF(AND(D261=1,O261&lt;0),1,0)</f>
        <v>1</v>
      </c>
    </row>
    <row r="262" customFormat="false" ht="15" hidden="false" customHeight="false" outlineLevel="0" collapsed="false">
      <c r="A262" s="4" t="s">
        <v>90</v>
      </c>
      <c r="B262" s="4" t="n">
        <v>6</v>
      </c>
      <c r="C262" s="11" t="n">
        <f aca="false">IF(COUNTIF('Scenario inputs'!$A$4:$A$213,Controls!$B$3&amp;"|"&amp;A262)&gt;0,1,0)</f>
        <v>1</v>
      </c>
      <c r="D262" s="11" t="n">
        <f aca="false">IF(AND(C262=1,B262&lt;Controls!$B$12),1,0)</f>
        <v>1</v>
      </c>
      <c r="E262" s="11" t="n">
        <f aca="false">IF(D262=1,SUMPRODUCT((Costs!$B$4:$B$903=A262)*(Costs!$D$4:$D$903="planned")*(Costs!$J$4:$J$903&lt;=B262)*(Costs!$K$4:$K$903&gt;B262)*Costs!$E$4:$E$903),0)</f>
        <v>16000</v>
      </c>
      <c r="F262" s="11" t="n">
        <f aca="false">IF(D262=1,SUMIFS(Benefits!$S$4:$S$703,Benefits!$B$4:$B$703,A262,Benefits!$F$4:$F$703,B262,Benefits!$R$4:$R$703,"cash"),0)</f>
        <v>46553.5466</v>
      </c>
      <c r="G262" s="11" t="n">
        <f aca="false">IF(D262=1,SUMIFS(Benefits!$S$4:$S$703,Benefits!$B$4:$B$703,A262,Benefits!$F$4:$F$703,B262,Benefits!$R$4:$R$703,"revenue"),0)</f>
        <v>20696.43685</v>
      </c>
      <c r="H262" s="11" t="n">
        <f aca="false">IF(D262=1,SUMIFS(Benefits!$S$4:$S$703,Benefits!$B$4:$B$703,A262,Benefits!$F$4:$F$703,B262,Benefits!$R$4:$R$703,"avoided_cost_realised"),0)</f>
        <v>0</v>
      </c>
      <c r="I262" s="11" t="n">
        <f aca="false">IF(D262=1,SUMIFS(Benefits!$S$4:$S$703,Benefits!$B$4:$B$703,A262,Benefits!$F$4:$F$703,B262,Benefits!$R$4:$R$703,"capacity_converted"),0)</f>
        <v>0</v>
      </c>
      <c r="J262" s="11" t="n">
        <f aca="false">SUM(F262:I262)</f>
        <v>67249.98345</v>
      </c>
      <c r="K262" s="11" t="n">
        <f aca="false">J262-E262</f>
        <v>51249.98345</v>
      </c>
      <c r="L262" s="11" t="n">
        <f aca="false">IF(D262=1,L261+K262,0)</f>
        <v>-753982.1263</v>
      </c>
      <c r="M262" s="11" t="n">
        <f aca="false">IF(D262=1,1/(1+Controls!$B$11)^B262,0)</f>
        <v>0.962250621378238</v>
      </c>
      <c r="N262" s="11" t="n">
        <f aca="false">K262*M262</f>
        <v>49315.3284203869</v>
      </c>
      <c r="O262" s="11" t="n">
        <f aca="false">IF(D262=1,O261+N262,0)</f>
        <v>-751649.092881984</v>
      </c>
      <c r="P262" s="11" t="n">
        <f aca="false">IF(AND(D262=1,L262&lt;0),1,0)</f>
        <v>1</v>
      </c>
      <c r="Q262" s="11" t="n">
        <f aca="false">IF(AND(D262=1,O262&lt;0),1,0)</f>
        <v>1</v>
      </c>
    </row>
    <row r="263" customFormat="false" ht="15" hidden="false" customHeight="false" outlineLevel="0" collapsed="false">
      <c r="A263" s="4" t="s">
        <v>90</v>
      </c>
      <c r="B263" s="4" t="n">
        <v>7</v>
      </c>
      <c r="C263" s="11" t="n">
        <f aca="false">IF(COUNTIF('Scenario inputs'!$A$4:$A$213,Controls!$B$3&amp;"|"&amp;A263)&gt;0,1,0)</f>
        <v>1</v>
      </c>
      <c r="D263" s="11" t="n">
        <f aca="false">IF(AND(C263=1,B263&lt;Controls!$B$12),1,0)</f>
        <v>1</v>
      </c>
      <c r="E263" s="11" t="n">
        <f aca="false">IF(D263=1,SUMPRODUCT((Costs!$B$4:$B$903=A263)*(Costs!$D$4:$D$903="planned")*(Costs!$J$4:$J$903&lt;=B263)*(Costs!$K$4:$K$903&gt;B263)*Costs!$E$4:$E$903),0)</f>
        <v>16000</v>
      </c>
      <c r="F263" s="11" t="n">
        <f aca="false">IF(D263=1,SUMIFS(Benefits!$S$4:$S$703,Benefits!$B$4:$B$703,A263,Benefits!$F$4:$F$703,B263,Benefits!$R$4:$R$703,"cash"),0)</f>
        <v>65175</v>
      </c>
      <c r="G263" s="11" t="n">
        <f aca="false">IF(D263=1,SUMIFS(Benefits!$S$4:$S$703,Benefits!$B$4:$B$703,A263,Benefits!$F$4:$F$703,B263,Benefits!$R$4:$R$703,"revenue"),0)</f>
        <v>31044.6263</v>
      </c>
      <c r="H263" s="11" t="n">
        <f aca="false">IF(D263=1,SUMIFS(Benefits!$S$4:$S$703,Benefits!$B$4:$B$703,A263,Benefits!$F$4:$F$703,B263,Benefits!$R$4:$R$703,"avoided_cost_realised"),0)</f>
        <v>0</v>
      </c>
      <c r="I263" s="11" t="n">
        <f aca="false">IF(D263=1,SUMIFS(Benefits!$S$4:$S$703,Benefits!$B$4:$B$703,A263,Benefits!$F$4:$F$703,B263,Benefits!$R$4:$R$703,"capacity_converted"),0)</f>
        <v>0</v>
      </c>
      <c r="J263" s="11" t="n">
        <f aca="false">SUM(F263:I263)</f>
        <v>96219.6263</v>
      </c>
      <c r="K263" s="11" t="n">
        <f aca="false">J263-E263</f>
        <v>80219.6263</v>
      </c>
      <c r="L263" s="11" t="n">
        <f aca="false">IF(D263=1,L262+K263,0)</f>
        <v>-673762.5</v>
      </c>
      <c r="M263" s="11" t="n">
        <f aca="false">IF(D263=1,1/(1+Controls!$B$11)^B263,0)</f>
        <v>0.956099079898173</v>
      </c>
      <c r="N263" s="11" t="n">
        <f aca="false">K263*M263</f>
        <v>76697.9108952053</v>
      </c>
      <c r="O263" s="11" t="n">
        <f aca="false">IF(D263=1,O262+N263,0)</f>
        <v>-674951.181986779</v>
      </c>
      <c r="P263" s="11" t="n">
        <f aca="false">IF(AND(D263=1,L263&lt;0),1,0)</f>
        <v>1</v>
      </c>
      <c r="Q263" s="11" t="n">
        <f aca="false">IF(AND(D263=1,O263&lt;0),1,0)</f>
        <v>1</v>
      </c>
    </row>
    <row r="264" customFormat="false" ht="15" hidden="false" customHeight="false" outlineLevel="0" collapsed="false">
      <c r="A264" s="4" t="s">
        <v>90</v>
      </c>
      <c r="B264" s="4" t="n">
        <v>8</v>
      </c>
      <c r="C264" s="11" t="n">
        <f aca="false">IF(COUNTIF('Scenario inputs'!$A$4:$A$213,Controls!$B$3&amp;"|"&amp;A264)&gt;0,1,0)</f>
        <v>1</v>
      </c>
      <c r="D264" s="11" t="n">
        <f aca="false">IF(AND(C264=1,B264&lt;Controls!$B$12),1,0)</f>
        <v>1</v>
      </c>
      <c r="E264" s="11" t="n">
        <f aca="false">IF(D264=1,SUMPRODUCT((Costs!$B$4:$B$903=A264)*(Costs!$D$4:$D$903="planned")*(Costs!$J$4:$J$903&lt;=B264)*(Costs!$K$4:$K$903&gt;B264)*Costs!$E$4:$E$903),0)</f>
        <v>17100</v>
      </c>
      <c r="F264" s="11" t="n">
        <f aca="false">IF(D264=1,SUMIFS(Benefits!$S$4:$S$703,Benefits!$B$4:$B$703,A264,Benefits!$F$4:$F$703,B264,Benefits!$R$4:$R$703,"cash"),0)</f>
        <v>86900</v>
      </c>
      <c r="G264" s="11" t="n">
        <f aca="false">IF(D264=1,SUMIFS(Benefits!$S$4:$S$703,Benefits!$B$4:$B$703,A264,Benefits!$F$4:$F$703,B264,Benefits!$R$4:$R$703,"revenue"),0)</f>
        <v>43462.5</v>
      </c>
      <c r="H264" s="11" t="n">
        <f aca="false">IF(D264=1,SUMIFS(Benefits!$S$4:$S$703,Benefits!$B$4:$B$703,A264,Benefits!$F$4:$F$703,B264,Benefits!$R$4:$R$703,"avoided_cost_realised"),0)</f>
        <v>0</v>
      </c>
      <c r="I264" s="11" t="n">
        <f aca="false">IF(D264=1,SUMIFS(Benefits!$S$4:$S$703,Benefits!$B$4:$B$703,A264,Benefits!$F$4:$F$703,B264,Benefits!$R$4:$R$703,"capacity_converted"),0)</f>
        <v>0</v>
      </c>
      <c r="J264" s="11" t="n">
        <f aca="false">SUM(F264:I264)</f>
        <v>130362.5</v>
      </c>
      <c r="K264" s="11" t="n">
        <f aca="false">J264-E264</f>
        <v>113262.5</v>
      </c>
      <c r="L264" s="11" t="n">
        <f aca="false">IF(D264=1,L263+K264,0)</f>
        <v>-560500</v>
      </c>
      <c r="M264" s="11" t="n">
        <f aca="false">IF(D264=1,1/(1+Controls!$B$11)^B264,0)</f>
        <v>0.949986864412542</v>
      </c>
      <c r="N264" s="11" t="n">
        <f aca="false">K264*M264</f>
        <v>107597.887230526</v>
      </c>
      <c r="O264" s="11" t="n">
        <f aca="false">IF(D264=1,O263+N264,0)</f>
        <v>-567353.294756253</v>
      </c>
      <c r="P264" s="11" t="n">
        <f aca="false">IF(AND(D264=1,L264&lt;0),1,0)</f>
        <v>1</v>
      </c>
      <c r="Q264" s="11" t="n">
        <f aca="false">IF(AND(D264=1,O264&lt;0),1,0)</f>
        <v>1</v>
      </c>
    </row>
    <row r="265" customFormat="false" ht="15" hidden="false" customHeight="false" outlineLevel="0" collapsed="false">
      <c r="A265" s="4" t="s">
        <v>90</v>
      </c>
      <c r="B265" s="4" t="n">
        <v>9</v>
      </c>
      <c r="C265" s="11" t="n">
        <f aca="false">IF(COUNTIF('Scenario inputs'!$A$4:$A$213,Controls!$B$3&amp;"|"&amp;A265)&gt;0,1,0)</f>
        <v>1</v>
      </c>
      <c r="D265" s="11" t="n">
        <f aca="false">IF(AND(C265=1,B265&lt;Controls!$B$12),1,0)</f>
        <v>1</v>
      </c>
      <c r="E265" s="11" t="n">
        <f aca="false">IF(D265=1,SUMPRODUCT((Costs!$B$4:$B$903=A265)*(Costs!$D$4:$D$903="planned")*(Costs!$J$4:$J$903&lt;=B265)*(Costs!$K$4:$K$903&gt;B265)*Costs!$E$4:$E$903),0)</f>
        <v>17100</v>
      </c>
      <c r="F265" s="11" t="n">
        <f aca="false">IF(D265=1,SUMIFS(Benefits!$S$4:$S$703,Benefits!$B$4:$B$703,A265,Benefits!$F$4:$F$703,B265,Benefits!$R$4:$R$703,"cash"),0)</f>
        <v>86900</v>
      </c>
      <c r="G265" s="11" t="n">
        <f aca="false">IF(D265=1,SUMIFS(Benefits!$S$4:$S$703,Benefits!$B$4:$B$703,A265,Benefits!$F$4:$F$703,B265,Benefits!$R$4:$R$703,"revenue"),0)</f>
        <v>57950</v>
      </c>
      <c r="H265" s="11" t="n">
        <f aca="false">IF(D265=1,SUMIFS(Benefits!$S$4:$S$703,Benefits!$B$4:$B$703,A265,Benefits!$F$4:$F$703,B265,Benefits!$R$4:$R$703,"avoided_cost_realised"),0)</f>
        <v>0</v>
      </c>
      <c r="I265" s="11" t="n">
        <f aca="false">IF(D265=1,SUMIFS(Benefits!$S$4:$S$703,Benefits!$B$4:$B$703,A265,Benefits!$F$4:$F$703,B265,Benefits!$R$4:$R$703,"capacity_converted"),0)</f>
        <v>0</v>
      </c>
      <c r="J265" s="11" t="n">
        <f aca="false">SUM(F265:I265)</f>
        <v>144850</v>
      </c>
      <c r="K265" s="11" t="n">
        <f aca="false">J265-E265</f>
        <v>127750</v>
      </c>
      <c r="L265" s="11" t="n">
        <f aca="false">IF(D265=1,L264+K265,0)</f>
        <v>-432750</v>
      </c>
      <c r="M265" s="11" t="n">
        <f aca="false">IF(D265=1,1/(1+Controls!$B$11)^B265,0)</f>
        <v>0.943913723515444</v>
      </c>
      <c r="N265" s="11" t="n">
        <f aca="false">K265*M265</f>
        <v>120584.978179098</v>
      </c>
      <c r="O265" s="11" t="n">
        <f aca="false">IF(D265=1,O264+N265,0)</f>
        <v>-446768.316577155</v>
      </c>
      <c r="P265" s="11" t="n">
        <f aca="false">IF(AND(D265=1,L265&lt;0),1,0)</f>
        <v>1</v>
      </c>
      <c r="Q265" s="11" t="n">
        <f aca="false">IF(AND(D265=1,O265&lt;0),1,0)</f>
        <v>1</v>
      </c>
    </row>
    <row r="266" customFormat="false" ht="15" hidden="false" customHeight="false" outlineLevel="0" collapsed="false">
      <c r="A266" s="4" t="s">
        <v>90</v>
      </c>
      <c r="B266" s="4" t="n">
        <v>10</v>
      </c>
      <c r="C266" s="11" t="n">
        <f aca="false">IF(COUNTIF('Scenario inputs'!$A$4:$A$213,Controls!$B$3&amp;"|"&amp;A266)&gt;0,1,0)</f>
        <v>1</v>
      </c>
      <c r="D266" s="11" t="n">
        <f aca="false">IF(AND(C266=1,B266&lt;Controls!$B$12),1,0)</f>
        <v>1</v>
      </c>
      <c r="E266" s="11" t="n">
        <f aca="false">IF(D266=1,SUMPRODUCT((Costs!$B$4:$B$903=A266)*(Costs!$D$4:$D$903="planned")*(Costs!$J$4:$J$903&lt;=B266)*(Costs!$K$4:$K$903&gt;B266)*Costs!$E$4:$E$903),0)</f>
        <v>17100</v>
      </c>
      <c r="F266" s="11" t="n">
        <f aca="false">IF(D266=1,SUMIFS(Benefits!$S$4:$S$703,Benefits!$B$4:$B$703,A266,Benefits!$F$4:$F$703,B266,Benefits!$R$4:$R$703,"cash"),0)</f>
        <v>86900</v>
      </c>
      <c r="G266" s="11" t="n">
        <f aca="false">IF(D266=1,SUMIFS(Benefits!$S$4:$S$703,Benefits!$B$4:$B$703,A266,Benefits!$F$4:$F$703,B266,Benefits!$R$4:$R$703,"revenue"),0)</f>
        <v>57950</v>
      </c>
      <c r="H266" s="11" t="n">
        <f aca="false">IF(D266=1,SUMIFS(Benefits!$S$4:$S$703,Benefits!$B$4:$B$703,A266,Benefits!$F$4:$F$703,B266,Benefits!$R$4:$R$703,"avoided_cost_realised"),0)</f>
        <v>0</v>
      </c>
      <c r="I266" s="11" t="n">
        <f aca="false">IF(D266=1,SUMIFS(Benefits!$S$4:$S$703,Benefits!$B$4:$B$703,A266,Benefits!$F$4:$F$703,B266,Benefits!$R$4:$R$703,"capacity_converted"),0)</f>
        <v>0</v>
      </c>
      <c r="J266" s="11" t="n">
        <f aca="false">SUM(F266:I266)</f>
        <v>144850</v>
      </c>
      <c r="K266" s="11" t="n">
        <f aca="false">J266-E266</f>
        <v>127750</v>
      </c>
      <c r="L266" s="11" t="n">
        <f aca="false">IF(D266=1,L265+K266,0)</f>
        <v>-305000</v>
      </c>
      <c r="M266" s="11" t="n">
        <f aca="false">IF(D266=1,1/(1+Controls!$B$11)^B266,0)</f>
        <v>0.93787940740818</v>
      </c>
      <c r="N266" s="11" t="n">
        <f aca="false">K266*M266</f>
        <v>119814.094296395</v>
      </c>
      <c r="O266" s="11" t="n">
        <f aca="false">IF(D266=1,O265+N266,0)</f>
        <v>-326954.22228076</v>
      </c>
      <c r="P266" s="11" t="n">
        <f aca="false">IF(AND(D266=1,L266&lt;0),1,0)</f>
        <v>1</v>
      </c>
      <c r="Q266" s="11" t="n">
        <f aca="false">IF(AND(D266=1,O266&lt;0),1,0)</f>
        <v>1</v>
      </c>
    </row>
    <row r="267" customFormat="false" ht="15" hidden="false" customHeight="false" outlineLevel="0" collapsed="false">
      <c r="A267" s="4" t="s">
        <v>90</v>
      </c>
      <c r="B267" s="4" t="n">
        <v>11</v>
      </c>
      <c r="C267" s="11" t="n">
        <f aca="false">IF(COUNTIF('Scenario inputs'!$A$4:$A$213,Controls!$B$3&amp;"|"&amp;A267)&gt;0,1,0)</f>
        <v>1</v>
      </c>
      <c r="D267" s="11" t="n">
        <f aca="false">IF(AND(C267=1,B267&lt;Controls!$B$12),1,0)</f>
        <v>1</v>
      </c>
      <c r="E267" s="11" t="n">
        <f aca="false">IF(D267=1,SUMPRODUCT((Costs!$B$4:$B$903=A267)*(Costs!$D$4:$D$903="planned")*(Costs!$J$4:$J$903&lt;=B267)*(Costs!$K$4:$K$903&gt;B267)*Costs!$E$4:$E$903),0)</f>
        <v>17100</v>
      </c>
      <c r="F267" s="11" t="n">
        <f aca="false">IF(D267=1,SUMIFS(Benefits!$S$4:$S$703,Benefits!$B$4:$B$703,A267,Benefits!$F$4:$F$703,B267,Benefits!$R$4:$R$703,"cash"),0)</f>
        <v>86900</v>
      </c>
      <c r="G267" s="11" t="n">
        <f aca="false">IF(D267=1,SUMIFS(Benefits!$S$4:$S$703,Benefits!$B$4:$B$703,A267,Benefits!$F$4:$F$703,B267,Benefits!$R$4:$R$703,"revenue"),0)</f>
        <v>57950</v>
      </c>
      <c r="H267" s="11" t="n">
        <f aca="false">IF(D267=1,SUMIFS(Benefits!$S$4:$S$703,Benefits!$B$4:$B$703,A267,Benefits!$F$4:$F$703,B267,Benefits!$R$4:$R$703,"avoided_cost_realised"),0)</f>
        <v>0</v>
      </c>
      <c r="I267" s="11" t="n">
        <f aca="false">IF(D267=1,SUMIFS(Benefits!$S$4:$S$703,Benefits!$B$4:$B$703,A267,Benefits!$F$4:$F$703,B267,Benefits!$R$4:$R$703,"capacity_converted"),0)</f>
        <v>0</v>
      </c>
      <c r="J267" s="11" t="n">
        <f aca="false">SUM(F267:I267)</f>
        <v>144850</v>
      </c>
      <c r="K267" s="11" t="n">
        <f aca="false">J267-E267</f>
        <v>127750</v>
      </c>
      <c r="L267" s="11" t="n">
        <f aca="false">IF(D267=1,L266+K267,0)</f>
        <v>-177250</v>
      </c>
      <c r="M267" s="11" t="n">
        <f aca="false">IF(D267=1,1/(1+Controls!$B$11)^B267,0)</f>
        <v>0.931883667888982</v>
      </c>
      <c r="N267" s="11" t="n">
        <f aca="false">K267*M267</f>
        <v>119048.138572817</v>
      </c>
      <c r="O267" s="11" t="n">
        <f aca="false">IF(D267=1,O266+N267,0)</f>
        <v>-207906.083707943</v>
      </c>
      <c r="P267" s="11" t="n">
        <f aca="false">IF(AND(D267=1,L267&lt;0),1,0)</f>
        <v>1</v>
      </c>
      <c r="Q267" s="11" t="n">
        <f aca="false">IF(AND(D267=1,O267&lt;0),1,0)</f>
        <v>1</v>
      </c>
    </row>
    <row r="268" customFormat="false" ht="15" hidden="false" customHeight="false" outlineLevel="0" collapsed="false">
      <c r="A268" s="4" t="s">
        <v>90</v>
      </c>
      <c r="B268" s="4" t="n">
        <v>12</v>
      </c>
      <c r="C268" s="11" t="n">
        <f aca="false">IF(COUNTIF('Scenario inputs'!$A$4:$A$213,Controls!$B$3&amp;"|"&amp;A268)&gt;0,1,0)</f>
        <v>1</v>
      </c>
      <c r="D268" s="11" t="n">
        <f aca="false">IF(AND(C268=1,B268&lt;Controls!$B$12),1,0)</f>
        <v>1</v>
      </c>
      <c r="E268" s="11" t="n">
        <f aca="false">IF(D268=1,SUMPRODUCT((Costs!$B$4:$B$903=A268)*(Costs!$D$4:$D$903="planned")*(Costs!$J$4:$J$903&lt;=B268)*(Costs!$K$4:$K$903&gt;B268)*Costs!$E$4:$E$903),0)</f>
        <v>17100</v>
      </c>
      <c r="F268" s="11" t="n">
        <f aca="false">IF(D268=1,SUMIFS(Benefits!$S$4:$S$703,Benefits!$B$4:$B$703,A268,Benefits!$F$4:$F$703,B268,Benefits!$R$4:$R$703,"cash"),0)</f>
        <v>86900</v>
      </c>
      <c r="G268" s="11" t="n">
        <f aca="false">IF(D268=1,SUMIFS(Benefits!$S$4:$S$703,Benefits!$B$4:$B$703,A268,Benefits!$F$4:$F$703,B268,Benefits!$R$4:$R$703,"revenue"),0)</f>
        <v>57950</v>
      </c>
      <c r="H268" s="11" t="n">
        <f aca="false">IF(D268=1,SUMIFS(Benefits!$S$4:$S$703,Benefits!$B$4:$B$703,A268,Benefits!$F$4:$F$703,B268,Benefits!$R$4:$R$703,"avoided_cost_realised"),0)</f>
        <v>0</v>
      </c>
      <c r="I268" s="11" t="n">
        <f aca="false">IF(D268=1,SUMIFS(Benefits!$S$4:$S$703,Benefits!$B$4:$B$703,A268,Benefits!$F$4:$F$703,B268,Benefits!$R$4:$R$703,"capacity_converted"),0)</f>
        <v>0</v>
      </c>
      <c r="J268" s="11" t="n">
        <f aca="false">SUM(F268:I268)</f>
        <v>144850</v>
      </c>
      <c r="K268" s="11" t="n">
        <f aca="false">J268-E268</f>
        <v>127750</v>
      </c>
      <c r="L268" s="11" t="n">
        <f aca="false">IF(D268=1,L267+K268,0)</f>
        <v>-49499.9999999999</v>
      </c>
      <c r="M268" s="11" t="n">
        <f aca="false">IF(D268=1,1/(1+Controls!$B$11)^B268,0)</f>
        <v>0.925926258342804</v>
      </c>
      <c r="N268" s="11" t="n">
        <f aca="false">K268*M268</f>
        <v>118287.079503293</v>
      </c>
      <c r="O268" s="11" t="n">
        <f aca="false">IF(D268=1,O267+N268,0)</f>
        <v>-89619.0042046496</v>
      </c>
      <c r="P268" s="11" t="n">
        <f aca="false">IF(AND(D268=1,L268&lt;0),1,0)</f>
        <v>1</v>
      </c>
      <c r="Q268" s="11" t="n">
        <f aca="false">IF(AND(D268=1,O268&lt;0),1,0)</f>
        <v>1</v>
      </c>
    </row>
    <row r="269" customFormat="false" ht="15" hidden="false" customHeight="false" outlineLevel="0" collapsed="false">
      <c r="A269" s="4" t="s">
        <v>90</v>
      </c>
      <c r="B269" s="4" t="n">
        <v>13</v>
      </c>
      <c r="C269" s="11" t="n">
        <f aca="false">IF(COUNTIF('Scenario inputs'!$A$4:$A$213,Controls!$B$3&amp;"|"&amp;A269)&gt;0,1,0)</f>
        <v>1</v>
      </c>
      <c r="D269" s="11" t="n">
        <f aca="false">IF(AND(C269=1,B269&lt;Controls!$B$12),1,0)</f>
        <v>1</v>
      </c>
      <c r="E269" s="11" t="n">
        <f aca="false">IF(D269=1,SUMPRODUCT((Costs!$B$4:$B$903=A269)*(Costs!$D$4:$D$903="planned")*(Costs!$J$4:$J$903&lt;=B269)*(Costs!$K$4:$K$903&gt;B269)*Costs!$E$4:$E$903),0)</f>
        <v>17100</v>
      </c>
      <c r="F269" s="11" t="n">
        <f aca="false">IF(D269=1,SUMIFS(Benefits!$S$4:$S$703,Benefits!$B$4:$B$703,A269,Benefits!$F$4:$F$703,B269,Benefits!$R$4:$R$703,"cash"),0)</f>
        <v>86900</v>
      </c>
      <c r="G269" s="11" t="n">
        <f aca="false">IF(D269=1,SUMIFS(Benefits!$S$4:$S$703,Benefits!$B$4:$B$703,A269,Benefits!$F$4:$F$703,B269,Benefits!$R$4:$R$703,"revenue"),0)</f>
        <v>57950</v>
      </c>
      <c r="H269" s="11" t="n">
        <f aca="false">IF(D269=1,SUMIFS(Benefits!$S$4:$S$703,Benefits!$B$4:$B$703,A269,Benefits!$F$4:$F$703,B269,Benefits!$R$4:$R$703,"avoided_cost_realised"),0)</f>
        <v>0</v>
      </c>
      <c r="I269" s="11" t="n">
        <f aca="false">IF(D269=1,SUMIFS(Benefits!$S$4:$S$703,Benefits!$B$4:$B$703,A269,Benefits!$F$4:$F$703,B269,Benefits!$R$4:$R$703,"capacity_converted"),0)</f>
        <v>0</v>
      </c>
      <c r="J269" s="11" t="n">
        <f aca="false">SUM(F269:I269)</f>
        <v>144850</v>
      </c>
      <c r="K269" s="11" t="n">
        <f aca="false">J269-E269</f>
        <v>127750</v>
      </c>
      <c r="L269" s="11" t="n">
        <f aca="false">IF(D269=1,L268+K269,0)</f>
        <v>78250.0000000001</v>
      </c>
      <c r="M269" s="11" t="n">
        <f aca="false">IF(D269=1,1/(1+Controls!$B$11)^B269,0)</f>
        <v>0.920006933731178</v>
      </c>
      <c r="N269" s="11" t="n">
        <f aca="false">K269*M269</f>
        <v>117530.885784158</v>
      </c>
      <c r="O269" s="11" t="n">
        <f aca="false">IF(D269=1,O268+N269,0)</f>
        <v>27911.8815795083</v>
      </c>
      <c r="P269" s="11" t="n">
        <f aca="false">IF(AND(D269=1,L269&lt;0),1,0)</f>
        <v>0</v>
      </c>
      <c r="Q269" s="11" t="n">
        <f aca="false">IF(AND(D269=1,O269&lt;0),1,0)</f>
        <v>0</v>
      </c>
    </row>
    <row r="270" customFormat="false" ht="15" hidden="false" customHeight="false" outlineLevel="0" collapsed="false">
      <c r="A270" s="4" t="s">
        <v>90</v>
      </c>
      <c r="B270" s="4" t="n">
        <v>14</v>
      </c>
      <c r="C270" s="11" t="n">
        <f aca="false">IF(COUNTIF('Scenario inputs'!$A$4:$A$213,Controls!$B$3&amp;"|"&amp;A270)&gt;0,1,0)</f>
        <v>1</v>
      </c>
      <c r="D270" s="11" t="n">
        <f aca="false">IF(AND(C270=1,B270&lt;Controls!$B$12),1,0)</f>
        <v>1</v>
      </c>
      <c r="E270" s="11" t="n">
        <f aca="false">IF(D270=1,SUMPRODUCT((Costs!$B$4:$B$903=A270)*(Costs!$D$4:$D$903="planned")*(Costs!$J$4:$J$903&lt;=B270)*(Costs!$K$4:$K$903&gt;B270)*Costs!$E$4:$E$903),0)</f>
        <v>17100</v>
      </c>
      <c r="F270" s="11" t="n">
        <f aca="false">IF(D270=1,SUMIFS(Benefits!$S$4:$S$703,Benefits!$B$4:$B$703,A270,Benefits!$F$4:$F$703,B270,Benefits!$R$4:$R$703,"cash"),0)</f>
        <v>0</v>
      </c>
      <c r="G270" s="11" t="n">
        <f aca="false">IF(D270=1,SUMIFS(Benefits!$S$4:$S$703,Benefits!$B$4:$B$703,A270,Benefits!$F$4:$F$703,B270,Benefits!$R$4:$R$703,"revenue"),0)</f>
        <v>57950</v>
      </c>
      <c r="H270" s="11" t="n">
        <f aca="false">IF(D270=1,SUMIFS(Benefits!$S$4:$S$703,Benefits!$B$4:$B$703,A270,Benefits!$F$4:$F$703,B270,Benefits!$R$4:$R$703,"avoided_cost_realised"),0)</f>
        <v>0</v>
      </c>
      <c r="I270" s="11" t="n">
        <f aca="false">IF(D270=1,SUMIFS(Benefits!$S$4:$S$703,Benefits!$B$4:$B$703,A270,Benefits!$F$4:$F$703,B270,Benefits!$R$4:$R$703,"capacity_converted"),0)</f>
        <v>0</v>
      </c>
      <c r="J270" s="11" t="n">
        <f aca="false">SUM(F270:I270)</f>
        <v>57950</v>
      </c>
      <c r="K270" s="11" t="n">
        <f aca="false">J270-E270</f>
        <v>40850</v>
      </c>
      <c r="L270" s="11" t="n">
        <f aca="false">IF(D270=1,L269+K270,0)</f>
        <v>119100</v>
      </c>
      <c r="M270" s="11" t="n">
        <f aca="false">IF(D270=1,1/(1+Controls!$B$11)^B270,0)</f>
        <v>0.914125450582132</v>
      </c>
      <c r="N270" s="11" t="n">
        <f aca="false">K270*M270</f>
        <v>37342.0246562801</v>
      </c>
      <c r="O270" s="11" t="n">
        <f aca="false">IF(D270=1,O269+N270,0)</f>
        <v>65253.9062357884</v>
      </c>
      <c r="P270" s="11" t="n">
        <f aca="false">IF(AND(D270=1,L270&lt;0),1,0)</f>
        <v>0</v>
      </c>
      <c r="Q270" s="11" t="n">
        <f aca="false">IF(AND(D270=1,O270&lt;0),1,0)</f>
        <v>0</v>
      </c>
    </row>
    <row r="271" customFormat="false" ht="15" hidden="false" customHeight="false" outlineLevel="0" collapsed="false">
      <c r="A271" s="4" t="s">
        <v>90</v>
      </c>
      <c r="B271" s="4" t="n">
        <v>15</v>
      </c>
      <c r="C271" s="11" t="n">
        <f aca="false">IF(COUNTIF('Scenario inputs'!$A$4:$A$213,Controls!$B$3&amp;"|"&amp;A271)&gt;0,1,0)</f>
        <v>1</v>
      </c>
      <c r="D271" s="11" t="n">
        <f aca="false">IF(AND(C271=1,B271&lt;Controls!$B$12),1,0)</f>
        <v>1</v>
      </c>
      <c r="E271" s="11" t="n">
        <f aca="false">IF(D271=1,SUMPRODUCT((Costs!$B$4:$B$903=A271)*(Costs!$D$4:$D$903="planned")*(Costs!$J$4:$J$903&lt;=B271)*(Costs!$K$4:$K$903&gt;B271)*Costs!$E$4:$E$903),0)</f>
        <v>0</v>
      </c>
      <c r="F271" s="11" t="n">
        <f aca="false">IF(D271=1,SUMIFS(Benefits!$S$4:$S$703,Benefits!$B$4:$B$703,A271,Benefits!$F$4:$F$703,B271,Benefits!$R$4:$R$703,"cash"),0)</f>
        <v>0</v>
      </c>
      <c r="G271" s="11" t="n">
        <f aca="false">IF(D271=1,SUMIFS(Benefits!$S$4:$S$703,Benefits!$B$4:$B$703,A271,Benefits!$F$4:$F$703,B271,Benefits!$R$4:$R$703,"revenue"),0)</f>
        <v>0</v>
      </c>
      <c r="H271" s="11" t="n">
        <f aca="false">IF(D271=1,SUMIFS(Benefits!$S$4:$S$703,Benefits!$B$4:$B$703,A271,Benefits!$F$4:$F$703,B271,Benefits!$R$4:$R$703,"avoided_cost_realised"),0)</f>
        <v>0</v>
      </c>
      <c r="I271" s="11" t="n">
        <f aca="false">IF(D271=1,SUMIFS(Benefits!$S$4:$S$703,Benefits!$B$4:$B$703,A271,Benefits!$F$4:$F$703,B271,Benefits!$R$4:$R$703,"capacity_converted"),0)</f>
        <v>0</v>
      </c>
      <c r="J271" s="11" t="n">
        <f aca="false">SUM(F271:I271)</f>
        <v>0</v>
      </c>
      <c r="K271" s="11" t="n">
        <f aca="false">J271-E271</f>
        <v>0</v>
      </c>
      <c r="L271" s="11" t="n">
        <f aca="false">IF(D271=1,L270+K271,0)</f>
        <v>119100</v>
      </c>
      <c r="M271" s="11" t="n">
        <f aca="false">IF(D271=1,1/(1+Controls!$B$11)^B271,0)</f>
        <v>0.908281566980182</v>
      </c>
      <c r="N271" s="11" t="n">
        <f aca="false">K271*M271</f>
        <v>0</v>
      </c>
      <c r="O271" s="11" t="n">
        <f aca="false">IF(D271=1,O270+N271,0)</f>
        <v>65253.9062357884</v>
      </c>
      <c r="P271" s="11" t="n">
        <f aca="false">IF(AND(D271=1,L271&lt;0),1,0)</f>
        <v>0</v>
      </c>
      <c r="Q271" s="11" t="n">
        <f aca="false">IF(AND(D271=1,O271&lt;0),1,0)</f>
        <v>0</v>
      </c>
    </row>
    <row r="272" customFormat="false" ht="15" hidden="false" customHeight="false" outlineLevel="0" collapsed="false">
      <c r="A272" s="4" t="s">
        <v>90</v>
      </c>
      <c r="B272" s="4" t="n">
        <v>16</v>
      </c>
      <c r="C272" s="11" t="n">
        <f aca="false">IF(COUNTIF('Scenario inputs'!$A$4:$A$213,Controls!$B$3&amp;"|"&amp;A272)&gt;0,1,0)</f>
        <v>1</v>
      </c>
      <c r="D272" s="11" t="n">
        <f aca="false">IF(AND(C272=1,B272&lt;Controls!$B$12),1,0)</f>
        <v>1</v>
      </c>
      <c r="E272" s="11" t="n">
        <f aca="false">IF(D272=1,SUMPRODUCT((Costs!$B$4:$B$903=A272)*(Costs!$D$4:$D$903="planned")*(Costs!$J$4:$J$903&lt;=B272)*(Costs!$K$4:$K$903&gt;B272)*Costs!$E$4:$E$903),0)</f>
        <v>0</v>
      </c>
      <c r="F272" s="11" t="n">
        <f aca="false">IF(D272=1,SUMIFS(Benefits!$S$4:$S$703,Benefits!$B$4:$B$703,A272,Benefits!$F$4:$F$703,B272,Benefits!$R$4:$R$703,"cash"),0)</f>
        <v>0</v>
      </c>
      <c r="G272" s="11" t="n">
        <f aca="false">IF(D272=1,SUMIFS(Benefits!$S$4:$S$703,Benefits!$B$4:$B$703,A272,Benefits!$F$4:$F$703,B272,Benefits!$R$4:$R$703,"revenue"),0)</f>
        <v>0</v>
      </c>
      <c r="H272" s="11" t="n">
        <f aca="false">IF(D272=1,SUMIFS(Benefits!$S$4:$S$703,Benefits!$B$4:$B$703,A272,Benefits!$F$4:$F$703,B272,Benefits!$R$4:$R$703,"avoided_cost_realised"),0)</f>
        <v>0</v>
      </c>
      <c r="I272" s="11" t="n">
        <f aca="false">IF(D272=1,SUMIFS(Benefits!$S$4:$S$703,Benefits!$B$4:$B$703,A272,Benefits!$F$4:$F$703,B272,Benefits!$R$4:$R$703,"capacity_converted"),0)</f>
        <v>0</v>
      </c>
      <c r="J272" s="11" t="n">
        <f aca="false">SUM(F272:I272)</f>
        <v>0</v>
      </c>
      <c r="K272" s="11" t="n">
        <f aca="false">J272-E272</f>
        <v>0</v>
      </c>
      <c r="L272" s="11" t="n">
        <f aca="false">IF(D272=1,L271+K272,0)</f>
        <v>119100</v>
      </c>
      <c r="M272" s="11" t="n">
        <f aca="false">IF(D272=1,1/(1+Controls!$B$11)^B272,0)</f>
        <v>0.902475042556374</v>
      </c>
      <c r="N272" s="11" t="n">
        <f aca="false">K272*M272</f>
        <v>0</v>
      </c>
      <c r="O272" s="11" t="n">
        <f aca="false">IF(D272=1,O271+N272,0)</f>
        <v>65253.9062357884</v>
      </c>
      <c r="P272" s="11" t="n">
        <f aca="false">IF(AND(D272=1,L272&lt;0),1,0)</f>
        <v>0</v>
      </c>
      <c r="Q272" s="11" t="n">
        <f aca="false">IF(AND(D272=1,O272&lt;0),1,0)</f>
        <v>0</v>
      </c>
    </row>
    <row r="273" customFormat="false" ht="15" hidden="false" customHeight="false" outlineLevel="0" collapsed="false">
      <c r="A273" s="4" t="s">
        <v>90</v>
      </c>
      <c r="B273" s="4" t="n">
        <v>17</v>
      </c>
      <c r="C273" s="11" t="n">
        <f aca="false">IF(COUNTIF('Scenario inputs'!$A$4:$A$213,Controls!$B$3&amp;"|"&amp;A273)&gt;0,1,0)</f>
        <v>1</v>
      </c>
      <c r="D273" s="11" t="n">
        <f aca="false">IF(AND(C273=1,B273&lt;Controls!$B$12),1,0)</f>
        <v>1</v>
      </c>
      <c r="E273" s="11" t="n">
        <f aca="false">IF(D273=1,SUMPRODUCT((Costs!$B$4:$B$903=A273)*(Costs!$D$4:$D$903="planned")*(Costs!$J$4:$J$903&lt;=B273)*(Costs!$K$4:$K$903&gt;B273)*Costs!$E$4:$E$903),0)</f>
        <v>0</v>
      </c>
      <c r="F273" s="11" t="n">
        <f aca="false">IF(D273=1,SUMIFS(Benefits!$S$4:$S$703,Benefits!$B$4:$B$703,A273,Benefits!$F$4:$F$703,B273,Benefits!$R$4:$R$703,"cash"),0)</f>
        <v>0</v>
      </c>
      <c r="G273" s="11" t="n">
        <f aca="false">IF(D273=1,SUMIFS(Benefits!$S$4:$S$703,Benefits!$B$4:$B$703,A273,Benefits!$F$4:$F$703,B273,Benefits!$R$4:$R$703,"revenue"),0)</f>
        <v>0</v>
      </c>
      <c r="H273" s="11" t="n">
        <f aca="false">IF(D273=1,SUMIFS(Benefits!$S$4:$S$703,Benefits!$B$4:$B$703,A273,Benefits!$F$4:$F$703,B273,Benefits!$R$4:$R$703,"avoided_cost_realised"),0)</f>
        <v>0</v>
      </c>
      <c r="I273" s="11" t="n">
        <f aca="false">IF(D273=1,SUMIFS(Benefits!$S$4:$S$703,Benefits!$B$4:$B$703,A273,Benefits!$F$4:$F$703,B273,Benefits!$R$4:$R$703,"capacity_converted"),0)</f>
        <v>0</v>
      </c>
      <c r="J273" s="11" t="n">
        <f aca="false">SUM(F273:I273)</f>
        <v>0</v>
      </c>
      <c r="K273" s="11" t="n">
        <f aca="false">J273-E273</f>
        <v>0</v>
      </c>
      <c r="L273" s="11" t="n">
        <f aca="false">IF(D273=1,L272+K273,0)</f>
        <v>119100</v>
      </c>
      <c r="M273" s="11" t="n">
        <f aca="false">IF(D273=1,1/(1+Controls!$B$11)^B273,0)</f>
        <v>0.896705638478404</v>
      </c>
      <c r="N273" s="11" t="n">
        <f aca="false">K273*M273</f>
        <v>0</v>
      </c>
      <c r="O273" s="11" t="n">
        <f aca="false">IF(D273=1,O272+N273,0)</f>
        <v>65253.9062357884</v>
      </c>
      <c r="P273" s="11" t="n">
        <f aca="false">IF(AND(D273=1,L273&lt;0),1,0)</f>
        <v>0</v>
      </c>
      <c r="Q273" s="11" t="n">
        <f aca="false">IF(AND(D273=1,O273&lt;0),1,0)</f>
        <v>0</v>
      </c>
    </row>
    <row r="274" customFormat="false" ht="15" hidden="false" customHeight="false" outlineLevel="0" collapsed="false">
      <c r="A274" s="4" t="s">
        <v>90</v>
      </c>
      <c r="B274" s="4" t="n">
        <v>18</v>
      </c>
      <c r="C274" s="11" t="n">
        <f aca="false">IF(COUNTIF('Scenario inputs'!$A$4:$A$213,Controls!$B$3&amp;"|"&amp;A274)&gt;0,1,0)</f>
        <v>1</v>
      </c>
      <c r="D274" s="11" t="n">
        <f aca="false">IF(AND(C274=1,B274&lt;Controls!$B$12),1,0)</f>
        <v>1</v>
      </c>
      <c r="E274" s="11" t="n">
        <f aca="false">IF(D274=1,SUMPRODUCT((Costs!$B$4:$B$903=A274)*(Costs!$D$4:$D$903="planned")*(Costs!$J$4:$J$903&lt;=B274)*(Costs!$K$4:$K$903&gt;B274)*Costs!$E$4:$E$903),0)</f>
        <v>0</v>
      </c>
      <c r="F274" s="11" t="n">
        <f aca="false">IF(D274=1,SUMIFS(Benefits!$S$4:$S$703,Benefits!$B$4:$B$703,A274,Benefits!$F$4:$F$703,B274,Benefits!$R$4:$R$703,"cash"),0)</f>
        <v>0</v>
      </c>
      <c r="G274" s="11" t="n">
        <f aca="false">IF(D274=1,SUMIFS(Benefits!$S$4:$S$703,Benefits!$B$4:$B$703,A274,Benefits!$F$4:$F$703,B274,Benefits!$R$4:$R$703,"revenue"),0)</f>
        <v>0</v>
      </c>
      <c r="H274" s="11" t="n">
        <f aca="false">IF(D274=1,SUMIFS(Benefits!$S$4:$S$703,Benefits!$B$4:$B$703,A274,Benefits!$F$4:$F$703,B274,Benefits!$R$4:$R$703,"avoided_cost_realised"),0)</f>
        <v>0</v>
      </c>
      <c r="I274" s="11" t="n">
        <f aca="false">IF(D274=1,SUMIFS(Benefits!$S$4:$S$703,Benefits!$B$4:$B$703,A274,Benefits!$F$4:$F$703,B274,Benefits!$R$4:$R$703,"capacity_converted"),0)</f>
        <v>0</v>
      </c>
      <c r="J274" s="11" t="n">
        <f aca="false">SUM(F274:I274)</f>
        <v>0</v>
      </c>
      <c r="K274" s="11" t="n">
        <f aca="false">J274-E274</f>
        <v>0</v>
      </c>
      <c r="L274" s="11" t="n">
        <f aca="false">IF(D274=1,L273+K274,0)</f>
        <v>119100</v>
      </c>
      <c r="M274" s="11" t="n">
        <f aca="false">IF(D274=1,1/(1+Controls!$B$11)^B274,0)</f>
        <v>0.89097311744079</v>
      </c>
      <c r="N274" s="11" t="n">
        <f aca="false">K274*M274</f>
        <v>0</v>
      </c>
      <c r="O274" s="11" t="n">
        <f aca="false">IF(D274=1,O273+N274,0)</f>
        <v>65253.9062357884</v>
      </c>
      <c r="P274" s="11" t="n">
        <f aca="false">IF(AND(D274=1,L274&lt;0),1,0)</f>
        <v>0</v>
      </c>
      <c r="Q274" s="11" t="n">
        <f aca="false">IF(AND(D274=1,O274&lt;0),1,0)</f>
        <v>0</v>
      </c>
    </row>
    <row r="275" customFormat="false" ht="15" hidden="false" customHeight="false" outlineLevel="0" collapsed="false">
      <c r="A275" s="4" t="s">
        <v>90</v>
      </c>
      <c r="B275" s="4" t="n">
        <v>19</v>
      </c>
      <c r="C275" s="11" t="n">
        <f aca="false">IF(COUNTIF('Scenario inputs'!$A$4:$A$213,Controls!$B$3&amp;"|"&amp;A275)&gt;0,1,0)</f>
        <v>1</v>
      </c>
      <c r="D275" s="11" t="n">
        <f aca="false">IF(AND(C275=1,B275&lt;Controls!$B$12),1,0)</f>
        <v>1</v>
      </c>
      <c r="E275" s="11" t="n">
        <f aca="false">IF(D275=1,SUMPRODUCT((Costs!$B$4:$B$903=A275)*(Costs!$D$4:$D$903="planned")*(Costs!$J$4:$J$903&lt;=B275)*(Costs!$K$4:$K$903&gt;B275)*Costs!$E$4:$E$903),0)</f>
        <v>0</v>
      </c>
      <c r="F275" s="11" t="n">
        <f aca="false">IF(D275=1,SUMIFS(Benefits!$S$4:$S$703,Benefits!$B$4:$B$703,A275,Benefits!$F$4:$F$703,B275,Benefits!$R$4:$R$703,"cash"),0)</f>
        <v>0</v>
      </c>
      <c r="G275" s="11" t="n">
        <f aca="false">IF(D275=1,SUMIFS(Benefits!$S$4:$S$703,Benefits!$B$4:$B$703,A275,Benefits!$F$4:$F$703,B275,Benefits!$R$4:$R$703,"revenue"),0)</f>
        <v>0</v>
      </c>
      <c r="H275" s="11" t="n">
        <f aca="false">IF(D275=1,SUMIFS(Benefits!$S$4:$S$703,Benefits!$B$4:$B$703,A275,Benefits!$F$4:$F$703,B275,Benefits!$R$4:$R$703,"avoided_cost_realised"),0)</f>
        <v>0</v>
      </c>
      <c r="I275" s="11" t="n">
        <f aca="false">IF(D275=1,SUMIFS(Benefits!$S$4:$S$703,Benefits!$B$4:$B$703,A275,Benefits!$F$4:$F$703,B275,Benefits!$R$4:$R$703,"capacity_converted"),0)</f>
        <v>0</v>
      </c>
      <c r="J275" s="11" t="n">
        <f aca="false">SUM(F275:I275)</f>
        <v>0</v>
      </c>
      <c r="K275" s="11" t="n">
        <f aca="false">J275-E275</f>
        <v>0</v>
      </c>
      <c r="L275" s="11" t="n">
        <f aca="false">IF(D275=1,L274+K275,0)</f>
        <v>119100</v>
      </c>
      <c r="M275" s="11" t="n">
        <f aca="false">IF(D275=1,1/(1+Controls!$B$11)^B275,0)</f>
        <v>0.885277243655113</v>
      </c>
      <c r="N275" s="11" t="n">
        <f aca="false">K275*M275</f>
        <v>0</v>
      </c>
      <c r="O275" s="11" t="n">
        <f aca="false">IF(D275=1,O274+N275,0)</f>
        <v>65253.9062357884</v>
      </c>
      <c r="P275" s="11" t="n">
        <f aca="false">IF(AND(D275=1,L275&lt;0),1,0)</f>
        <v>0</v>
      </c>
      <c r="Q275" s="11" t="n">
        <f aca="false">IF(AND(D275=1,O275&lt;0),1,0)</f>
        <v>0</v>
      </c>
    </row>
    <row r="276" customFormat="false" ht="15" hidden="false" customHeight="false" outlineLevel="0" collapsed="false">
      <c r="A276" s="4" t="s">
        <v>90</v>
      </c>
      <c r="B276" s="4" t="n">
        <v>20</v>
      </c>
      <c r="C276" s="11" t="n">
        <f aca="false">IF(COUNTIF('Scenario inputs'!$A$4:$A$213,Controls!$B$3&amp;"|"&amp;A276)&gt;0,1,0)</f>
        <v>1</v>
      </c>
      <c r="D276" s="11" t="n">
        <f aca="false">IF(AND(C276=1,B276&lt;Controls!$B$12),1,0)</f>
        <v>1</v>
      </c>
      <c r="E276" s="11" t="n">
        <f aca="false">IF(D276=1,SUMPRODUCT((Costs!$B$4:$B$903=A276)*(Costs!$D$4:$D$903="planned")*(Costs!$J$4:$J$903&lt;=B276)*(Costs!$K$4:$K$903&gt;B276)*Costs!$E$4:$E$903),0)</f>
        <v>0</v>
      </c>
      <c r="F276" s="11" t="n">
        <f aca="false">IF(D276=1,SUMIFS(Benefits!$S$4:$S$703,Benefits!$B$4:$B$703,A276,Benefits!$F$4:$F$703,B276,Benefits!$R$4:$R$703,"cash"),0)</f>
        <v>0</v>
      </c>
      <c r="G276" s="11" t="n">
        <f aca="false">IF(D276=1,SUMIFS(Benefits!$S$4:$S$703,Benefits!$B$4:$B$703,A276,Benefits!$F$4:$F$703,B276,Benefits!$R$4:$R$703,"revenue"),0)</f>
        <v>0</v>
      </c>
      <c r="H276" s="11" t="n">
        <f aca="false">IF(D276=1,SUMIFS(Benefits!$S$4:$S$703,Benefits!$B$4:$B$703,A276,Benefits!$F$4:$F$703,B276,Benefits!$R$4:$R$703,"avoided_cost_realised"),0)</f>
        <v>0</v>
      </c>
      <c r="I276" s="11" t="n">
        <f aca="false">IF(D276=1,SUMIFS(Benefits!$S$4:$S$703,Benefits!$B$4:$B$703,A276,Benefits!$F$4:$F$703,B276,Benefits!$R$4:$R$703,"capacity_converted"),0)</f>
        <v>0</v>
      </c>
      <c r="J276" s="11" t="n">
        <f aca="false">SUM(F276:I276)</f>
        <v>0</v>
      </c>
      <c r="K276" s="11" t="n">
        <f aca="false">J276-E276</f>
        <v>0</v>
      </c>
      <c r="L276" s="11" t="n">
        <f aca="false">IF(D276=1,L275+K276,0)</f>
        <v>119100</v>
      </c>
      <c r="M276" s="11" t="n">
        <f aca="false">IF(D276=1,1/(1+Controls!$B$11)^B276,0)</f>
        <v>0.879617782840318</v>
      </c>
      <c r="N276" s="11" t="n">
        <f aca="false">K276*M276</f>
        <v>0</v>
      </c>
      <c r="O276" s="11" t="n">
        <f aca="false">IF(D276=1,O275+N276,0)</f>
        <v>65253.9062357884</v>
      </c>
      <c r="P276" s="11" t="n">
        <f aca="false">IF(AND(D276=1,L276&lt;0),1,0)</f>
        <v>0</v>
      </c>
      <c r="Q276" s="11" t="n">
        <f aca="false">IF(AND(D276=1,O276&lt;0),1,0)</f>
        <v>0</v>
      </c>
    </row>
    <row r="277" customFormat="false" ht="15" hidden="false" customHeight="false" outlineLevel="0" collapsed="false">
      <c r="A277" s="4" t="s">
        <v>90</v>
      </c>
      <c r="B277" s="4" t="n">
        <v>21</v>
      </c>
      <c r="C277" s="11" t="n">
        <f aca="false">IF(COUNTIF('Scenario inputs'!$A$4:$A$213,Controls!$B$3&amp;"|"&amp;A277)&gt;0,1,0)</f>
        <v>1</v>
      </c>
      <c r="D277" s="11" t="n">
        <f aca="false">IF(AND(C277=1,B277&lt;Controls!$B$12),1,0)</f>
        <v>1</v>
      </c>
      <c r="E277" s="11" t="n">
        <f aca="false">IF(D277=1,SUMPRODUCT((Costs!$B$4:$B$903=A277)*(Costs!$D$4:$D$903="planned")*(Costs!$J$4:$J$903&lt;=B277)*(Costs!$K$4:$K$903&gt;B277)*Costs!$E$4:$E$903),0)</f>
        <v>0</v>
      </c>
      <c r="F277" s="11" t="n">
        <f aca="false">IF(D277=1,SUMIFS(Benefits!$S$4:$S$703,Benefits!$B$4:$B$703,A277,Benefits!$F$4:$F$703,B277,Benefits!$R$4:$R$703,"cash"),0)</f>
        <v>0</v>
      </c>
      <c r="G277" s="11" t="n">
        <f aca="false">IF(D277=1,SUMIFS(Benefits!$S$4:$S$703,Benefits!$B$4:$B$703,A277,Benefits!$F$4:$F$703,B277,Benefits!$R$4:$R$703,"revenue"),0)</f>
        <v>0</v>
      </c>
      <c r="H277" s="11" t="n">
        <f aca="false">IF(D277=1,SUMIFS(Benefits!$S$4:$S$703,Benefits!$B$4:$B$703,A277,Benefits!$F$4:$F$703,B277,Benefits!$R$4:$R$703,"avoided_cost_realised"),0)</f>
        <v>0</v>
      </c>
      <c r="I277" s="11" t="n">
        <f aca="false">IF(D277=1,SUMIFS(Benefits!$S$4:$S$703,Benefits!$B$4:$B$703,A277,Benefits!$F$4:$F$703,B277,Benefits!$R$4:$R$703,"capacity_converted"),0)</f>
        <v>0</v>
      </c>
      <c r="J277" s="11" t="n">
        <f aca="false">SUM(F277:I277)</f>
        <v>0</v>
      </c>
      <c r="K277" s="11" t="n">
        <f aca="false">J277-E277</f>
        <v>0</v>
      </c>
      <c r="L277" s="11" t="n">
        <f aca="false">IF(D277=1,L276+K277,0)</f>
        <v>119100</v>
      </c>
      <c r="M277" s="11" t="n">
        <f aca="false">IF(D277=1,1/(1+Controls!$B$11)^B277,0)</f>
        <v>0.873994502213079</v>
      </c>
      <c r="N277" s="11" t="n">
        <f aca="false">K277*M277</f>
        <v>0</v>
      </c>
      <c r="O277" s="11" t="n">
        <f aca="false">IF(D277=1,O276+N277,0)</f>
        <v>65253.9062357884</v>
      </c>
      <c r="P277" s="11" t="n">
        <f aca="false">IF(AND(D277=1,L277&lt;0),1,0)</f>
        <v>0</v>
      </c>
      <c r="Q277" s="11" t="n">
        <f aca="false">IF(AND(D277=1,O277&lt;0),1,0)</f>
        <v>0</v>
      </c>
    </row>
    <row r="278" customFormat="false" ht="15" hidden="false" customHeight="false" outlineLevel="0" collapsed="false">
      <c r="A278" s="4" t="s">
        <v>90</v>
      </c>
      <c r="B278" s="4" t="n">
        <v>22</v>
      </c>
      <c r="C278" s="11" t="n">
        <f aca="false">IF(COUNTIF('Scenario inputs'!$A$4:$A$213,Controls!$B$3&amp;"|"&amp;A278)&gt;0,1,0)</f>
        <v>1</v>
      </c>
      <c r="D278" s="11" t="n">
        <f aca="false">IF(AND(C278=1,B278&lt;Controls!$B$12),1,0)</f>
        <v>1</v>
      </c>
      <c r="E278" s="11" t="n">
        <f aca="false">IF(D278=1,SUMPRODUCT((Costs!$B$4:$B$903=A278)*(Costs!$D$4:$D$903="planned")*(Costs!$J$4:$J$903&lt;=B278)*(Costs!$K$4:$K$903&gt;B278)*Costs!$E$4:$E$903),0)</f>
        <v>0</v>
      </c>
      <c r="F278" s="11" t="n">
        <f aca="false">IF(D278=1,SUMIFS(Benefits!$S$4:$S$703,Benefits!$B$4:$B$703,A278,Benefits!$F$4:$F$703,B278,Benefits!$R$4:$R$703,"cash"),0)</f>
        <v>0</v>
      </c>
      <c r="G278" s="11" t="n">
        <f aca="false">IF(D278=1,SUMIFS(Benefits!$S$4:$S$703,Benefits!$B$4:$B$703,A278,Benefits!$F$4:$F$703,B278,Benefits!$R$4:$R$703,"revenue"),0)</f>
        <v>0</v>
      </c>
      <c r="H278" s="11" t="n">
        <f aca="false">IF(D278=1,SUMIFS(Benefits!$S$4:$S$703,Benefits!$B$4:$B$703,A278,Benefits!$F$4:$F$703,B278,Benefits!$R$4:$R$703,"avoided_cost_realised"),0)</f>
        <v>0</v>
      </c>
      <c r="I278" s="11" t="n">
        <f aca="false">IF(D278=1,SUMIFS(Benefits!$S$4:$S$703,Benefits!$B$4:$B$703,A278,Benefits!$F$4:$F$703,B278,Benefits!$R$4:$R$703,"capacity_converted"),0)</f>
        <v>0</v>
      </c>
      <c r="J278" s="11" t="n">
        <f aca="false">SUM(F278:I278)</f>
        <v>0</v>
      </c>
      <c r="K278" s="11" t="n">
        <f aca="false">J278-E278</f>
        <v>0</v>
      </c>
      <c r="L278" s="11" t="n">
        <f aca="false">IF(D278=1,L277+K278,0)</f>
        <v>119100</v>
      </c>
      <c r="M278" s="11" t="n">
        <f aca="false">IF(D278=1,1/(1+Controls!$B$11)^B278,0)</f>
        <v>0.868407170478222</v>
      </c>
      <c r="N278" s="11" t="n">
        <f aca="false">K278*M278</f>
        <v>0</v>
      </c>
      <c r="O278" s="11" t="n">
        <f aca="false">IF(D278=1,O277+N278,0)</f>
        <v>65253.9062357884</v>
      </c>
      <c r="P278" s="11" t="n">
        <f aca="false">IF(AND(D278=1,L278&lt;0),1,0)</f>
        <v>0</v>
      </c>
      <c r="Q278" s="11" t="n">
        <f aca="false">IF(AND(D278=1,O278&lt;0),1,0)</f>
        <v>0</v>
      </c>
    </row>
    <row r="279" customFormat="false" ht="15" hidden="false" customHeight="false" outlineLevel="0" collapsed="false">
      <c r="A279" s="4" t="s">
        <v>90</v>
      </c>
      <c r="B279" s="4" t="n">
        <v>23</v>
      </c>
      <c r="C279" s="11" t="n">
        <f aca="false">IF(COUNTIF('Scenario inputs'!$A$4:$A$213,Controls!$B$3&amp;"|"&amp;A279)&gt;0,1,0)</f>
        <v>1</v>
      </c>
      <c r="D279" s="11" t="n">
        <f aca="false">IF(AND(C279=1,B279&lt;Controls!$B$12),1,0)</f>
        <v>1</v>
      </c>
      <c r="E279" s="11" t="n">
        <f aca="false">IF(D279=1,SUMPRODUCT((Costs!$B$4:$B$903=A279)*(Costs!$D$4:$D$903="planned")*(Costs!$J$4:$J$903&lt;=B279)*(Costs!$K$4:$K$903&gt;B279)*Costs!$E$4:$E$903),0)</f>
        <v>0</v>
      </c>
      <c r="F279" s="11" t="n">
        <f aca="false">IF(D279=1,SUMIFS(Benefits!$S$4:$S$703,Benefits!$B$4:$B$703,A279,Benefits!$F$4:$F$703,B279,Benefits!$R$4:$R$703,"cash"),0)</f>
        <v>0</v>
      </c>
      <c r="G279" s="11" t="n">
        <f aca="false">IF(D279=1,SUMIFS(Benefits!$S$4:$S$703,Benefits!$B$4:$B$703,A279,Benefits!$F$4:$F$703,B279,Benefits!$R$4:$R$703,"revenue"),0)</f>
        <v>0</v>
      </c>
      <c r="H279" s="11" t="n">
        <f aca="false">IF(D279=1,SUMIFS(Benefits!$S$4:$S$703,Benefits!$B$4:$B$703,A279,Benefits!$F$4:$F$703,B279,Benefits!$R$4:$R$703,"avoided_cost_realised"),0)</f>
        <v>0</v>
      </c>
      <c r="I279" s="11" t="n">
        <f aca="false">IF(D279=1,SUMIFS(Benefits!$S$4:$S$703,Benefits!$B$4:$B$703,A279,Benefits!$F$4:$F$703,B279,Benefits!$R$4:$R$703,"capacity_converted"),0)</f>
        <v>0</v>
      </c>
      <c r="J279" s="11" t="n">
        <f aca="false">SUM(F279:I279)</f>
        <v>0</v>
      </c>
      <c r="K279" s="11" t="n">
        <f aca="false">J279-E279</f>
        <v>0</v>
      </c>
      <c r="L279" s="11" t="n">
        <f aca="false">IF(D279=1,L278+K279,0)</f>
        <v>119100</v>
      </c>
      <c r="M279" s="11" t="n">
        <f aca="false">IF(D279=1,1/(1+Controls!$B$11)^B279,0)</f>
        <v>0.862855557819213</v>
      </c>
      <c r="N279" s="11" t="n">
        <f aca="false">K279*M279</f>
        <v>0</v>
      </c>
      <c r="O279" s="11" t="n">
        <f aca="false">IF(D279=1,O278+N279,0)</f>
        <v>65253.9062357884</v>
      </c>
      <c r="P279" s="11" t="n">
        <f aca="false">IF(AND(D279=1,L279&lt;0),1,0)</f>
        <v>0</v>
      </c>
      <c r="Q279" s="11" t="n">
        <f aca="false">IF(AND(D279=1,O279&lt;0),1,0)</f>
        <v>0</v>
      </c>
    </row>
    <row r="280" customFormat="false" ht="15" hidden="false" customHeight="false" outlineLevel="0" collapsed="false">
      <c r="A280" s="4" t="s">
        <v>90</v>
      </c>
      <c r="B280" s="4" t="n">
        <v>24</v>
      </c>
      <c r="C280" s="11" t="n">
        <f aca="false">IF(COUNTIF('Scenario inputs'!$A$4:$A$213,Controls!$B$3&amp;"|"&amp;A280)&gt;0,1,0)</f>
        <v>1</v>
      </c>
      <c r="D280" s="11" t="n">
        <f aca="false">IF(AND(C280=1,B280&lt;Controls!$B$12),1,0)</f>
        <v>1</v>
      </c>
      <c r="E280" s="11" t="n">
        <f aca="false">IF(D280=1,SUMPRODUCT((Costs!$B$4:$B$903=A280)*(Costs!$D$4:$D$903="planned")*(Costs!$J$4:$J$903&lt;=B280)*(Costs!$K$4:$K$903&gt;B280)*Costs!$E$4:$E$903),0)</f>
        <v>0</v>
      </c>
      <c r="F280" s="11" t="n">
        <f aca="false">IF(D280=1,SUMIFS(Benefits!$S$4:$S$703,Benefits!$B$4:$B$703,A280,Benefits!$F$4:$F$703,B280,Benefits!$R$4:$R$703,"cash"),0)</f>
        <v>0</v>
      </c>
      <c r="G280" s="11" t="n">
        <f aca="false">IF(D280=1,SUMIFS(Benefits!$S$4:$S$703,Benefits!$B$4:$B$703,A280,Benefits!$F$4:$F$703,B280,Benefits!$R$4:$R$703,"revenue"),0)</f>
        <v>0</v>
      </c>
      <c r="H280" s="11" t="n">
        <f aca="false">IF(D280=1,SUMIFS(Benefits!$S$4:$S$703,Benefits!$B$4:$B$703,A280,Benefits!$F$4:$F$703,B280,Benefits!$R$4:$R$703,"avoided_cost_realised"),0)</f>
        <v>0</v>
      </c>
      <c r="I280" s="11" t="n">
        <f aca="false">IF(D280=1,SUMIFS(Benefits!$S$4:$S$703,Benefits!$B$4:$B$703,A280,Benefits!$F$4:$F$703,B280,Benefits!$R$4:$R$703,"capacity_converted"),0)</f>
        <v>0</v>
      </c>
      <c r="J280" s="11" t="n">
        <f aca="false">SUM(F280:I280)</f>
        <v>0</v>
      </c>
      <c r="K280" s="11" t="n">
        <f aca="false">J280-E280</f>
        <v>0</v>
      </c>
      <c r="L280" s="11" t="n">
        <f aca="false">IF(D280=1,L279+K280,0)</f>
        <v>119100</v>
      </c>
      <c r="M280" s="11" t="n">
        <f aca="false">IF(D280=1,1/(1+Controls!$B$11)^B280,0)</f>
        <v>0.857339435888705</v>
      </c>
      <c r="N280" s="11" t="n">
        <f aca="false">K280*M280</f>
        <v>0</v>
      </c>
      <c r="O280" s="11" t="n">
        <f aca="false">IF(D280=1,O279+N280,0)</f>
        <v>65253.9062357884</v>
      </c>
      <c r="P280" s="11" t="n">
        <f aca="false">IF(AND(D280=1,L280&lt;0),1,0)</f>
        <v>0</v>
      </c>
      <c r="Q280" s="11" t="n">
        <f aca="false">IF(AND(D280=1,O280&lt;0),1,0)</f>
        <v>0</v>
      </c>
    </row>
    <row r="281" customFormat="false" ht="15" hidden="false" customHeight="false" outlineLevel="0" collapsed="false">
      <c r="A281" s="4" t="s">
        <v>90</v>
      </c>
      <c r="B281" s="4" t="n">
        <v>25</v>
      </c>
      <c r="C281" s="11" t="n">
        <f aca="false">IF(COUNTIF('Scenario inputs'!$A$4:$A$213,Controls!$B$3&amp;"|"&amp;A281)&gt;0,1,0)</f>
        <v>1</v>
      </c>
      <c r="D281" s="11" t="n">
        <f aca="false">IF(AND(C281=1,B281&lt;Controls!$B$12),1,0)</f>
        <v>1</v>
      </c>
      <c r="E281" s="11" t="n">
        <f aca="false">IF(D281=1,SUMPRODUCT((Costs!$B$4:$B$903=A281)*(Costs!$D$4:$D$903="planned")*(Costs!$J$4:$J$903&lt;=B281)*(Costs!$K$4:$K$903&gt;B281)*Costs!$E$4:$E$903),0)</f>
        <v>0</v>
      </c>
      <c r="F281" s="11" t="n">
        <f aca="false">IF(D281=1,SUMIFS(Benefits!$S$4:$S$703,Benefits!$B$4:$B$703,A281,Benefits!$F$4:$F$703,B281,Benefits!$R$4:$R$703,"cash"),0)</f>
        <v>0</v>
      </c>
      <c r="G281" s="11" t="n">
        <f aca="false">IF(D281=1,SUMIFS(Benefits!$S$4:$S$703,Benefits!$B$4:$B$703,A281,Benefits!$F$4:$F$703,B281,Benefits!$R$4:$R$703,"revenue"),0)</f>
        <v>0</v>
      </c>
      <c r="H281" s="11" t="n">
        <f aca="false">IF(D281=1,SUMIFS(Benefits!$S$4:$S$703,Benefits!$B$4:$B$703,A281,Benefits!$F$4:$F$703,B281,Benefits!$R$4:$R$703,"avoided_cost_realised"),0)</f>
        <v>0</v>
      </c>
      <c r="I281" s="11" t="n">
        <f aca="false">IF(D281=1,SUMIFS(Benefits!$S$4:$S$703,Benefits!$B$4:$B$703,A281,Benefits!$F$4:$F$703,B281,Benefits!$R$4:$R$703,"capacity_converted"),0)</f>
        <v>0</v>
      </c>
      <c r="J281" s="11" t="n">
        <f aca="false">SUM(F281:I281)</f>
        <v>0</v>
      </c>
      <c r="K281" s="11" t="n">
        <f aca="false">J281-E281</f>
        <v>0</v>
      </c>
      <c r="L281" s="11" t="n">
        <f aca="false">IF(D281=1,L280+K281,0)</f>
        <v>119100</v>
      </c>
      <c r="M281" s="11" t="n">
        <f aca="false">IF(D281=1,1/(1+Controls!$B$11)^B281,0)</f>
        <v>0.851858577799146</v>
      </c>
      <c r="N281" s="11" t="n">
        <f aca="false">K281*M281</f>
        <v>0</v>
      </c>
      <c r="O281" s="11" t="n">
        <f aca="false">IF(D281=1,O280+N281,0)</f>
        <v>65253.9062357884</v>
      </c>
      <c r="P281" s="11" t="n">
        <f aca="false">IF(AND(D281=1,L281&lt;0),1,0)</f>
        <v>0</v>
      </c>
      <c r="Q281" s="11" t="n">
        <f aca="false">IF(AND(D281=1,O281&lt;0),1,0)</f>
        <v>0</v>
      </c>
    </row>
    <row r="282" customFormat="false" ht="15" hidden="false" customHeight="false" outlineLevel="0" collapsed="false">
      <c r="A282" s="4" t="s">
        <v>90</v>
      </c>
      <c r="B282" s="4" t="n">
        <v>26</v>
      </c>
      <c r="C282" s="11" t="n">
        <f aca="false">IF(COUNTIF('Scenario inputs'!$A$4:$A$213,Controls!$B$3&amp;"|"&amp;A282)&gt;0,1,0)</f>
        <v>1</v>
      </c>
      <c r="D282" s="11" t="n">
        <f aca="false">IF(AND(C282=1,B282&lt;Controls!$B$12),1,0)</f>
        <v>1</v>
      </c>
      <c r="E282" s="11" t="n">
        <f aca="false">IF(D282=1,SUMPRODUCT((Costs!$B$4:$B$903=A282)*(Costs!$D$4:$D$903="planned")*(Costs!$J$4:$J$903&lt;=B282)*(Costs!$K$4:$K$903&gt;B282)*Costs!$E$4:$E$903),0)</f>
        <v>0</v>
      </c>
      <c r="F282" s="11" t="n">
        <f aca="false">IF(D282=1,SUMIFS(Benefits!$S$4:$S$703,Benefits!$B$4:$B$703,A282,Benefits!$F$4:$F$703,B282,Benefits!$R$4:$R$703,"cash"),0)</f>
        <v>0</v>
      </c>
      <c r="G282" s="11" t="n">
        <f aca="false">IF(D282=1,SUMIFS(Benefits!$S$4:$S$703,Benefits!$B$4:$B$703,A282,Benefits!$F$4:$F$703,B282,Benefits!$R$4:$R$703,"revenue"),0)</f>
        <v>0</v>
      </c>
      <c r="H282" s="11" t="n">
        <f aca="false">IF(D282=1,SUMIFS(Benefits!$S$4:$S$703,Benefits!$B$4:$B$703,A282,Benefits!$F$4:$F$703,B282,Benefits!$R$4:$R$703,"avoided_cost_realised"),0)</f>
        <v>0</v>
      </c>
      <c r="I282" s="11" t="n">
        <f aca="false">IF(D282=1,SUMIFS(Benefits!$S$4:$S$703,Benefits!$B$4:$B$703,A282,Benefits!$F$4:$F$703,B282,Benefits!$R$4:$R$703,"capacity_converted"),0)</f>
        <v>0</v>
      </c>
      <c r="J282" s="11" t="n">
        <f aca="false">SUM(F282:I282)</f>
        <v>0</v>
      </c>
      <c r="K282" s="11" t="n">
        <f aca="false">J282-E282</f>
        <v>0</v>
      </c>
      <c r="L282" s="11" t="n">
        <f aca="false">IF(D282=1,L281+K282,0)</f>
        <v>119100</v>
      </c>
      <c r="M282" s="11" t="n">
        <f aca="false">IF(D282=1,1/(1+Controls!$B$11)^B282,0)</f>
        <v>0.846412758113444</v>
      </c>
      <c r="N282" s="11" t="n">
        <f aca="false">K282*M282</f>
        <v>0</v>
      </c>
      <c r="O282" s="11" t="n">
        <f aca="false">IF(D282=1,O281+N282,0)</f>
        <v>65253.9062357884</v>
      </c>
      <c r="P282" s="11" t="n">
        <f aca="false">IF(AND(D282=1,L282&lt;0),1,0)</f>
        <v>0</v>
      </c>
      <c r="Q282" s="11" t="n">
        <f aca="false">IF(AND(D282=1,O282&lt;0),1,0)</f>
        <v>0</v>
      </c>
    </row>
    <row r="283" customFormat="false" ht="15" hidden="false" customHeight="false" outlineLevel="0" collapsed="false">
      <c r="A283" s="4" t="s">
        <v>90</v>
      </c>
      <c r="B283" s="4" t="n">
        <v>27</v>
      </c>
      <c r="C283" s="11" t="n">
        <f aca="false">IF(COUNTIF('Scenario inputs'!$A$4:$A$213,Controls!$B$3&amp;"|"&amp;A283)&gt;0,1,0)</f>
        <v>1</v>
      </c>
      <c r="D283" s="11" t="n">
        <f aca="false">IF(AND(C283=1,B283&lt;Controls!$B$12),1,0)</f>
        <v>1</v>
      </c>
      <c r="E283" s="11" t="n">
        <f aca="false">IF(D283=1,SUMPRODUCT((Costs!$B$4:$B$903=A283)*(Costs!$D$4:$D$903="planned")*(Costs!$J$4:$J$903&lt;=B283)*(Costs!$K$4:$K$903&gt;B283)*Costs!$E$4:$E$903),0)</f>
        <v>0</v>
      </c>
      <c r="F283" s="11" t="n">
        <f aca="false">IF(D283=1,SUMIFS(Benefits!$S$4:$S$703,Benefits!$B$4:$B$703,A283,Benefits!$F$4:$F$703,B283,Benefits!$R$4:$R$703,"cash"),0)</f>
        <v>0</v>
      </c>
      <c r="G283" s="11" t="n">
        <f aca="false">IF(D283=1,SUMIFS(Benefits!$S$4:$S$703,Benefits!$B$4:$B$703,A283,Benefits!$F$4:$F$703,B283,Benefits!$R$4:$R$703,"revenue"),0)</f>
        <v>0</v>
      </c>
      <c r="H283" s="11" t="n">
        <f aca="false">IF(D283=1,SUMIFS(Benefits!$S$4:$S$703,Benefits!$B$4:$B$703,A283,Benefits!$F$4:$F$703,B283,Benefits!$R$4:$R$703,"avoided_cost_realised"),0)</f>
        <v>0</v>
      </c>
      <c r="I283" s="11" t="n">
        <f aca="false">IF(D283=1,SUMIFS(Benefits!$S$4:$S$703,Benefits!$B$4:$B$703,A283,Benefits!$F$4:$F$703,B283,Benefits!$R$4:$R$703,"capacity_converted"),0)</f>
        <v>0</v>
      </c>
      <c r="J283" s="11" t="n">
        <f aca="false">SUM(F283:I283)</f>
        <v>0</v>
      </c>
      <c r="K283" s="11" t="n">
        <f aca="false">J283-E283</f>
        <v>0</v>
      </c>
      <c r="L283" s="11" t="n">
        <f aca="false">IF(D283=1,L282+K283,0)</f>
        <v>119100</v>
      </c>
      <c r="M283" s="11" t="n">
        <f aca="false">IF(D283=1,1/(1+Controls!$B$11)^B283,0)</f>
        <v>0.841001752835699</v>
      </c>
      <c r="N283" s="11" t="n">
        <f aca="false">K283*M283</f>
        <v>0</v>
      </c>
      <c r="O283" s="11" t="n">
        <f aca="false">IF(D283=1,O282+N283,0)</f>
        <v>65253.9062357884</v>
      </c>
      <c r="P283" s="11" t="n">
        <f aca="false">IF(AND(D283=1,L283&lt;0),1,0)</f>
        <v>0</v>
      </c>
      <c r="Q283" s="11" t="n">
        <f aca="false">IF(AND(D283=1,O283&lt;0),1,0)</f>
        <v>0</v>
      </c>
    </row>
    <row r="284" customFormat="false" ht="15" hidden="false" customHeight="false" outlineLevel="0" collapsed="false">
      <c r="A284" s="4" t="s">
        <v>90</v>
      </c>
      <c r="B284" s="4" t="n">
        <v>28</v>
      </c>
      <c r="C284" s="11" t="n">
        <f aca="false">IF(COUNTIF('Scenario inputs'!$A$4:$A$213,Controls!$B$3&amp;"|"&amp;A284)&gt;0,1,0)</f>
        <v>1</v>
      </c>
      <c r="D284" s="11" t="n">
        <f aca="false">IF(AND(C284=1,B284&lt;Controls!$B$12),1,0)</f>
        <v>1</v>
      </c>
      <c r="E284" s="11" t="n">
        <f aca="false">IF(D284=1,SUMPRODUCT((Costs!$B$4:$B$903=A284)*(Costs!$D$4:$D$903="planned")*(Costs!$J$4:$J$903&lt;=B284)*(Costs!$K$4:$K$903&gt;B284)*Costs!$E$4:$E$903),0)</f>
        <v>0</v>
      </c>
      <c r="F284" s="11" t="n">
        <f aca="false">IF(D284=1,SUMIFS(Benefits!$S$4:$S$703,Benefits!$B$4:$B$703,A284,Benefits!$F$4:$F$703,B284,Benefits!$R$4:$R$703,"cash"),0)</f>
        <v>0</v>
      </c>
      <c r="G284" s="11" t="n">
        <f aca="false">IF(D284=1,SUMIFS(Benefits!$S$4:$S$703,Benefits!$B$4:$B$703,A284,Benefits!$F$4:$F$703,B284,Benefits!$R$4:$R$703,"revenue"),0)</f>
        <v>0</v>
      </c>
      <c r="H284" s="11" t="n">
        <f aca="false">IF(D284=1,SUMIFS(Benefits!$S$4:$S$703,Benefits!$B$4:$B$703,A284,Benefits!$F$4:$F$703,B284,Benefits!$R$4:$R$703,"avoided_cost_realised"),0)</f>
        <v>0</v>
      </c>
      <c r="I284" s="11" t="n">
        <f aca="false">IF(D284=1,SUMIFS(Benefits!$S$4:$S$703,Benefits!$B$4:$B$703,A284,Benefits!$F$4:$F$703,B284,Benefits!$R$4:$R$703,"capacity_converted"),0)</f>
        <v>0</v>
      </c>
      <c r="J284" s="11" t="n">
        <f aca="false">SUM(F284:I284)</f>
        <v>0</v>
      </c>
      <c r="K284" s="11" t="n">
        <f aca="false">J284-E284</f>
        <v>0</v>
      </c>
      <c r="L284" s="11" t="n">
        <f aca="false">IF(D284=1,L283+K284,0)</f>
        <v>119100</v>
      </c>
      <c r="M284" s="11" t="n">
        <f aca="false">IF(D284=1,1/(1+Controls!$B$11)^B284,0)</f>
        <v>0.835625339401986</v>
      </c>
      <c r="N284" s="11" t="n">
        <f aca="false">K284*M284</f>
        <v>0</v>
      </c>
      <c r="O284" s="11" t="n">
        <f aca="false">IF(D284=1,O283+N284,0)</f>
        <v>65253.9062357884</v>
      </c>
      <c r="P284" s="11" t="n">
        <f aca="false">IF(AND(D284=1,L284&lt;0),1,0)</f>
        <v>0</v>
      </c>
      <c r="Q284" s="11" t="n">
        <f aca="false">IF(AND(D284=1,O284&lt;0),1,0)</f>
        <v>0</v>
      </c>
    </row>
    <row r="285" customFormat="false" ht="15" hidden="false" customHeight="false" outlineLevel="0" collapsed="false">
      <c r="A285" s="4" t="s">
        <v>90</v>
      </c>
      <c r="B285" s="4" t="n">
        <v>29</v>
      </c>
      <c r="C285" s="11" t="n">
        <f aca="false">IF(COUNTIF('Scenario inputs'!$A$4:$A$213,Controls!$B$3&amp;"|"&amp;A285)&gt;0,1,0)</f>
        <v>1</v>
      </c>
      <c r="D285" s="11" t="n">
        <f aca="false">IF(AND(C285=1,B285&lt;Controls!$B$12),1,0)</f>
        <v>1</v>
      </c>
      <c r="E285" s="11" t="n">
        <f aca="false">IF(D285=1,SUMPRODUCT((Costs!$B$4:$B$903=A285)*(Costs!$D$4:$D$903="planned")*(Costs!$J$4:$J$903&lt;=B285)*(Costs!$K$4:$K$903&gt;B285)*Costs!$E$4:$E$903),0)</f>
        <v>0</v>
      </c>
      <c r="F285" s="11" t="n">
        <f aca="false">IF(D285=1,SUMIFS(Benefits!$S$4:$S$703,Benefits!$B$4:$B$703,A285,Benefits!$F$4:$F$703,B285,Benefits!$R$4:$R$703,"cash"),0)</f>
        <v>0</v>
      </c>
      <c r="G285" s="11" t="n">
        <f aca="false">IF(D285=1,SUMIFS(Benefits!$S$4:$S$703,Benefits!$B$4:$B$703,A285,Benefits!$F$4:$F$703,B285,Benefits!$R$4:$R$703,"revenue"),0)</f>
        <v>0</v>
      </c>
      <c r="H285" s="11" t="n">
        <f aca="false">IF(D285=1,SUMIFS(Benefits!$S$4:$S$703,Benefits!$B$4:$B$703,A285,Benefits!$F$4:$F$703,B285,Benefits!$R$4:$R$703,"avoided_cost_realised"),0)</f>
        <v>0</v>
      </c>
      <c r="I285" s="11" t="n">
        <f aca="false">IF(D285=1,SUMIFS(Benefits!$S$4:$S$703,Benefits!$B$4:$B$703,A285,Benefits!$F$4:$F$703,B285,Benefits!$R$4:$R$703,"capacity_converted"),0)</f>
        <v>0</v>
      </c>
      <c r="J285" s="11" t="n">
        <f aca="false">SUM(F285:I285)</f>
        <v>0</v>
      </c>
      <c r="K285" s="11" t="n">
        <f aca="false">J285-E285</f>
        <v>0</v>
      </c>
      <c r="L285" s="11" t="n">
        <f aca="false">IF(D285=1,L284+K285,0)</f>
        <v>119100</v>
      </c>
      <c r="M285" s="11" t="n">
        <f aca="false">IF(D285=1,1/(1+Controls!$B$11)^B285,0)</f>
        <v>0.830283296671204</v>
      </c>
      <c r="N285" s="11" t="n">
        <f aca="false">K285*M285</f>
        <v>0</v>
      </c>
      <c r="O285" s="11" t="n">
        <f aca="false">IF(D285=1,O284+N285,0)</f>
        <v>65253.9062357884</v>
      </c>
      <c r="P285" s="11" t="n">
        <f aca="false">IF(AND(D285=1,L285&lt;0),1,0)</f>
        <v>0</v>
      </c>
      <c r="Q285" s="11" t="n">
        <f aca="false">IF(AND(D285=1,O285&lt;0),1,0)</f>
        <v>0</v>
      </c>
    </row>
    <row r="286" customFormat="false" ht="15" hidden="false" customHeight="false" outlineLevel="0" collapsed="false">
      <c r="A286" s="4" t="s">
        <v>90</v>
      </c>
      <c r="B286" s="4" t="n">
        <v>30</v>
      </c>
      <c r="C286" s="11" t="n">
        <f aca="false">IF(COUNTIF('Scenario inputs'!$A$4:$A$213,Controls!$B$3&amp;"|"&amp;A286)&gt;0,1,0)</f>
        <v>1</v>
      </c>
      <c r="D286" s="11" t="n">
        <f aca="false">IF(AND(C286=1,B286&lt;Controls!$B$12),1,0)</f>
        <v>1</v>
      </c>
      <c r="E286" s="11" t="n">
        <f aca="false">IF(D286=1,SUMPRODUCT((Costs!$B$4:$B$903=A286)*(Costs!$D$4:$D$903="planned")*(Costs!$J$4:$J$903&lt;=B286)*(Costs!$K$4:$K$903&gt;B286)*Costs!$E$4:$E$903),0)</f>
        <v>0</v>
      </c>
      <c r="F286" s="11" t="n">
        <f aca="false">IF(D286=1,SUMIFS(Benefits!$S$4:$S$703,Benefits!$B$4:$B$703,A286,Benefits!$F$4:$F$703,B286,Benefits!$R$4:$R$703,"cash"),0)</f>
        <v>0</v>
      </c>
      <c r="G286" s="11" t="n">
        <f aca="false">IF(D286=1,SUMIFS(Benefits!$S$4:$S$703,Benefits!$B$4:$B$703,A286,Benefits!$F$4:$F$703,B286,Benefits!$R$4:$R$703,"revenue"),0)</f>
        <v>0</v>
      </c>
      <c r="H286" s="11" t="n">
        <f aca="false">IF(D286=1,SUMIFS(Benefits!$S$4:$S$703,Benefits!$B$4:$B$703,A286,Benefits!$F$4:$F$703,B286,Benefits!$R$4:$R$703,"avoided_cost_realised"),0)</f>
        <v>0</v>
      </c>
      <c r="I286" s="11" t="n">
        <f aca="false">IF(D286=1,SUMIFS(Benefits!$S$4:$S$703,Benefits!$B$4:$B$703,A286,Benefits!$F$4:$F$703,B286,Benefits!$R$4:$R$703,"capacity_converted"),0)</f>
        <v>0</v>
      </c>
      <c r="J286" s="11" t="n">
        <f aca="false">SUM(F286:I286)</f>
        <v>0</v>
      </c>
      <c r="K286" s="11" t="n">
        <f aca="false">J286-E286</f>
        <v>0</v>
      </c>
      <c r="L286" s="11" t="n">
        <f aca="false">IF(D286=1,L285+K286,0)</f>
        <v>119100</v>
      </c>
      <c r="M286" s="11" t="n">
        <f aca="false">IF(D286=1,1/(1+Controls!$B$11)^B286,0)</f>
        <v>0.824975404915974</v>
      </c>
      <c r="N286" s="11" t="n">
        <f aca="false">K286*M286</f>
        <v>0</v>
      </c>
      <c r="O286" s="11" t="n">
        <f aca="false">IF(D286=1,O285+N286,0)</f>
        <v>65253.9062357884</v>
      </c>
      <c r="P286" s="11" t="n">
        <f aca="false">IF(AND(D286=1,L286&lt;0),1,0)</f>
        <v>0</v>
      </c>
      <c r="Q286" s="11" t="n">
        <f aca="false">IF(AND(D286=1,O286&lt;0),1,0)</f>
        <v>0</v>
      </c>
    </row>
    <row r="287" customFormat="false" ht="15" hidden="false" customHeight="false" outlineLevel="0" collapsed="false">
      <c r="A287" s="4" t="s">
        <v>90</v>
      </c>
      <c r="B287" s="4" t="n">
        <v>31</v>
      </c>
      <c r="C287" s="11" t="n">
        <f aca="false">IF(COUNTIF('Scenario inputs'!$A$4:$A$213,Controls!$B$3&amp;"|"&amp;A287)&gt;0,1,0)</f>
        <v>1</v>
      </c>
      <c r="D287" s="11" t="n">
        <f aca="false">IF(AND(C287=1,B287&lt;Controls!$B$12),1,0)</f>
        <v>1</v>
      </c>
      <c r="E287" s="11" t="n">
        <f aca="false">IF(D287=1,SUMPRODUCT((Costs!$B$4:$B$903=A287)*(Costs!$D$4:$D$903="planned")*(Costs!$J$4:$J$903&lt;=B287)*(Costs!$K$4:$K$903&gt;B287)*Costs!$E$4:$E$903),0)</f>
        <v>0</v>
      </c>
      <c r="F287" s="11" t="n">
        <f aca="false">IF(D287=1,SUMIFS(Benefits!$S$4:$S$703,Benefits!$B$4:$B$703,A287,Benefits!$F$4:$F$703,B287,Benefits!$R$4:$R$703,"cash"),0)</f>
        <v>0</v>
      </c>
      <c r="G287" s="11" t="n">
        <f aca="false">IF(D287=1,SUMIFS(Benefits!$S$4:$S$703,Benefits!$B$4:$B$703,A287,Benefits!$F$4:$F$703,B287,Benefits!$R$4:$R$703,"revenue"),0)</f>
        <v>0</v>
      </c>
      <c r="H287" s="11" t="n">
        <f aca="false">IF(D287=1,SUMIFS(Benefits!$S$4:$S$703,Benefits!$B$4:$B$703,A287,Benefits!$F$4:$F$703,B287,Benefits!$R$4:$R$703,"avoided_cost_realised"),0)</f>
        <v>0</v>
      </c>
      <c r="I287" s="11" t="n">
        <f aca="false">IF(D287=1,SUMIFS(Benefits!$S$4:$S$703,Benefits!$B$4:$B$703,A287,Benefits!$F$4:$F$703,B287,Benefits!$R$4:$R$703,"capacity_converted"),0)</f>
        <v>0</v>
      </c>
      <c r="J287" s="11" t="n">
        <f aca="false">SUM(F287:I287)</f>
        <v>0</v>
      </c>
      <c r="K287" s="11" t="n">
        <f aca="false">J287-E287</f>
        <v>0</v>
      </c>
      <c r="L287" s="11" t="n">
        <f aca="false">IF(D287=1,L286+K287,0)</f>
        <v>119100</v>
      </c>
      <c r="M287" s="11" t="n">
        <f aca="false">IF(D287=1,1/(1+Controls!$B$11)^B287,0)</f>
        <v>0.81970144581361</v>
      </c>
      <c r="N287" s="11" t="n">
        <f aca="false">K287*M287</f>
        <v>0</v>
      </c>
      <c r="O287" s="11" t="n">
        <f aca="false">IF(D287=1,O286+N287,0)</f>
        <v>65253.9062357884</v>
      </c>
      <c r="P287" s="11" t="n">
        <f aca="false">IF(AND(D287=1,L287&lt;0),1,0)</f>
        <v>0</v>
      </c>
      <c r="Q287" s="11" t="n">
        <f aca="false">IF(AND(D287=1,O287&lt;0),1,0)</f>
        <v>0</v>
      </c>
    </row>
    <row r="288" customFormat="false" ht="15" hidden="false" customHeight="false" outlineLevel="0" collapsed="false">
      <c r="A288" s="4" t="s">
        <v>90</v>
      </c>
      <c r="B288" s="4" t="n">
        <v>32</v>
      </c>
      <c r="C288" s="11" t="n">
        <f aca="false">IF(COUNTIF('Scenario inputs'!$A$4:$A$213,Controls!$B$3&amp;"|"&amp;A288)&gt;0,1,0)</f>
        <v>1</v>
      </c>
      <c r="D288" s="11" t="n">
        <f aca="false">IF(AND(C288=1,B288&lt;Controls!$B$12),1,0)</f>
        <v>1</v>
      </c>
      <c r="E288" s="11" t="n">
        <f aca="false">IF(D288=1,SUMPRODUCT((Costs!$B$4:$B$903=A288)*(Costs!$D$4:$D$903="planned")*(Costs!$J$4:$J$903&lt;=B288)*(Costs!$K$4:$K$903&gt;B288)*Costs!$E$4:$E$903),0)</f>
        <v>0</v>
      </c>
      <c r="F288" s="11" t="n">
        <f aca="false">IF(D288=1,SUMIFS(Benefits!$S$4:$S$703,Benefits!$B$4:$B$703,A288,Benefits!$F$4:$F$703,B288,Benefits!$R$4:$R$703,"cash"),0)</f>
        <v>0</v>
      </c>
      <c r="G288" s="11" t="n">
        <f aca="false">IF(D288=1,SUMIFS(Benefits!$S$4:$S$703,Benefits!$B$4:$B$703,A288,Benefits!$F$4:$F$703,B288,Benefits!$R$4:$R$703,"revenue"),0)</f>
        <v>0</v>
      </c>
      <c r="H288" s="11" t="n">
        <f aca="false">IF(D288=1,SUMIFS(Benefits!$S$4:$S$703,Benefits!$B$4:$B$703,A288,Benefits!$F$4:$F$703,B288,Benefits!$R$4:$R$703,"avoided_cost_realised"),0)</f>
        <v>0</v>
      </c>
      <c r="I288" s="11" t="n">
        <f aca="false">IF(D288=1,SUMIFS(Benefits!$S$4:$S$703,Benefits!$B$4:$B$703,A288,Benefits!$F$4:$F$703,B288,Benefits!$R$4:$R$703,"capacity_converted"),0)</f>
        <v>0</v>
      </c>
      <c r="J288" s="11" t="n">
        <f aca="false">SUM(F288:I288)</f>
        <v>0</v>
      </c>
      <c r="K288" s="11" t="n">
        <f aca="false">J288-E288</f>
        <v>0</v>
      </c>
      <c r="L288" s="11" t="n">
        <f aca="false">IF(D288=1,L287+K288,0)</f>
        <v>119100</v>
      </c>
      <c r="M288" s="11" t="n">
        <f aca="false">IF(D288=1,1/(1+Controls!$B$11)^B288,0)</f>
        <v>0.814461202437129</v>
      </c>
      <c r="N288" s="11" t="n">
        <f aca="false">K288*M288</f>
        <v>0</v>
      </c>
      <c r="O288" s="11" t="n">
        <f aca="false">IF(D288=1,O287+N288,0)</f>
        <v>65253.9062357884</v>
      </c>
      <c r="P288" s="11" t="n">
        <f aca="false">IF(AND(D288=1,L288&lt;0),1,0)</f>
        <v>0</v>
      </c>
      <c r="Q288" s="11" t="n">
        <f aca="false">IF(AND(D288=1,O288&lt;0),1,0)</f>
        <v>0</v>
      </c>
    </row>
    <row r="289" customFormat="false" ht="15" hidden="false" customHeight="false" outlineLevel="0" collapsed="false">
      <c r="A289" s="4" t="s">
        <v>90</v>
      </c>
      <c r="B289" s="4" t="n">
        <v>33</v>
      </c>
      <c r="C289" s="11" t="n">
        <f aca="false">IF(COUNTIF('Scenario inputs'!$A$4:$A$213,Controls!$B$3&amp;"|"&amp;A289)&gt;0,1,0)</f>
        <v>1</v>
      </c>
      <c r="D289" s="11" t="n">
        <f aca="false">IF(AND(C289=1,B289&lt;Controls!$B$12),1,0)</f>
        <v>1</v>
      </c>
      <c r="E289" s="11" t="n">
        <f aca="false">IF(D289=1,SUMPRODUCT((Costs!$B$4:$B$903=A289)*(Costs!$D$4:$D$903="planned")*(Costs!$J$4:$J$903&lt;=B289)*(Costs!$K$4:$K$903&gt;B289)*Costs!$E$4:$E$903),0)</f>
        <v>0</v>
      </c>
      <c r="F289" s="11" t="n">
        <f aca="false">IF(D289=1,SUMIFS(Benefits!$S$4:$S$703,Benefits!$B$4:$B$703,A289,Benefits!$F$4:$F$703,B289,Benefits!$R$4:$R$703,"cash"),0)</f>
        <v>0</v>
      </c>
      <c r="G289" s="11" t="n">
        <f aca="false">IF(D289=1,SUMIFS(Benefits!$S$4:$S$703,Benefits!$B$4:$B$703,A289,Benefits!$F$4:$F$703,B289,Benefits!$R$4:$R$703,"revenue"),0)</f>
        <v>0</v>
      </c>
      <c r="H289" s="11" t="n">
        <f aca="false">IF(D289=1,SUMIFS(Benefits!$S$4:$S$703,Benefits!$B$4:$B$703,A289,Benefits!$F$4:$F$703,B289,Benefits!$R$4:$R$703,"avoided_cost_realised"),0)</f>
        <v>0</v>
      </c>
      <c r="I289" s="11" t="n">
        <f aca="false">IF(D289=1,SUMIFS(Benefits!$S$4:$S$703,Benefits!$B$4:$B$703,A289,Benefits!$F$4:$F$703,B289,Benefits!$R$4:$R$703,"capacity_converted"),0)</f>
        <v>0</v>
      </c>
      <c r="J289" s="11" t="n">
        <f aca="false">SUM(F289:I289)</f>
        <v>0</v>
      </c>
      <c r="K289" s="11" t="n">
        <f aca="false">J289-E289</f>
        <v>0</v>
      </c>
      <c r="L289" s="11" t="n">
        <f aca="false">IF(D289=1,L288+K289,0)</f>
        <v>119100</v>
      </c>
      <c r="M289" s="11" t="n">
        <f aca="false">IF(D289=1,1/(1+Controls!$B$11)^B289,0)</f>
        <v>0.809254459246338</v>
      </c>
      <c r="N289" s="11" t="n">
        <f aca="false">K289*M289</f>
        <v>0</v>
      </c>
      <c r="O289" s="11" t="n">
        <f aca="false">IF(D289=1,O288+N289,0)</f>
        <v>65253.9062357884</v>
      </c>
      <c r="P289" s="11" t="n">
        <f aca="false">IF(AND(D289=1,L289&lt;0),1,0)</f>
        <v>0</v>
      </c>
      <c r="Q289" s="11" t="n">
        <f aca="false">IF(AND(D289=1,O289&lt;0),1,0)</f>
        <v>0</v>
      </c>
    </row>
    <row r="290" customFormat="false" ht="15" hidden="false" customHeight="false" outlineLevel="0" collapsed="false">
      <c r="A290" s="4" t="s">
        <v>90</v>
      </c>
      <c r="B290" s="4" t="n">
        <v>34</v>
      </c>
      <c r="C290" s="11" t="n">
        <f aca="false">IF(COUNTIF('Scenario inputs'!$A$4:$A$213,Controls!$B$3&amp;"|"&amp;A290)&gt;0,1,0)</f>
        <v>1</v>
      </c>
      <c r="D290" s="11" t="n">
        <f aca="false">IF(AND(C290=1,B290&lt;Controls!$B$12),1,0)</f>
        <v>1</v>
      </c>
      <c r="E290" s="11" t="n">
        <f aca="false">IF(D290=1,SUMPRODUCT((Costs!$B$4:$B$903=A290)*(Costs!$D$4:$D$903="planned")*(Costs!$J$4:$J$903&lt;=B290)*(Costs!$K$4:$K$903&gt;B290)*Costs!$E$4:$E$903),0)</f>
        <v>0</v>
      </c>
      <c r="F290" s="11" t="n">
        <f aca="false">IF(D290=1,SUMIFS(Benefits!$S$4:$S$703,Benefits!$B$4:$B$703,A290,Benefits!$F$4:$F$703,B290,Benefits!$R$4:$R$703,"cash"),0)</f>
        <v>0</v>
      </c>
      <c r="G290" s="11" t="n">
        <f aca="false">IF(D290=1,SUMIFS(Benefits!$S$4:$S$703,Benefits!$B$4:$B$703,A290,Benefits!$F$4:$F$703,B290,Benefits!$R$4:$R$703,"revenue"),0)</f>
        <v>0</v>
      </c>
      <c r="H290" s="11" t="n">
        <f aca="false">IF(D290=1,SUMIFS(Benefits!$S$4:$S$703,Benefits!$B$4:$B$703,A290,Benefits!$F$4:$F$703,B290,Benefits!$R$4:$R$703,"avoided_cost_realised"),0)</f>
        <v>0</v>
      </c>
      <c r="I290" s="11" t="n">
        <f aca="false">IF(D290=1,SUMIFS(Benefits!$S$4:$S$703,Benefits!$B$4:$B$703,A290,Benefits!$F$4:$F$703,B290,Benefits!$R$4:$R$703,"capacity_converted"),0)</f>
        <v>0</v>
      </c>
      <c r="J290" s="11" t="n">
        <f aca="false">SUM(F290:I290)</f>
        <v>0</v>
      </c>
      <c r="K290" s="11" t="n">
        <f aca="false">J290-E290</f>
        <v>0</v>
      </c>
      <c r="L290" s="11" t="n">
        <f aca="false">IF(D290=1,L289+K290,0)</f>
        <v>119100</v>
      </c>
      <c r="M290" s="11" t="n">
        <f aca="false">IF(D290=1,1/(1+Controls!$B$11)^B290,0)</f>
        <v>0.804081002078962</v>
      </c>
      <c r="N290" s="11" t="n">
        <f aca="false">K290*M290</f>
        <v>0</v>
      </c>
      <c r="O290" s="11" t="n">
        <f aca="false">IF(D290=1,O289+N290,0)</f>
        <v>65253.9062357884</v>
      </c>
      <c r="P290" s="11" t="n">
        <f aca="false">IF(AND(D290=1,L290&lt;0),1,0)</f>
        <v>0</v>
      </c>
      <c r="Q290" s="11" t="n">
        <f aca="false">IF(AND(D290=1,O290&lt;0),1,0)</f>
        <v>0</v>
      </c>
    </row>
    <row r="291" customFormat="false" ht="15" hidden="false" customHeight="false" outlineLevel="0" collapsed="false">
      <c r="A291" s="4" t="s">
        <v>90</v>
      </c>
      <c r="B291" s="4" t="n">
        <v>35</v>
      </c>
      <c r="C291" s="11" t="n">
        <f aca="false">IF(COUNTIF('Scenario inputs'!$A$4:$A$213,Controls!$B$3&amp;"|"&amp;A291)&gt;0,1,0)</f>
        <v>1</v>
      </c>
      <c r="D291" s="11" t="n">
        <f aca="false">IF(AND(C291=1,B291&lt;Controls!$B$12),1,0)</f>
        <v>1</v>
      </c>
      <c r="E291" s="11" t="n">
        <f aca="false">IF(D291=1,SUMPRODUCT((Costs!$B$4:$B$903=A291)*(Costs!$D$4:$D$903="planned")*(Costs!$J$4:$J$903&lt;=B291)*(Costs!$K$4:$K$903&gt;B291)*Costs!$E$4:$E$903),0)</f>
        <v>0</v>
      </c>
      <c r="F291" s="11" t="n">
        <f aca="false">IF(D291=1,SUMIFS(Benefits!$S$4:$S$703,Benefits!$B$4:$B$703,A291,Benefits!$F$4:$F$703,B291,Benefits!$R$4:$R$703,"cash"),0)</f>
        <v>0</v>
      </c>
      <c r="G291" s="11" t="n">
        <f aca="false">IF(D291=1,SUMIFS(Benefits!$S$4:$S$703,Benefits!$B$4:$B$703,A291,Benefits!$F$4:$F$703,B291,Benefits!$R$4:$R$703,"revenue"),0)</f>
        <v>0</v>
      </c>
      <c r="H291" s="11" t="n">
        <f aca="false">IF(D291=1,SUMIFS(Benefits!$S$4:$S$703,Benefits!$B$4:$B$703,A291,Benefits!$F$4:$F$703,B291,Benefits!$R$4:$R$703,"avoided_cost_realised"),0)</f>
        <v>0</v>
      </c>
      <c r="I291" s="11" t="n">
        <f aca="false">IF(D291=1,SUMIFS(Benefits!$S$4:$S$703,Benefits!$B$4:$B$703,A291,Benefits!$F$4:$F$703,B291,Benefits!$R$4:$R$703,"capacity_converted"),0)</f>
        <v>0</v>
      </c>
      <c r="J291" s="11" t="n">
        <f aca="false">SUM(F291:I291)</f>
        <v>0</v>
      </c>
      <c r="K291" s="11" t="n">
        <f aca="false">J291-E291</f>
        <v>0</v>
      </c>
      <c r="L291" s="11" t="n">
        <f aca="false">IF(D291=1,L290+K291,0)</f>
        <v>119100</v>
      </c>
      <c r="M291" s="11" t="n">
        <f aca="false">IF(D291=1,1/(1+Controls!$B$11)^B291,0)</f>
        <v>0.798940618141837</v>
      </c>
      <c r="N291" s="11" t="n">
        <f aca="false">K291*M291</f>
        <v>0</v>
      </c>
      <c r="O291" s="11" t="n">
        <f aca="false">IF(D291=1,O290+N291,0)</f>
        <v>65253.9062357884</v>
      </c>
      <c r="P291" s="11" t="n">
        <f aca="false">IF(AND(D291=1,L291&lt;0),1,0)</f>
        <v>0</v>
      </c>
      <c r="Q291" s="11" t="n">
        <f aca="false">IF(AND(D291=1,O291&lt;0),1,0)</f>
        <v>0</v>
      </c>
    </row>
    <row r="292" customFormat="false" ht="15" hidden="false" customHeight="false" outlineLevel="0" collapsed="false">
      <c r="A292" s="4" t="s">
        <v>91</v>
      </c>
      <c r="B292" s="4" t="n">
        <v>0</v>
      </c>
      <c r="C292" s="11" t="n">
        <f aca="false">IF(COUNTIF('Scenario inputs'!$A$4:$A$213,Controls!$B$3&amp;"|"&amp;A292)&gt;0,1,0)</f>
        <v>1</v>
      </c>
      <c r="D292" s="11" t="n">
        <f aca="false">IF(AND(C292=1,B292&lt;Controls!$B$12),1,0)</f>
        <v>1</v>
      </c>
      <c r="E292" s="11" t="n">
        <f aca="false">IF(D292=1,SUMPRODUCT((Costs!$B$4:$B$903=A292)*(Costs!$D$4:$D$903="planned")*(Costs!$J$4:$J$903&lt;=B292)*(Costs!$K$4:$K$903&gt;B292)*Costs!$E$4:$E$903),0)</f>
        <v>12000</v>
      </c>
      <c r="F292" s="11" t="n">
        <f aca="false">IF(D292=1,SUMIFS(Benefits!$S$4:$S$703,Benefits!$B$4:$B$703,A292,Benefits!$F$4:$F$703,B292,Benefits!$R$4:$R$703,"cash"),0)</f>
        <v>0</v>
      </c>
      <c r="G292" s="11" t="n">
        <f aca="false">IF(D292=1,SUMIFS(Benefits!$S$4:$S$703,Benefits!$B$4:$B$703,A292,Benefits!$F$4:$F$703,B292,Benefits!$R$4:$R$703,"revenue"),0)</f>
        <v>0</v>
      </c>
      <c r="H292" s="11" t="n">
        <f aca="false">IF(D292=1,SUMIFS(Benefits!$S$4:$S$703,Benefits!$B$4:$B$703,A292,Benefits!$F$4:$F$703,B292,Benefits!$R$4:$R$703,"avoided_cost_realised"),0)</f>
        <v>0</v>
      </c>
      <c r="I292" s="11" t="n">
        <f aca="false">IF(D292=1,SUMIFS(Benefits!$S$4:$S$703,Benefits!$B$4:$B$703,A292,Benefits!$F$4:$F$703,B292,Benefits!$R$4:$R$703,"capacity_converted"),0)</f>
        <v>0</v>
      </c>
      <c r="J292" s="11" t="n">
        <f aca="false">SUM(F292:I292)</f>
        <v>0</v>
      </c>
      <c r="K292" s="11" t="n">
        <f aca="false">J292-E292</f>
        <v>-12000</v>
      </c>
      <c r="L292" s="11" t="n">
        <f aca="false">IF(D292=1,K292,0)</f>
        <v>-12000</v>
      </c>
      <c r="M292" s="11" t="n">
        <f aca="false">IF(D292=1,1/(1+Controls!$B$11)^B292,0)</f>
        <v>1</v>
      </c>
      <c r="N292" s="11" t="n">
        <f aca="false">K292*M292</f>
        <v>-12000</v>
      </c>
      <c r="O292" s="11" t="n">
        <f aca="false">IF(D292=1,N292,0)</f>
        <v>-12000</v>
      </c>
      <c r="P292" s="11" t="n">
        <f aca="false">IF(AND(D292=1,L292&lt;0),1,0)</f>
        <v>1</v>
      </c>
      <c r="Q292" s="11" t="n">
        <f aca="false">IF(AND(D292=1,O292&lt;0),1,0)</f>
        <v>1</v>
      </c>
    </row>
    <row r="293" customFormat="false" ht="15" hidden="false" customHeight="false" outlineLevel="0" collapsed="false">
      <c r="A293" s="4" t="s">
        <v>91</v>
      </c>
      <c r="B293" s="4" t="n">
        <v>1</v>
      </c>
      <c r="C293" s="11" t="n">
        <f aca="false">IF(COUNTIF('Scenario inputs'!$A$4:$A$213,Controls!$B$3&amp;"|"&amp;A293)&gt;0,1,0)</f>
        <v>1</v>
      </c>
      <c r="D293" s="11" t="n">
        <f aca="false">IF(AND(C293=1,B293&lt;Controls!$B$12),1,0)</f>
        <v>1</v>
      </c>
      <c r="E293" s="11" t="n">
        <f aca="false">IF(D293=1,SUMPRODUCT((Costs!$B$4:$B$903=A293)*(Costs!$D$4:$D$903="planned")*(Costs!$J$4:$J$903&lt;=B293)*(Costs!$K$4:$K$903&gt;B293)*Costs!$E$4:$E$903),0)</f>
        <v>291450</v>
      </c>
      <c r="F293" s="11" t="n">
        <f aca="false">IF(D293=1,SUMIFS(Benefits!$S$4:$S$703,Benefits!$B$4:$B$703,A293,Benefits!$F$4:$F$703,B293,Benefits!$R$4:$R$703,"cash"),0)</f>
        <v>0</v>
      </c>
      <c r="G293" s="11" t="n">
        <f aca="false">IF(D293=1,SUMIFS(Benefits!$S$4:$S$703,Benefits!$B$4:$B$703,A293,Benefits!$F$4:$F$703,B293,Benefits!$R$4:$R$703,"revenue"),0)</f>
        <v>0</v>
      </c>
      <c r="H293" s="11" t="n">
        <f aca="false">IF(D293=1,SUMIFS(Benefits!$S$4:$S$703,Benefits!$B$4:$B$703,A293,Benefits!$F$4:$F$703,B293,Benefits!$R$4:$R$703,"avoided_cost_realised"),0)</f>
        <v>0</v>
      </c>
      <c r="I293" s="11" t="n">
        <f aca="false">IF(D293=1,SUMIFS(Benefits!$S$4:$S$703,Benefits!$B$4:$B$703,A293,Benefits!$F$4:$F$703,B293,Benefits!$R$4:$R$703,"capacity_converted"),0)</f>
        <v>0</v>
      </c>
      <c r="J293" s="11" t="n">
        <f aca="false">SUM(F293:I293)</f>
        <v>0</v>
      </c>
      <c r="K293" s="11" t="n">
        <f aca="false">J293-E293</f>
        <v>-291450</v>
      </c>
      <c r="L293" s="11" t="n">
        <f aca="false">IF(D293=1,L292+K293,0)</f>
        <v>-303450</v>
      </c>
      <c r="M293" s="11" t="n">
        <f aca="false">IF(D293=1,1/(1+Controls!$B$11)^B293,0)</f>
        <v>0.993607131714549</v>
      </c>
      <c r="N293" s="11" t="n">
        <f aca="false">K293*M293</f>
        <v>-289586.798538205</v>
      </c>
      <c r="O293" s="11" t="n">
        <f aca="false">IF(D293=1,O292+N293,0)</f>
        <v>-301586.798538205</v>
      </c>
      <c r="P293" s="11" t="n">
        <f aca="false">IF(AND(D293=1,L293&lt;0),1,0)</f>
        <v>1</v>
      </c>
      <c r="Q293" s="11" t="n">
        <f aca="false">IF(AND(D293=1,O293&lt;0),1,0)</f>
        <v>1</v>
      </c>
    </row>
    <row r="294" customFormat="false" ht="15" hidden="false" customHeight="false" outlineLevel="0" collapsed="false">
      <c r="A294" s="4" t="s">
        <v>91</v>
      </c>
      <c r="B294" s="4" t="n">
        <v>2</v>
      </c>
      <c r="C294" s="11" t="n">
        <f aca="false">IF(COUNTIF('Scenario inputs'!$A$4:$A$213,Controls!$B$3&amp;"|"&amp;A294)&gt;0,1,0)</f>
        <v>1</v>
      </c>
      <c r="D294" s="11" t="n">
        <f aca="false">IF(AND(C294=1,B294&lt;Controls!$B$12),1,0)</f>
        <v>1</v>
      </c>
      <c r="E294" s="11" t="n">
        <f aca="false">IF(D294=1,SUMPRODUCT((Costs!$B$4:$B$903=A294)*(Costs!$D$4:$D$903="planned")*(Costs!$J$4:$J$903&lt;=B294)*(Costs!$K$4:$K$903&gt;B294)*Costs!$E$4:$E$903),0)</f>
        <v>246550</v>
      </c>
      <c r="F294" s="11" t="n">
        <f aca="false">IF(D294=1,SUMIFS(Benefits!$S$4:$S$703,Benefits!$B$4:$B$703,A294,Benefits!$F$4:$F$703,B294,Benefits!$R$4:$R$703,"cash"),0)</f>
        <v>0</v>
      </c>
      <c r="G294" s="11" t="n">
        <f aca="false">IF(D294=1,SUMIFS(Benefits!$S$4:$S$703,Benefits!$B$4:$B$703,A294,Benefits!$F$4:$F$703,B294,Benefits!$R$4:$R$703,"revenue"),0)</f>
        <v>0</v>
      </c>
      <c r="H294" s="11" t="n">
        <f aca="false">IF(D294=1,SUMIFS(Benefits!$S$4:$S$703,Benefits!$B$4:$B$703,A294,Benefits!$F$4:$F$703,B294,Benefits!$R$4:$R$703,"avoided_cost_realised"),0)</f>
        <v>0</v>
      </c>
      <c r="I294" s="11" t="n">
        <f aca="false">IF(D294=1,SUMIFS(Benefits!$S$4:$S$703,Benefits!$B$4:$B$703,A294,Benefits!$F$4:$F$703,B294,Benefits!$R$4:$R$703,"capacity_converted"),0)</f>
        <v>0</v>
      </c>
      <c r="J294" s="11" t="n">
        <f aca="false">SUM(F294:I294)</f>
        <v>0</v>
      </c>
      <c r="K294" s="11" t="n">
        <f aca="false">J294-E294</f>
        <v>-246550</v>
      </c>
      <c r="L294" s="11" t="n">
        <f aca="false">IF(D294=1,L293+K294,0)</f>
        <v>-550000</v>
      </c>
      <c r="M294" s="11" t="n">
        <f aca="false">IF(D294=1,1/(1+Controls!$B$11)^B294,0)</f>
        <v>0.987255132194012</v>
      </c>
      <c r="N294" s="11" t="n">
        <f aca="false">K294*M294</f>
        <v>-243407.752842434</v>
      </c>
      <c r="O294" s="11" t="n">
        <f aca="false">IF(D294=1,O293+N294,0)</f>
        <v>-544994.551380639</v>
      </c>
      <c r="P294" s="11" t="n">
        <f aca="false">IF(AND(D294=1,L294&lt;0),1,0)</f>
        <v>1</v>
      </c>
      <c r="Q294" s="11" t="n">
        <f aca="false">IF(AND(D294=1,O294&lt;0),1,0)</f>
        <v>1</v>
      </c>
    </row>
    <row r="295" customFormat="false" ht="15" hidden="false" customHeight="false" outlineLevel="0" collapsed="false">
      <c r="A295" s="4" t="s">
        <v>91</v>
      </c>
      <c r="B295" s="4" t="n">
        <v>3</v>
      </c>
      <c r="C295" s="11" t="n">
        <f aca="false">IF(COUNTIF('Scenario inputs'!$A$4:$A$213,Controls!$B$3&amp;"|"&amp;A295)&gt;0,1,0)</f>
        <v>1</v>
      </c>
      <c r="D295" s="11" t="n">
        <f aca="false">IF(AND(C295=1,B295&lt;Controls!$B$12),1,0)</f>
        <v>1</v>
      </c>
      <c r="E295" s="11" t="n">
        <f aca="false">IF(D295=1,SUMPRODUCT((Costs!$B$4:$B$903=A295)*(Costs!$D$4:$D$903="planned")*(Costs!$J$4:$J$903&lt;=B295)*(Costs!$K$4:$K$903&gt;B295)*Costs!$E$4:$E$903),0)</f>
        <v>92000</v>
      </c>
      <c r="F295" s="11" t="n">
        <f aca="false">IF(D295=1,SUMIFS(Benefits!$S$4:$S$703,Benefits!$B$4:$B$703,A295,Benefits!$F$4:$F$703,B295,Benefits!$R$4:$R$703,"cash"),0)</f>
        <v>0</v>
      </c>
      <c r="G295" s="11" t="n">
        <f aca="false">IF(D295=1,SUMIFS(Benefits!$S$4:$S$703,Benefits!$B$4:$B$703,A295,Benefits!$F$4:$F$703,B295,Benefits!$R$4:$R$703,"revenue"),0)</f>
        <v>0</v>
      </c>
      <c r="H295" s="11" t="n">
        <f aca="false">IF(D295=1,SUMIFS(Benefits!$S$4:$S$703,Benefits!$B$4:$B$703,A295,Benefits!$F$4:$F$703,B295,Benefits!$R$4:$R$703,"avoided_cost_realised"),0)</f>
        <v>0</v>
      </c>
      <c r="I295" s="11" t="n">
        <f aca="false">IF(D295=1,SUMIFS(Benefits!$S$4:$S$703,Benefits!$B$4:$B$703,A295,Benefits!$F$4:$F$703,B295,Benefits!$R$4:$R$703,"capacity_converted"),0)</f>
        <v>0</v>
      </c>
      <c r="J295" s="11" t="n">
        <f aca="false">SUM(F295:I295)</f>
        <v>0</v>
      </c>
      <c r="K295" s="11" t="n">
        <f aca="false">J295-E295</f>
        <v>-92000</v>
      </c>
      <c r="L295" s="11" t="n">
        <f aca="false">IF(D295=1,L294+K295,0)</f>
        <v>-642000</v>
      </c>
      <c r="M295" s="11" t="n">
        <f aca="false">IF(D295=1,1/(1+Controls!$B$11)^B295,0)</f>
        <v>0.98094374016976</v>
      </c>
      <c r="N295" s="11" t="n">
        <f aca="false">K295*M295</f>
        <v>-90246.8240956179</v>
      </c>
      <c r="O295" s="11" t="n">
        <f aca="false">IF(D295=1,O294+N295,0)</f>
        <v>-635241.375476257</v>
      </c>
      <c r="P295" s="11" t="n">
        <f aca="false">IF(AND(D295=1,L295&lt;0),1,0)</f>
        <v>1</v>
      </c>
      <c r="Q295" s="11" t="n">
        <f aca="false">IF(AND(D295=1,O295&lt;0),1,0)</f>
        <v>1</v>
      </c>
    </row>
    <row r="296" customFormat="false" ht="15" hidden="false" customHeight="false" outlineLevel="0" collapsed="false">
      <c r="A296" s="4" t="s">
        <v>91</v>
      </c>
      <c r="B296" s="4" t="n">
        <v>4</v>
      </c>
      <c r="C296" s="11" t="n">
        <f aca="false">IF(COUNTIF('Scenario inputs'!$A$4:$A$213,Controls!$B$3&amp;"|"&amp;A296)&gt;0,1,0)</f>
        <v>1</v>
      </c>
      <c r="D296" s="11" t="n">
        <f aca="false">IF(AND(C296=1,B296&lt;Controls!$B$12),1,0)</f>
        <v>1</v>
      </c>
      <c r="E296" s="11" t="n">
        <f aca="false">IF(D296=1,SUMPRODUCT((Costs!$B$4:$B$903=A296)*(Costs!$D$4:$D$903="planned")*(Costs!$J$4:$J$903&lt;=B296)*(Costs!$K$4:$K$903&gt;B296)*Costs!$E$4:$E$903),0)</f>
        <v>12000</v>
      </c>
      <c r="F296" s="11" t="n">
        <f aca="false">IF(D296=1,SUMIFS(Benefits!$S$4:$S$703,Benefits!$B$4:$B$703,A296,Benefits!$F$4:$F$703,B296,Benefits!$R$4:$R$703,"cash"),0)</f>
        <v>0</v>
      </c>
      <c r="G296" s="11" t="n">
        <f aca="false">IF(D296=1,SUMIFS(Benefits!$S$4:$S$703,Benefits!$B$4:$B$703,A296,Benefits!$F$4:$F$703,B296,Benefits!$R$4:$R$703,"revenue"),0)</f>
        <v>0</v>
      </c>
      <c r="H296" s="11" t="n">
        <f aca="false">IF(D296=1,SUMIFS(Benefits!$S$4:$S$703,Benefits!$B$4:$B$703,A296,Benefits!$F$4:$F$703,B296,Benefits!$R$4:$R$703,"avoided_cost_realised"),0)</f>
        <v>0</v>
      </c>
      <c r="I296" s="11" t="n">
        <f aca="false">IF(D296=1,SUMIFS(Benefits!$S$4:$S$703,Benefits!$B$4:$B$703,A296,Benefits!$F$4:$F$703,B296,Benefits!$R$4:$R$703,"capacity_converted"),0)</f>
        <v>0</v>
      </c>
      <c r="J296" s="11" t="n">
        <f aca="false">SUM(F296:I296)</f>
        <v>0</v>
      </c>
      <c r="K296" s="11" t="n">
        <f aca="false">J296-E296</f>
        <v>-12000</v>
      </c>
      <c r="L296" s="11" t="n">
        <f aca="false">IF(D296=1,L295+K296,0)</f>
        <v>-654000</v>
      </c>
      <c r="M296" s="11" t="n">
        <f aca="false">IF(D296=1,1/(1+Controls!$B$11)^B296,0)</f>
        <v>0.974672696043417</v>
      </c>
      <c r="N296" s="11" t="n">
        <f aca="false">K296*M296</f>
        <v>-11696.072352521</v>
      </c>
      <c r="O296" s="11" t="n">
        <f aca="false">IF(D296=1,O295+N296,0)</f>
        <v>-646937.447828778</v>
      </c>
      <c r="P296" s="11" t="n">
        <f aca="false">IF(AND(D296=1,L296&lt;0),1,0)</f>
        <v>1</v>
      </c>
      <c r="Q296" s="11" t="n">
        <f aca="false">IF(AND(D296=1,O296&lt;0),1,0)</f>
        <v>1</v>
      </c>
    </row>
    <row r="297" customFormat="false" ht="15" hidden="false" customHeight="false" outlineLevel="0" collapsed="false">
      <c r="A297" s="4" t="s">
        <v>91</v>
      </c>
      <c r="B297" s="4" t="n">
        <v>5</v>
      </c>
      <c r="C297" s="11" t="n">
        <f aca="false">IF(COUNTIF('Scenario inputs'!$A$4:$A$213,Controls!$B$3&amp;"|"&amp;A297)&gt;0,1,0)</f>
        <v>1</v>
      </c>
      <c r="D297" s="11" t="n">
        <f aca="false">IF(AND(C297=1,B297&lt;Controls!$B$12),1,0)</f>
        <v>1</v>
      </c>
      <c r="E297" s="11" t="n">
        <f aca="false">IF(D297=1,SUMPRODUCT((Costs!$B$4:$B$903=A297)*(Costs!$D$4:$D$903="planned")*(Costs!$J$4:$J$903&lt;=B297)*(Costs!$K$4:$K$903&gt;B297)*Costs!$E$4:$E$903),0)</f>
        <v>12000</v>
      </c>
      <c r="F297" s="11" t="n">
        <f aca="false">IF(D297=1,SUMIFS(Benefits!$S$4:$S$703,Benefits!$B$4:$B$703,A297,Benefits!$F$4:$F$703,B297,Benefits!$R$4:$R$703,"cash"),0)</f>
        <v>0</v>
      </c>
      <c r="G297" s="11" t="n">
        <f aca="false">IF(D297=1,SUMIFS(Benefits!$S$4:$S$703,Benefits!$B$4:$B$703,A297,Benefits!$F$4:$F$703,B297,Benefits!$R$4:$R$703,"revenue"),0)</f>
        <v>0</v>
      </c>
      <c r="H297" s="11" t="n">
        <f aca="false">IF(D297=1,SUMIFS(Benefits!$S$4:$S$703,Benefits!$B$4:$B$703,A297,Benefits!$F$4:$F$703,B297,Benefits!$R$4:$R$703,"avoided_cost_realised"),0)</f>
        <v>0</v>
      </c>
      <c r="I297" s="11" t="n">
        <f aca="false">IF(D297=1,SUMIFS(Benefits!$S$4:$S$703,Benefits!$B$4:$B$703,A297,Benefits!$F$4:$F$703,B297,Benefits!$R$4:$R$703,"capacity_converted"),0)</f>
        <v>0</v>
      </c>
      <c r="J297" s="11" t="n">
        <f aca="false">SUM(F297:I297)</f>
        <v>0</v>
      </c>
      <c r="K297" s="11" t="n">
        <f aca="false">J297-E297</f>
        <v>-12000</v>
      </c>
      <c r="L297" s="11" t="n">
        <f aca="false">IF(D297=1,L296+K297,0)</f>
        <v>-666000</v>
      </c>
      <c r="M297" s="11" t="n">
        <f aca="false">IF(D297=1,1/(1+Controls!$B$11)^B297,0)</f>
        <v>0.968441741876185</v>
      </c>
      <c r="N297" s="11" t="n">
        <f aca="false">K297*M297</f>
        <v>-11621.3009025142</v>
      </c>
      <c r="O297" s="11" t="n">
        <f aca="false">IF(D297=1,O296+N297,0)</f>
        <v>-658558.748731292</v>
      </c>
      <c r="P297" s="11" t="n">
        <f aca="false">IF(AND(D297=1,L297&lt;0),1,0)</f>
        <v>1</v>
      </c>
      <c r="Q297" s="11" t="n">
        <f aca="false">IF(AND(D297=1,O297&lt;0),1,0)</f>
        <v>1</v>
      </c>
    </row>
    <row r="298" customFormat="false" ht="15" hidden="false" customHeight="false" outlineLevel="0" collapsed="false">
      <c r="A298" s="4" t="s">
        <v>91</v>
      </c>
      <c r="B298" s="4" t="n">
        <v>6</v>
      </c>
      <c r="C298" s="11" t="n">
        <f aca="false">IF(COUNTIF('Scenario inputs'!$A$4:$A$213,Controls!$B$3&amp;"|"&amp;A298)&gt;0,1,0)</f>
        <v>1</v>
      </c>
      <c r="D298" s="11" t="n">
        <f aca="false">IF(AND(C298=1,B298&lt;Controls!$B$12),1,0)</f>
        <v>1</v>
      </c>
      <c r="E298" s="11" t="n">
        <f aca="false">IF(D298=1,SUMPRODUCT((Costs!$B$4:$B$903=A298)*(Costs!$D$4:$D$903="planned")*(Costs!$J$4:$J$903&lt;=B298)*(Costs!$K$4:$K$903&gt;B298)*Costs!$E$4:$E$903),0)</f>
        <v>12000</v>
      </c>
      <c r="F298" s="11" t="n">
        <f aca="false">IF(D298=1,SUMIFS(Benefits!$S$4:$S$703,Benefits!$B$4:$B$703,A298,Benefits!$F$4:$F$703,B298,Benefits!$R$4:$R$703,"cash"),0)</f>
        <v>0</v>
      </c>
      <c r="G298" s="11" t="n">
        <f aca="false">IF(D298=1,SUMIFS(Benefits!$S$4:$S$703,Benefits!$B$4:$B$703,A298,Benefits!$F$4:$F$703,B298,Benefits!$R$4:$R$703,"revenue"),0)</f>
        <v>0</v>
      </c>
      <c r="H298" s="11" t="n">
        <f aca="false">IF(D298=1,SUMIFS(Benefits!$S$4:$S$703,Benefits!$B$4:$B$703,A298,Benefits!$F$4:$F$703,B298,Benefits!$R$4:$R$703,"avoided_cost_realised"),0)</f>
        <v>0</v>
      </c>
      <c r="I298" s="11" t="n">
        <f aca="false">IF(D298=1,SUMIFS(Benefits!$S$4:$S$703,Benefits!$B$4:$B$703,A298,Benefits!$F$4:$F$703,B298,Benefits!$R$4:$R$703,"capacity_converted"),0)</f>
        <v>0</v>
      </c>
      <c r="J298" s="11" t="n">
        <f aca="false">SUM(F298:I298)</f>
        <v>0</v>
      </c>
      <c r="K298" s="11" t="n">
        <f aca="false">J298-E298</f>
        <v>-12000</v>
      </c>
      <c r="L298" s="11" t="n">
        <f aca="false">IF(D298=1,L297+K298,0)</f>
        <v>-678000</v>
      </c>
      <c r="M298" s="11" t="n">
        <f aca="false">IF(D298=1,1/(1+Controls!$B$11)^B298,0)</f>
        <v>0.962250621378238</v>
      </c>
      <c r="N298" s="11" t="n">
        <f aca="false">K298*M298</f>
        <v>-11547.0074565389</v>
      </c>
      <c r="O298" s="11" t="n">
        <f aca="false">IF(D298=1,O297+N298,0)</f>
        <v>-670105.756187831</v>
      </c>
      <c r="P298" s="11" t="n">
        <f aca="false">IF(AND(D298=1,L298&lt;0),1,0)</f>
        <v>1</v>
      </c>
      <c r="Q298" s="11" t="n">
        <f aca="false">IF(AND(D298=1,O298&lt;0),1,0)</f>
        <v>1</v>
      </c>
    </row>
    <row r="299" customFormat="false" ht="15" hidden="false" customHeight="false" outlineLevel="0" collapsed="false">
      <c r="A299" s="4" t="s">
        <v>91</v>
      </c>
      <c r="B299" s="4" t="n">
        <v>7</v>
      </c>
      <c r="C299" s="11" t="n">
        <f aca="false">IF(COUNTIF('Scenario inputs'!$A$4:$A$213,Controls!$B$3&amp;"|"&amp;A299)&gt;0,1,0)</f>
        <v>1</v>
      </c>
      <c r="D299" s="11" t="n">
        <f aca="false">IF(AND(C299=1,B299&lt;Controls!$B$12),1,0)</f>
        <v>1</v>
      </c>
      <c r="E299" s="11" t="n">
        <f aca="false">IF(D299=1,SUMPRODUCT((Costs!$B$4:$B$903=A299)*(Costs!$D$4:$D$903="planned")*(Costs!$J$4:$J$903&lt;=B299)*(Costs!$K$4:$K$903&gt;B299)*Costs!$E$4:$E$903),0)</f>
        <v>12000</v>
      </c>
      <c r="F299" s="11" t="n">
        <f aca="false">IF(D299=1,SUMIFS(Benefits!$S$4:$S$703,Benefits!$B$4:$B$703,A299,Benefits!$F$4:$F$703,B299,Benefits!$R$4:$R$703,"cash"),0)</f>
        <v>0</v>
      </c>
      <c r="G299" s="11" t="n">
        <f aca="false">IF(D299=1,SUMIFS(Benefits!$S$4:$S$703,Benefits!$B$4:$B$703,A299,Benefits!$F$4:$F$703,B299,Benefits!$R$4:$R$703,"revenue"),0)</f>
        <v>0</v>
      </c>
      <c r="H299" s="11" t="n">
        <f aca="false">IF(D299=1,SUMIFS(Benefits!$S$4:$S$703,Benefits!$B$4:$B$703,A299,Benefits!$F$4:$F$703,B299,Benefits!$R$4:$R$703,"avoided_cost_realised"),0)</f>
        <v>0</v>
      </c>
      <c r="I299" s="11" t="n">
        <f aca="false">IF(D299=1,SUMIFS(Benefits!$S$4:$S$703,Benefits!$B$4:$B$703,A299,Benefits!$F$4:$F$703,B299,Benefits!$R$4:$R$703,"capacity_converted"),0)</f>
        <v>0</v>
      </c>
      <c r="J299" s="11" t="n">
        <f aca="false">SUM(F299:I299)</f>
        <v>0</v>
      </c>
      <c r="K299" s="11" t="n">
        <f aca="false">J299-E299</f>
        <v>-12000</v>
      </c>
      <c r="L299" s="11" t="n">
        <f aca="false">IF(D299=1,L298+K299,0)</f>
        <v>-690000</v>
      </c>
      <c r="M299" s="11" t="n">
        <f aca="false">IF(D299=1,1/(1+Controls!$B$11)^B299,0)</f>
        <v>0.956099079898173</v>
      </c>
      <c r="N299" s="11" t="n">
        <f aca="false">K299*M299</f>
        <v>-11473.1889587781</v>
      </c>
      <c r="O299" s="11" t="n">
        <f aca="false">IF(D299=1,O298+N299,0)</f>
        <v>-681578.945146609</v>
      </c>
      <c r="P299" s="11" t="n">
        <f aca="false">IF(AND(D299=1,L299&lt;0),1,0)</f>
        <v>1</v>
      </c>
      <c r="Q299" s="11" t="n">
        <f aca="false">IF(AND(D299=1,O299&lt;0),1,0)</f>
        <v>1</v>
      </c>
    </row>
    <row r="300" customFormat="false" ht="15" hidden="false" customHeight="false" outlineLevel="0" collapsed="false">
      <c r="A300" s="4" t="s">
        <v>91</v>
      </c>
      <c r="B300" s="4" t="n">
        <v>8</v>
      </c>
      <c r="C300" s="11" t="n">
        <f aca="false">IF(COUNTIF('Scenario inputs'!$A$4:$A$213,Controls!$B$3&amp;"|"&amp;A300)&gt;0,1,0)</f>
        <v>1</v>
      </c>
      <c r="D300" s="11" t="n">
        <f aca="false">IF(AND(C300=1,B300&lt;Controls!$B$12),1,0)</f>
        <v>1</v>
      </c>
      <c r="E300" s="11" t="n">
        <f aca="false">IF(D300=1,SUMPRODUCT((Costs!$B$4:$B$903=A300)*(Costs!$D$4:$D$903="planned")*(Costs!$J$4:$J$903&lt;=B300)*(Costs!$K$4:$K$903&gt;B300)*Costs!$E$4:$E$903),0)</f>
        <v>12000</v>
      </c>
      <c r="F300" s="11" t="n">
        <f aca="false">IF(D300=1,SUMIFS(Benefits!$S$4:$S$703,Benefits!$B$4:$B$703,A300,Benefits!$F$4:$F$703,B300,Benefits!$R$4:$R$703,"cash"),0)</f>
        <v>0</v>
      </c>
      <c r="G300" s="11" t="n">
        <f aca="false">IF(D300=1,SUMIFS(Benefits!$S$4:$S$703,Benefits!$B$4:$B$703,A300,Benefits!$F$4:$F$703,B300,Benefits!$R$4:$R$703,"revenue"),0)</f>
        <v>0</v>
      </c>
      <c r="H300" s="11" t="n">
        <f aca="false">IF(D300=1,SUMIFS(Benefits!$S$4:$S$703,Benefits!$B$4:$B$703,A300,Benefits!$F$4:$F$703,B300,Benefits!$R$4:$R$703,"avoided_cost_realised"),0)</f>
        <v>0</v>
      </c>
      <c r="I300" s="11" t="n">
        <f aca="false">IF(D300=1,SUMIFS(Benefits!$S$4:$S$703,Benefits!$B$4:$B$703,A300,Benefits!$F$4:$F$703,B300,Benefits!$R$4:$R$703,"capacity_converted"),0)</f>
        <v>0</v>
      </c>
      <c r="J300" s="11" t="n">
        <f aca="false">SUM(F300:I300)</f>
        <v>0</v>
      </c>
      <c r="K300" s="11" t="n">
        <f aca="false">J300-E300</f>
        <v>-12000</v>
      </c>
      <c r="L300" s="11" t="n">
        <f aca="false">IF(D300=1,L299+K300,0)</f>
        <v>-702000</v>
      </c>
      <c r="M300" s="11" t="n">
        <f aca="false">IF(D300=1,1/(1+Controls!$B$11)^B300,0)</f>
        <v>0.949986864412542</v>
      </c>
      <c r="N300" s="11" t="n">
        <f aca="false">K300*M300</f>
        <v>-11399.8423729505</v>
      </c>
      <c r="O300" s="11" t="n">
        <f aca="false">IF(D300=1,O299+N300,0)</f>
        <v>-692978.787519559</v>
      </c>
      <c r="P300" s="11" t="n">
        <f aca="false">IF(AND(D300=1,L300&lt;0),1,0)</f>
        <v>1</v>
      </c>
      <c r="Q300" s="11" t="n">
        <f aca="false">IF(AND(D300=1,O300&lt;0),1,0)</f>
        <v>1</v>
      </c>
    </row>
    <row r="301" customFormat="false" ht="15" hidden="false" customHeight="false" outlineLevel="0" collapsed="false">
      <c r="A301" s="4" t="s">
        <v>91</v>
      </c>
      <c r="B301" s="4" t="n">
        <v>9</v>
      </c>
      <c r="C301" s="11" t="n">
        <f aca="false">IF(COUNTIF('Scenario inputs'!$A$4:$A$213,Controls!$B$3&amp;"|"&amp;A301)&gt;0,1,0)</f>
        <v>1</v>
      </c>
      <c r="D301" s="11" t="n">
        <f aca="false">IF(AND(C301=1,B301&lt;Controls!$B$12),1,0)</f>
        <v>1</v>
      </c>
      <c r="E301" s="11" t="n">
        <f aca="false">IF(D301=1,SUMPRODUCT((Costs!$B$4:$B$903=A301)*(Costs!$D$4:$D$903="planned")*(Costs!$J$4:$J$903&lt;=B301)*(Costs!$K$4:$K$903&gt;B301)*Costs!$E$4:$E$903),0)</f>
        <v>12300</v>
      </c>
      <c r="F301" s="11" t="n">
        <f aca="false">IF(D301=1,SUMIFS(Benefits!$S$4:$S$703,Benefits!$B$4:$B$703,A301,Benefits!$F$4:$F$703,B301,Benefits!$R$4:$R$703,"cash"),0)</f>
        <v>0</v>
      </c>
      <c r="G301" s="11" t="n">
        <f aca="false">IF(D301=1,SUMIFS(Benefits!$S$4:$S$703,Benefits!$B$4:$B$703,A301,Benefits!$F$4:$F$703,B301,Benefits!$R$4:$R$703,"revenue"),0)</f>
        <v>0</v>
      </c>
      <c r="H301" s="11" t="n">
        <f aca="false">IF(D301=1,SUMIFS(Benefits!$S$4:$S$703,Benefits!$B$4:$B$703,A301,Benefits!$F$4:$F$703,B301,Benefits!$R$4:$R$703,"avoided_cost_realised"),0)</f>
        <v>0</v>
      </c>
      <c r="I301" s="11" t="n">
        <f aca="false">IF(D301=1,SUMIFS(Benefits!$S$4:$S$703,Benefits!$B$4:$B$703,A301,Benefits!$F$4:$F$703,B301,Benefits!$R$4:$R$703,"capacity_converted"),0)</f>
        <v>0</v>
      </c>
      <c r="J301" s="11" t="n">
        <f aca="false">SUM(F301:I301)</f>
        <v>0</v>
      </c>
      <c r="K301" s="11" t="n">
        <f aca="false">J301-E301</f>
        <v>-12300</v>
      </c>
      <c r="L301" s="11" t="n">
        <f aca="false">IF(D301=1,L300+K301,0)</f>
        <v>-714300</v>
      </c>
      <c r="M301" s="11" t="n">
        <f aca="false">IF(D301=1,1/(1+Controls!$B$11)^B301,0)</f>
        <v>0.943913723515444</v>
      </c>
      <c r="N301" s="11" t="n">
        <f aca="false">K301*M301</f>
        <v>-11610.13879924</v>
      </c>
      <c r="O301" s="11" t="n">
        <f aca="false">IF(D301=1,O300+N301,0)</f>
        <v>-704588.926318799</v>
      </c>
      <c r="P301" s="11" t="n">
        <f aca="false">IF(AND(D301=1,L301&lt;0),1,0)</f>
        <v>1</v>
      </c>
      <c r="Q301" s="11" t="n">
        <f aca="false">IF(AND(D301=1,O301&lt;0),1,0)</f>
        <v>1</v>
      </c>
    </row>
    <row r="302" customFormat="false" ht="15" hidden="false" customHeight="false" outlineLevel="0" collapsed="false">
      <c r="A302" s="4" t="s">
        <v>91</v>
      </c>
      <c r="B302" s="4" t="n">
        <v>10</v>
      </c>
      <c r="C302" s="11" t="n">
        <f aca="false">IF(COUNTIF('Scenario inputs'!$A$4:$A$213,Controls!$B$3&amp;"|"&amp;A302)&gt;0,1,0)</f>
        <v>1</v>
      </c>
      <c r="D302" s="11" t="n">
        <f aca="false">IF(AND(C302=1,B302&lt;Controls!$B$12),1,0)</f>
        <v>1</v>
      </c>
      <c r="E302" s="11" t="n">
        <f aca="false">IF(D302=1,SUMPRODUCT((Costs!$B$4:$B$903=A302)*(Costs!$D$4:$D$903="planned")*(Costs!$J$4:$J$903&lt;=B302)*(Costs!$K$4:$K$903&gt;B302)*Costs!$E$4:$E$903),0)</f>
        <v>12300</v>
      </c>
      <c r="F302" s="11" t="n">
        <f aca="false">IF(D302=1,SUMIFS(Benefits!$S$4:$S$703,Benefits!$B$4:$B$703,A302,Benefits!$F$4:$F$703,B302,Benefits!$R$4:$R$703,"cash"),0)</f>
        <v>0</v>
      </c>
      <c r="G302" s="11" t="n">
        <f aca="false">IF(D302=1,SUMIFS(Benefits!$S$4:$S$703,Benefits!$B$4:$B$703,A302,Benefits!$F$4:$F$703,B302,Benefits!$R$4:$R$703,"revenue"),0)</f>
        <v>0</v>
      </c>
      <c r="H302" s="11" t="n">
        <f aca="false">IF(D302=1,SUMIFS(Benefits!$S$4:$S$703,Benefits!$B$4:$B$703,A302,Benefits!$F$4:$F$703,B302,Benefits!$R$4:$R$703,"avoided_cost_realised"),0)</f>
        <v>0</v>
      </c>
      <c r="I302" s="11" t="n">
        <f aca="false">IF(D302=1,SUMIFS(Benefits!$S$4:$S$703,Benefits!$B$4:$B$703,A302,Benefits!$F$4:$F$703,B302,Benefits!$R$4:$R$703,"capacity_converted"),0)</f>
        <v>0</v>
      </c>
      <c r="J302" s="11" t="n">
        <f aca="false">SUM(F302:I302)</f>
        <v>0</v>
      </c>
      <c r="K302" s="11" t="n">
        <f aca="false">J302-E302</f>
        <v>-12300</v>
      </c>
      <c r="L302" s="11" t="n">
        <f aca="false">IF(D302=1,L301+K302,0)</f>
        <v>-726600</v>
      </c>
      <c r="M302" s="11" t="n">
        <f aca="false">IF(D302=1,1/(1+Controls!$B$11)^B302,0)</f>
        <v>0.93787940740818</v>
      </c>
      <c r="N302" s="11" t="n">
        <f aca="false">K302*M302</f>
        <v>-11535.9167111206</v>
      </c>
      <c r="O302" s="11" t="n">
        <f aca="false">IF(D302=1,O301+N302,0)</f>
        <v>-716124.84302992</v>
      </c>
      <c r="P302" s="11" t="n">
        <f aca="false">IF(AND(D302=1,L302&lt;0),1,0)</f>
        <v>1</v>
      </c>
      <c r="Q302" s="11" t="n">
        <f aca="false">IF(AND(D302=1,O302&lt;0),1,0)</f>
        <v>1</v>
      </c>
    </row>
    <row r="303" customFormat="false" ht="15" hidden="false" customHeight="false" outlineLevel="0" collapsed="false">
      <c r="A303" s="4" t="s">
        <v>91</v>
      </c>
      <c r="B303" s="4" t="n">
        <v>11</v>
      </c>
      <c r="C303" s="11" t="n">
        <f aca="false">IF(COUNTIF('Scenario inputs'!$A$4:$A$213,Controls!$B$3&amp;"|"&amp;A303)&gt;0,1,0)</f>
        <v>1</v>
      </c>
      <c r="D303" s="11" t="n">
        <f aca="false">IF(AND(C303=1,B303&lt;Controls!$B$12),1,0)</f>
        <v>1</v>
      </c>
      <c r="E303" s="11" t="n">
        <f aca="false">IF(D303=1,SUMPRODUCT((Costs!$B$4:$B$903=A303)*(Costs!$D$4:$D$903="planned")*(Costs!$J$4:$J$903&lt;=B303)*(Costs!$K$4:$K$903&gt;B303)*Costs!$E$4:$E$903),0)</f>
        <v>12300</v>
      </c>
      <c r="F303" s="11" t="n">
        <f aca="false">IF(D303=1,SUMIFS(Benefits!$S$4:$S$703,Benefits!$B$4:$B$703,A303,Benefits!$F$4:$F$703,B303,Benefits!$R$4:$R$703,"cash"),0)</f>
        <v>0</v>
      </c>
      <c r="G303" s="11" t="n">
        <f aca="false">IF(D303=1,SUMIFS(Benefits!$S$4:$S$703,Benefits!$B$4:$B$703,A303,Benefits!$F$4:$F$703,B303,Benefits!$R$4:$R$703,"revenue"),0)</f>
        <v>0</v>
      </c>
      <c r="H303" s="11" t="n">
        <f aca="false">IF(D303=1,SUMIFS(Benefits!$S$4:$S$703,Benefits!$B$4:$B$703,A303,Benefits!$F$4:$F$703,B303,Benefits!$R$4:$R$703,"avoided_cost_realised"),0)</f>
        <v>0</v>
      </c>
      <c r="I303" s="11" t="n">
        <f aca="false">IF(D303=1,SUMIFS(Benefits!$S$4:$S$703,Benefits!$B$4:$B$703,A303,Benefits!$F$4:$F$703,B303,Benefits!$R$4:$R$703,"capacity_converted"),0)</f>
        <v>0</v>
      </c>
      <c r="J303" s="11" t="n">
        <f aca="false">SUM(F303:I303)</f>
        <v>0</v>
      </c>
      <c r="K303" s="11" t="n">
        <f aca="false">J303-E303</f>
        <v>-12300</v>
      </c>
      <c r="L303" s="11" t="n">
        <f aca="false">IF(D303=1,L302+K303,0)</f>
        <v>-738900</v>
      </c>
      <c r="M303" s="11" t="n">
        <f aca="false">IF(D303=1,1/(1+Controls!$B$11)^B303,0)</f>
        <v>0.931883667888982</v>
      </c>
      <c r="N303" s="11" t="n">
        <f aca="false">K303*M303</f>
        <v>-11462.1691150345</v>
      </c>
      <c r="O303" s="11" t="n">
        <f aca="false">IF(D303=1,O302+N303,0)</f>
        <v>-727587.012144955</v>
      </c>
      <c r="P303" s="11" t="n">
        <f aca="false">IF(AND(D303=1,L303&lt;0),1,0)</f>
        <v>1</v>
      </c>
      <c r="Q303" s="11" t="n">
        <f aca="false">IF(AND(D303=1,O303&lt;0),1,0)</f>
        <v>1</v>
      </c>
    </row>
    <row r="304" customFormat="false" ht="15" hidden="false" customHeight="false" outlineLevel="0" collapsed="false">
      <c r="A304" s="4" t="s">
        <v>91</v>
      </c>
      <c r="B304" s="4" t="n">
        <v>12</v>
      </c>
      <c r="C304" s="11" t="n">
        <f aca="false">IF(COUNTIF('Scenario inputs'!$A$4:$A$213,Controls!$B$3&amp;"|"&amp;A304)&gt;0,1,0)</f>
        <v>1</v>
      </c>
      <c r="D304" s="11" t="n">
        <f aca="false">IF(AND(C304=1,B304&lt;Controls!$B$12),1,0)</f>
        <v>1</v>
      </c>
      <c r="E304" s="11" t="n">
        <f aca="false">IF(D304=1,SUMPRODUCT((Costs!$B$4:$B$903=A304)*(Costs!$D$4:$D$903="planned")*(Costs!$J$4:$J$903&lt;=B304)*(Costs!$K$4:$K$903&gt;B304)*Costs!$E$4:$E$903),0)</f>
        <v>12300</v>
      </c>
      <c r="F304" s="11" t="n">
        <f aca="false">IF(D304=1,SUMIFS(Benefits!$S$4:$S$703,Benefits!$B$4:$B$703,A304,Benefits!$F$4:$F$703,B304,Benefits!$R$4:$R$703,"cash"),0)</f>
        <v>0</v>
      </c>
      <c r="G304" s="11" t="n">
        <f aca="false">IF(D304=1,SUMIFS(Benefits!$S$4:$S$703,Benefits!$B$4:$B$703,A304,Benefits!$F$4:$F$703,B304,Benefits!$R$4:$R$703,"revenue"),0)</f>
        <v>0</v>
      </c>
      <c r="H304" s="11" t="n">
        <f aca="false">IF(D304=1,SUMIFS(Benefits!$S$4:$S$703,Benefits!$B$4:$B$703,A304,Benefits!$F$4:$F$703,B304,Benefits!$R$4:$R$703,"avoided_cost_realised"),0)</f>
        <v>0</v>
      </c>
      <c r="I304" s="11" t="n">
        <f aca="false">IF(D304=1,SUMIFS(Benefits!$S$4:$S$703,Benefits!$B$4:$B$703,A304,Benefits!$F$4:$F$703,B304,Benefits!$R$4:$R$703,"capacity_converted"),0)</f>
        <v>0</v>
      </c>
      <c r="J304" s="11" t="n">
        <f aca="false">SUM(F304:I304)</f>
        <v>0</v>
      </c>
      <c r="K304" s="11" t="n">
        <f aca="false">J304-E304</f>
        <v>-12300</v>
      </c>
      <c r="L304" s="11" t="n">
        <f aca="false">IF(D304=1,L303+K304,0)</f>
        <v>-751200</v>
      </c>
      <c r="M304" s="11" t="n">
        <f aca="false">IF(D304=1,1/(1+Controls!$B$11)^B304,0)</f>
        <v>0.925926258342804</v>
      </c>
      <c r="N304" s="11" t="n">
        <f aca="false">K304*M304</f>
        <v>-11388.8929776165</v>
      </c>
      <c r="O304" s="11" t="n">
        <f aca="false">IF(D304=1,O303+N304,0)</f>
        <v>-738975.905122571</v>
      </c>
      <c r="P304" s="11" t="n">
        <f aca="false">IF(AND(D304=1,L304&lt;0),1,0)</f>
        <v>1</v>
      </c>
      <c r="Q304" s="11" t="n">
        <f aca="false">IF(AND(D304=1,O304&lt;0),1,0)</f>
        <v>1</v>
      </c>
    </row>
    <row r="305" customFormat="false" ht="15" hidden="false" customHeight="false" outlineLevel="0" collapsed="false">
      <c r="A305" s="4" t="s">
        <v>91</v>
      </c>
      <c r="B305" s="4" t="n">
        <v>13</v>
      </c>
      <c r="C305" s="11" t="n">
        <f aca="false">IF(COUNTIF('Scenario inputs'!$A$4:$A$213,Controls!$B$3&amp;"|"&amp;A305)&gt;0,1,0)</f>
        <v>1</v>
      </c>
      <c r="D305" s="11" t="n">
        <f aca="false">IF(AND(C305=1,B305&lt;Controls!$B$12),1,0)</f>
        <v>1</v>
      </c>
      <c r="E305" s="11" t="n">
        <f aca="false">IF(D305=1,SUMPRODUCT((Costs!$B$4:$B$903=A305)*(Costs!$D$4:$D$903="planned")*(Costs!$J$4:$J$903&lt;=B305)*(Costs!$K$4:$K$903&gt;B305)*Costs!$E$4:$E$903),0)</f>
        <v>12300</v>
      </c>
      <c r="F305" s="11" t="n">
        <f aca="false">IF(D305=1,SUMIFS(Benefits!$S$4:$S$703,Benefits!$B$4:$B$703,A305,Benefits!$F$4:$F$703,B305,Benefits!$R$4:$R$703,"cash"),0)</f>
        <v>0</v>
      </c>
      <c r="G305" s="11" t="n">
        <f aca="false">IF(D305=1,SUMIFS(Benefits!$S$4:$S$703,Benefits!$B$4:$B$703,A305,Benefits!$F$4:$F$703,B305,Benefits!$R$4:$R$703,"revenue"),0)</f>
        <v>0</v>
      </c>
      <c r="H305" s="11" t="n">
        <f aca="false">IF(D305=1,SUMIFS(Benefits!$S$4:$S$703,Benefits!$B$4:$B$703,A305,Benefits!$F$4:$F$703,B305,Benefits!$R$4:$R$703,"avoided_cost_realised"),0)</f>
        <v>0</v>
      </c>
      <c r="I305" s="11" t="n">
        <f aca="false">IF(D305=1,SUMIFS(Benefits!$S$4:$S$703,Benefits!$B$4:$B$703,A305,Benefits!$F$4:$F$703,B305,Benefits!$R$4:$R$703,"capacity_converted"),0)</f>
        <v>0</v>
      </c>
      <c r="J305" s="11" t="n">
        <f aca="false">SUM(F305:I305)</f>
        <v>0</v>
      </c>
      <c r="K305" s="11" t="n">
        <f aca="false">J305-E305</f>
        <v>-12300</v>
      </c>
      <c r="L305" s="11" t="n">
        <f aca="false">IF(D305=1,L304+K305,0)</f>
        <v>-763500</v>
      </c>
      <c r="M305" s="11" t="n">
        <f aca="false">IF(D305=1,1/(1+Controls!$B$11)^B305,0)</f>
        <v>0.920006933731178</v>
      </c>
      <c r="N305" s="11" t="n">
        <f aca="false">K305*M305</f>
        <v>-11316.0852848935</v>
      </c>
      <c r="O305" s="11" t="n">
        <f aca="false">IF(D305=1,O304+N305,0)</f>
        <v>-750291.990407465</v>
      </c>
      <c r="P305" s="11" t="n">
        <f aca="false">IF(AND(D305=1,L305&lt;0),1,0)</f>
        <v>1</v>
      </c>
      <c r="Q305" s="11" t="n">
        <f aca="false">IF(AND(D305=1,O305&lt;0),1,0)</f>
        <v>1</v>
      </c>
    </row>
    <row r="306" customFormat="false" ht="15" hidden="false" customHeight="false" outlineLevel="0" collapsed="false">
      <c r="A306" s="4" t="s">
        <v>91</v>
      </c>
      <c r="B306" s="4" t="n">
        <v>14</v>
      </c>
      <c r="C306" s="11" t="n">
        <f aca="false">IF(COUNTIF('Scenario inputs'!$A$4:$A$213,Controls!$B$3&amp;"|"&amp;A306)&gt;0,1,0)</f>
        <v>1</v>
      </c>
      <c r="D306" s="11" t="n">
        <f aca="false">IF(AND(C306=1,B306&lt;Controls!$B$12),1,0)</f>
        <v>1</v>
      </c>
      <c r="E306" s="11" t="n">
        <f aca="false">IF(D306=1,SUMPRODUCT((Costs!$B$4:$B$903=A306)*(Costs!$D$4:$D$903="planned")*(Costs!$J$4:$J$903&lt;=B306)*(Costs!$K$4:$K$903&gt;B306)*Costs!$E$4:$E$903),0)</f>
        <v>12300</v>
      </c>
      <c r="F306" s="11" t="n">
        <f aca="false">IF(D306=1,SUMIFS(Benefits!$S$4:$S$703,Benefits!$B$4:$B$703,A306,Benefits!$F$4:$F$703,B306,Benefits!$R$4:$R$703,"cash"),0)</f>
        <v>0</v>
      </c>
      <c r="G306" s="11" t="n">
        <f aca="false">IF(D306=1,SUMIFS(Benefits!$S$4:$S$703,Benefits!$B$4:$B$703,A306,Benefits!$F$4:$F$703,B306,Benefits!$R$4:$R$703,"revenue"),0)</f>
        <v>0</v>
      </c>
      <c r="H306" s="11" t="n">
        <f aca="false">IF(D306=1,SUMIFS(Benefits!$S$4:$S$703,Benefits!$B$4:$B$703,A306,Benefits!$F$4:$F$703,B306,Benefits!$R$4:$R$703,"avoided_cost_realised"),0)</f>
        <v>0</v>
      </c>
      <c r="I306" s="11" t="n">
        <f aca="false">IF(D306=1,SUMIFS(Benefits!$S$4:$S$703,Benefits!$B$4:$B$703,A306,Benefits!$F$4:$F$703,B306,Benefits!$R$4:$R$703,"capacity_converted"),0)</f>
        <v>0</v>
      </c>
      <c r="J306" s="11" t="n">
        <f aca="false">SUM(F306:I306)</f>
        <v>0</v>
      </c>
      <c r="K306" s="11" t="n">
        <f aca="false">J306-E306</f>
        <v>-12300</v>
      </c>
      <c r="L306" s="11" t="n">
        <f aca="false">IF(D306=1,L305+K306,0)</f>
        <v>-775800</v>
      </c>
      <c r="M306" s="11" t="n">
        <f aca="false">IF(D306=1,1/(1+Controls!$B$11)^B306,0)</f>
        <v>0.914125450582132</v>
      </c>
      <c r="N306" s="11" t="n">
        <f aca="false">K306*M306</f>
        <v>-11243.7430421602</v>
      </c>
      <c r="O306" s="11" t="n">
        <f aca="false">IF(D306=1,O305+N306,0)</f>
        <v>-761535.733449625</v>
      </c>
      <c r="P306" s="11" t="n">
        <f aca="false">IF(AND(D306=1,L306&lt;0),1,0)</f>
        <v>1</v>
      </c>
      <c r="Q306" s="11" t="n">
        <f aca="false">IF(AND(D306=1,O306&lt;0),1,0)</f>
        <v>1</v>
      </c>
    </row>
    <row r="307" customFormat="false" ht="15" hidden="false" customHeight="false" outlineLevel="0" collapsed="false">
      <c r="A307" s="4" t="s">
        <v>91</v>
      </c>
      <c r="B307" s="4" t="n">
        <v>15</v>
      </c>
      <c r="C307" s="11" t="n">
        <f aca="false">IF(COUNTIF('Scenario inputs'!$A$4:$A$213,Controls!$B$3&amp;"|"&amp;A307)&gt;0,1,0)</f>
        <v>1</v>
      </c>
      <c r="D307" s="11" t="n">
        <f aca="false">IF(AND(C307=1,B307&lt;Controls!$B$12),1,0)</f>
        <v>1</v>
      </c>
      <c r="E307" s="11" t="n">
        <f aca="false">IF(D307=1,SUMPRODUCT((Costs!$B$4:$B$903=A307)*(Costs!$D$4:$D$903="planned")*(Costs!$J$4:$J$903&lt;=B307)*(Costs!$K$4:$K$903&gt;B307)*Costs!$E$4:$E$903),0)</f>
        <v>0</v>
      </c>
      <c r="F307" s="11" t="n">
        <f aca="false">IF(D307=1,SUMIFS(Benefits!$S$4:$S$703,Benefits!$B$4:$B$703,A307,Benefits!$F$4:$F$703,B307,Benefits!$R$4:$R$703,"cash"),0)</f>
        <v>0</v>
      </c>
      <c r="G307" s="11" t="n">
        <f aca="false">IF(D307=1,SUMIFS(Benefits!$S$4:$S$703,Benefits!$B$4:$B$703,A307,Benefits!$F$4:$F$703,B307,Benefits!$R$4:$R$703,"revenue"),0)</f>
        <v>0</v>
      </c>
      <c r="H307" s="11" t="n">
        <f aca="false">IF(D307=1,SUMIFS(Benefits!$S$4:$S$703,Benefits!$B$4:$B$703,A307,Benefits!$F$4:$F$703,B307,Benefits!$R$4:$R$703,"avoided_cost_realised"),0)</f>
        <v>0</v>
      </c>
      <c r="I307" s="11" t="n">
        <f aca="false">IF(D307=1,SUMIFS(Benefits!$S$4:$S$703,Benefits!$B$4:$B$703,A307,Benefits!$F$4:$F$703,B307,Benefits!$R$4:$R$703,"capacity_converted"),0)</f>
        <v>0</v>
      </c>
      <c r="J307" s="11" t="n">
        <f aca="false">SUM(F307:I307)</f>
        <v>0</v>
      </c>
      <c r="K307" s="11" t="n">
        <f aca="false">J307-E307</f>
        <v>0</v>
      </c>
      <c r="L307" s="11" t="n">
        <f aca="false">IF(D307=1,L306+K307,0)</f>
        <v>-775800</v>
      </c>
      <c r="M307" s="11" t="n">
        <f aca="false">IF(D307=1,1/(1+Controls!$B$11)^B307,0)</f>
        <v>0.908281566980182</v>
      </c>
      <c r="N307" s="11" t="n">
        <f aca="false">K307*M307</f>
        <v>0</v>
      </c>
      <c r="O307" s="11" t="n">
        <f aca="false">IF(D307=1,O306+N307,0)</f>
        <v>-761535.733449625</v>
      </c>
      <c r="P307" s="11" t="n">
        <f aca="false">IF(AND(D307=1,L307&lt;0),1,0)</f>
        <v>1</v>
      </c>
      <c r="Q307" s="11" t="n">
        <f aca="false">IF(AND(D307=1,O307&lt;0),1,0)</f>
        <v>1</v>
      </c>
    </row>
    <row r="308" customFormat="false" ht="15" hidden="false" customHeight="false" outlineLevel="0" collapsed="false">
      <c r="A308" s="4" t="s">
        <v>91</v>
      </c>
      <c r="B308" s="4" t="n">
        <v>16</v>
      </c>
      <c r="C308" s="11" t="n">
        <f aca="false">IF(COUNTIF('Scenario inputs'!$A$4:$A$213,Controls!$B$3&amp;"|"&amp;A308)&gt;0,1,0)</f>
        <v>1</v>
      </c>
      <c r="D308" s="11" t="n">
        <f aca="false">IF(AND(C308=1,B308&lt;Controls!$B$12),1,0)</f>
        <v>1</v>
      </c>
      <c r="E308" s="11" t="n">
        <f aca="false">IF(D308=1,SUMPRODUCT((Costs!$B$4:$B$903=A308)*(Costs!$D$4:$D$903="planned")*(Costs!$J$4:$J$903&lt;=B308)*(Costs!$K$4:$K$903&gt;B308)*Costs!$E$4:$E$903),0)</f>
        <v>0</v>
      </c>
      <c r="F308" s="11" t="n">
        <f aca="false">IF(D308=1,SUMIFS(Benefits!$S$4:$S$703,Benefits!$B$4:$B$703,A308,Benefits!$F$4:$F$703,B308,Benefits!$R$4:$R$703,"cash"),0)</f>
        <v>0</v>
      </c>
      <c r="G308" s="11" t="n">
        <f aca="false">IF(D308=1,SUMIFS(Benefits!$S$4:$S$703,Benefits!$B$4:$B$703,A308,Benefits!$F$4:$F$703,B308,Benefits!$R$4:$R$703,"revenue"),0)</f>
        <v>0</v>
      </c>
      <c r="H308" s="11" t="n">
        <f aca="false">IF(D308=1,SUMIFS(Benefits!$S$4:$S$703,Benefits!$B$4:$B$703,A308,Benefits!$F$4:$F$703,B308,Benefits!$R$4:$R$703,"avoided_cost_realised"),0)</f>
        <v>0</v>
      </c>
      <c r="I308" s="11" t="n">
        <f aca="false">IF(D308=1,SUMIFS(Benefits!$S$4:$S$703,Benefits!$B$4:$B$703,A308,Benefits!$F$4:$F$703,B308,Benefits!$R$4:$R$703,"capacity_converted"),0)</f>
        <v>0</v>
      </c>
      <c r="J308" s="11" t="n">
        <f aca="false">SUM(F308:I308)</f>
        <v>0</v>
      </c>
      <c r="K308" s="11" t="n">
        <f aca="false">J308-E308</f>
        <v>0</v>
      </c>
      <c r="L308" s="11" t="n">
        <f aca="false">IF(D308=1,L307+K308,0)</f>
        <v>-775800</v>
      </c>
      <c r="M308" s="11" t="n">
        <f aca="false">IF(D308=1,1/(1+Controls!$B$11)^B308,0)</f>
        <v>0.902475042556374</v>
      </c>
      <c r="N308" s="11" t="n">
        <f aca="false">K308*M308</f>
        <v>0</v>
      </c>
      <c r="O308" s="11" t="n">
        <f aca="false">IF(D308=1,O307+N308,0)</f>
        <v>-761535.733449625</v>
      </c>
      <c r="P308" s="11" t="n">
        <f aca="false">IF(AND(D308=1,L308&lt;0),1,0)</f>
        <v>1</v>
      </c>
      <c r="Q308" s="11" t="n">
        <f aca="false">IF(AND(D308=1,O308&lt;0),1,0)</f>
        <v>1</v>
      </c>
    </row>
    <row r="309" customFormat="false" ht="15" hidden="false" customHeight="false" outlineLevel="0" collapsed="false">
      <c r="A309" s="4" t="s">
        <v>91</v>
      </c>
      <c r="B309" s="4" t="n">
        <v>17</v>
      </c>
      <c r="C309" s="11" t="n">
        <f aca="false">IF(COUNTIF('Scenario inputs'!$A$4:$A$213,Controls!$B$3&amp;"|"&amp;A309)&gt;0,1,0)</f>
        <v>1</v>
      </c>
      <c r="D309" s="11" t="n">
        <f aca="false">IF(AND(C309=1,B309&lt;Controls!$B$12),1,0)</f>
        <v>1</v>
      </c>
      <c r="E309" s="11" t="n">
        <f aca="false">IF(D309=1,SUMPRODUCT((Costs!$B$4:$B$903=A309)*(Costs!$D$4:$D$903="planned")*(Costs!$J$4:$J$903&lt;=B309)*(Costs!$K$4:$K$903&gt;B309)*Costs!$E$4:$E$903),0)</f>
        <v>0</v>
      </c>
      <c r="F309" s="11" t="n">
        <f aca="false">IF(D309=1,SUMIFS(Benefits!$S$4:$S$703,Benefits!$B$4:$B$703,A309,Benefits!$F$4:$F$703,B309,Benefits!$R$4:$R$703,"cash"),0)</f>
        <v>0</v>
      </c>
      <c r="G309" s="11" t="n">
        <f aca="false">IF(D309=1,SUMIFS(Benefits!$S$4:$S$703,Benefits!$B$4:$B$703,A309,Benefits!$F$4:$F$703,B309,Benefits!$R$4:$R$703,"revenue"),0)</f>
        <v>0</v>
      </c>
      <c r="H309" s="11" t="n">
        <f aca="false">IF(D309=1,SUMIFS(Benefits!$S$4:$S$703,Benefits!$B$4:$B$703,A309,Benefits!$F$4:$F$703,B309,Benefits!$R$4:$R$703,"avoided_cost_realised"),0)</f>
        <v>0</v>
      </c>
      <c r="I309" s="11" t="n">
        <f aca="false">IF(D309=1,SUMIFS(Benefits!$S$4:$S$703,Benefits!$B$4:$B$703,A309,Benefits!$F$4:$F$703,B309,Benefits!$R$4:$R$703,"capacity_converted"),0)</f>
        <v>0</v>
      </c>
      <c r="J309" s="11" t="n">
        <f aca="false">SUM(F309:I309)</f>
        <v>0</v>
      </c>
      <c r="K309" s="11" t="n">
        <f aca="false">J309-E309</f>
        <v>0</v>
      </c>
      <c r="L309" s="11" t="n">
        <f aca="false">IF(D309=1,L308+K309,0)</f>
        <v>-775800</v>
      </c>
      <c r="M309" s="11" t="n">
        <f aca="false">IF(D309=1,1/(1+Controls!$B$11)^B309,0)</f>
        <v>0.896705638478404</v>
      </c>
      <c r="N309" s="11" t="n">
        <f aca="false">K309*M309</f>
        <v>0</v>
      </c>
      <c r="O309" s="11" t="n">
        <f aca="false">IF(D309=1,O308+N309,0)</f>
        <v>-761535.733449625</v>
      </c>
      <c r="P309" s="11" t="n">
        <f aca="false">IF(AND(D309=1,L309&lt;0),1,0)</f>
        <v>1</v>
      </c>
      <c r="Q309" s="11" t="n">
        <f aca="false">IF(AND(D309=1,O309&lt;0),1,0)</f>
        <v>1</v>
      </c>
    </row>
    <row r="310" customFormat="false" ht="15" hidden="false" customHeight="false" outlineLevel="0" collapsed="false">
      <c r="A310" s="4" t="s">
        <v>91</v>
      </c>
      <c r="B310" s="4" t="n">
        <v>18</v>
      </c>
      <c r="C310" s="11" t="n">
        <f aca="false">IF(COUNTIF('Scenario inputs'!$A$4:$A$213,Controls!$B$3&amp;"|"&amp;A310)&gt;0,1,0)</f>
        <v>1</v>
      </c>
      <c r="D310" s="11" t="n">
        <f aca="false">IF(AND(C310=1,B310&lt;Controls!$B$12),1,0)</f>
        <v>1</v>
      </c>
      <c r="E310" s="11" t="n">
        <f aca="false">IF(D310=1,SUMPRODUCT((Costs!$B$4:$B$903=A310)*(Costs!$D$4:$D$903="planned")*(Costs!$J$4:$J$903&lt;=B310)*(Costs!$K$4:$K$903&gt;B310)*Costs!$E$4:$E$903),0)</f>
        <v>0</v>
      </c>
      <c r="F310" s="11" t="n">
        <f aca="false">IF(D310=1,SUMIFS(Benefits!$S$4:$S$703,Benefits!$B$4:$B$703,A310,Benefits!$F$4:$F$703,B310,Benefits!$R$4:$R$703,"cash"),0)</f>
        <v>0</v>
      </c>
      <c r="G310" s="11" t="n">
        <f aca="false">IF(D310=1,SUMIFS(Benefits!$S$4:$S$703,Benefits!$B$4:$B$703,A310,Benefits!$F$4:$F$703,B310,Benefits!$R$4:$R$703,"revenue"),0)</f>
        <v>0</v>
      </c>
      <c r="H310" s="11" t="n">
        <f aca="false">IF(D310=1,SUMIFS(Benefits!$S$4:$S$703,Benefits!$B$4:$B$703,A310,Benefits!$F$4:$F$703,B310,Benefits!$R$4:$R$703,"avoided_cost_realised"),0)</f>
        <v>0</v>
      </c>
      <c r="I310" s="11" t="n">
        <f aca="false">IF(D310=1,SUMIFS(Benefits!$S$4:$S$703,Benefits!$B$4:$B$703,A310,Benefits!$F$4:$F$703,B310,Benefits!$R$4:$R$703,"capacity_converted"),0)</f>
        <v>0</v>
      </c>
      <c r="J310" s="11" t="n">
        <f aca="false">SUM(F310:I310)</f>
        <v>0</v>
      </c>
      <c r="K310" s="11" t="n">
        <f aca="false">J310-E310</f>
        <v>0</v>
      </c>
      <c r="L310" s="11" t="n">
        <f aca="false">IF(D310=1,L309+K310,0)</f>
        <v>-775800</v>
      </c>
      <c r="M310" s="11" t="n">
        <f aca="false">IF(D310=1,1/(1+Controls!$B$11)^B310,0)</f>
        <v>0.89097311744079</v>
      </c>
      <c r="N310" s="11" t="n">
        <f aca="false">K310*M310</f>
        <v>0</v>
      </c>
      <c r="O310" s="11" t="n">
        <f aca="false">IF(D310=1,O309+N310,0)</f>
        <v>-761535.733449625</v>
      </c>
      <c r="P310" s="11" t="n">
        <f aca="false">IF(AND(D310=1,L310&lt;0),1,0)</f>
        <v>1</v>
      </c>
      <c r="Q310" s="11" t="n">
        <f aca="false">IF(AND(D310=1,O310&lt;0),1,0)</f>
        <v>1</v>
      </c>
    </row>
    <row r="311" customFormat="false" ht="15" hidden="false" customHeight="false" outlineLevel="0" collapsed="false">
      <c r="A311" s="4" t="s">
        <v>91</v>
      </c>
      <c r="B311" s="4" t="n">
        <v>19</v>
      </c>
      <c r="C311" s="11" t="n">
        <f aca="false">IF(COUNTIF('Scenario inputs'!$A$4:$A$213,Controls!$B$3&amp;"|"&amp;A311)&gt;0,1,0)</f>
        <v>1</v>
      </c>
      <c r="D311" s="11" t="n">
        <f aca="false">IF(AND(C311=1,B311&lt;Controls!$B$12),1,0)</f>
        <v>1</v>
      </c>
      <c r="E311" s="11" t="n">
        <f aca="false">IF(D311=1,SUMPRODUCT((Costs!$B$4:$B$903=A311)*(Costs!$D$4:$D$903="planned")*(Costs!$J$4:$J$903&lt;=B311)*(Costs!$K$4:$K$903&gt;B311)*Costs!$E$4:$E$903),0)</f>
        <v>0</v>
      </c>
      <c r="F311" s="11" t="n">
        <f aca="false">IF(D311=1,SUMIFS(Benefits!$S$4:$S$703,Benefits!$B$4:$B$703,A311,Benefits!$F$4:$F$703,B311,Benefits!$R$4:$R$703,"cash"),0)</f>
        <v>0</v>
      </c>
      <c r="G311" s="11" t="n">
        <f aca="false">IF(D311=1,SUMIFS(Benefits!$S$4:$S$703,Benefits!$B$4:$B$703,A311,Benefits!$F$4:$F$703,B311,Benefits!$R$4:$R$703,"revenue"),0)</f>
        <v>0</v>
      </c>
      <c r="H311" s="11" t="n">
        <f aca="false">IF(D311=1,SUMIFS(Benefits!$S$4:$S$703,Benefits!$B$4:$B$703,A311,Benefits!$F$4:$F$703,B311,Benefits!$R$4:$R$703,"avoided_cost_realised"),0)</f>
        <v>0</v>
      </c>
      <c r="I311" s="11" t="n">
        <f aca="false">IF(D311=1,SUMIFS(Benefits!$S$4:$S$703,Benefits!$B$4:$B$703,A311,Benefits!$F$4:$F$703,B311,Benefits!$R$4:$R$703,"capacity_converted"),0)</f>
        <v>0</v>
      </c>
      <c r="J311" s="11" t="n">
        <f aca="false">SUM(F311:I311)</f>
        <v>0</v>
      </c>
      <c r="K311" s="11" t="n">
        <f aca="false">J311-E311</f>
        <v>0</v>
      </c>
      <c r="L311" s="11" t="n">
        <f aca="false">IF(D311=1,L310+K311,0)</f>
        <v>-775800</v>
      </c>
      <c r="M311" s="11" t="n">
        <f aca="false">IF(D311=1,1/(1+Controls!$B$11)^B311,0)</f>
        <v>0.885277243655113</v>
      </c>
      <c r="N311" s="11" t="n">
        <f aca="false">K311*M311</f>
        <v>0</v>
      </c>
      <c r="O311" s="11" t="n">
        <f aca="false">IF(D311=1,O310+N311,0)</f>
        <v>-761535.733449625</v>
      </c>
      <c r="P311" s="11" t="n">
        <f aca="false">IF(AND(D311=1,L311&lt;0),1,0)</f>
        <v>1</v>
      </c>
      <c r="Q311" s="11" t="n">
        <f aca="false">IF(AND(D311=1,O311&lt;0),1,0)</f>
        <v>1</v>
      </c>
    </row>
    <row r="312" customFormat="false" ht="15" hidden="false" customHeight="false" outlineLevel="0" collapsed="false">
      <c r="A312" s="4" t="s">
        <v>91</v>
      </c>
      <c r="B312" s="4" t="n">
        <v>20</v>
      </c>
      <c r="C312" s="11" t="n">
        <f aca="false">IF(COUNTIF('Scenario inputs'!$A$4:$A$213,Controls!$B$3&amp;"|"&amp;A312)&gt;0,1,0)</f>
        <v>1</v>
      </c>
      <c r="D312" s="11" t="n">
        <f aca="false">IF(AND(C312=1,B312&lt;Controls!$B$12),1,0)</f>
        <v>1</v>
      </c>
      <c r="E312" s="11" t="n">
        <f aca="false">IF(D312=1,SUMPRODUCT((Costs!$B$4:$B$903=A312)*(Costs!$D$4:$D$903="planned")*(Costs!$J$4:$J$903&lt;=B312)*(Costs!$K$4:$K$903&gt;B312)*Costs!$E$4:$E$903),0)</f>
        <v>0</v>
      </c>
      <c r="F312" s="11" t="n">
        <f aca="false">IF(D312=1,SUMIFS(Benefits!$S$4:$S$703,Benefits!$B$4:$B$703,A312,Benefits!$F$4:$F$703,B312,Benefits!$R$4:$R$703,"cash"),0)</f>
        <v>0</v>
      </c>
      <c r="G312" s="11" t="n">
        <f aca="false">IF(D312=1,SUMIFS(Benefits!$S$4:$S$703,Benefits!$B$4:$B$703,A312,Benefits!$F$4:$F$703,B312,Benefits!$R$4:$R$703,"revenue"),0)</f>
        <v>0</v>
      </c>
      <c r="H312" s="11" t="n">
        <f aca="false">IF(D312=1,SUMIFS(Benefits!$S$4:$S$703,Benefits!$B$4:$B$703,A312,Benefits!$F$4:$F$703,B312,Benefits!$R$4:$R$703,"avoided_cost_realised"),0)</f>
        <v>0</v>
      </c>
      <c r="I312" s="11" t="n">
        <f aca="false">IF(D312=1,SUMIFS(Benefits!$S$4:$S$703,Benefits!$B$4:$B$703,A312,Benefits!$F$4:$F$703,B312,Benefits!$R$4:$R$703,"capacity_converted"),0)</f>
        <v>0</v>
      </c>
      <c r="J312" s="11" t="n">
        <f aca="false">SUM(F312:I312)</f>
        <v>0</v>
      </c>
      <c r="K312" s="11" t="n">
        <f aca="false">J312-E312</f>
        <v>0</v>
      </c>
      <c r="L312" s="11" t="n">
        <f aca="false">IF(D312=1,L311+K312,0)</f>
        <v>-775800</v>
      </c>
      <c r="M312" s="11" t="n">
        <f aca="false">IF(D312=1,1/(1+Controls!$B$11)^B312,0)</f>
        <v>0.879617782840318</v>
      </c>
      <c r="N312" s="11" t="n">
        <f aca="false">K312*M312</f>
        <v>0</v>
      </c>
      <c r="O312" s="11" t="n">
        <f aca="false">IF(D312=1,O311+N312,0)</f>
        <v>-761535.733449625</v>
      </c>
      <c r="P312" s="11" t="n">
        <f aca="false">IF(AND(D312=1,L312&lt;0),1,0)</f>
        <v>1</v>
      </c>
      <c r="Q312" s="11" t="n">
        <f aca="false">IF(AND(D312=1,O312&lt;0),1,0)</f>
        <v>1</v>
      </c>
    </row>
    <row r="313" customFormat="false" ht="15" hidden="false" customHeight="false" outlineLevel="0" collapsed="false">
      <c r="A313" s="4" t="s">
        <v>91</v>
      </c>
      <c r="B313" s="4" t="n">
        <v>21</v>
      </c>
      <c r="C313" s="11" t="n">
        <f aca="false">IF(COUNTIF('Scenario inputs'!$A$4:$A$213,Controls!$B$3&amp;"|"&amp;A313)&gt;0,1,0)</f>
        <v>1</v>
      </c>
      <c r="D313" s="11" t="n">
        <f aca="false">IF(AND(C313=1,B313&lt;Controls!$B$12),1,0)</f>
        <v>1</v>
      </c>
      <c r="E313" s="11" t="n">
        <f aca="false">IF(D313=1,SUMPRODUCT((Costs!$B$4:$B$903=A313)*(Costs!$D$4:$D$903="planned")*(Costs!$J$4:$J$903&lt;=B313)*(Costs!$K$4:$K$903&gt;B313)*Costs!$E$4:$E$903),0)</f>
        <v>0</v>
      </c>
      <c r="F313" s="11" t="n">
        <f aca="false">IF(D313=1,SUMIFS(Benefits!$S$4:$S$703,Benefits!$B$4:$B$703,A313,Benefits!$F$4:$F$703,B313,Benefits!$R$4:$R$703,"cash"),0)</f>
        <v>0</v>
      </c>
      <c r="G313" s="11" t="n">
        <f aca="false">IF(D313=1,SUMIFS(Benefits!$S$4:$S$703,Benefits!$B$4:$B$703,A313,Benefits!$F$4:$F$703,B313,Benefits!$R$4:$R$703,"revenue"),0)</f>
        <v>0</v>
      </c>
      <c r="H313" s="11" t="n">
        <f aca="false">IF(D313=1,SUMIFS(Benefits!$S$4:$S$703,Benefits!$B$4:$B$703,A313,Benefits!$F$4:$F$703,B313,Benefits!$R$4:$R$703,"avoided_cost_realised"),0)</f>
        <v>0</v>
      </c>
      <c r="I313" s="11" t="n">
        <f aca="false">IF(D313=1,SUMIFS(Benefits!$S$4:$S$703,Benefits!$B$4:$B$703,A313,Benefits!$F$4:$F$703,B313,Benefits!$R$4:$R$703,"capacity_converted"),0)</f>
        <v>0</v>
      </c>
      <c r="J313" s="11" t="n">
        <f aca="false">SUM(F313:I313)</f>
        <v>0</v>
      </c>
      <c r="K313" s="11" t="n">
        <f aca="false">J313-E313</f>
        <v>0</v>
      </c>
      <c r="L313" s="11" t="n">
        <f aca="false">IF(D313=1,L312+K313,0)</f>
        <v>-775800</v>
      </c>
      <c r="M313" s="11" t="n">
        <f aca="false">IF(D313=1,1/(1+Controls!$B$11)^B313,0)</f>
        <v>0.873994502213079</v>
      </c>
      <c r="N313" s="11" t="n">
        <f aca="false">K313*M313</f>
        <v>0</v>
      </c>
      <c r="O313" s="11" t="n">
        <f aca="false">IF(D313=1,O312+N313,0)</f>
        <v>-761535.733449625</v>
      </c>
      <c r="P313" s="11" t="n">
        <f aca="false">IF(AND(D313=1,L313&lt;0),1,0)</f>
        <v>1</v>
      </c>
      <c r="Q313" s="11" t="n">
        <f aca="false">IF(AND(D313=1,O313&lt;0),1,0)</f>
        <v>1</v>
      </c>
    </row>
    <row r="314" customFormat="false" ht="15" hidden="false" customHeight="false" outlineLevel="0" collapsed="false">
      <c r="A314" s="4" t="s">
        <v>91</v>
      </c>
      <c r="B314" s="4" t="n">
        <v>22</v>
      </c>
      <c r="C314" s="11" t="n">
        <f aca="false">IF(COUNTIF('Scenario inputs'!$A$4:$A$213,Controls!$B$3&amp;"|"&amp;A314)&gt;0,1,0)</f>
        <v>1</v>
      </c>
      <c r="D314" s="11" t="n">
        <f aca="false">IF(AND(C314=1,B314&lt;Controls!$B$12),1,0)</f>
        <v>1</v>
      </c>
      <c r="E314" s="11" t="n">
        <f aca="false">IF(D314=1,SUMPRODUCT((Costs!$B$4:$B$903=A314)*(Costs!$D$4:$D$903="planned")*(Costs!$J$4:$J$903&lt;=B314)*(Costs!$K$4:$K$903&gt;B314)*Costs!$E$4:$E$903),0)</f>
        <v>0</v>
      </c>
      <c r="F314" s="11" t="n">
        <f aca="false">IF(D314=1,SUMIFS(Benefits!$S$4:$S$703,Benefits!$B$4:$B$703,A314,Benefits!$F$4:$F$703,B314,Benefits!$R$4:$R$703,"cash"),0)</f>
        <v>0</v>
      </c>
      <c r="G314" s="11" t="n">
        <f aca="false">IF(D314=1,SUMIFS(Benefits!$S$4:$S$703,Benefits!$B$4:$B$703,A314,Benefits!$F$4:$F$703,B314,Benefits!$R$4:$R$703,"revenue"),0)</f>
        <v>0</v>
      </c>
      <c r="H314" s="11" t="n">
        <f aca="false">IF(D314=1,SUMIFS(Benefits!$S$4:$S$703,Benefits!$B$4:$B$703,A314,Benefits!$F$4:$F$703,B314,Benefits!$R$4:$R$703,"avoided_cost_realised"),0)</f>
        <v>0</v>
      </c>
      <c r="I314" s="11" t="n">
        <f aca="false">IF(D314=1,SUMIFS(Benefits!$S$4:$S$703,Benefits!$B$4:$B$703,A314,Benefits!$F$4:$F$703,B314,Benefits!$R$4:$R$703,"capacity_converted"),0)</f>
        <v>0</v>
      </c>
      <c r="J314" s="11" t="n">
        <f aca="false">SUM(F314:I314)</f>
        <v>0</v>
      </c>
      <c r="K314" s="11" t="n">
        <f aca="false">J314-E314</f>
        <v>0</v>
      </c>
      <c r="L314" s="11" t="n">
        <f aca="false">IF(D314=1,L313+K314,0)</f>
        <v>-775800</v>
      </c>
      <c r="M314" s="11" t="n">
        <f aca="false">IF(D314=1,1/(1+Controls!$B$11)^B314,0)</f>
        <v>0.868407170478222</v>
      </c>
      <c r="N314" s="11" t="n">
        <f aca="false">K314*M314</f>
        <v>0</v>
      </c>
      <c r="O314" s="11" t="n">
        <f aca="false">IF(D314=1,O313+N314,0)</f>
        <v>-761535.733449625</v>
      </c>
      <c r="P314" s="11" t="n">
        <f aca="false">IF(AND(D314=1,L314&lt;0),1,0)</f>
        <v>1</v>
      </c>
      <c r="Q314" s="11" t="n">
        <f aca="false">IF(AND(D314=1,O314&lt;0),1,0)</f>
        <v>1</v>
      </c>
    </row>
    <row r="315" customFormat="false" ht="15" hidden="false" customHeight="false" outlineLevel="0" collapsed="false">
      <c r="A315" s="4" t="s">
        <v>91</v>
      </c>
      <c r="B315" s="4" t="n">
        <v>23</v>
      </c>
      <c r="C315" s="11" t="n">
        <f aca="false">IF(COUNTIF('Scenario inputs'!$A$4:$A$213,Controls!$B$3&amp;"|"&amp;A315)&gt;0,1,0)</f>
        <v>1</v>
      </c>
      <c r="D315" s="11" t="n">
        <f aca="false">IF(AND(C315=1,B315&lt;Controls!$B$12),1,0)</f>
        <v>1</v>
      </c>
      <c r="E315" s="11" t="n">
        <f aca="false">IF(D315=1,SUMPRODUCT((Costs!$B$4:$B$903=A315)*(Costs!$D$4:$D$903="planned")*(Costs!$J$4:$J$903&lt;=B315)*(Costs!$K$4:$K$903&gt;B315)*Costs!$E$4:$E$903),0)</f>
        <v>0</v>
      </c>
      <c r="F315" s="11" t="n">
        <f aca="false">IF(D315=1,SUMIFS(Benefits!$S$4:$S$703,Benefits!$B$4:$B$703,A315,Benefits!$F$4:$F$703,B315,Benefits!$R$4:$R$703,"cash"),0)</f>
        <v>0</v>
      </c>
      <c r="G315" s="11" t="n">
        <f aca="false">IF(D315=1,SUMIFS(Benefits!$S$4:$S$703,Benefits!$B$4:$B$703,A315,Benefits!$F$4:$F$703,B315,Benefits!$R$4:$R$703,"revenue"),0)</f>
        <v>0</v>
      </c>
      <c r="H315" s="11" t="n">
        <f aca="false">IF(D315=1,SUMIFS(Benefits!$S$4:$S$703,Benefits!$B$4:$B$703,A315,Benefits!$F$4:$F$703,B315,Benefits!$R$4:$R$703,"avoided_cost_realised"),0)</f>
        <v>0</v>
      </c>
      <c r="I315" s="11" t="n">
        <f aca="false">IF(D315=1,SUMIFS(Benefits!$S$4:$S$703,Benefits!$B$4:$B$703,A315,Benefits!$F$4:$F$703,B315,Benefits!$R$4:$R$703,"capacity_converted"),0)</f>
        <v>0</v>
      </c>
      <c r="J315" s="11" t="n">
        <f aca="false">SUM(F315:I315)</f>
        <v>0</v>
      </c>
      <c r="K315" s="11" t="n">
        <f aca="false">J315-E315</f>
        <v>0</v>
      </c>
      <c r="L315" s="11" t="n">
        <f aca="false">IF(D315=1,L314+K315,0)</f>
        <v>-775800</v>
      </c>
      <c r="M315" s="11" t="n">
        <f aca="false">IF(D315=1,1/(1+Controls!$B$11)^B315,0)</f>
        <v>0.862855557819213</v>
      </c>
      <c r="N315" s="11" t="n">
        <f aca="false">K315*M315</f>
        <v>0</v>
      </c>
      <c r="O315" s="11" t="n">
        <f aca="false">IF(D315=1,O314+N315,0)</f>
        <v>-761535.733449625</v>
      </c>
      <c r="P315" s="11" t="n">
        <f aca="false">IF(AND(D315=1,L315&lt;0),1,0)</f>
        <v>1</v>
      </c>
      <c r="Q315" s="11" t="n">
        <f aca="false">IF(AND(D315=1,O315&lt;0),1,0)</f>
        <v>1</v>
      </c>
    </row>
    <row r="316" customFormat="false" ht="15" hidden="false" customHeight="false" outlineLevel="0" collapsed="false">
      <c r="A316" s="4" t="s">
        <v>91</v>
      </c>
      <c r="B316" s="4" t="n">
        <v>24</v>
      </c>
      <c r="C316" s="11" t="n">
        <f aca="false">IF(COUNTIF('Scenario inputs'!$A$4:$A$213,Controls!$B$3&amp;"|"&amp;A316)&gt;0,1,0)</f>
        <v>1</v>
      </c>
      <c r="D316" s="11" t="n">
        <f aca="false">IF(AND(C316=1,B316&lt;Controls!$B$12),1,0)</f>
        <v>1</v>
      </c>
      <c r="E316" s="11" t="n">
        <f aca="false">IF(D316=1,SUMPRODUCT((Costs!$B$4:$B$903=A316)*(Costs!$D$4:$D$903="planned")*(Costs!$J$4:$J$903&lt;=B316)*(Costs!$K$4:$K$903&gt;B316)*Costs!$E$4:$E$903),0)</f>
        <v>0</v>
      </c>
      <c r="F316" s="11" t="n">
        <f aca="false">IF(D316=1,SUMIFS(Benefits!$S$4:$S$703,Benefits!$B$4:$B$703,A316,Benefits!$F$4:$F$703,B316,Benefits!$R$4:$R$703,"cash"),0)</f>
        <v>0</v>
      </c>
      <c r="G316" s="11" t="n">
        <f aca="false">IF(D316=1,SUMIFS(Benefits!$S$4:$S$703,Benefits!$B$4:$B$703,A316,Benefits!$F$4:$F$703,B316,Benefits!$R$4:$R$703,"revenue"),0)</f>
        <v>0</v>
      </c>
      <c r="H316" s="11" t="n">
        <f aca="false">IF(D316=1,SUMIFS(Benefits!$S$4:$S$703,Benefits!$B$4:$B$703,A316,Benefits!$F$4:$F$703,B316,Benefits!$R$4:$R$703,"avoided_cost_realised"),0)</f>
        <v>0</v>
      </c>
      <c r="I316" s="11" t="n">
        <f aca="false">IF(D316=1,SUMIFS(Benefits!$S$4:$S$703,Benefits!$B$4:$B$703,A316,Benefits!$F$4:$F$703,B316,Benefits!$R$4:$R$703,"capacity_converted"),0)</f>
        <v>0</v>
      </c>
      <c r="J316" s="11" t="n">
        <f aca="false">SUM(F316:I316)</f>
        <v>0</v>
      </c>
      <c r="K316" s="11" t="n">
        <f aca="false">J316-E316</f>
        <v>0</v>
      </c>
      <c r="L316" s="11" t="n">
        <f aca="false">IF(D316=1,L315+K316,0)</f>
        <v>-775800</v>
      </c>
      <c r="M316" s="11" t="n">
        <f aca="false">IF(D316=1,1/(1+Controls!$B$11)^B316,0)</f>
        <v>0.857339435888705</v>
      </c>
      <c r="N316" s="11" t="n">
        <f aca="false">K316*M316</f>
        <v>0</v>
      </c>
      <c r="O316" s="11" t="n">
        <f aca="false">IF(D316=1,O315+N316,0)</f>
        <v>-761535.733449625</v>
      </c>
      <c r="P316" s="11" t="n">
        <f aca="false">IF(AND(D316=1,L316&lt;0),1,0)</f>
        <v>1</v>
      </c>
      <c r="Q316" s="11" t="n">
        <f aca="false">IF(AND(D316=1,O316&lt;0),1,0)</f>
        <v>1</v>
      </c>
    </row>
    <row r="317" customFormat="false" ht="15" hidden="false" customHeight="false" outlineLevel="0" collapsed="false">
      <c r="A317" s="4" t="s">
        <v>91</v>
      </c>
      <c r="B317" s="4" t="n">
        <v>25</v>
      </c>
      <c r="C317" s="11" t="n">
        <f aca="false">IF(COUNTIF('Scenario inputs'!$A$4:$A$213,Controls!$B$3&amp;"|"&amp;A317)&gt;0,1,0)</f>
        <v>1</v>
      </c>
      <c r="D317" s="11" t="n">
        <f aca="false">IF(AND(C317=1,B317&lt;Controls!$B$12),1,0)</f>
        <v>1</v>
      </c>
      <c r="E317" s="11" t="n">
        <f aca="false">IF(D317=1,SUMPRODUCT((Costs!$B$4:$B$903=A317)*(Costs!$D$4:$D$903="planned")*(Costs!$J$4:$J$903&lt;=B317)*(Costs!$K$4:$K$903&gt;B317)*Costs!$E$4:$E$903),0)</f>
        <v>0</v>
      </c>
      <c r="F317" s="11" t="n">
        <f aca="false">IF(D317=1,SUMIFS(Benefits!$S$4:$S$703,Benefits!$B$4:$B$703,A317,Benefits!$F$4:$F$703,B317,Benefits!$R$4:$R$703,"cash"),0)</f>
        <v>0</v>
      </c>
      <c r="G317" s="11" t="n">
        <f aca="false">IF(D317=1,SUMIFS(Benefits!$S$4:$S$703,Benefits!$B$4:$B$703,A317,Benefits!$F$4:$F$703,B317,Benefits!$R$4:$R$703,"revenue"),0)</f>
        <v>0</v>
      </c>
      <c r="H317" s="11" t="n">
        <f aca="false">IF(D317=1,SUMIFS(Benefits!$S$4:$S$703,Benefits!$B$4:$B$703,A317,Benefits!$F$4:$F$703,B317,Benefits!$R$4:$R$703,"avoided_cost_realised"),0)</f>
        <v>0</v>
      </c>
      <c r="I317" s="11" t="n">
        <f aca="false">IF(D317=1,SUMIFS(Benefits!$S$4:$S$703,Benefits!$B$4:$B$703,A317,Benefits!$F$4:$F$703,B317,Benefits!$R$4:$R$703,"capacity_converted"),0)</f>
        <v>0</v>
      </c>
      <c r="J317" s="11" t="n">
        <f aca="false">SUM(F317:I317)</f>
        <v>0</v>
      </c>
      <c r="K317" s="11" t="n">
        <f aca="false">J317-E317</f>
        <v>0</v>
      </c>
      <c r="L317" s="11" t="n">
        <f aca="false">IF(D317=1,L316+K317,0)</f>
        <v>-775800</v>
      </c>
      <c r="M317" s="11" t="n">
        <f aca="false">IF(D317=1,1/(1+Controls!$B$11)^B317,0)</f>
        <v>0.851858577799146</v>
      </c>
      <c r="N317" s="11" t="n">
        <f aca="false">K317*M317</f>
        <v>0</v>
      </c>
      <c r="O317" s="11" t="n">
        <f aca="false">IF(D317=1,O316+N317,0)</f>
        <v>-761535.733449625</v>
      </c>
      <c r="P317" s="11" t="n">
        <f aca="false">IF(AND(D317=1,L317&lt;0),1,0)</f>
        <v>1</v>
      </c>
      <c r="Q317" s="11" t="n">
        <f aca="false">IF(AND(D317=1,O317&lt;0),1,0)</f>
        <v>1</v>
      </c>
    </row>
    <row r="318" customFormat="false" ht="15" hidden="false" customHeight="false" outlineLevel="0" collapsed="false">
      <c r="A318" s="4" t="s">
        <v>91</v>
      </c>
      <c r="B318" s="4" t="n">
        <v>26</v>
      </c>
      <c r="C318" s="11" t="n">
        <f aca="false">IF(COUNTIF('Scenario inputs'!$A$4:$A$213,Controls!$B$3&amp;"|"&amp;A318)&gt;0,1,0)</f>
        <v>1</v>
      </c>
      <c r="D318" s="11" t="n">
        <f aca="false">IF(AND(C318=1,B318&lt;Controls!$B$12),1,0)</f>
        <v>1</v>
      </c>
      <c r="E318" s="11" t="n">
        <f aca="false">IF(D318=1,SUMPRODUCT((Costs!$B$4:$B$903=A318)*(Costs!$D$4:$D$903="planned")*(Costs!$J$4:$J$903&lt;=B318)*(Costs!$K$4:$K$903&gt;B318)*Costs!$E$4:$E$903),0)</f>
        <v>0</v>
      </c>
      <c r="F318" s="11" t="n">
        <f aca="false">IF(D318=1,SUMIFS(Benefits!$S$4:$S$703,Benefits!$B$4:$B$703,A318,Benefits!$F$4:$F$703,B318,Benefits!$R$4:$R$703,"cash"),0)</f>
        <v>0</v>
      </c>
      <c r="G318" s="11" t="n">
        <f aca="false">IF(D318=1,SUMIFS(Benefits!$S$4:$S$703,Benefits!$B$4:$B$703,A318,Benefits!$F$4:$F$703,B318,Benefits!$R$4:$R$703,"revenue"),0)</f>
        <v>0</v>
      </c>
      <c r="H318" s="11" t="n">
        <f aca="false">IF(D318=1,SUMIFS(Benefits!$S$4:$S$703,Benefits!$B$4:$B$703,A318,Benefits!$F$4:$F$703,B318,Benefits!$R$4:$R$703,"avoided_cost_realised"),0)</f>
        <v>0</v>
      </c>
      <c r="I318" s="11" t="n">
        <f aca="false">IF(D318=1,SUMIFS(Benefits!$S$4:$S$703,Benefits!$B$4:$B$703,A318,Benefits!$F$4:$F$703,B318,Benefits!$R$4:$R$703,"capacity_converted"),0)</f>
        <v>0</v>
      </c>
      <c r="J318" s="11" t="n">
        <f aca="false">SUM(F318:I318)</f>
        <v>0</v>
      </c>
      <c r="K318" s="11" t="n">
        <f aca="false">J318-E318</f>
        <v>0</v>
      </c>
      <c r="L318" s="11" t="n">
        <f aca="false">IF(D318=1,L317+K318,0)</f>
        <v>-775800</v>
      </c>
      <c r="M318" s="11" t="n">
        <f aca="false">IF(D318=1,1/(1+Controls!$B$11)^B318,0)</f>
        <v>0.846412758113444</v>
      </c>
      <c r="N318" s="11" t="n">
        <f aca="false">K318*M318</f>
        <v>0</v>
      </c>
      <c r="O318" s="11" t="n">
        <f aca="false">IF(D318=1,O317+N318,0)</f>
        <v>-761535.733449625</v>
      </c>
      <c r="P318" s="11" t="n">
        <f aca="false">IF(AND(D318=1,L318&lt;0),1,0)</f>
        <v>1</v>
      </c>
      <c r="Q318" s="11" t="n">
        <f aca="false">IF(AND(D318=1,O318&lt;0),1,0)</f>
        <v>1</v>
      </c>
    </row>
    <row r="319" customFormat="false" ht="15" hidden="false" customHeight="false" outlineLevel="0" collapsed="false">
      <c r="A319" s="4" t="s">
        <v>91</v>
      </c>
      <c r="B319" s="4" t="n">
        <v>27</v>
      </c>
      <c r="C319" s="11" t="n">
        <f aca="false">IF(COUNTIF('Scenario inputs'!$A$4:$A$213,Controls!$B$3&amp;"|"&amp;A319)&gt;0,1,0)</f>
        <v>1</v>
      </c>
      <c r="D319" s="11" t="n">
        <f aca="false">IF(AND(C319=1,B319&lt;Controls!$B$12),1,0)</f>
        <v>1</v>
      </c>
      <c r="E319" s="11" t="n">
        <f aca="false">IF(D319=1,SUMPRODUCT((Costs!$B$4:$B$903=A319)*(Costs!$D$4:$D$903="planned")*(Costs!$J$4:$J$903&lt;=B319)*(Costs!$K$4:$K$903&gt;B319)*Costs!$E$4:$E$903),0)</f>
        <v>0</v>
      </c>
      <c r="F319" s="11" t="n">
        <f aca="false">IF(D319=1,SUMIFS(Benefits!$S$4:$S$703,Benefits!$B$4:$B$703,A319,Benefits!$F$4:$F$703,B319,Benefits!$R$4:$R$703,"cash"),0)</f>
        <v>0</v>
      </c>
      <c r="G319" s="11" t="n">
        <f aca="false">IF(D319=1,SUMIFS(Benefits!$S$4:$S$703,Benefits!$B$4:$B$703,A319,Benefits!$F$4:$F$703,B319,Benefits!$R$4:$R$703,"revenue"),0)</f>
        <v>0</v>
      </c>
      <c r="H319" s="11" t="n">
        <f aca="false">IF(D319=1,SUMIFS(Benefits!$S$4:$S$703,Benefits!$B$4:$B$703,A319,Benefits!$F$4:$F$703,B319,Benefits!$R$4:$R$703,"avoided_cost_realised"),0)</f>
        <v>0</v>
      </c>
      <c r="I319" s="11" t="n">
        <f aca="false">IF(D319=1,SUMIFS(Benefits!$S$4:$S$703,Benefits!$B$4:$B$703,A319,Benefits!$F$4:$F$703,B319,Benefits!$R$4:$R$703,"capacity_converted"),0)</f>
        <v>0</v>
      </c>
      <c r="J319" s="11" t="n">
        <f aca="false">SUM(F319:I319)</f>
        <v>0</v>
      </c>
      <c r="K319" s="11" t="n">
        <f aca="false">J319-E319</f>
        <v>0</v>
      </c>
      <c r="L319" s="11" t="n">
        <f aca="false">IF(D319=1,L318+K319,0)</f>
        <v>-775800</v>
      </c>
      <c r="M319" s="11" t="n">
        <f aca="false">IF(D319=1,1/(1+Controls!$B$11)^B319,0)</f>
        <v>0.841001752835699</v>
      </c>
      <c r="N319" s="11" t="n">
        <f aca="false">K319*M319</f>
        <v>0</v>
      </c>
      <c r="O319" s="11" t="n">
        <f aca="false">IF(D319=1,O318+N319,0)</f>
        <v>-761535.733449625</v>
      </c>
      <c r="P319" s="11" t="n">
        <f aca="false">IF(AND(D319=1,L319&lt;0),1,0)</f>
        <v>1</v>
      </c>
      <c r="Q319" s="11" t="n">
        <f aca="false">IF(AND(D319=1,O319&lt;0),1,0)</f>
        <v>1</v>
      </c>
    </row>
    <row r="320" customFormat="false" ht="15" hidden="false" customHeight="false" outlineLevel="0" collapsed="false">
      <c r="A320" s="4" t="s">
        <v>91</v>
      </c>
      <c r="B320" s="4" t="n">
        <v>28</v>
      </c>
      <c r="C320" s="11" t="n">
        <f aca="false">IF(COUNTIF('Scenario inputs'!$A$4:$A$213,Controls!$B$3&amp;"|"&amp;A320)&gt;0,1,0)</f>
        <v>1</v>
      </c>
      <c r="D320" s="11" t="n">
        <f aca="false">IF(AND(C320=1,B320&lt;Controls!$B$12),1,0)</f>
        <v>1</v>
      </c>
      <c r="E320" s="11" t="n">
        <f aca="false">IF(D320=1,SUMPRODUCT((Costs!$B$4:$B$903=A320)*(Costs!$D$4:$D$903="planned")*(Costs!$J$4:$J$903&lt;=B320)*(Costs!$K$4:$K$903&gt;B320)*Costs!$E$4:$E$903),0)</f>
        <v>0</v>
      </c>
      <c r="F320" s="11" t="n">
        <f aca="false">IF(D320=1,SUMIFS(Benefits!$S$4:$S$703,Benefits!$B$4:$B$703,A320,Benefits!$F$4:$F$703,B320,Benefits!$R$4:$R$703,"cash"),0)</f>
        <v>0</v>
      </c>
      <c r="G320" s="11" t="n">
        <f aca="false">IF(D320=1,SUMIFS(Benefits!$S$4:$S$703,Benefits!$B$4:$B$703,A320,Benefits!$F$4:$F$703,B320,Benefits!$R$4:$R$703,"revenue"),0)</f>
        <v>0</v>
      </c>
      <c r="H320" s="11" t="n">
        <f aca="false">IF(D320=1,SUMIFS(Benefits!$S$4:$S$703,Benefits!$B$4:$B$703,A320,Benefits!$F$4:$F$703,B320,Benefits!$R$4:$R$703,"avoided_cost_realised"),0)</f>
        <v>0</v>
      </c>
      <c r="I320" s="11" t="n">
        <f aca="false">IF(D320=1,SUMIFS(Benefits!$S$4:$S$703,Benefits!$B$4:$B$703,A320,Benefits!$F$4:$F$703,B320,Benefits!$R$4:$R$703,"capacity_converted"),0)</f>
        <v>0</v>
      </c>
      <c r="J320" s="11" t="n">
        <f aca="false">SUM(F320:I320)</f>
        <v>0</v>
      </c>
      <c r="K320" s="11" t="n">
        <f aca="false">J320-E320</f>
        <v>0</v>
      </c>
      <c r="L320" s="11" t="n">
        <f aca="false">IF(D320=1,L319+K320,0)</f>
        <v>-775800</v>
      </c>
      <c r="M320" s="11" t="n">
        <f aca="false">IF(D320=1,1/(1+Controls!$B$11)^B320,0)</f>
        <v>0.835625339401986</v>
      </c>
      <c r="N320" s="11" t="n">
        <f aca="false">K320*M320</f>
        <v>0</v>
      </c>
      <c r="O320" s="11" t="n">
        <f aca="false">IF(D320=1,O319+N320,0)</f>
        <v>-761535.733449625</v>
      </c>
      <c r="P320" s="11" t="n">
        <f aca="false">IF(AND(D320=1,L320&lt;0),1,0)</f>
        <v>1</v>
      </c>
      <c r="Q320" s="11" t="n">
        <f aca="false">IF(AND(D320=1,O320&lt;0),1,0)</f>
        <v>1</v>
      </c>
    </row>
    <row r="321" customFormat="false" ht="15" hidden="false" customHeight="false" outlineLevel="0" collapsed="false">
      <c r="A321" s="4" t="s">
        <v>91</v>
      </c>
      <c r="B321" s="4" t="n">
        <v>29</v>
      </c>
      <c r="C321" s="11" t="n">
        <f aca="false">IF(COUNTIF('Scenario inputs'!$A$4:$A$213,Controls!$B$3&amp;"|"&amp;A321)&gt;0,1,0)</f>
        <v>1</v>
      </c>
      <c r="D321" s="11" t="n">
        <f aca="false">IF(AND(C321=1,B321&lt;Controls!$B$12),1,0)</f>
        <v>1</v>
      </c>
      <c r="E321" s="11" t="n">
        <f aca="false">IF(D321=1,SUMPRODUCT((Costs!$B$4:$B$903=A321)*(Costs!$D$4:$D$903="planned")*(Costs!$J$4:$J$903&lt;=B321)*(Costs!$K$4:$K$903&gt;B321)*Costs!$E$4:$E$903),0)</f>
        <v>0</v>
      </c>
      <c r="F321" s="11" t="n">
        <f aca="false">IF(D321=1,SUMIFS(Benefits!$S$4:$S$703,Benefits!$B$4:$B$703,A321,Benefits!$F$4:$F$703,B321,Benefits!$R$4:$R$703,"cash"),0)</f>
        <v>0</v>
      </c>
      <c r="G321" s="11" t="n">
        <f aca="false">IF(D321=1,SUMIFS(Benefits!$S$4:$S$703,Benefits!$B$4:$B$703,A321,Benefits!$F$4:$F$703,B321,Benefits!$R$4:$R$703,"revenue"),0)</f>
        <v>0</v>
      </c>
      <c r="H321" s="11" t="n">
        <f aca="false">IF(D321=1,SUMIFS(Benefits!$S$4:$S$703,Benefits!$B$4:$B$703,A321,Benefits!$F$4:$F$703,B321,Benefits!$R$4:$R$703,"avoided_cost_realised"),0)</f>
        <v>0</v>
      </c>
      <c r="I321" s="11" t="n">
        <f aca="false">IF(D321=1,SUMIFS(Benefits!$S$4:$S$703,Benefits!$B$4:$B$703,A321,Benefits!$F$4:$F$703,B321,Benefits!$R$4:$R$703,"capacity_converted"),0)</f>
        <v>0</v>
      </c>
      <c r="J321" s="11" t="n">
        <f aca="false">SUM(F321:I321)</f>
        <v>0</v>
      </c>
      <c r="K321" s="11" t="n">
        <f aca="false">J321-E321</f>
        <v>0</v>
      </c>
      <c r="L321" s="11" t="n">
        <f aca="false">IF(D321=1,L320+K321,0)</f>
        <v>-775800</v>
      </c>
      <c r="M321" s="11" t="n">
        <f aca="false">IF(D321=1,1/(1+Controls!$B$11)^B321,0)</f>
        <v>0.830283296671204</v>
      </c>
      <c r="N321" s="11" t="n">
        <f aca="false">K321*M321</f>
        <v>0</v>
      </c>
      <c r="O321" s="11" t="n">
        <f aca="false">IF(D321=1,O320+N321,0)</f>
        <v>-761535.733449625</v>
      </c>
      <c r="P321" s="11" t="n">
        <f aca="false">IF(AND(D321=1,L321&lt;0),1,0)</f>
        <v>1</v>
      </c>
      <c r="Q321" s="11" t="n">
        <f aca="false">IF(AND(D321=1,O321&lt;0),1,0)</f>
        <v>1</v>
      </c>
    </row>
    <row r="322" customFormat="false" ht="15" hidden="false" customHeight="false" outlineLevel="0" collapsed="false">
      <c r="A322" s="4" t="s">
        <v>91</v>
      </c>
      <c r="B322" s="4" t="n">
        <v>30</v>
      </c>
      <c r="C322" s="11" t="n">
        <f aca="false">IF(COUNTIF('Scenario inputs'!$A$4:$A$213,Controls!$B$3&amp;"|"&amp;A322)&gt;0,1,0)</f>
        <v>1</v>
      </c>
      <c r="D322" s="11" t="n">
        <f aca="false">IF(AND(C322=1,B322&lt;Controls!$B$12),1,0)</f>
        <v>1</v>
      </c>
      <c r="E322" s="11" t="n">
        <f aca="false">IF(D322=1,SUMPRODUCT((Costs!$B$4:$B$903=A322)*(Costs!$D$4:$D$903="planned")*(Costs!$J$4:$J$903&lt;=B322)*(Costs!$K$4:$K$903&gt;B322)*Costs!$E$4:$E$903),0)</f>
        <v>0</v>
      </c>
      <c r="F322" s="11" t="n">
        <f aca="false">IF(D322=1,SUMIFS(Benefits!$S$4:$S$703,Benefits!$B$4:$B$703,A322,Benefits!$F$4:$F$703,B322,Benefits!$R$4:$R$703,"cash"),0)</f>
        <v>0</v>
      </c>
      <c r="G322" s="11" t="n">
        <f aca="false">IF(D322=1,SUMIFS(Benefits!$S$4:$S$703,Benefits!$B$4:$B$703,A322,Benefits!$F$4:$F$703,B322,Benefits!$R$4:$R$703,"revenue"),0)</f>
        <v>0</v>
      </c>
      <c r="H322" s="11" t="n">
        <f aca="false">IF(D322=1,SUMIFS(Benefits!$S$4:$S$703,Benefits!$B$4:$B$703,A322,Benefits!$F$4:$F$703,B322,Benefits!$R$4:$R$703,"avoided_cost_realised"),0)</f>
        <v>0</v>
      </c>
      <c r="I322" s="11" t="n">
        <f aca="false">IF(D322=1,SUMIFS(Benefits!$S$4:$S$703,Benefits!$B$4:$B$703,A322,Benefits!$F$4:$F$703,B322,Benefits!$R$4:$R$703,"capacity_converted"),0)</f>
        <v>0</v>
      </c>
      <c r="J322" s="11" t="n">
        <f aca="false">SUM(F322:I322)</f>
        <v>0</v>
      </c>
      <c r="K322" s="11" t="n">
        <f aca="false">J322-E322</f>
        <v>0</v>
      </c>
      <c r="L322" s="11" t="n">
        <f aca="false">IF(D322=1,L321+K322,0)</f>
        <v>-775800</v>
      </c>
      <c r="M322" s="11" t="n">
        <f aca="false">IF(D322=1,1/(1+Controls!$B$11)^B322,0)</f>
        <v>0.824975404915974</v>
      </c>
      <c r="N322" s="11" t="n">
        <f aca="false">K322*M322</f>
        <v>0</v>
      </c>
      <c r="O322" s="11" t="n">
        <f aca="false">IF(D322=1,O321+N322,0)</f>
        <v>-761535.733449625</v>
      </c>
      <c r="P322" s="11" t="n">
        <f aca="false">IF(AND(D322=1,L322&lt;0),1,0)</f>
        <v>1</v>
      </c>
      <c r="Q322" s="11" t="n">
        <f aca="false">IF(AND(D322=1,O322&lt;0),1,0)</f>
        <v>1</v>
      </c>
    </row>
    <row r="323" customFormat="false" ht="15" hidden="false" customHeight="false" outlineLevel="0" collapsed="false">
      <c r="A323" s="4" t="s">
        <v>91</v>
      </c>
      <c r="B323" s="4" t="n">
        <v>31</v>
      </c>
      <c r="C323" s="11" t="n">
        <f aca="false">IF(COUNTIF('Scenario inputs'!$A$4:$A$213,Controls!$B$3&amp;"|"&amp;A323)&gt;0,1,0)</f>
        <v>1</v>
      </c>
      <c r="D323" s="11" t="n">
        <f aca="false">IF(AND(C323=1,B323&lt;Controls!$B$12),1,0)</f>
        <v>1</v>
      </c>
      <c r="E323" s="11" t="n">
        <f aca="false">IF(D323=1,SUMPRODUCT((Costs!$B$4:$B$903=A323)*(Costs!$D$4:$D$903="planned")*(Costs!$J$4:$J$903&lt;=B323)*(Costs!$K$4:$K$903&gt;B323)*Costs!$E$4:$E$903),0)</f>
        <v>0</v>
      </c>
      <c r="F323" s="11" t="n">
        <f aca="false">IF(D323=1,SUMIFS(Benefits!$S$4:$S$703,Benefits!$B$4:$B$703,A323,Benefits!$F$4:$F$703,B323,Benefits!$R$4:$R$703,"cash"),0)</f>
        <v>0</v>
      </c>
      <c r="G323" s="11" t="n">
        <f aca="false">IF(D323=1,SUMIFS(Benefits!$S$4:$S$703,Benefits!$B$4:$B$703,A323,Benefits!$F$4:$F$703,B323,Benefits!$R$4:$R$703,"revenue"),0)</f>
        <v>0</v>
      </c>
      <c r="H323" s="11" t="n">
        <f aca="false">IF(D323=1,SUMIFS(Benefits!$S$4:$S$703,Benefits!$B$4:$B$703,A323,Benefits!$F$4:$F$703,B323,Benefits!$R$4:$R$703,"avoided_cost_realised"),0)</f>
        <v>0</v>
      </c>
      <c r="I323" s="11" t="n">
        <f aca="false">IF(D323=1,SUMIFS(Benefits!$S$4:$S$703,Benefits!$B$4:$B$703,A323,Benefits!$F$4:$F$703,B323,Benefits!$R$4:$R$703,"capacity_converted"),0)</f>
        <v>0</v>
      </c>
      <c r="J323" s="11" t="n">
        <f aca="false">SUM(F323:I323)</f>
        <v>0</v>
      </c>
      <c r="K323" s="11" t="n">
        <f aca="false">J323-E323</f>
        <v>0</v>
      </c>
      <c r="L323" s="11" t="n">
        <f aca="false">IF(D323=1,L322+K323,0)</f>
        <v>-775800</v>
      </c>
      <c r="M323" s="11" t="n">
        <f aca="false">IF(D323=1,1/(1+Controls!$B$11)^B323,0)</f>
        <v>0.81970144581361</v>
      </c>
      <c r="N323" s="11" t="n">
        <f aca="false">K323*M323</f>
        <v>0</v>
      </c>
      <c r="O323" s="11" t="n">
        <f aca="false">IF(D323=1,O322+N323,0)</f>
        <v>-761535.733449625</v>
      </c>
      <c r="P323" s="11" t="n">
        <f aca="false">IF(AND(D323=1,L323&lt;0),1,0)</f>
        <v>1</v>
      </c>
      <c r="Q323" s="11" t="n">
        <f aca="false">IF(AND(D323=1,O323&lt;0),1,0)</f>
        <v>1</v>
      </c>
    </row>
    <row r="324" customFormat="false" ht="15" hidden="false" customHeight="false" outlineLevel="0" collapsed="false">
      <c r="A324" s="4" t="s">
        <v>91</v>
      </c>
      <c r="B324" s="4" t="n">
        <v>32</v>
      </c>
      <c r="C324" s="11" t="n">
        <f aca="false">IF(COUNTIF('Scenario inputs'!$A$4:$A$213,Controls!$B$3&amp;"|"&amp;A324)&gt;0,1,0)</f>
        <v>1</v>
      </c>
      <c r="D324" s="11" t="n">
        <f aca="false">IF(AND(C324=1,B324&lt;Controls!$B$12),1,0)</f>
        <v>1</v>
      </c>
      <c r="E324" s="11" t="n">
        <f aca="false">IF(D324=1,SUMPRODUCT((Costs!$B$4:$B$903=A324)*(Costs!$D$4:$D$903="planned")*(Costs!$J$4:$J$903&lt;=B324)*(Costs!$K$4:$K$903&gt;B324)*Costs!$E$4:$E$903),0)</f>
        <v>0</v>
      </c>
      <c r="F324" s="11" t="n">
        <f aca="false">IF(D324=1,SUMIFS(Benefits!$S$4:$S$703,Benefits!$B$4:$B$703,A324,Benefits!$F$4:$F$703,B324,Benefits!$R$4:$R$703,"cash"),0)</f>
        <v>0</v>
      </c>
      <c r="G324" s="11" t="n">
        <f aca="false">IF(D324=1,SUMIFS(Benefits!$S$4:$S$703,Benefits!$B$4:$B$703,A324,Benefits!$F$4:$F$703,B324,Benefits!$R$4:$R$703,"revenue"),0)</f>
        <v>0</v>
      </c>
      <c r="H324" s="11" t="n">
        <f aca="false">IF(D324=1,SUMIFS(Benefits!$S$4:$S$703,Benefits!$B$4:$B$703,A324,Benefits!$F$4:$F$703,B324,Benefits!$R$4:$R$703,"avoided_cost_realised"),0)</f>
        <v>0</v>
      </c>
      <c r="I324" s="11" t="n">
        <f aca="false">IF(D324=1,SUMIFS(Benefits!$S$4:$S$703,Benefits!$B$4:$B$703,A324,Benefits!$F$4:$F$703,B324,Benefits!$R$4:$R$703,"capacity_converted"),0)</f>
        <v>0</v>
      </c>
      <c r="J324" s="11" t="n">
        <f aca="false">SUM(F324:I324)</f>
        <v>0</v>
      </c>
      <c r="K324" s="11" t="n">
        <f aca="false">J324-E324</f>
        <v>0</v>
      </c>
      <c r="L324" s="11" t="n">
        <f aca="false">IF(D324=1,L323+K324,0)</f>
        <v>-775800</v>
      </c>
      <c r="M324" s="11" t="n">
        <f aca="false">IF(D324=1,1/(1+Controls!$B$11)^B324,0)</f>
        <v>0.814461202437129</v>
      </c>
      <c r="N324" s="11" t="n">
        <f aca="false">K324*M324</f>
        <v>0</v>
      </c>
      <c r="O324" s="11" t="n">
        <f aca="false">IF(D324=1,O323+N324,0)</f>
        <v>-761535.733449625</v>
      </c>
      <c r="P324" s="11" t="n">
        <f aca="false">IF(AND(D324=1,L324&lt;0),1,0)</f>
        <v>1</v>
      </c>
      <c r="Q324" s="11" t="n">
        <f aca="false">IF(AND(D324=1,O324&lt;0),1,0)</f>
        <v>1</v>
      </c>
    </row>
    <row r="325" customFormat="false" ht="15" hidden="false" customHeight="false" outlineLevel="0" collapsed="false">
      <c r="A325" s="4" t="s">
        <v>91</v>
      </c>
      <c r="B325" s="4" t="n">
        <v>33</v>
      </c>
      <c r="C325" s="11" t="n">
        <f aca="false">IF(COUNTIF('Scenario inputs'!$A$4:$A$213,Controls!$B$3&amp;"|"&amp;A325)&gt;0,1,0)</f>
        <v>1</v>
      </c>
      <c r="D325" s="11" t="n">
        <f aca="false">IF(AND(C325=1,B325&lt;Controls!$B$12),1,0)</f>
        <v>1</v>
      </c>
      <c r="E325" s="11" t="n">
        <f aca="false">IF(D325=1,SUMPRODUCT((Costs!$B$4:$B$903=A325)*(Costs!$D$4:$D$903="planned")*(Costs!$J$4:$J$903&lt;=B325)*(Costs!$K$4:$K$903&gt;B325)*Costs!$E$4:$E$903),0)</f>
        <v>0</v>
      </c>
      <c r="F325" s="11" t="n">
        <f aca="false">IF(D325=1,SUMIFS(Benefits!$S$4:$S$703,Benefits!$B$4:$B$703,A325,Benefits!$F$4:$F$703,B325,Benefits!$R$4:$R$703,"cash"),0)</f>
        <v>0</v>
      </c>
      <c r="G325" s="11" t="n">
        <f aca="false">IF(D325=1,SUMIFS(Benefits!$S$4:$S$703,Benefits!$B$4:$B$703,A325,Benefits!$F$4:$F$703,B325,Benefits!$R$4:$R$703,"revenue"),0)</f>
        <v>0</v>
      </c>
      <c r="H325" s="11" t="n">
        <f aca="false">IF(D325=1,SUMIFS(Benefits!$S$4:$S$703,Benefits!$B$4:$B$703,A325,Benefits!$F$4:$F$703,B325,Benefits!$R$4:$R$703,"avoided_cost_realised"),0)</f>
        <v>0</v>
      </c>
      <c r="I325" s="11" t="n">
        <f aca="false">IF(D325=1,SUMIFS(Benefits!$S$4:$S$703,Benefits!$B$4:$B$703,A325,Benefits!$F$4:$F$703,B325,Benefits!$R$4:$R$703,"capacity_converted"),0)</f>
        <v>0</v>
      </c>
      <c r="J325" s="11" t="n">
        <f aca="false">SUM(F325:I325)</f>
        <v>0</v>
      </c>
      <c r="K325" s="11" t="n">
        <f aca="false">J325-E325</f>
        <v>0</v>
      </c>
      <c r="L325" s="11" t="n">
        <f aca="false">IF(D325=1,L324+K325,0)</f>
        <v>-775800</v>
      </c>
      <c r="M325" s="11" t="n">
        <f aca="false">IF(D325=1,1/(1+Controls!$B$11)^B325,0)</f>
        <v>0.809254459246338</v>
      </c>
      <c r="N325" s="11" t="n">
        <f aca="false">K325*M325</f>
        <v>0</v>
      </c>
      <c r="O325" s="11" t="n">
        <f aca="false">IF(D325=1,O324+N325,0)</f>
        <v>-761535.733449625</v>
      </c>
      <c r="P325" s="11" t="n">
        <f aca="false">IF(AND(D325=1,L325&lt;0),1,0)</f>
        <v>1</v>
      </c>
      <c r="Q325" s="11" t="n">
        <f aca="false">IF(AND(D325=1,O325&lt;0),1,0)</f>
        <v>1</v>
      </c>
    </row>
    <row r="326" customFormat="false" ht="15" hidden="false" customHeight="false" outlineLevel="0" collapsed="false">
      <c r="A326" s="4" t="s">
        <v>91</v>
      </c>
      <c r="B326" s="4" t="n">
        <v>34</v>
      </c>
      <c r="C326" s="11" t="n">
        <f aca="false">IF(COUNTIF('Scenario inputs'!$A$4:$A$213,Controls!$B$3&amp;"|"&amp;A326)&gt;0,1,0)</f>
        <v>1</v>
      </c>
      <c r="D326" s="11" t="n">
        <f aca="false">IF(AND(C326=1,B326&lt;Controls!$B$12),1,0)</f>
        <v>1</v>
      </c>
      <c r="E326" s="11" t="n">
        <f aca="false">IF(D326=1,SUMPRODUCT((Costs!$B$4:$B$903=A326)*(Costs!$D$4:$D$903="planned")*(Costs!$J$4:$J$903&lt;=B326)*(Costs!$K$4:$K$903&gt;B326)*Costs!$E$4:$E$903),0)</f>
        <v>0</v>
      </c>
      <c r="F326" s="11" t="n">
        <f aca="false">IF(D326=1,SUMIFS(Benefits!$S$4:$S$703,Benefits!$B$4:$B$703,A326,Benefits!$F$4:$F$703,B326,Benefits!$R$4:$R$703,"cash"),0)</f>
        <v>0</v>
      </c>
      <c r="G326" s="11" t="n">
        <f aca="false">IF(D326=1,SUMIFS(Benefits!$S$4:$S$703,Benefits!$B$4:$B$703,A326,Benefits!$F$4:$F$703,B326,Benefits!$R$4:$R$703,"revenue"),0)</f>
        <v>0</v>
      </c>
      <c r="H326" s="11" t="n">
        <f aca="false">IF(D326=1,SUMIFS(Benefits!$S$4:$S$703,Benefits!$B$4:$B$703,A326,Benefits!$F$4:$F$703,B326,Benefits!$R$4:$R$703,"avoided_cost_realised"),0)</f>
        <v>0</v>
      </c>
      <c r="I326" s="11" t="n">
        <f aca="false">IF(D326=1,SUMIFS(Benefits!$S$4:$S$703,Benefits!$B$4:$B$703,A326,Benefits!$F$4:$F$703,B326,Benefits!$R$4:$R$703,"capacity_converted"),0)</f>
        <v>0</v>
      </c>
      <c r="J326" s="11" t="n">
        <f aca="false">SUM(F326:I326)</f>
        <v>0</v>
      </c>
      <c r="K326" s="11" t="n">
        <f aca="false">J326-E326</f>
        <v>0</v>
      </c>
      <c r="L326" s="11" t="n">
        <f aca="false">IF(D326=1,L325+K326,0)</f>
        <v>-775800</v>
      </c>
      <c r="M326" s="11" t="n">
        <f aca="false">IF(D326=1,1/(1+Controls!$B$11)^B326,0)</f>
        <v>0.804081002078962</v>
      </c>
      <c r="N326" s="11" t="n">
        <f aca="false">K326*M326</f>
        <v>0</v>
      </c>
      <c r="O326" s="11" t="n">
        <f aca="false">IF(D326=1,O325+N326,0)</f>
        <v>-761535.733449625</v>
      </c>
      <c r="P326" s="11" t="n">
        <f aca="false">IF(AND(D326=1,L326&lt;0),1,0)</f>
        <v>1</v>
      </c>
      <c r="Q326" s="11" t="n">
        <f aca="false">IF(AND(D326=1,O326&lt;0),1,0)</f>
        <v>1</v>
      </c>
    </row>
    <row r="327" customFormat="false" ht="15" hidden="false" customHeight="false" outlineLevel="0" collapsed="false">
      <c r="A327" s="4" t="s">
        <v>91</v>
      </c>
      <c r="B327" s="4" t="n">
        <v>35</v>
      </c>
      <c r="C327" s="11" t="n">
        <f aca="false">IF(COUNTIF('Scenario inputs'!$A$4:$A$213,Controls!$B$3&amp;"|"&amp;A327)&gt;0,1,0)</f>
        <v>1</v>
      </c>
      <c r="D327" s="11" t="n">
        <f aca="false">IF(AND(C327=1,B327&lt;Controls!$B$12),1,0)</f>
        <v>1</v>
      </c>
      <c r="E327" s="11" t="n">
        <f aca="false">IF(D327=1,SUMPRODUCT((Costs!$B$4:$B$903=A327)*(Costs!$D$4:$D$903="planned")*(Costs!$J$4:$J$903&lt;=B327)*(Costs!$K$4:$K$903&gt;B327)*Costs!$E$4:$E$903),0)</f>
        <v>0</v>
      </c>
      <c r="F327" s="11" t="n">
        <f aca="false">IF(D327=1,SUMIFS(Benefits!$S$4:$S$703,Benefits!$B$4:$B$703,A327,Benefits!$F$4:$F$703,B327,Benefits!$R$4:$R$703,"cash"),0)</f>
        <v>0</v>
      </c>
      <c r="G327" s="11" t="n">
        <f aca="false">IF(D327=1,SUMIFS(Benefits!$S$4:$S$703,Benefits!$B$4:$B$703,A327,Benefits!$F$4:$F$703,B327,Benefits!$R$4:$R$703,"revenue"),0)</f>
        <v>0</v>
      </c>
      <c r="H327" s="11" t="n">
        <f aca="false">IF(D327=1,SUMIFS(Benefits!$S$4:$S$703,Benefits!$B$4:$B$703,A327,Benefits!$F$4:$F$703,B327,Benefits!$R$4:$R$703,"avoided_cost_realised"),0)</f>
        <v>0</v>
      </c>
      <c r="I327" s="11" t="n">
        <f aca="false">IF(D327=1,SUMIFS(Benefits!$S$4:$S$703,Benefits!$B$4:$B$703,A327,Benefits!$F$4:$F$703,B327,Benefits!$R$4:$R$703,"capacity_converted"),0)</f>
        <v>0</v>
      </c>
      <c r="J327" s="11" t="n">
        <f aca="false">SUM(F327:I327)</f>
        <v>0</v>
      </c>
      <c r="K327" s="11" t="n">
        <f aca="false">J327-E327</f>
        <v>0</v>
      </c>
      <c r="L327" s="11" t="n">
        <f aca="false">IF(D327=1,L326+K327,0)</f>
        <v>-775800</v>
      </c>
      <c r="M327" s="11" t="n">
        <f aca="false">IF(D327=1,1/(1+Controls!$B$11)^B327,0)</f>
        <v>0.798940618141837</v>
      </c>
      <c r="N327" s="11" t="n">
        <f aca="false">K327*M327</f>
        <v>0</v>
      </c>
      <c r="O327" s="11" t="n">
        <f aca="false">IF(D327=1,O326+N327,0)</f>
        <v>-761535.733449625</v>
      </c>
      <c r="P327" s="11" t="n">
        <f aca="false">IF(AND(D327=1,L327&lt;0),1,0)</f>
        <v>1</v>
      </c>
      <c r="Q327" s="11" t="n">
        <f aca="false">IF(AND(D327=1,O327&lt;0),1,0)</f>
        <v>1</v>
      </c>
    </row>
    <row r="328" customFormat="false" ht="15" hidden="false" customHeight="false" outlineLevel="0" collapsed="false">
      <c r="A328" s="4" t="s">
        <v>92</v>
      </c>
      <c r="B328" s="4" t="n">
        <v>0</v>
      </c>
      <c r="C328" s="11" t="n">
        <f aca="false">IF(COUNTIF('Scenario inputs'!$A$4:$A$213,Controls!$B$3&amp;"|"&amp;A328)&gt;0,1,0)</f>
        <v>1</v>
      </c>
      <c r="D328" s="11" t="n">
        <f aca="false">IF(AND(C328=1,B328&lt;Controls!$B$12),1,0)</f>
        <v>1</v>
      </c>
      <c r="E328" s="11" t="n">
        <f aca="false">IF(D328=1,SUMPRODUCT((Costs!$B$4:$B$903=A328)*(Costs!$D$4:$D$903="planned")*(Costs!$J$4:$J$903&lt;=B328)*(Costs!$K$4:$K$903&gt;B328)*Costs!$E$4:$E$903),0)</f>
        <v>24000</v>
      </c>
      <c r="F328" s="11" t="n">
        <f aca="false">IF(D328=1,SUMIFS(Benefits!$S$4:$S$703,Benefits!$B$4:$B$703,A328,Benefits!$F$4:$F$703,B328,Benefits!$R$4:$R$703,"cash"),0)</f>
        <v>0</v>
      </c>
      <c r="G328" s="11" t="n">
        <f aca="false">IF(D328=1,SUMIFS(Benefits!$S$4:$S$703,Benefits!$B$4:$B$703,A328,Benefits!$F$4:$F$703,B328,Benefits!$R$4:$R$703,"revenue"),0)</f>
        <v>0</v>
      </c>
      <c r="H328" s="11" t="n">
        <f aca="false">IF(D328=1,SUMIFS(Benefits!$S$4:$S$703,Benefits!$B$4:$B$703,A328,Benefits!$F$4:$F$703,B328,Benefits!$R$4:$R$703,"avoided_cost_realised"),0)</f>
        <v>0</v>
      </c>
      <c r="I328" s="11" t="n">
        <f aca="false">IF(D328=1,SUMIFS(Benefits!$S$4:$S$703,Benefits!$B$4:$B$703,A328,Benefits!$F$4:$F$703,B328,Benefits!$R$4:$R$703,"capacity_converted"),0)</f>
        <v>0</v>
      </c>
      <c r="J328" s="11" t="n">
        <f aca="false">SUM(F328:I328)</f>
        <v>0</v>
      </c>
      <c r="K328" s="11" t="n">
        <f aca="false">J328-E328</f>
        <v>-24000</v>
      </c>
      <c r="L328" s="11" t="n">
        <f aca="false">IF(D328=1,K328,0)</f>
        <v>-24000</v>
      </c>
      <c r="M328" s="11" t="n">
        <f aca="false">IF(D328=1,1/(1+Controls!$B$11)^B328,0)</f>
        <v>1</v>
      </c>
      <c r="N328" s="11" t="n">
        <f aca="false">K328*M328</f>
        <v>-24000</v>
      </c>
      <c r="O328" s="11" t="n">
        <f aca="false">IF(D328=1,N328,0)</f>
        <v>-24000</v>
      </c>
      <c r="P328" s="11" t="n">
        <f aca="false">IF(AND(D328=1,L328&lt;0),1,0)</f>
        <v>1</v>
      </c>
      <c r="Q328" s="11" t="n">
        <f aca="false">IF(AND(D328=1,O328&lt;0),1,0)</f>
        <v>1</v>
      </c>
    </row>
    <row r="329" customFormat="false" ht="15" hidden="false" customHeight="false" outlineLevel="0" collapsed="false">
      <c r="A329" s="4" t="s">
        <v>92</v>
      </c>
      <c r="B329" s="4" t="n">
        <v>1</v>
      </c>
      <c r="C329" s="11" t="n">
        <f aca="false">IF(COUNTIF('Scenario inputs'!$A$4:$A$213,Controls!$B$3&amp;"|"&amp;A329)&gt;0,1,0)</f>
        <v>1</v>
      </c>
      <c r="D329" s="11" t="n">
        <f aca="false">IF(AND(C329=1,B329&lt;Controls!$B$12),1,0)</f>
        <v>1</v>
      </c>
      <c r="E329" s="11" t="n">
        <f aca="false">IF(D329=1,SUMPRODUCT((Costs!$B$4:$B$903=A329)*(Costs!$D$4:$D$903="planned")*(Costs!$J$4:$J$903&lt;=B329)*(Costs!$K$4:$K$903&gt;B329)*Costs!$E$4:$E$903),0)</f>
        <v>0</v>
      </c>
      <c r="F329" s="11" t="n">
        <f aca="false">IF(D329=1,SUMIFS(Benefits!$S$4:$S$703,Benefits!$B$4:$B$703,A329,Benefits!$F$4:$F$703,B329,Benefits!$R$4:$R$703,"cash"),0)</f>
        <v>0</v>
      </c>
      <c r="G329" s="11" t="n">
        <f aca="false">IF(D329=1,SUMIFS(Benefits!$S$4:$S$703,Benefits!$B$4:$B$703,A329,Benefits!$F$4:$F$703,B329,Benefits!$R$4:$R$703,"revenue"),0)</f>
        <v>0</v>
      </c>
      <c r="H329" s="11" t="n">
        <f aca="false">IF(D329=1,SUMIFS(Benefits!$S$4:$S$703,Benefits!$B$4:$B$703,A329,Benefits!$F$4:$F$703,B329,Benefits!$R$4:$R$703,"avoided_cost_realised"),0)</f>
        <v>0</v>
      </c>
      <c r="I329" s="11" t="n">
        <f aca="false">IF(D329=1,SUMIFS(Benefits!$S$4:$S$703,Benefits!$B$4:$B$703,A329,Benefits!$F$4:$F$703,B329,Benefits!$R$4:$R$703,"capacity_converted"),0)</f>
        <v>0</v>
      </c>
      <c r="J329" s="11" t="n">
        <f aca="false">SUM(F329:I329)</f>
        <v>0</v>
      </c>
      <c r="K329" s="11" t="n">
        <f aca="false">J329-E329</f>
        <v>0</v>
      </c>
      <c r="L329" s="11" t="n">
        <f aca="false">IF(D329=1,L328+K329,0)</f>
        <v>-24000</v>
      </c>
      <c r="M329" s="11" t="n">
        <f aca="false">IF(D329=1,1/(1+Controls!$B$11)^B329,0)</f>
        <v>0.993607131714549</v>
      </c>
      <c r="N329" s="11" t="n">
        <f aca="false">K329*M329</f>
        <v>0</v>
      </c>
      <c r="O329" s="11" t="n">
        <f aca="false">IF(D329=1,O328+N329,0)</f>
        <v>-24000</v>
      </c>
      <c r="P329" s="11" t="n">
        <f aca="false">IF(AND(D329=1,L329&lt;0),1,0)</f>
        <v>1</v>
      </c>
      <c r="Q329" s="11" t="n">
        <f aca="false">IF(AND(D329=1,O329&lt;0),1,0)</f>
        <v>1</v>
      </c>
    </row>
    <row r="330" customFormat="false" ht="15" hidden="false" customHeight="false" outlineLevel="0" collapsed="false">
      <c r="A330" s="4" t="s">
        <v>92</v>
      </c>
      <c r="B330" s="4" t="n">
        <v>2</v>
      </c>
      <c r="C330" s="11" t="n">
        <f aca="false">IF(COUNTIF('Scenario inputs'!$A$4:$A$213,Controls!$B$3&amp;"|"&amp;A330)&gt;0,1,0)</f>
        <v>1</v>
      </c>
      <c r="D330" s="11" t="n">
        <f aca="false">IF(AND(C330=1,B330&lt;Controls!$B$12),1,0)</f>
        <v>1</v>
      </c>
      <c r="E330" s="11" t="n">
        <f aca="false">IF(D330=1,SUMPRODUCT((Costs!$B$4:$B$903=A330)*(Costs!$D$4:$D$903="planned")*(Costs!$J$4:$J$903&lt;=B330)*(Costs!$K$4:$K$903&gt;B330)*Costs!$E$4:$E$903),0)</f>
        <v>0</v>
      </c>
      <c r="F330" s="11" t="n">
        <f aca="false">IF(D330=1,SUMIFS(Benefits!$S$4:$S$703,Benefits!$B$4:$B$703,A330,Benefits!$F$4:$F$703,B330,Benefits!$R$4:$R$703,"cash"),0)</f>
        <v>0</v>
      </c>
      <c r="G330" s="11" t="n">
        <f aca="false">IF(D330=1,SUMIFS(Benefits!$S$4:$S$703,Benefits!$B$4:$B$703,A330,Benefits!$F$4:$F$703,B330,Benefits!$R$4:$R$703,"revenue"),0)</f>
        <v>0</v>
      </c>
      <c r="H330" s="11" t="n">
        <f aca="false">IF(D330=1,SUMIFS(Benefits!$S$4:$S$703,Benefits!$B$4:$B$703,A330,Benefits!$F$4:$F$703,B330,Benefits!$R$4:$R$703,"avoided_cost_realised"),0)</f>
        <v>0</v>
      </c>
      <c r="I330" s="11" t="n">
        <f aca="false">IF(D330=1,SUMIFS(Benefits!$S$4:$S$703,Benefits!$B$4:$B$703,A330,Benefits!$F$4:$F$703,B330,Benefits!$R$4:$R$703,"capacity_converted"),0)</f>
        <v>0</v>
      </c>
      <c r="J330" s="11" t="n">
        <f aca="false">SUM(F330:I330)</f>
        <v>0</v>
      </c>
      <c r="K330" s="11" t="n">
        <f aca="false">J330-E330</f>
        <v>0</v>
      </c>
      <c r="L330" s="11" t="n">
        <f aca="false">IF(D330=1,L329+K330,0)</f>
        <v>-24000</v>
      </c>
      <c r="M330" s="11" t="n">
        <f aca="false">IF(D330=1,1/(1+Controls!$B$11)^B330,0)</f>
        <v>0.987255132194012</v>
      </c>
      <c r="N330" s="11" t="n">
        <f aca="false">K330*M330</f>
        <v>0</v>
      </c>
      <c r="O330" s="11" t="n">
        <f aca="false">IF(D330=1,O329+N330,0)</f>
        <v>-24000</v>
      </c>
      <c r="P330" s="11" t="n">
        <f aca="false">IF(AND(D330=1,L330&lt;0),1,0)</f>
        <v>1</v>
      </c>
      <c r="Q330" s="11" t="n">
        <f aca="false">IF(AND(D330=1,O330&lt;0),1,0)</f>
        <v>1</v>
      </c>
    </row>
    <row r="331" customFormat="false" ht="15" hidden="false" customHeight="false" outlineLevel="0" collapsed="false">
      <c r="A331" s="4" t="s">
        <v>92</v>
      </c>
      <c r="B331" s="4" t="n">
        <v>3</v>
      </c>
      <c r="C331" s="11" t="n">
        <f aca="false">IF(COUNTIF('Scenario inputs'!$A$4:$A$213,Controls!$B$3&amp;"|"&amp;A331)&gt;0,1,0)</f>
        <v>1</v>
      </c>
      <c r="D331" s="11" t="n">
        <f aca="false">IF(AND(C331=1,B331&lt;Controls!$B$12),1,0)</f>
        <v>1</v>
      </c>
      <c r="E331" s="11" t="n">
        <f aca="false">IF(D331=1,SUMPRODUCT((Costs!$B$4:$B$903=A331)*(Costs!$D$4:$D$903="planned")*(Costs!$J$4:$J$903&lt;=B331)*(Costs!$K$4:$K$903&gt;B331)*Costs!$E$4:$E$903),0)</f>
        <v>68100</v>
      </c>
      <c r="F331" s="11" t="n">
        <f aca="false">IF(D331=1,SUMIFS(Benefits!$S$4:$S$703,Benefits!$B$4:$B$703,A331,Benefits!$F$4:$F$703,B331,Benefits!$R$4:$R$703,"cash"),0)</f>
        <v>0</v>
      </c>
      <c r="G331" s="11" t="n">
        <f aca="false">IF(D331=1,SUMIFS(Benefits!$S$4:$S$703,Benefits!$B$4:$B$703,A331,Benefits!$F$4:$F$703,B331,Benefits!$R$4:$R$703,"revenue"),0)</f>
        <v>0</v>
      </c>
      <c r="H331" s="11" t="n">
        <f aca="false">IF(D331=1,SUMIFS(Benefits!$S$4:$S$703,Benefits!$B$4:$B$703,A331,Benefits!$F$4:$F$703,B331,Benefits!$R$4:$R$703,"avoided_cost_realised"),0)</f>
        <v>0</v>
      </c>
      <c r="I331" s="11" t="n">
        <f aca="false">IF(D331=1,SUMIFS(Benefits!$S$4:$S$703,Benefits!$B$4:$B$703,A331,Benefits!$F$4:$F$703,B331,Benefits!$R$4:$R$703,"capacity_converted"),0)</f>
        <v>0</v>
      </c>
      <c r="J331" s="11" t="n">
        <f aca="false">SUM(F331:I331)</f>
        <v>0</v>
      </c>
      <c r="K331" s="11" t="n">
        <f aca="false">J331-E331</f>
        <v>-68100</v>
      </c>
      <c r="L331" s="11" t="n">
        <f aca="false">IF(D331=1,L330+K331,0)</f>
        <v>-92100</v>
      </c>
      <c r="M331" s="11" t="n">
        <f aca="false">IF(D331=1,1/(1+Controls!$B$11)^B331,0)</f>
        <v>0.98094374016976</v>
      </c>
      <c r="N331" s="11" t="n">
        <f aca="false">K331*M331</f>
        <v>-66802.2687055607</v>
      </c>
      <c r="O331" s="11" t="n">
        <f aca="false">IF(D331=1,O330+N331,0)</f>
        <v>-90802.2687055607</v>
      </c>
      <c r="P331" s="11" t="n">
        <f aca="false">IF(AND(D331=1,L331&lt;0),1,0)</f>
        <v>1</v>
      </c>
      <c r="Q331" s="11" t="n">
        <f aca="false">IF(AND(D331=1,O331&lt;0),1,0)</f>
        <v>1</v>
      </c>
    </row>
    <row r="332" customFormat="false" ht="15" hidden="false" customHeight="false" outlineLevel="0" collapsed="false">
      <c r="A332" s="4" t="s">
        <v>92</v>
      </c>
      <c r="B332" s="4" t="n">
        <v>4</v>
      </c>
      <c r="C332" s="11" t="n">
        <f aca="false">IF(COUNTIF('Scenario inputs'!$A$4:$A$213,Controls!$B$3&amp;"|"&amp;A332)&gt;0,1,0)</f>
        <v>1</v>
      </c>
      <c r="D332" s="11" t="n">
        <f aca="false">IF(AND(C332=1,B332&lt;Controls!$B$12),1,0)</f>
        <v>1</v>
      </c>
      <c r="E332" s="11" t="n">
        <f aca="false">IF(D332=1,SUMPRODUCT((Costs!$B$4:$B$903=A332)*(Costs!$D$4:$D$903="planned")*(Costs!$J$4:$J$903&lt;=B332)*(Costs!$K$4:$K$903&gt;B332)*Costs!$E$4:$E$903),0)</f>
        <v>189000</v>
      </c>
      <c r="F332" s="11" t="n">
        <f aca="false">IF(D332=1,SUMIFS(Benefits!$S$4:$S$703,Benefits!$B$4:$B$703,A332,Benefits!$F$4:$F$703,B332,Benefits!$R$4:$R$703,"cash"),0)</f>
        <v>0</v>
      </c>
      <c r="G332" s="11" t="n">
        <f aca="false">IF(D332=1,SUMIFS(Benefits!$S$4:$S$703,Benefits!$B$4:$B$703,A332,Benefits!$F$4:$F$703,B332,Benefits!$R$4:$R$703,"revenue"),0)</f>
        <v>0</v>
      </c>
      <c r="H332" s="11" t="n">
        <f aca="false">IF(D332=1,SUMIFS(Benefits!$S$4:$S$703,Benefits!$B$4:$B$703,A332,Benefits!$F$4:$F$703,B332,Benefits!$R$4:$R$703,"avoided_cost_realised"),0)</f>
        <v>0</v>
      </c>
      <c r="I332" s="11" t="n">
        <f aca="false">IF(D332=1,SUMIFS(Benefits!$S$4:$S$703,Benefits!$B$4:$B$703,A332,Benefits!$F$4:$F$703,B332,Benefits!$R$4:$R$703,"capacity_converted"),0)</f>
        <v>0</v>
      </c>
      <c r="J332" s="11" t="n">
        <f aca="false">SUM(F332:I332)</f>
        <v>0</v>
      </c>
      <c r="K332" s="11" t="n">
        <f aca="false">J332-E332</f>
        <v>-189000</v>
      </c>
      <c r="L332" s="11" t="n">
        <f aca="false">IF(D332=1,L331+K332,0)</f>
        <v>-281100</v>
      </c>
      <c r="M332" s="11" t="n">
        <f aca="false">IF(D332=1,1/(1+Controls!$B$11)^B332,0)</f>
        <v>0.974672696043417</v>
      </c>
      <c r="N332" s="11" t="n">
        <f aca="false">K332*M332</f>
        <v>-184213.139552206</v>
      </c>
      <c r="O332" s="11" t="n">
        <f aca="false">IF(D332=1,O331+N332,0)</f>
        <v>-275015.408257766</v>
      </c>
      <c r="P332" s="11" t="n">
        <f aca="false">IF(AND(D332=1,L332&lt;0),1,0)</f>
        <v>1</v>
      </c>
      <c r="Q332" s="11" t="n">
        <f aca="false">IF(AND(D332=1,O332&lt;0),1,0)</f>
        <v>1</v>
      </c>
    </row>
    <row r="333" customFormat="false" ht="15" hidden="false" customHeight="false" outlineLevel="0" collapsed="false">
      <c r="A333" s="4" t="s">
        <v>92</v>
      </c>
      <c r="B333" s="4" t="n">
        <v>5</v>
      </c>
      <c r="C333" s="11" t="n">
        <f aca="false">IF(COUNTIF('Scenario inputs'!$A$4:$A$213,Controls!$B$3&amp;"|"&amp;A333)&gt;0,1,0)</f>
        <v>1</v>
      </c>
      <c r="D333" s="11" t="n">
        <f aca="false">IF(AND(C333=1,B333&lt;Controls!$B$12),1,0)</f>
        <v>1</v>
      </c>
      <c r="E333" s="11" t="n">
        <f aca="false">IF(D333=1,SUMPRODUCT((Costs!$B$4:$B$903=A333)*(Costs!$D$4:$D$903="planned")*(Costs!$J$4:$J$903&lt;=B333)*(Costs!$K$4:$K$903&gt;B333)*Costs!$E$4:$E$903),0)</f>
        <v>67900</v>
      </c>
      <c r="F333" s="11" t="n">
        <f aca="false">IF(D333=1,SUMIFS(Benefits!$S$4:$S$703,Benefits!$B$4:$B$703,A333,Benefits!$F$4:$F$703,B333,Benefits!$R$4:$R$703,"cash"),0)</f>
        <v>0</v>
      </c>
      <c r="G333" s="11" t="n">
        <f aca="false">IF(D333=1,SUMIFS(Benefits!$S$4:$S$703,Benefits!$B$4:$B$703,A333,Benefits!$F$4:$F$703,B333,Benefits!$R$4:$R$703,"revenue"),0)</f>
        <v>0</v>
      </c>
      <c r="H333" s="11" t="n">
        <f aca="false">IF(D333=1,SUMIFS(Benefits!$S$4:$S$703,Benefits!$B$4:$B$703,A333,Benefits!$F$4:$F$703,B333,Benefits!$R$4:$R$703,"avoided_cost_realised"),0)</f>
        <v>0</v>
      </c>
      <c r="I333" s="11" t="n">
        <f aca="false">IF(D333=1,SUMIFS(Benefits!$S$4:$S$703,Benefits!$B$4:$B$703,A333,Benefits!$F$4:$F$703,B333,Benefits!$R$4:$R$703,"capacity_converted"),0)</f>
        <v>0</v>
      </c>
      <c r="J333" s="11" t="n">
        <f aca="false">SUM(F333:I333)</f>
        <v>0</v>
      </c>
      <c r="K333" s="11" t="n">
        <f aca="false">J333-E333</f>
        <v>-67900</v>
      </c>
      <c r="L333" s="11" t="n">
        <f aca="false">IF(D333=1,L332+K333,0)</f>
        <v>-349000</v>
      </c>
      <c r="M333" s="11" t="n">
        <f aca="false">IF(D333=1,1/(1+Controls!$B$11)^B333,0)</f>
        <v>0.968441741876185</v>
      </c>
      <c r="N333" s="11" t="n">
        <f aca="false">K333*M333</f>
        <v>-65757.194273393</v>
      </c>
      <c r="O333" s="11" t="n">
        <f aca="false">IF(D333=1,O332+N333,0)</f>
        <v>-340772.602531159</v>
      </c>
      <c r="P333" s="11" t="n">
        <f aca="false">IF(AND(D333=1,L333&lt;0),1,0)</f>
        <v>1</v>
      </c>
      <c r="Q333" s="11" t="n">
        <f aca="false">IF(AND(D333=1,O333&lt;0),1,0)</f>
        <v>1</v>
      </c>
    </row>
    <row r="334" customFormat="false" ht="15" hidden="false" customHeight="false" outlineLevel="0" collapsed="false">
      <c r="A334" s="4" t="s">
        <v>92</v>
      </c>
      <c r="B334" s="4" t="n">
        <v>6</v>
      </c>
      <c r="C334" s="11" t="n">
        <f aca="false">IF(COUNTIF('Scenario inputs'!$A$4:$A$213,Controls!$B$3&amp;"|"&amp;A334)&gt;0,1,0)</f>
        <v>1</v>
      </c>
      <c r="D334" s="11" t="n">
        <f aca="false">IF(AND(C334=1,B334&lt;Controls!$B$12),1,0)</f>
        <v>1</v>
      </c>
      <c r="E334" s="11" t="n">
        <f aca="false">IF(D334=1,SUMPRODUCT((Costs!$B$4:$B$903=A334)*(Costs!$D$4:$D$903="planned")*(Costs!$J$4:$J$903&lt;=B334)*(Costs!$K$4:$K$903&gt;B334)*Costs!$E$4:$E$903),0)</f>
        <v>387450</v>
      </c>
      <c r="F334" s="11" t="n">
        <f aca="false">IF(D334=1,SUMIFS(Benefits!$S$4:$S$703,Benefits!$B$4:$B$703,A334,Benefits!$F$4:$F$703,B334,Benefits!$R$4:$R$703,"cash"),0)</f>
        <v>0</v>
      </c>
      <c r="G334" s="11" t="n">
        <f aca="false">IF(D334=1,SUMIFS(Benefits!$S$4:$S$703,Benefits!$B$4:$B$703,A334,Benefits!$F$4:$F$703,B334,Benefits!$R$4:$R$703,"revenue"),0)</f>
        <v>0</v>
      </c>
      <c r="H334" s="11" t="n">
        <f aca="false">IF(D334=1,SUMIFS(Benefits!$S$4:$S$703,Benefits!$B$4:$B$703,A334,Benefits!$F$4:$F$703,B334,Benefits!$R$4:$R$703,"avoided_cost_realised"),0)</f>
        <v>0</v>
      </c>
      <c r="I334" s="11" t="n">
        <f aca="false">IF(D334=1,SUMIFS(Benefits!$S$4:$S$703,Benefits!$B$4:$B$703,A334,Benefits!$F$4:$F$703,B334,Benefits!$R$4:$R$703,"capacity_converted"),0)</f>
        <v>0</v>
      </c>
      <c r="J334" s="11" t="n">
        <f aca="false">SUM(F334:I334)</f>
        <v>0</v>
      </c>
      <c r="K334" s="11" t="n">
        <f aca="false">J334-E334</f>
        <v>-387450</v>
      </c>
      <c r="L334" s="11" t="n">
        <f aca="false">IF(D334=1,L333+K334,0)</f>
        <v>-736450</v>
      </c>
      <c r="M334" s="11" t="n">
        <f aca="false">IF(D334=1,1/(1+Controls!$B$11)^B334,0)</f>
        <v>0.962250621378238</v>
      </c>
      <c r="N334" s="11" t="n">
        <f aca="false">K334*M334</f>
        <v>-372824.003252998</v>
      </c>
      <c r="O334" s="11" t="n">
        <f aca="false">IF(D334=1,O333+N334,0)</f>
        <v>-713596.605784158</v>
      </c>
      <c r="P334" s="11" t="n">
        <f aca="false">IF(AND(D334=1,L334&lt;0),1,0)</f>
        <v>1</v>
      </c>
      <c r="Q334" s="11" t="n">
        <f aca="false">IF(AND(D334=1,O334&lt;0),1,0)</f>
        <v>1</v>
      </c>
    </row>
    <row r="335" customFormat="false" ht="15" hidden="false" customHeight="false" outlineLevel="0" collapsed="false">
      <c r="A335" s="4" t="s">
        <v>92</v>
      </c>
      <c r="B335" s="4" t="n">
        <v>7</v>
      </c>
      <c r="C335" s="11" t="n">
        <f aca="false">IF(COUNTIF('Scenario inputs'!$A$4:$A$213,Controls!$B$3&amp;"|"&amp;A335)&gt;0,1,0)</f>
        <v>1</v>
      </c>
      <c r="D335" s="11" t="n">
        <f aca="false">IF(AND(C335=1,B335&lt;Controls!$B$12),1,0)</f>
        <v>1</v>
      </c>
      <c r="E335" s="11" t="n">
        <f aca="false">IF(D335=1,SUMPRODUCT((Costs!$B$4:$B$903=A335)*(Costs!$D$4:$D$903="planned")*(Costs!$J$4:$J$903&lt;=B335)*(Costs!$K$4:$K$903&gt;B335)*Costs!$E$4:$E$903),0)</f>
        <v>0</v>
      </c>
      <c r="F335" s="11" t="n">
        <f aca="false">IF(D335=1,SUMIFS(Benefits!$S$4:$S$703,Benefits!$B$4:$B$703,A335,Benefits!$F$4:$F$703,B335,Benefits!$R$4:$R$703,"cash"),0)</f>
        <v>0</v>
      </c>
      <c r="G335" s="11" t="n">
        <f aca="false">IF(D335=1,SUMIFS(Benefits!$S$4:$S$703,Benefits!$B$4:$B$703,A335,Benefits!$F$4:$F$703,B335,Benefits!$R$4:$R$703,"revenue"),0)</f>
        <v>0</v>
      </c>
      <c r="H335" s="11" t="n">
        <f aca="false">IF(D335=1,SUMIFS(Benefits!$S$4:$S$703,Benefits!$B$4:$B$703,A335,Benefits!$F$4:$F$703,B335,Benefits!$R$4:$R$703,"avoided_cost_realised"),0)</f>
        <v>0</v>
      </c>
      <c r="I335" s="11" t="n">
        <f aca="false">IF(D335=1,SUMIFS(Benefits!$S$4:$S$703,Benefits!$B$4:$B$703,A335,Benefits!$F$4:$F$703,B335,Benefits!$R$4:$R$703,"capacity_converted"),0)</f>
        <v>0</v>
      </c>
      <c r="J335" s="11" t="n">
        <f aca="false">SUM(F335:I335)</f>
        <v>0</v>
      </c>
      <c r="K335" s="11" t="n">
        <f aca="false">J335-E335</f>
        <v>0</v>
      </c>
      <c r="L335" s="11" t="n">
        <f aca="false">IF(D335=1,L334+K335,0)</f>
        <v>-736450</v>
      </c>
      <c r="M335" s="11" t="n">
        <f aca="false">IF(D335=1,1/(1+Controls!$B$11)^B335,0)</f>
        <v>0.956099079898173</v>
      </c>
      <c r="N335" s="11" t="n">
        <f aca="false">K335*M335</f>
        <v>0</v>
      </c>
      <c r="O335" s="11" t="n">
        <f aca="false">IF(D335=1,O334+N335,0)</f>
        <v>-713596.605784158</v>
      </c>
      <c r="P335" s="11" t="n">
        <f aca="false">IF(AND(D335=1,L335&lt;0),1,0)</f>
        <v>1</v>
      </c>
      <c r="Q335" s="11" t="n">
        <f aca="false">IF(AND(D335=1,O335&lt;0),1,0)</f>
        <v>1</v>
      </c>
    </row>
    <row r="336" customFormat="false" ht="15" hidden="false" customHeight="false" outlineLevel="0" collapsed="false">
      <c r="A336" s="4" t="s">
        <v>92</v>
      </c>
      <c r="B336" s="4" t="n">
        <v>8</v>
      </c>
      <c r="C336" s="11" t="n">
        <f aca="false">IF(COUNTIF('Scenario inputs'!$A$4:$A$213,Controls!$B$3&amp;"|"&amp;A336)&gt;0,1,0)</f>
        <v>1</v>
      </c>
      <c r="D336" s="11" t="n">
        <f aca="false">IF(AND(C336=1,B336&lt;Controls!$B$12),1,0)</f>
        <v>1</v>
      </c>
      <c r="E336" s="11" t="n">
        <f aca="false">IF(D336=1,SUMPRODUCT((Costs!$B$4:$B$903=A336)*(Costs!$D$4:$D$903="planned")*(Costs!$J$4:$J$903&lt;=B336)*(Costs!$K$4:$K$903&gt;B336)*Costs!$E$4:$E$903),0)</f>
        <v>158900</v>
      </c>
      <c r="F336" s="11" t="n">
        <f aca="false">IF(D336=1,SUMIFS(Benefits!$S$4:$S$703,Benefits!$B$4:$B$703,A336,Benefits!$F$4:$F$703,B336,Benefits!$R$4:$R$703,"cash"),0)</f>
        <v>0</v>
      </c>
      <c r="G336" s="11" t="n">
        <f aca="false">IF(D336=1,SUMIFS(Benefits!$S$4:$S$703,Benefits!$B$4:$B$703,A336,Benefits!$F$4:$F$703,B336,Benefits!$R$4:$R$703,"revenue"),0)</f>
        <v>0</v>
      </c>
      <c r="H336" s="11" t="n">
        <f aca="false">IF(D336=1,SUMIFS(Benefits!$S$4:$S$703,Benefits!$B$4:$B$703,A336,Benefits!$F$4:$F$703,B336,Benefits!$R$4:$R$703,"avoided_cost_realised"),0)</f>
        <v>0</v>
      </c>
      <c r="I336" s="11" t="n">
        <f aca="false">IF(D336=1,SUMIFS(Benefits!$S$4:$S$703,Benefits!$B$4:$B$703,A336,Benefits!$F$4:$F$703,B336,Benefits!$R$4:$R$703,"capacity_converted"),0)</f>
        <v>0</v>
      </c>
      <c r="J336" s="11" t="n">
        <f aca="false">SUM(F336:I336)</f>
        <v>0</v>
      </c>
      <c r="K336" s="11" t="n">
        <f aca="false">J336-E336</f>
        <v>-158900</v>
      </c>
      <c r="L336" s="11" t="n">
        <f aca="false">IF(D336=1,L335+K336,0)</f>
        <v>-895350</v>
      </c>
      <c r="M336" s="11" t="n">
        <f aca="false">IF(D336=1,1/(1+Controls!$B$11)^B336,0)</f>
        <v>0.949986864412542</v>
      </c>
      <c r="N336" s="11" t="n">
        <f aca="false">K336*M336</f>
        <v>-150952.912755153</v>
      </c>
      <c r="O336" s="11" t="n">
        <f aca="false">IF(D336=1,O335+N336,0)</f>
        <v>-864549.51853931</v>
      </c>
      <c r="P336" s="11" t="n">
        <f aca="false">IF(AND(D336=1,L336&lt;0),1,0)</f>
        <v>1</v>
      </c>
      <c r="Q336" s="11" t="n">
        <f aca="false">IF(AND(D336=1,O336&lt;0),1,0)</f>
        <v>1</v>
      </c>
    </row>
    <row r="337" customFormat="false" ht="15" hidden="false" customHeight="false" outlineLevel="0" collapsed="false">
      <c r="A337" s="4" t="s">
        <v>92</v>
      </c>
      <c r="B337" s="4" t="n">
        <v>9</v>
      </c>
      <c r="C337" s="11" t="n">
        <f aca="false">IF(COUNTIF('Scenario inputs'!$A$4:$A$213,Controls!$B$3&amp;"|"&amp;A337)&gt;0,1,0)</f>
        <v>1</v>
      </c>
      <c r="D337" s="11" t="n">
        <f aca="false">IF(AND(C337=1,B337&lt;Controls!$B$12),1,0)</f>
        <v>1</v>
      </c>
      <c r="E337" s="11" t="n">
        <f aca="false">IF(D337=1,SUMPRODUCT((Costs!$B$4:$B$903=A337)*(Costs!$D$4:$D$903="planned")*(Costs!$J$4:$J$903&lt;=B337)*(Costs!$K$4:$K$903&gt;B337)*Costs!$E$4:$E$903),0)</f>
        <v>376650</v>
      </c>
      <c r="F337" s="11" t="n">
        <f aca="false">IF(D337=1,SUMIFS(Benefits!$S$4:$S$703,Benefits!$B$4:$B$703,A337,Benefits!$F$4:$F$703,B337,Benefits!$R$4:$R$703,"cash"),0)</f>
        <v>0</v>
      </c>
      <c r="G337" s="11" t="n">
        <f aca="false">IF(D337=1,SUMIFS(Benefits!$S$4:$S$703,Benefits!$B$4:$B$703,A337,Benefits!$F$4:$F$703,B337,Benefits!$R$4:$R$703,"revenue"),0)</f>
        <v>11659.51215</v>
      </c>
      <c r="H337" s="11" t="n">
        <f aca="false">IF(D337=1,SUMIFS(Benefits!$S$4:$S$703,Benefits!$B$4:$B$703,A337,Benefits!$F$4:$F$703,B337,Benefits!$R$4:$R$703,"avoided_cost_realised"),0)</f>
        <v>0</v>
      </c>
      <c r="I337" s="11" t="n">
        <f aca="false">IF(D337=1,SUMIFS(Benefits!$S$4:$S$703,Benefits!$B$4:$B$703,A337,Benefits!$F$4:$F$703,B337,Benefits!$R$4:$R$703,"capacity_converted"),0)</f>
        <v>0</v>
      </c>
      <c r="J337" s="11" t="n">
        <f aca="false">SUM(F337:I337)</f>
        <v>11659.51215</v>
      </c>
      <c r="K337" s="11" t="n">
        <f aca="false">J337-E337</f>
        <v>-364990.48785</v>
      </c>
      <c r="L337" s="11" t="n">
        <f aca="false">IF(D337=1,L336+K337,0)</f>
        <v>-1260340.48785</v>
      </c>
      <c r="M337" s="11" t="n">
        <f aca="false">IF(D337=1,1/(1+Controls!$B$11)^B337,0)</f>
        <v>0.943913723515444</v>
      </c>
      <c r="N337" s="11" t="n">
        <f aca="false">K337*M337</f>
        <v>-344519.530434212</v>
      </c>
      <c r="O337" s="11" t="n">
        <f aca="false">IF(D337=1,O336+N337,0)</f>
        <v>-1209069.04897352</v>
      </c>
      <c r="P337" s="11" t="n">
        <f aca="false">IF(AND(D337=1,L337&lt;0),1,0)</f>
        <v>1</v>
      </c>
      <c r="Q337" s="11" t="n">
        <f aca="false">IF(AND(D337=1,O337&lt;0),1,0)</f>
        <v>1</v>
      </c>
    </row>
    <row r="338" customFormat="false" ht="15" hidden="false" customHeight="false" outlineLevel="0" collapsed="false">
      <c r="A338" s="4" t="s">
        <v>92</v>
      </c>
      <c r="B338" s="4" t="n">
        <v>10</v>
      </c>
      <c r="C338" s="11" t="n">
        <f aca="false">IF(COUNTIF('Scenario inputs'!$A$4:$A$213,Controls!$B$3&amp;"|"&amp;A338)&gt;0,1,0)</f>
        <v>1</v>
      </c>
      <c r="D338" s="11" t="n">
        <f aca="false">IF(AND(C338=1,B338&lt;Controls!$B$12),1,0)</f>
        <v>1</v>
      </c>
      <c r="E338" s="11" t="n">
        <f aca="false">IF(D338=1,SUMPRODUCT((Costs!$B$4:$B$903=A338)*(Costs!$D$4:$D$903="planned")*(Costs!$J$4:$J$903&lt;=B338)*(Costs!$K$4:$K$903&gt;B338)*Costs!$E$4:$E$903),0)</f>
        <v>24000</v>
      </c>
      <c r="F338" s="11" t="n">
        <f aca="false">IF(D338=1,SUMIFS(Benefits!$S$4:$S$703,Benefits!$B$4:$B$703,A338,Benefits!$F$4:$F$703,B338,Benefits!$R$4:$R$703,"cash"),0)</f>
        <v>0</v>
      </c>
      <c r="G338" s="11" t="n">
        <f aca="false">IF(D338=1,SUMIFS(Benefits!$S$4:$S$703,Benefits!$B$4:$B$703,A338,Benefits!$F$4:$F$703,B338,Benefits!$R$4:$R$703,"revenue"),0)</f>
        <v>34978.53645</v>
      </c>
      <c r="H338" s="11" t="n">
        <f aca="false">IF(D338=1,SUMIFS(Benefits!$S$4:$S$703,Benefits!$B$4:$B$703,A338,Benefits!$F$4:$F$703,B338,Benefits!$R$4:$R$703,"avoided_cost_realised"),0)</f>
        <v>0</v>
      </c>
      <c r="I338" s="11" t="n">
        <f aca="false">IF(D338=1,SUMIFS(Benefits!$S$4:$S$703,Benefits!$B$4:$B$703,A338,Benefits!$F$4:$F$703,B338,Benefits!$R$4:$R$703,"capacity_converted"),0)</f>
        <v>0</v>
      </c>
      <c r="J338" s="11" t="n">
        <f aca="false">SUM(F338:I338)</f>
        <v>34978.53645</v>
      </c>
      <c r="K338" s="11" t="n">
        <f aca="false">J338-E338</f>
        <v>10978.53645</v>
      </c>
      <c r="L338" s="11" t="n">
        <f aca="false">IF(D338=1,L337+K338,0)</f>
        <v>-1249361.9514</v>
      </c>
      <c r="M338" s="11" t="n">
        <f aca="false">IF(D338=1,1/(1+Controls!$B$11)^B338,0)</f>
        <v>0.93787940740818</v>
      </c>
      <c r="N338" s="11" t="n">
        <f aca="false">K338*M338</f>
        <v>10296.5432599351</v>
      </c>
      <c r="O338" s="11" t="n">
        <f aca="false">IF(D338=1,O337+N338,0)</f>
        <v>-1198772.50571359</v>
      </c>
      <c r="P338" s="11" t="n">
        <f aca="false">IF(AND(D338=1,L338&lt;0),1,0)</f>
        <v>1</v>
      </c>
      <c r="Q338" s="11" t="n">
        <f aca="false">IF(AND(D338=1,O338&lt;0),1,0)</f>
        <v>1</v>
      </c>
    </row>
    <row r="339" customFormat="false" ht="15" hidden="false" customHeight="false" outlineLevel="0" collapsed="false">
      <c r="A339" s="4" t="s">
        <v>92</v>
      </c>
      <c r="B339" s="4" t="n">
        <v>11</v>
      </c>
      <c r="C339" s="11" t="n">
        <f aca="false">IF(COUNTIF('Scenario inputs'!$A$4:$A$213,Controls!$B$3&amp;"|"&amp;A339)&gt;0,1,0)</f>
        <v>1</v>
      </c>
      <c r="D339" s="11" t="n">
        <f aca="false">IF(AND(C339=1,B339&lt;Controls!$B$12),1,0)</f>
        <v>1</v>
      </c>
      <c r="E339" s="11" t="n">
        <f aca="false">IF(D339=1,SUMPRODUCT((Costs!$B$4:$B$903=A339)*(Costs!$D$4:$D$903="planned")*(Costs!$J$4:$J$903&lt;=B339)*(Costs!$K$4:$K$903&gt;B339)*Costs!$E$4:$E$903),0)</f>
        <v>24000</v>
      </c>
      <c r="F339" s="11" t="n">
        <f aca="false">IF(D339=1,SUMIFS(Benefits!$S$4:$S$703,Benefits!$B$4:$B$703,A339,Benefits!$F$4:$F$703,B339,Benefits!$R$4:$R$703,"cash"),0)</f>
        <v>0</v>
      </c>
      <c r="G339" s="11" t="n">
        <f aca="false">IF(D339=1,SUMIFS(Benefits!$S$4:$S$703,Benefits!$B$4:$B$703,A339,Benefits!$F$4:$F$703,B339,Benefits!$R$4:$R$703,"revenue"),0)</f>
        <v>69957.0729</v>
      </c>
      <c r="H339" s="11" t="n">
        <f aca="false">IF(D339=1,SUMIFS(Benefits!$S$4:$S$703,Benefits!$B$4:$B$703,A339,Benefits!$F$4:$F$703,B339,Benefits!$R$4:$R$703,"avoided_cost_realised"),0)</f>
        <v>0</v>
      </c>
      <c r="I339" s="11" t="n">
        <f aca="false">IF(D339=1,SUMIFS(Benefits!$S$4:$S$703,Benefits!$B$4:$B$703,A339,Benefits!$F$4:$F$703,B339,Benefits!$R$4:$R$703,"capacity_converted"),0)</f>
        <v>0</v>
      </c>
      <c r="J339" s="11" t="n">
        <f aca="false">SUM(F339:I339)</f>
        <v>69957.0729</v>
      </c>
      <c r="K339" s="11" t="n">
        <f aca="false">J339-E339</f>
        <v>45957.0729</v>
      </c>
      <c r="L339" s="11" t="n">
        <f aca="false">IF(D339=1,L338+K339,0)</f>
        <v>-1203404.8785</v>
      </c>
      <c r="M339" s="11" t="n">
        <f aca="false">IF(D339=1,1/(1+Controls!$B$11)^B339,0)</f>
        <v>0.931883667888982</v>
      </c>
      <c r="N339" s="11" t="n">
        <f aca="false">K339*M339</f>
        <v>42826.6456594933</v>
      </c>
      <c r="O339" s="11" t="n">
        <f aca="false">IF(D339=1,O338+N339,0)</f>
        <v>-1155945.86005409</v>
      </c>
      <c r="P339" s="11" t="n">
        <f aca="false">IF(AND(D339=1,L339&lt;0),1,0)</f>
        <v>1</v>
      </c>
      <c r="Q339" s="11" t="n">
        <f aca="false">IF(AND(D339=1,O339&lt;0),1,0)</f>
        <v>1</v>
      </c>
    </row>
    <row r="340" customFormat="false" ht="15" hidden="false" customHeight="false" outlineLevel="0" collapsed="false">
      <c r="A340" s="4" t="s">
        <v>92</v>
      </c>
      <c r="B340" s="4" t="n">
        <v>12</v>
      </c>
      <c r="C340" s="11" t="n">
        <f aca="false">IF(COUNTIF('Scenario inputs'!$A$4:$A$213,Controls!$B$3&amp;"|"&amp;A340)&gt;0,1,0)</f>
        <v>1</v>
      </c>
      <c r="D340" s="11" t="n">
        <f aca="false">IF(AND(C340=1,B340&lt;Controls!$B$12),1,0)</f>
        <v>1</v>
      </c>
      <c r="E340" s="11" t="n">
        <f aca="false">IF(D340=1,SUMPRODUCT((Costs!$B$4:$B$903=A340)*(Costs!$D$4:$D$903="planned")*(Costs!$J$4:$J$903&lt;=B340)*(Costs!$K$4:$K$903&gt;B340)*Costs!$E$4:$E$903),0)</f>
        <v>24000</v>
      </c>
      <c r="F340" s="11" t="n">
        <f aca="false">IF(D340=1,SUMIFS(Benefits!$S$4:$S$703,Benefits!$B$4:$B$703,A340,Benefits!$F$4:$F$703,B340,Benefits!$R$4:$R$703,"cash"),0)</f>
        <v>0</v>
      </c>
      <c r="G340" s="11" t="n">
        <f aca="false">IF(D340=1,SUMIFS(Benefits!$S$4:$S$703,Benefits!$B$4:$B$703,A340,Benefits!$F$4:$F$703,B340,Benefits!$R$4:$R$703,"revenue"),0)</f>
        <v>116595.1215</v>
      </c>
      <c r="H340" s="11" t="n">
        <f aca="false">IF(D340=1,SUMIFS(Benefits!$S$4:$S$703,Benefits!$B$4:$B$703,A340,Benefits!$F$4:$F$703,B340,Benefits!$R$4:$R$703,"avoided_cost_realised"),0)</f>
        <v>0</v>
      </c>
      <c r="I340" s="11" t="n">
        <f aca="false">IF(D340=1,SUMIFS(Benefits!$S$4:$S$703,Benefits!$B$4:$B$703,A340,Benefits!$F$4:$F$703,B340,Benefits!$R$4:$R$703,"capacity_converted"),0)</f>
        <v>0</v>
      </c>
      <c r="J340" s="11" t="n">
        <f aca="false">SUM(F340:I340)</f>
        <v>116595.1215</v>
      </c>
      <c r="K340" s="11" t="n">
        <f aca="false">J340-E340</f>
        <v>92595.1215</v>
      </c>
      <c r="L340" s="11" t="n">
        <f aca="false">IF(D340=1,L339+K340,0)</f>
        <v>-1110809.757</v>
      </c>
      <c r="M340" s="11" t="n">
        <f aca="false">IF(D340=1,1/(1+Controls!$B$11)^B340,0)</f>
        <v>0.925926258342804</v>
      </c>
      <c r="N340" s="11" t="n">
        <f aca="false">K340*M340</f>
        <v>85736.2543912923</v>
      </c>
      <c r="O340" s="11" t="n">
        <f aca="false">IF(D340=1,O339+N340,0)</f>
        <v>-1070209.6056628</v>
      </c>
      <c r="P340" s="11" t="n">
        <f aca="false">IF(AND(D340=1,L340&lt;0),1,0)</f>
        <v>1</v>
      </c>
      <c r="Q340" s="11" t="n">
        <f aca="false">IF(AND(D340=1,O340&lt;0),1,0)</f>
        <v>1</v>
      </c>
    </row>
    <row r="341" customFormat="false" ht="15" hidden="false" customHeight="false" outlineLevel="0" collapsed="false">
      <c r="A341" s="4" t="s">
        <v>92</v>
      </c>
      <c r="B341" s="4" t="n">
        <v>13</v>
      </c>
      <c r="C341" s="11" t="n">
        <f aca="false">IF(COUNTIF('Scenario inputs'!$A$4:$A$213,Controls!$B$3&amp;"|"&amp;A341)&gt;0,1,0)</f>
        <v>1</v>
      </c>
      <c r="D341" s="11" t="n">
        <f aca="false">IF(AND(C341=1,B341&lt;Controls!$B$12),1,0)</f>
        <v>1</v>
      </c>
      <c r="E341" s="11" t="n">
        <f aca="false">IF(D341=1,SUMPRODUCT((Costs!$B$4:$B$903=A341)*(Costs!$D$4:$D$903="planned")*(Costs!$J$4:$J$903&lt;=B341)*(Costs!$K$4:$K$903&gt;B341)*Costs!$E$4:$E$903),0)</f>
        <v>24000</v>
      </c>
      <c r="F341" s="11" t="n">
        <f aca="false">IF(D341=1,SUMIFS(Benefits!$S$4:$S$703,Benefits!$B$4:$B$703,A341,Benefits!$F$4:$F$703,B341,Benefits!$R$4:$R$703,"cash"),0)</f>
        <v>0</v>
      </c>
      <c r="G341" s="11" t="n">
        <f aca="false">IF(D341=1,SUMIFS(Benefits!$S$4:$S$703,Benefits!$B$4:$B$703,A341,Benefits!$F$4:$F$703,B341,Benefits!$R$4:$R$703,"revenue"),0)</f>
        <v>174892.9271</v>
      </c>
      <c r="H341" s="11" t="n">
        <f aca="false">IF(D341=1,SUMIFS(Benefits!$S$4:$S$703,Benefits!$B$4:$B$703,A341,Benefits!$F$4:$F$703,B341,Benefits!$R$4:$R$703,"avoided_cost_realised"),0)</f>
        <v>0</v>
      </c>
      <c r="I341" s="11" t="n">
        <f aca="false">IF(D341=1,SUMIFS(Benefits!$S$4:$S$703,Benefits!$B$4:$B$703,A341,Benefits!$F$4:$F$703,B341,Benefits!$R$4:$R$703,"capacity_converted"),0)</f>
        <v>0</v>
      </c>
      <c r="J341" s="11" t="n">
        <f aca="false">SUM(F341:I341)</f>
        <v>174892.9271</v>
      </c>
      <c r="K341" s="11" t="n">
        <f aca="false">J341-E341</f>
        <v>150892.9271</v>
      </c>
      <c r="L341" s="11" t="n">
        <f aca="false">IF(D341=1,L340+K341,0)</f>
        <v>-959916.8299</v>
      </c>
      <c r="M341" s="11" t="n">
        <f aca="false">IF(D341=1,1/(1+Controls!$B$11)^B341,0)</f>
        <v>0.920006933731178</v>
      </c>
      <c r="N341" s="11" t="n">
        <f aca="false">K341*M341</f>
        <v>138822.539182993</v>
      </c>
      <c r="O341" s="11" t="n">
        <f aca="false">IF(D341=1,O340+N341,0)</f>
        <v>-931387.066479808</v>
      </c>
      <c r="P341" s="11" t="n">
        <f aca="false">IF(AND(D341=1,L341&lt;0),1,0)</f>
        <v>1</v>
      </c>
      <c r="Q341" s="11" t="n">
        <f aca="false">IF(AND(D341=1,O341&lt;0),1,0)</f>
        <v>1</v>
      </c>
    </row>
    <row r="342" customFormat="false" ht="15" hidden="false" customHeight="false" outlineLevel="0" collapsed="false">
      <c r="A342" s="4" t="s">
        <v>92</v>
      </c>
      <c r="B342" s="4" t="n">
        <v>14</v>
      </c>
      <c r="C342" s="11" t="n">
        <f aca="false">IF(COUNTIF('Scenario inputs'!$A$4:$A$213,Controls!$B$3&amp;"|"&amp;A342)&gt;0,1,0)</f>
        <v>1</v>
      </c>
      <c r="D342" s="11" t="n">
        <f aca="false">IF(AND(C342=1,B342&lt;Controls!$B$12),1,0)</f>
        <v>1</v>
      </c>
      <c r="E342" s="11" t="n">
        <f aca="false">IF(D342=1,SUMPRODUCT((Costs!$B$4:$B$903=A342)*(Costs!$D$4:$D$903="planned")*(Costs!$J$4:$J$903&lt;=B342)*(Costs!$K$4:$K$903&gt;B342)*Costs!$E$4:$E$903),0)</f>
        <v>24000</v>
      </c>
      <c r="F342" s="11" t="n">
        <f aca="false">IF(D342=1,SUMIFS(Benefits!$S$4:$S$703,Benefits!$B$4:$B$703,A342,Benefits!$F$4:$F$703,B342,Benefits!$R$4:$R$703,"cash"),0)</f>
        <v>0</v>
      </c>
      <c r="G342" s="11" t="n">
        <f aca="false">IF(D342=1,SUMIFS(Benefits!$S$4:$S$703,Benefits!$B$4:$B$703,A342,Benefits!$F$4:$F$703,B342,Benefits!$R$4:$R$703,"revenue"),0)</f>
        <v>244850</v>
      </c>
      <c r="H342" s="11" t="n">
        <f aca="false">IF(D342=1,SUMIFS(Benefits!$S$4:$S$703,Benefits!$B$4:$B$703,A342,Benefits!$F$4:$F$703,B342,Benefits!$R$4:$R$703,"avoided_cost_realised"),0)</f>
        <v>0</v>
      </c>
      <c r="I342" s="11" t="n">
        <f aca="false">IF(D342=1,SUMIFS(Benefits!$S$4:$S$703,Benefits!$B$4:$B$703,A342,Benefits!$F$4:$F$703,B342,Benefits!$R$4:$R$703,"capacity_converted"),0)</f>
        <v>0</v>
      </c>
      <c r="J342" s="11" t="n">
        <f aca="false">SUM(F342:I342)</f>
        <v>244850</v>
      </c>
      <c r="K342" s="11" t="n">
        <f aca="false">J342-E342</f>
        <v>220850</v>
      </c>
      <c r="L342" s="11" t="n">
        <f aca="false">IF(D342=1,L341+K342,0)</f>
        <v>-739066.8299</v>
      </c>
      <c r="M342" s="11" t="n">
        <f aca="false">IF(D342=1,1/(1+Controls!$B$11)^B342,0)</f>
        <v>0.914125450582132</v>
      </c>
      <c r="N342" s="11" t="n">
        <f aca="false">K342*M342</f>
        <v>201884.605761064</v>
      </c>
      <c r="O342" s="11" t="n">
        <f aca="false">IF(D342=1,O341+N342,0)</f>
        <v>-729502.460718744</v>
      </c>
      <c r="P342" s="11" t="n">
        <f aca="false">IF(AND(D342=1,L342&lt;0),1,0)</f>
        <v>1</v>
      </c>
      <c r="Q342" s="11" t="n">
        <f aca="false">IF(AND(D342=1,O342&lt;0),1,0)</f>
        <v>1</v>
      </c>
    </row>
    <row r="343" customFormat="false" ht="15" hidden="false" customHeight="false" outlineLevel="0" collapsed="false">
      <c r="A343" s="4" t="s">
        <v>92</v>
      </c>
      <c r="B343" s="4" t="n">
        <v>15</v>
      </c>
      <c r="C343" s="11" t="n">
        <f aca="false">IF(COUNTIF('Scenario inputs'!$A$4:$A$213,Controls!$B$3&amp;"|"&amp;A343)&gt;0,1,0)</f>
        <v>1</v>
      </c>
      <c r="D343" s="11" t="n">
        <f aca="false">IF(AND(C343=1,B343&lt;Controls!$B$12),1,0)</f>
        <v>1</v>
      </c>
      <c r="E343" s="11" t="n">
        <f aca="false">IF(D343=1,SUMPRODUCT((Costs!$B$4:$B$903=A343)*(Costs!$D$4:$D$903="planned")*(Costs!$J$4:$J$903&lt;=B343)*(Costs!$K$4:$K$903&gt;B343)*Costs!$E$4:$E$903),0)</f>
        <v>25700</v>
      </c>
      <c r="F343" s="11" t="n">
        <f aca="false">IF(D343=1,SUMIFS(Benefits!$S$4:$S$703,Benefits!$B$4:$B$703,A343,Benefits!$F$4:$F$703,B343,Benefits!$R$4:$R$703,"cash"),0)</f>
        <v>0</v>
      </c>
      <c r="G343" s="11" t="n">
        <f aca="false">IF(D343=1,SUMIFS(Benefits!$S$4:$S$703,Benefits!$B$4:$B$703,A343,Benefits!$F$4:$F$703,B343,Benefits!$R$4:$R$703,"revenue"),0)</f>
        <v>244850</v>
      </c>
      <c r="H343" s="11" t="n">
        <f aca="false">IF(D343=1,SUMIFS(Benefits!$S$4:$S$703,Benefits!$B$4:$B$703,A343,Benefits!$F$4:$F$703,B343,Benefits!$R$4:$R$703,"avoided_cost_realised"),0)</f>
        <v>0</v>
      </c>
      <c r="I343" s="11" t="n">
        <f aca="false">IF(D343=1,SUMIFS(Benefits!$S$4:$S$703,Benefits!$B$4:$B$703,A343,Benefits!$F$4:$F$703,B343,Benefits!$R$4:$R$703,"capacity_converted"),0)</f>
        <v>0</v>
      </c>
      <c r="J343" s="11" t="n">
        <f aca="false">SUM(F343:I343)</f>
        <v>244850</v>
      </c>
      <c r="K343" s="11" t="n">
        <f aca="false">J343-E343</f>
        <v>219150</v>
      </c>
      <c r="L343" s="11" t="n">
        <f aca="false">IF(D343=1,L342+K343,0)</f>
        <v>-519916.8299</v>
      </c>
      <c r="M343" s="11" t="n">
        <f aca="false">IF(D343=1,1/(1+Controls!$B$11)^B343,0)</f>
        <v>0.908281566980182</v>
      </c>
      <c r="N343" s="11" t="n">
        <f aca="false">K343*M343</f>
        <v>199049.905403707</v>
      </c>
      <c r="O343" s="11" t="n">
        <f aca="false">IF(D343=1,O342+N343,0)</f>
        <v>-530452.555315038</v>
      </c>
      <c r="P343" s="11" t="n">
        <f aca="false">IF(AND(D343=1,L343&lt;0),1,0)</f>
        <v>1</v>
      </c>
      <c r="Q343" s="11" t="n">
        <f aca="false">IF(AND(D343=1,O343&lt;0),1,0)</f>
        <v>1</v>
      </c>
    </row>
    <row r="344" customFormat="false" ht="15" hidden="false" customHeight="false" outlineLevel="0" collapsed="false">
      <c r="A344" s="4" t="s">
        <v>92</v>
      </c>
      <c r="B344" s="4" t="n">
        <v>16</v>
      </c>
      <c r="C344" s="11" t="n">
        <f aca="false">IF(COUNTIF('Scenario inputs'!$A$4:$A$213,Controls!$B$3&amp;"|"&amp;A344)&gt;0,1,0)</f>
        <v>1</v>
      </c>
      <c r="D344" s="11" t="n">
        <f aca="false">IF(AND(C344=1,B344&lt;Controls!$B$12),1,0)</f>
        <v>1</v>
      </c>
      <c r="E344" s="11" t="n">
        <f aca="false">IF(D344=1,SUMPRODUCT((Costs!$B$4:$B$903=A344)*(Costs!$D$4:$D$903="planned")*(Costs!$J$4:$J$903&lt;=B344)*(Costs!$K$4:$K$903&gt;B344)*Costs!$E$4:$E$903),0)</f>
        <v>25700</v>
      </c>
      <c r="F344" s="11" t="n">
        <f aca="false">IF(D344=1,SUMIFS(Benefits!$S$4:$S$703,Benefits!$B$4:$B$703,A344,Benefits!$F$4:$F$703,B344,Benefits!$R$4:$R$703,"cash"),0)</f>
        <v>0</v>
      </c>
      <c r="G344" s="11" t="n">
        <f aca="false">IF(D344=1,SUMIFS(Benefits!$S$4:$S$703,Benefits!$B$4:$B$703,A344,Benefits!$F$4:$F$703,B344,Benefits!$R$4:$R$703,"revenue"),0)</f>
        <v>244850</v>
      </c>
      <c r="H344" s="11" t="n">
        <f aca="false">IF(D344=1,SUMIFS(Benefits!$S$4:$S$703,Benefits!$B$4:$B$703,A344,Benefits!$F$4:$F$703,B344,Benefits!$R$4:$R$703,"avoided_cost_realised"),0)</f>
        <v>0</v>
      </c>
      <c r="I344" s="11" t="n">
        <f aca="false">IF(D344=1,SUMIFS(Benefits!$S$4:$S$703,Benefits!$B$4:$B$703,A344,Benefits!$F$4:$F$703,B344,Benefits!$R$4:$R$703,"capacity_converted"),0)</f>
        <v>0</v>
      </c>
      <c r="J344" s="11" t="n">
        <f aca="false">SUM(F344:I344)</f>
        <v>244850</v>
      </c>
      <c r="K344" s="11" t="n">
        <f aca="false">J344-E344</f>
        <v>219150</v>
      </c>
      <c r="L344" s="11" t="n">
        <f aca="false">IF(D344=1,L343+K344,0)</f>
        <v>-300766.8299</v>
      </c>
      <c r="M344" s="11" t="n">
        <f aca="false">IF(D344=1,1/(1+Controls!$B$11)^B344,0)</f>
        <v>0.902475042556374</v>
      </c>
      <c r="N344" s="11" t="n">
        <f aca="false">K344*M344</f>
        <v>197777.405576229</v>
      </c>
      <c r="O344" s="11" t="n">
        <f aca="false">IF(D344=1,O343+N344,0)</f>
        <v>-332675.149738808</v>
      </c>
      <c r="P344" s="11" t="n">
        <f aca="false">IF(AND(D344=1,L344&lt;0),1,0)</f>
        <v>1</v>
      </c>
      <c r="Q344" s="11" t="n">
        <f aca="false">IF(AND(D344=1,O344&lt;0),1,0)</f>
        <v>1</v>
      </c>
    </row>
    <row r="345" customFormat="false" ht="15" hidden="false" customHeight="false" outlineLevel="0" collapsed="false">
      <c r="A345" s="4" t="s">
        <v>92</v>
      </c>
      <c r="B345" s="4" t="n">
        <v>17</v>
      </c>
      <c r="C345" s="11" t="n">
        <f aca="false">IF(COUNTIF('Scenario inputs'!$A$4:$A$213,Controls!$B$3&amp;"|"&amp;A345)&gt;0,1,0)</f>
        <v>1</v>
      </c>
      <c r="D345" s="11" t="n">
        <f aca="false">IF(AND(C345=1,B345&lt;Controls!$B$12),1,0)</f>
        <v>1</v>
      </c>
      <c r="E345" s="11" t="n">
        <f aca="false">IF(D345=1,SUMPRODUCT((Costs!$B$4:$B$903=A345)*(Costs!$D$4:$D$903="planned")*(Costs!$J$4:$J$903&lt;=B345)*(Costs!$K$4:$K$903&gt;B345)*Costs!$E$4:$E$903),0)</f>
        <v>25700</v>
      </c>
      <c r="F345" s="11" t="n">
        <f aca="false">IF(D345=1,SUMIFS(Benefits!$S$4:$S$703,Benefits!$B$4:$B$703,A345,Benefits!$F$4:$F$703,B345,Benefits!$R$4:$R$703,"cash"),0)</f>
        <v>0</v>
      </c>
      <c r="G345" s="11" t="n">
        <f aca="false">IF(D345=1,SUMIFS(Benefits!$S$4:$S$703,Benefits!$B$4:$B$703,A345,Benefits!$F$4:$F$703,B345,Benefits!$R$4:$R$703,"revenue"),0)</f>
        <v>244850</v>
      </c>
      <c r="H345" s="11" t="n">
        <f aca="false">IF(D345=1,SUMIFS(Benefits!$S$4:$S$703,Benefits!$B$4:$B$703,A345,Benefits!$F$4:$F$703,B345,Benefits!$R$4:$R$703,"avoided_cost_realised"),0)</f>
        <v>0</v>
      </c>
      <c r="I345" s="11" t="n">
        <f aca="false">IF(D345=1,SUMIFS(Benefits!$S$4:$S$703,Benefits!$B$4:$B$703,A345,Benefits!$F$4:$F$703,B345,Benefits!$R$4:$R$703,"capacity_converted"),0)</f>
        <v>0</v>
      </c>
      <c r="J345" s="11" t="n">
        <f aca="false">SUM(F345:I345)</f>
        <v>244850</v>
      </c>
      <c r="K345" s="11" t="n">
        <f aca="false">J345-E345</f>
        <v>219150</v>
      </c>
      <c r="L345" s="11" t="n">
        <f aca="false">IF(D345=1,L344+K345,0)</f>
        <v>-81616.8299</v>
      </c>
      <c r="M345" s="11" t="n">
        <f aca="false">IF(D345=1,1/(1+Controls!$B$11)^B345,0)</f>
        <v>0.896705638478404</v>
      </c>
      <c r="N345" s="11" t="n">
        <f aca="false">K345*M345</f>
        <v>196513.040672542</v>
      </c>
      <c r="O345" s="11" t="n">
        <f aca="false">IF(D345=1,O344+N345,0)</f>
        <v>-136162.109066266</v>
      </c>
      <c r="P345" s="11" t="n">
        <f aca="false">IF(AND(D345=1,L345&lt;0),1,0)</f>
        <v>1</v>
      </c>
      <c r="Q345" s="11" t="n">
        <f aca="false">IF(AND(D345=1,O345&lt;0),1,0)</f>
        <v>1</v>
      </c>
    </row>
    <row r="346" customFormat="false" ht="15" hidden="false" customHeight="false" outlineLevel="0" collapsed="false">
      <c r="A346" s="4" t="s">
        <v>92</v>
      </c>
      <c r="B346" s="4" t="n">
        <v>18</v>
      </c>
      <c r="C346" s="11" t="n">
        <f aca="false">IF(COUNTIF('Scenario inputs'!$A$4:$A$213,Controls!$B$3&amp;"|"&amp;A346)&gt;0,1,0)</f>
        <v>1</v>
      </c>
      <c r="D346" s="11" t="n">
        <f aca="false">IF(AND(C346=1,B346&lt;Controls!$B$12),1,0)</f>
        <v>1</v>
      </c>
      <c r="E346" s="11" t="n">
        <f aca="false">IF(D346=1,SUMPRODUCT((Costs!$B$4:$B$903=A346)*(Costs!$D$4:$D$903="planned")*(Costs!$J$4:$J$903&lt;=B346)*(Costs!$K$4:$K$903&gt;B346)*Costs!$E$4:$E$903),0)</f>
        <v>25700</v>
      </c>
      <c r="F346" s="11" t="n">
        <f aca="false">IF(D346=1,SUMIFS(Benefits!$S$4:$S$703,Benefits!$B$4:$B$703,A346,Benefits!$F$4:$F$703,B346,Benefits!$R$4:$R$703,"cash"),0)</f>
        <v>0</v>
      </c>
      <c r="G346" s="11" t="n">
        <f aca="false">IF(D346=1,SUMIFS(Benefits!$S$4:$S$703,Benefits!$B$4:$B$703,A346,Benefits!$F$4:$F$703,B346,Benefits!$R$4:$R$703,"revenue"),0)</f>
        <v>244850</v>
      </c>
      <c r="H346" s="11" t="n">
        <f aca="false">IF(D346=1,SUMIFS(Benefits!$S$4:$S$703,Benefits!$B$4:$B$703,A346,Benefits!$F$4:$F$703,B346,Benefits!$R$4:$R$703,"avoided_cost_realised"),0)</f>
        <v>0</v>
      </c>
      <c r="I346" s="11" t="n">
        <f aca="false">IF(D346=1,SUMIFS(Benefits!$S$4:$S$703,Benefits!$B$4:$B$703,A346,Benefits!$F$4:$F$703,B346,Benefits!$R$4:$R$703,"capacity_converted"),0)</f>
        <v>0</v>
      </c>
      <c r="J346" s="11" t="n">
        <f aca="false">SUM(F346:I346)</f>
        <v>244850</v>
      </c>
      <c r="K346" s="11" t="n">
        <f aca="false">J346-E346</f>
        <v>219150</v>
      </c>
      <c r="L346" s="11" t="n">
        <f aca="false">IF(D346=1,L345+K346,0)</f>
        <v>137533.1701</v>
      </c>
      <c r="M346" s="11" t="n">
        <f aca="false">IF(D346=1,1/(1+Controls!$B$11)^B346,0)</f>
        <v>0.89097311744079</v>
      </c>
      <c r="N346" s="11" t="n">
        <f aca="false">K346*M346</f>
        <v>195256.758687149</v>
      </c>
      <c r="O346" s="11" t="n">
        <f aca="false">IF(D346=1,O345+N346,0)</f>
        <v>59094.649620883</v>
      </c>
      <c r="P346" s="11" t="n">
        <f aca="false">IF(AND(D346=1,L346&lt;0),1,0)</f>
        <v>0</v>
      </c>
      <c r="Q346" s="11" t="n">
        <f aca="false">IF(AND(D346=1,O346&lt;0),1,0)</f>
        <v>0</v>
      </c>
    </row>
    <row r="347" customFormat="false" ht="15" hidden="false" customHeight="false" outlineLevel="0" collapsed="false">
      <c r="A347" s="4" t="s">
        <v>92</v>
      </c>
      <c r="B347" s="4" t="n">
        <v>19</v>
      </c>
      <c r="C347" s="11" t="n">
        <f aca="false">IF(COUNTIF('Scenario inputs'!$A$4:$A$213,Controls!$B$3&amp;"|"&amp;A347)&gt;0,1,0)</f>
        <v>1</v>
      </c>
      <c r="D347" s="11" t="n">
        <f aca="false">IF(AND(C347=1,B347&lt;Controls!$B$12),1,0)</f>
        <v>1</v>
      </c>
      <c r="E347" s="11" t="n">
        <f aca="false">IF(D347=1,SUMPRODUCT((Costs!$B$4:$B$903=A347)*(Costs!$D$4:$D$903="planned")*(Costs!$J$4:$J$903&lt;=B347)*(Costs!$K$4:$K$903&gt;B347)*Costs!$E$4:$E$903),0)</f>
        <v>25700</v>
      </c>
      <c r="F347" s="11" t="n">
        <f aca="false">IF(D347=1,SUMIFS(Benefits!$S$4:$S$703,Benefits!$B$4:$B$703,A347,Benefits!$F$4:$F$703,B347,Benefits!$R$4:$R$703,"cash"),0)</f>
        <v>0</v>
      </c>
      <c r="G347" s="11" t="n">
        <f aca="false">IF(D347=1,SUMIFS(Benefits!$S$4:$S$703,Benefits!$B$4:$B$703,A347,Benefits!$F$4:$F$703,B347,Benefits!$R$4:$R$703,"revenue"),0)</f>
        <v>244850</v>
      </c>
      <c r="H347" s="11" t="n">
        <f aca="false">IF(D347=1,SUMIFS(Benefits!$S$4:$S$703,Benefits!$B$4:$B$703,A347,Benefits!$F$4:$F$703,B347,Benefits!$R$4:$R$703,"avoided_cost_realised"),0)</f>
        <v>0</v>
      </c>
      <c r="I347" s="11" t="n">
        <f aca="false">IF(D347=1,SUMIFS(Benefits!$S$4:$S$703,Benefits!$B$4:$B$703,A347,Benefits!$F$4:$F$703,B347,Benefits!$R$4:$R$703,"capacity_converted"),0)</f>
        <v>0</v>
      </c>
      <c r="J347" s="11" t="n">
        <f aca="false">SUM(F347:I347)</f>
        <v>244850</v>
      </c>
      <c r="K347" s="11" t="n">
        <f aca="false">J347-E347</f>
        <v>219150</v>
      </c>
      <c r="L347" s="11" t="n">
        <f aca="false">IF(D347=1,L346+K347,0)</f>
        <v>356683.1701</v>
      </c>
      <c r="M347" s="11" t="n">
        <f aca="false">IF(D347=1,1/(1+Controls!$B$11)^B347,0)</f>
        <v>0.885277243655113</v>
      </c>
      <c r="N347" s="11" t="n">
        <f aca="false">K347*M347</f>
        <v>194008.507947018</v>
      </c>
      <c r="O347" s="11" t="n">
        <f aca="false">IF(D347=1,O346+N347,0)</f>
        <v>253103.157567901</v>
      </c>
      <c r="P347" s="11" t="n">
        <f aca="false">IF(AND(D347=1,L347&lt;0),1,0)</f>
        <v>0</v>
      </c>
      <c r="Q347" s="11" t="n">
        <f aca="false">IF(AND(D347=1,O347&lt;0),1,0)</f>
        <v>0</v>
      </c>
    </row>
    <row r="348" customFormat="false" ht="15" hidden="false" customHeight="false" outlineLevel="0" collapsed="false">
      <c r="A348" s="4" t="s">
        <v>92</v>
      </c>
      <c r="B348" s="4" t="n">
        <v>20</v>
      </c>
      <c r="C348" s="11" t="n">
        <f aca="false">IF(COUNTIF('Scenario inputs'!$A$4:$A$213,Controls!$B$3&amp;"|"&amp;A348)&gt;0,1,0)</f>
        <v>1</v>
      </c>
      <c r="D348" s="11" t="n">
        <f aca="false">IF(AND(C348=1,B348&lt;Controls!$B$12),1,0)</f>
        <v>1</v>
      </c>
      <c r="E348" s="11" t="n">
        <f aca="false">IF(D348=1,SUMPRODUCT((Costs!$B$4:$B$903=A348)*(Costs!$D$4:$D$903="planned")*(Costs!$J$4:$J$903&lt;=B348)*(Costs!$K$4:$K$903&gt;B348)*Costs!$E$4:$E$903),0)</f>
        <v>25700</v>
      </c>
      <c r="F348" s="11" t="n">
        <f aca="false">IF(D348=1,SUMIFS(Benefits!$S$4:$S$703,Benefits!$B$4:$B$703,A348,Benefits!$F$4:$F$703,B348,Benefits!$R$4:$R$703,"cash"),0)</f>
        <v>0</v>
      </c>
      <c r="G348" s="11" t="n">
        <f aca="false">IF(D348=1,SUMIFS(Benefits!$S$4:$S$703,Benefits!$B$4:$B$703,A348,Benefits!$F$4:$F$703,B348,Benefits!$R$4:$R$703,"revenue"),0)</f>
        <v>244850</v>
      </c>
      <c r="H348" s="11" t="n">
        <f aca="false">IF(D348=1,SUMIFS(Benefits!$S$4:$S$703,Benefits!$B$4:$B$703,A348,Benefits!$F$4:$F$703,B348,Benefits!$R$4:$R$703,"avoided_cost_realised"),0)</f>
        <v>0</v>
      </c>
      <c r="I348" s="11" t="n">
        <f aca="false">IF(D348=1,SUMIFS(Benefits!$S$4:$S$703,Benefits!$B$4:$B$703,A348,Benefits!$F$4:$F$703,B348,Benefits!$R$4:$R$703,"capacity_converted"),0)</f>
        <v>0</v>
      </c>
      <c r="J348" s="11" t="n">
        <f aca="false">SUM(F348:I348)</f>
        <v>244850</v>
      </c>
      <c r="K348" s="11" t="n">
        <f aca="false">J348-E348</f>
        <v>219150</v>
      </c>
      <c r="L348" s="11" t="n">
        <f aca="false">IF(D348=1,L347+K348,0)</f>
        <v>575833.1701</v>
      </c>
      <c r="M348" s="11" t="n">
        <f aca="false">IF(D348=1,1/(1+Controls!$B$11)^B348,0)</f>
        <v>0.879617782840318</v>
      </c>
      <c r="N348" s="11" t="n">
        <f aca="false">K348*M348</f>
        <v>192768.237109456</v>
      </c>
      <c r="O348" s="11" t="n">
        <f aca="false">IF(D348=1,O347+N348,0)</f>
        <v>445871.394677357</v>
      </c>
      <c r="P348" s="11" t="n">
        <f aca="false">IF(AND(D348=1,L348&lt;0),1,0)</f>
        <v>0</v>
      </c>
      <c r="Q348" s="11" t="n">
        <f aca="false">IF(AND(D348=1,O348&lt;0),1,0)</f>
        <v>0</v>
      </c>
    </row>
    <row r="349" customFormat="false" ht="15" hidden="false" customHeight="false" outlineLevel="0" collapsed="false">
      <c r="A349" s="4" t="s">
        <v>92</v>
      </c>
      <c r="B349" s="4" t="n">
        <v>21</v>
      </c>
      <c r="C349" s="11" t="n">
        <f aca="false">IF(COUNTIF('Scenario inputs'!$A$4:$A$213,Controls!$B$3&amp;"|"&amp;A349)&gt;0,1,0)</f>
        <v>1</v>
      </c>
      <c r="D349" s="11" t="n">
        <f aca="false">IF(AND(C349=1,B349&lt;Controls!$B$12),1,0)</f>
        <v>1</v>
      </c>
      <c r="E349" s="11" t="n">
        <f aca="false">IF(D349=1,SUMPRODUCT((Costs!$B$4:$B$903=A349)*(Costs!$D$4:$D$903="planned")*(Costs!$J$4:$J$903&lt;=B349)*(Costs!$K$4:$K$903&gt;B349)*Costs!$E$4:$E$903),0)</f>
        <v>25700</v>
      </c>
      <c r="F349" s="11" t="n">
        <f aca="false">IF(D349=1,SUMIFS(Benefits!$S$4:$S$703,Benefits!$B$4:$B$703,A349,Benefits!$F$4:$F$703,B349,Benefits!$R$4:$R$703,"cash"),0)</f>
        <v>0</v>
      </c>
      <c r="G349" s="11" t="n">
        <f aca="false">IF(D349=1,SUMIFS(Benefits!$S$4:$S$703,Benefits!$B$4:$B$703,A349,Benefits!$F$4:$F$703,B349,Benefits!$R$4:$R$703,"revenue"),0)</f>
        <v>0</v>
      </c>
      <c r="H349" s="11" t="n">
        <f aca="false">IF(D349=1,SUMIFS(Benefits!$S$4:$S$703,Benefits!$B$4:$B$703,A349,Benefits!$F$4:$F$703,B349,Benefits!$R$4:$R$703,"avoided_cost_realised"),0)</f>
        <v>0</v>
      </c>
      <c r="I349" s="11" t="n">
        <f aca="false">IF(D349=1,SUMIFS(Benefits!$S$4:$S$703,Benefits!$B$4:$B$703,A349,Benefits!$F$4:$F$703,B349,Benefits!$R$4:$R$703,"capacity_converted"),0)</f>
        <v>0</v>
      </c>
      <c r="J349" s="11" t="n">
        <f aca="false">SUM(F349:I349)</f>
        <v>0</v>
      </c>
      <c r="K349" s="11" t="n">
        <f aca="false">J349-E349</f>
        <v>-25700</v>
      </c>
      <c r="L349" s="11" t="n">
        <f aca="false">IF(D349=1,L348+K349,0)</f>
        <v>550133.1701</v>
      </c>
      <c r="M349" s="11" t="n">
        <f aca="false">IF(D349=1,1/(1+Controls!$B$11)^B349,0)</f>
        <v>0.873994502213079</v>
      </c>
      <c r="N349" s="11" t="n">
        <f aca="false">K349*M349</f>
        <v>-22461.6587068761</v>
      </c>
      <c r="O349" s="11" t="n">
        <f aca="false">IF(D349=1,O348+N349,0)</f>
        <v>423409.73597048</v>
      </c>
      <c r="P349" s="11" t="n">
        <f aca="false">IF(AND(D349=1,L349&lt;0),1,0)</f>
        <v>0</v>
      </c>
      <c r="Q349" s="11" t="n">
        <f aca="false">IF(AND(D349=1,O349&lt;0),1,0)</f>
        <v>0</v>
      </c>
    </row>
    <row r="350" customFormat="false" ht="15" hidden="false" customHeight="false" outlineLevel="0" collapsed="false">
      <c r="A350" s="4" t="s">
        <v>92</v>
      </c>
      <c r="B350" s="4" t="n">
        <v>22</v>
      </c>
      <c r="C350" s="11" t="n">
        <f aca="false">IF(COUNTIF('Scenario inputs'!$A$4:$A$213,Controls!$B$3&amp;"|"&amp;A350)&gt;0,1,0)</f>
        <v>1</v>
      </c>
      <c r="D350" s="11" t="n">
        <f aca="false">IF(AND(C350=1,B350&lt;Controls!$B$12),1,0)</f>
        <v>1</v>
      </c>
      <c r="E350" s="11" t="n">
        <f aca="false">IF(D350=1,SUMPRODUCT((Costs!$B$4:$B$903=A350)*(Costs!$D$4:$D$903="planned")*(Costs!$J$4:$J$903&lt;=B350)*(Costs!$K$4:$K$903&gt;B350)*Costs!$E$4:$E$903),0)</f>
        <v>0</v>
      </c>
      <c r="F350" s="11" t="n">
        <f aca="false">IF(D350=1,SUMIFS(Benefits!$S$4:$S$703,Benefits!$B$4:$B$703,A350,Benefits!$F$4:$F$703,B350,Benefits!$R$4:$R$703,"cash"),0)</f>
        <v>0</v>
      </c>
      <c r="G350" s="11" t="n">
        <f aca="false">IF(D350=1,SUMIFS(Benefits!$S$4:$S$703,Benefits!$B$4:$B$703,A350,Benefits!$F$4:$F$703,B350,Benefits!$R$4:$R$703,"revenue"),0)</f>
        <v>0</v>
      </c>
      <c r="H350" s="11" t="n">
        <f aca="false">IF(D350=1,SUMIFS(Benefits!$S$4:$S$703,Benefits!$B$4:$B$703,A350,Benefits!$F$4:$F$703,B350,Benefits!$R$4:$R$703,"avoided_cost_realised"),0)</f>
        <v>0</v>
      </c>
      <c r="I350" s="11" t="n">
        <f aca="false">IF(D350=1,SUMIFS(Benefits!$S$4:$S$703,Benefits!$B$4:$B$703,A350,Benefits!$F$4:$F$703,B350,Benefits!$R$4:$R$703,"capacity_converted"),0)</f>
        <v>0</v>
      </c>
      <c r="J350" s="11" t="n">
        <f aca="false">SUM(F350:I350)</f>
        <v>0</v>
      </c>
      <c r="K350" s="11" t="n">
        <f aca="false">J350-E350</f>
        <v>0</v>
      </c>
      <c r="L350" s="11" t="n">
        <f aca="false">IF(D350=1,L349+K350,0)</f>
        <v>550133.1701</v>
      </c>
      <c r="M350" s="11" t="n">
        <f aca="false">IF(D350=1,1/(1+Controls!$B$11)^B350,0)</f>
        <v>0.868407170478222</v>
      </c>
      <c r="N350" s="11" t="n">
        <f aca="false">K350*M350</f>
        <v>0</v>
      </c>
      <c r="O350" s="11" t="n">
        <f aca="false">IF(D350=1,O349+N350,0)</f>
        <v>423409.73597048</v>
      </c>
      <c r="P350" s="11" t="n">
        <f aca="false">IF(AND(D350=1,L350&lt;0),1,0)</f>
        <v>0</v>
      </c>
      <c r="Q350" s="11" t="n">
        <f aca="false">IF(AND(D350=1,O350&lt;0),1,0)</f>
        <v>0</v>
      </c>
    </row>
    <row r="351" customFormat="false" ht="15" hidden="false" customHeight="false" outlineLevel="0" collapsed="false">
      <c r="A351" s="4" t="s">
        <v>92</v>
      </c>
      <c r="B351" s="4" t="n">
        <v>23</v>
      </c>
      <c r="C351" s="11" t="n">
        <f aca="false">IF(COUNTIF('Scenario inputs'!$A$4:$A$213,Controls!$B$3&amp;"|"&amp;A351)&gt;0,1,0)</f>
        <v>1</v>
      </c>
      <c r="D351" s="11" t="n">
        <f aca="false">IF(AND(C351=1,B351&lt;Controls!$B$12),1,0)</f>
        <v>1</v>
      </c>
      <c r="E351" s="11" t="n">
        <f aca="false">IF(D351=1,SUMPRODUCT((Costs!$B$4:$B$903=A351)*(Costs!$D$4:$D$903="planned")*(Costs!$J$4:$J$903&lt;=B351)*(Costs!$K$4:$K$903&gt;B351)*Costs!$E$4:$E$903),0)</f>
        <v>0</v>
      </c>
      <c r="F351" s="11" t="n">
        <f aca="false">IF(D351=1,SUMIFS(Benefits!$S$4:$S$703,Benefits!$B$4:$B$703,A351,Benefits!$F$4:$F$703,B351,Benefits!$R$4:$R$703,"cash"),0)</f>
        <v>0</v>
      </c>
      <c r="G351" s="11" t="n">
        <f aca="false">IF(D351=1,SUMIFS(Benefits!$S$4:$S$703,Benefits!$B$4:$B$703,A351,Benefits!$F$4:$F$703,B351,Benefits!$R$4:$R$703,"revenue"),0)</f>
        <v>0</v>
      </c>
      <c r="H351" s="11" t="n">
        <f aca="false">IF(D351=1,SUMIFS(Benefits!$S$4:$S$703,Benefits!$B$4:$B$703,A351,Benefits!$F$4:$F$703,B351,Benefits!$R$4:$R$703,"avoided_cost_realised"),0)</f>
        <v>0</v>
      </c>
      <c r="I351" s="11" t="n">
        <f aca="false">IF(D351=1,SUMIFS(Benefits!$S$4:$S$703,Benefits!$B$4:$B$703,A351,Benefits!$F$4:$F$703,B351,Benefits!$R$4:$R$703,"capacity_converted"),0)</f>
        <v>0</v>
      </c>
      <c r="J351" s="11" t="n">
        <f aca="false">SUM(F351:I351)</f>
        <v>0</v>
      </c>
      <c r="K351" s="11" t="n">
        <f aca="false">J351-E351</f>
        <v>0</v>
      </c>
      <c r="L351" s="11" t="n">
        <f aca="false">IF(D351=1,L350+K351,0)</f>
        <v>550133.1701</v>
      </c>
      <c r="M351" s="11" t="n">
        <f aca="false">IF(D351=1,1/(1+Controls!$B$11)^B351,0)</f>
        <v>0.862855557819213</v>
      </c>
      <c r="N351" s="11" t="n">
        <f aca="false">K351*M351</f>
        <v>0</v>
      </c>
      <c r="O351" s="11" t="n">
        <f aca="false">IF(D351=1,O350+N351,0)</f>
        <v>423409.73597048</v>
      </c>
      <c r="P351" s="11" t="n">
        <f aca="false">IF(AND(D351=1,L351&lt;0),1,0)</f>
        <v>0</v>
      </c>
      <c r="Q351" s="11" t="n">
        <f aca="false">IF(AND(D351=1,O351&lt;0),1,0)</f>
        <v>0</v>
      </c>
    </row>
    <row r="352" customFormat="false" ht="15" hidden="false" customHeight="false" outlineLevel="0" collapsed="false">
      <c r="A352" s="4" t="s">
        <v>92</v>
      </c>
      <c r="B352" s="4" t="n">
        <v>24</v>
      </c>
      <c r="C352" s="11" t="n">
        <f aca="false">IF(COUNTIF('Scenario inputs'!$A$4:$A$213,Controls!$B$3&amp;"|"&amp;A352)&gt;0,1,0)</f>
        <v>1</v>
      </c>
      <c r="D352" s="11" t="n">
        <f aca="false">IF(AND(C352=1,B352&lt;Controls!$B$12),1,0)</f>
        <v>1</v>
      </c>
      <c r="E352" s="11" t="n">
        <f aca="false">IF(D352=1,SUMPRODUCT((Costs!$B$4:$B$903=A352)*(Costs!$D$4:$D$903="planned")*(Costs!$J$4:$J$903&lt;=B352)*(Costs!$K$4:$K$903&gt;B352)*Costs!$E$4:$E$903),0)</f>
        <v>0</v>
      </c>
      <c r="F352" s="11" t="n">
        <f aca="false">IF(D352=1,SUMIFS(Benefits!$S$4:$S$703,Benefits!$B$4:$B$703,A352,Benefits!$F$4:$F$703,B352,Benefits!$R$4:$R$703,"cash"),0)</f>
        <v>0</v>
      </c>
      <c r="G352" s="11" t="n">
        <f aca="false">IF(D352=1,SUMIFS(Benefits!$S$4:$S$703,Benefits!$B$4:$B$703,A352,Benefits!$F$4:$F$703,B352,Benefits!$R$4:$R$703,"revenue"),0)</f>
        <v>0</v>
      </c>
      <c r="H352" s="11" t="n">
        <f aca="false">IF(D352=1,SUMIFS(Benefits!$S$4:$S$703,Benefits!$B$4:$B$703,A352,Benefits!$F$4:$F$703,B352,Benefits!$R$4:$R$703,"avoided_cost_realised"),0)</f>
        <v>0</v>
      </c>
      <c r="I352" s="11" t="n">
        <f aca="false">IF(D352=1,SUMIFS(Benefits!$S$4:$S$703,Benefits!$B$4:$B$703,A352,Benefits!$F$4:$F$703,B352,Benefits!$R$4:$R$703,"capacity_converted"),0)</f>
        <v>0</v>
      </c>
      <c r="J352" s="11" t="n">
        <f aca="false">SUM(F352:I352)</f>
        <v>0</v>
      </c>
      <c r="K352" s="11" t="n">
        <f aca="false">J352-E352</f>
        <v>0</v>
      </c>
      <c r="L352" s="11" t="n">
        <f aca="false">IF(D352=1,L351+K352,0)</f>
        <v>550133.1701</v>
      </c>
      <c r="M352" s="11" t="n">
        <f aca="false">IF(D352=1,1/(1+Controls!$B$11)^B352,0)</f>
        <v>0.857339435888705</v>
      </c>
      <c r="N352" s="11" t="n">
        <f aca="false">K352*M352</f>
        <v>0</v>
      </c>
      <c r="O352" s="11" t="n">
        <f aca="false">IF(D352=1,O351+N352,0)</f>
        <v>423409.73597048</v>
      </c>
      <c r="P352" s="11" t="n">
        <f aca="false">IF(AND(D352=1,L352&lt;0),1,0)</f>
        <v>0</v>
      </c>
      <c r="Q352" s="11" t="n">
        <f aca="false">IF(AND(D352=1,O352&lt;0),1,0)</f>
        <v>0</v>
      </c>
    </row>
    <row r="353" customFormat="false" ht="15" hidden="false" customHeight="false" outlineLevel="0" collapsed="false">
      <c r="A353" s="4" t="s">
        <v>92</v>
      </c>
      <c r="B353" s="4" t="n">
        <v>25</v>
      </c>
      <c r="C353" s="11" t="n">
        <f aca="false">IF(COUNTIF('Scenario inputs'!$A$4:$A$213,Controls!$B$3&amp;"|"&amp;A353)&gt;0,1,0)</f>
        <v>1</v>
      </c>
      <c r="D353" s="11" t="n">
        <f aca="false">IF(AND(C353=1,B353&lt;Controls!$B$12),1,0)</f>
        <v>1</v>
      </c>
      <c r="E353" s="11" t="n">
        <f aca="false">IF(D353=1,SUMPRODUCT((Costs!$B$4:$B$903=A353)*(Costs!$D$4:$D$903="planned")*(Costs!$J$4:$J$903&lt;=B353)*(Costs!$K$4:$K$903&gt;B353)*Costs!$E$4:$E$903),0)</f>
        <v>0</v>
      </c>
      <c r="F353" s="11" t="n">
        <f aca="false">IF(D353=1,SUMIFS(Benefits!$S$4:$S$703,Benefits!$B$4:$B$703,A353,Benefits!$F$4:$F$703,B353,Benefits!$R$4:$R$703,"cash"),0)</f>
        <v>0</v>
      </c>
      <c r="G353" s="11" t="n">
        <f aca="false">IF(D353=1,SUMIFS(Benefits!$S$4:$S$703,Benefits!$B$4:$B$703,A353,Benefits!$F$4:$F$703,B353,Benefits!$R$4:$R$703,"revenue"),0)</f>
        <v>0</v>
      </c>
      <c r="H353" s="11" t="n">
        <f aca="false">IF(D353=1,SUMIFS(Benefits!$S$4:$S$703,Benefits!$B$4:$B$703,A353,Benefits!$F$4:$F$703,B353,Benefits!$R$4:$R$703,"avoided_cost_realised"),0)</f>
        <v>0</v>
      </c>
      <c r="I353" s="11" t="n">
        <f aca="false">IF(D353=1,SUMIFS(Benefits!$S$4:$S$703,Benefits!$B$4:$B$703,A353,Benefits!$F$4:$F$703,B353,Benefits!$R$4:$R$703,"capacity_converted"),0)</f>
        <v>0</v>
      </c>
      <c r="J353" s="11" t="n">
        <f aca="false">SUM(F353:I353)</f>
        <v>0</v>
      </c>
      <c r="K353" s="11" t="n">
        <f aca="false">J353-E353</f>
        <v>0</v>
      </c>
      <c r="L353" s="11" t="n">
        <f aca="false">IF(D353=1,L352+K353,0)</f>
        <v>550133.1701</v>
      </c>
      <c r="M353" s="11" t="n">
        <f aca="false">IF(D353=1,1/(1+Controls!$B$11)^B353,0)</f>
        <v>0.851858577799146</v>
      </c>
      <c r="N353" s="11" t="n">
        <f aca="false">K353*M353</f>
        <v>0</v>
      </c>
      <c r="O353" s="11" t="n">
        <f aca="false">IF(D353=1,O352+N353,0)</f>
        <v>423409.73597048</v>
      </c>
      <c r="P353" s="11" t="n">
        <f aca="false">IF(AND(D353=1,L353&lt;0),1,0)</f>
        <v>0</v>
      </c>
      <c r="Q353" s="11" t="n">
        <f aca="false">IF(AND(D353=1,O353&lt;0),1,0)</f>
        <v>0</v>
      </c>
    </row>
    <row r="354" customFormat="false" ht="15" hidden="false" customHeight="false" outlineLevel="0" collapsed="false">
      <c r="A354" s="4" t="s">
        <v>92</v>
      </c>
      <c r="B354" s="4" t="n">
        <v>26</v>
      </c>
      <c r="C354" s="11" t="n">
        <f aca="false">IF(COUNTIF('Scenario inputs'!$A$4:$A$213,Controls!$B$3&amp;"|"&amp;A354)&gt;0,1,0)</f>
        <v>1</v>
      </c>
      <c r="D354" s="11" t="n">
        <f aca="false">IF(AND(C354=1,B354&lt;Controls!$B$12),1,0)</f>
        <v>1</v>
      </c>
      <c r="E354" s="11" t="n">
        <f aca="false">IF(D354=1,SUMPRODUCT((Costs!$B$4:$B$903=A354)*(Costs!$D$4:$D$903="planned")*(Costs!$J$4:$J$903&lt;=B354)*(Costs!$K$4:$K$903&gt;B354)*Costs!$E$4:$E$903),0)</f>
        <v>0</v>
      </c>
      <c r="F354" s="11" t="n">
        <f aca="false">IF(D354=1,SUMIFS(Benefits!$S$4:$S$703,Benefits!$B$4:$B$703,A354,Benefits!$F$4:$F$703,B354,Benefits!$R$4:$R$703,"cash"),0)</f>
        <v>0</v>
      </c>
      <c r="G354" s="11" t="n">
        <f aca="false">IF(D354=1,SUMIFS(Benefits!$S$4:$S$703,Benefits!$B$4:$B$703,A354,Benefits!$F$4:$F$703,B354,Benefits!$R$4:$R$703,"revenue"),0)</f>
        <v>0</v>
      </c>
      <c r="H354" s="11" t="n">
        <f aca="false">IF(D354=1,SUMIFS(Benefits!$S$4:$S$703,Benefits!$B$4:$B$703,A354,Benefits!$F$4:$F$703,B354,Benefits!$R$4:$R$703,"avoided_cost_realised"),0)</f>
        <v>0</v>
      </c>
      <c r="I354" s="11" t="n">
        <f aca="false">IF(D354=1,SUMIFS(Benefits!$S$4:$S$703,Benefits!$B$4:$B$703,A354,Benefits!$F$4:$F$703,B354,Benefits!$R$4:$R$703,"capacity_converted"),0)</f>
        <v>0</v>
      </c>
      <c r="J354" s="11" t="n">
        <f aca="false">SUM(F354:I354)</f>
        <v>0</v>
      </c>
      <c r="K354" s="11" t="n">
        <f aca="false">J354-E354</f>
        <v>0</v>
      </c>
      <c r="L354" s="11" t="n">
        <f aca="false">IF(D354=1,L353+K354,0)</f>
        <v>550133.1701</v>
      </c>
      <c r="M354" s="11" t="n">
        <f aca="false">IF(D354=1,1/(1+Controls!$B$11)^B354,0)</f>
        <v>0.846412758113444</v>
      </c>
      <c r="N354" s="11" t="n">
        <f aca="false">K354*M354</f>
        <v>0</v>
      </c>
      <c r="O354" s="11" t="n">
        <f aca="false">IF(D354=1,O353+N354,0)</f>
        <v>423409.73597048</v>
      </c>
      <c r="P354" s="11" t="n">
        <f aca="false">IF(AND(D354=1,L354&lt;0),1,0)</f>
        <v>0</v>
      </c>
      <c r="Q354" s="11" t="n">
        <f aca="false">IF(AND(D354=1,O354&lt;0),1,0)</f>
        <v>0</v>
      </c>
    </row>
    <row r="355" customFormat="false" ht="15" hidden="false" customHeight="false" outlineLevel="0" collapsed="false">
      <c r="A355" s="4" t="s">
        <v>92</v>
      </c>
      <c r="B355" s="4" t="n">
        <v>27</v>
      </c>
      <c r="C355" s="11" t="n">
        <f aca="false">IF(COUNTIF('Scenario inputs'!$A$4:$A$213,Controls!$B$3&amp;"|"&amp;A355)&gt;0,1,0)</f>
        <v>1</v>
      </c>
      <c r="D355" s="11" t="n">
        <f aca="false">IF(AND(C355=1,B355&lt;Controls!$B$12),1,0)</f>
        <v>1</v>
      </c>
      <c r="E355" s="11" t="n">
        <f aca="false">IF(D355=1,SUMPRODUCT((Costs!$B$4:$B$903=A355)*(Costs!$D$4:$D$903="planned")*(Costs!$J$4:$J$903&lt;=B355)*(Costs!$K$4:$K$903&gt;B355)*Costs!$E$4:$E$903),0)</f>
        <v>0</v>
      </c>
      <c r="F355" s="11" t="n">
        <f aca="false">IF(D355=1,SUMIFS(Benefits!$S$4:$S$703,Benefits!$B$4:$B$703,A355,Benefits!$F$4:$F$703,B355,Benefits!$R$4:$R$703,"cash"),0)</f>
        <v>0</v>
      </c>
      <c r="G355" s="11" t="n">
        <f aca="false">IF(D355=1,SUMIFS(Benefits!$S$4:$S$703,Benefits!$B$4:$B$703,A355,Benefits!$F$4:$F$703,B355,Benefits!$R$4:$R$703,"revenue"),0)</f>
        <v>0</v>
      </c>
      <c r="H355" s="11" t="n">
        <f aca="false">IF(D355=1,SUMIFS(Benefits!$S$4:$S$703,Benefits!$B$4:$B$703,A355,Benefits!$F$4:$F$703,B355,Benefits!$R$4:$R$703,"avoided_cost_realised"),0)</f>
        <v>0</v>
      </c>
      <c r="I355" s="11" t="n">
        <f aca="false">IF(D355=1,SUMIFS(Benefits!$S$4:$S$703,Benefits!$B$4:$B$703,A355,Benefits!$F$4:$F$703,B355,Benefits!$R$4:$R$703,"capacity_converted"),0)</f>
        <v>0</v>
      </c>
      <c r="J355" s="11" t="n">
        <f aca="false">SUM(F355:I355)</f>
        <v>0</v>
      </c>
      <c r="K355" s="11" t="n">
        <f aca="false">J355-E355</f>
        <v>0</v>
      </c>
      <c r="L355" s="11" t="n">
        <f aca="false">IF(D355=1,L354+K355,0)</f>
        <v>550133.1701</v>
      </c>
      <c r="M355" s="11" t="n">
        <f aca="false">IF(D355=1,1/(1+Controls!$B$11)^B355,0)</f>
        <v>0.841001752835699</v>
      </c>
      <c r="N355" s="11" t="n">
        <f aca="false">K355*M355</f>
        <v>0</v>
      </c>
      <c r="O355" s="11" t="n">
        <f aca="false">IF(D355=1,O354+N355,0)</f>
        <v>423409.73597048</v>
      </c>
      <c r="P355" s="11" t="n">
        <f aca="false">IF(AND(D355=1,L355&lt;0),1,0)</f>
        <v>0</v>
      </c>
      <c r="Q355" s="11" t="n">
        <f aca="false">IF(AND(D355=1,O355&lt;0),1,0)</f>
        <v>0</v>
      </c>
    </row>
    <row r="356" customFormat="false" ht="15" hidden="false" customHeight="false" outlineLevel="0" collapsed="false">
      <c r="A356" s="4" t="s">
        <v>92</v>
      </c>
      <c r="B356" s="4" t="n">
        <v>28</v>
      </c>
      <c r="C356" s="11" t="n">
        <f aca="false">IF(COUNTIF('Scenario inputs'!$A$4:$A$213,Controls!$B$3&amp;"|"&amp;A356)&gt;0,1,0)</f>
        <v>1</v>
      </c>
      <c r="D356" s="11" t="n">
        <f aca="false">IF(AND(C356=1,B356&lt;Controls!$B$12),1,0)</f>
        <v>1</v>
      </c>
      <c r="E356" s="11" t="n">
        <f aca="false">IF(D356=1,SUMPRODUCT((Costs!$B$4:$B$903=A356)*(Costs!$D$4:$D$903="planned")*(Costs!$J$4:$J$903&lt;=B356)*(Costs!$K$4:$K$903&gt;B356)*Costs!$E$4:$E$903),0)</f>
        <v>0</v>
      </c>
      <c r="F356" s="11" t="n">
        <f aca="false">IF(D356=1,SUMIFS(Benefits!$S$4:$S$703,Benefits!$B$4:$B$703,A356,Benefits!$F$4:$F$703,B356,Benefits!$R$4:$R$703,"cash"),0)</f>
        <v>0</v>
      </c>
      <c r="G356" s="11" t="n">
        <f aca="false">IF(D356=1,SUMIFS(Benefits!$S$4:$S$703,Benefits!$B$4:$B$703,A356,Benefits!$F$4:$F$703,B356,Benefits!$R$4:$R$703,"revenue"),0)</f>
        <v>0</v>
      </c>
      <c r="H356" s="11" t="n">
        <f aca="false">IF(D356=1,SUMIFS(Benefits!$S$4:$S$703,Benefits!$B$4:$B$703,A356,Benefits!$F$4:$F$703,B356,Benefits!$R$4:$R$703,"avoided_cost_realised"),0)</f>
        <v>0</v>
      </c>
      <c r="I356" s="11" t="n">
        <f aca="false">IF(D356=1,SUMIFS(Benefits!$S$4:$S$703,Benefits!$B$4:$B$703,A356,Benefits!$F$4:$F$703,B356,Benefits!$R$4:$R$703,"capacity_converted"),0)</f>
        <v>0</v>
      </c>
      <c r="J356" s="11" t="n">
        <f aca="false">SUM(F356:I356)</f>
        <v>0</v>
      </c>
      <c r="K356" s="11" t="n">
        <f aca="false">J356-E356</f>
        <v>0</v>
      </c>
      <c r="L356" s="11" t="n">
        <f aca="false">IF(D356=1,L355+K356,0)</f>
        <v>550133.1701</v>
      </c>
      <c r="M356" s="11" t="n">
        <f aca="false">IF(D356=1,1/(1+Controls!$B$11)^B356,0)</f>
        <v>0.835625339401986</v>
      </c>
      <c r="N356" s="11" t="n">
        <f aca="false">K356*M356</f>
        <v>0</v>
      </c>
      <c r="O356" s="11" t="n">
        <f aca="false">IF(D356=1,O355+N356,0)</f>
        <v>423409.73597048</v>
      </c>
      <c r="P356" s="11" t="n">
        <f aca="false">IF(AND(D356=1,L356&lt;0),1,0)</f>
        <v>0</v>
      </c>
      <c r="Q356" s="11" t="n">
        <f aca="false">IF(AND(D356=1,O356&lt;0),1,0)</f>
        <v>0</v>
      </c>
    </row>
    <row r="357" customFormat="false" ht="15" hidden="false" customHeight="false" outlineLevel="0" collapsed="false">
      <c r="A357" s="4" t="s">
        <v>92</v>
      </c>
      <c r="B357" s="4" t="n">
        <v>29</v>
      </c>
      <c r="C357" s="11" t="n">
        <f aca="false">IF(COUNTIF('Scenario inputs'!$A$4:$A$213,Controls!$B$3&amp;"|"&amp;A357)&gt;0,1,0)</f>
        <v>1</v>
      </c>
      <c r="D357" s="11" t="n">
        <f aca="false">IF(AND(C357=1,B357&lt;Controls!$B$12),1,0)</f>
        <v>1</v>
      </c>
      <c r="E357" s="11" t="n">
        <f aca="false">IF(D357=1,SUMPRODUCT((Costs!$B$4:$B$903=A357)*(Costs!$D$4:$D$903="planned")*(Costs!$J$4:$J$903&lt;=B357)*(Costs!$K$4:$K$903&gt;B357)*Costs!$E$4:$E$903),0)</f>
        <v>0</v>
      </c>
      <c r="F357" s="11" t="n">
        <f aca="false">IF(D357=1,SUMIFS(Benefits!$S$4:$S$703,Benefits!$B$4:$B$703,A357,Benefits!$F$4:$F$703,B357,Benefits!$R$4:$R$703,"cash"),0)</f>
        <v>0</v>
      </c>
      <c r="G357" s="11" t="n">
        <f aca="false">IF(D357=1,SUMIFS(Benefits!$S$4:$S$703,Benefits!$B$4:$B$703,A357,Benefits!$F$4:$F$703,B357,Benefits!$R$4:$R$703,"revenue"),0)</f>
        <v>0</v>
      </c>
      <c r="H357" s="11" t="n">
        <f aca="false">IF(D357=1,SUMIFS(Benefits!$S$4:$S$703,Benefits!$B$4:$B$703,A357,Benefits!$F$4:$F$703,B357,Benefits!$R$4:$R$703,"avoided_cost_realised"),0)</f>
        <v>0</v>
      </c>
      <c r="I357" s="11" t="n">
        <f aca="false">IF(D357=1,SUMIFS(Benefits!$S$4:$S$703,Benefits!$B$4:$B$703,A357,Benefits!$F$4:$F$703,B357,Benefits!$R$4:$R$703,"capacity_converted"),0)</f>
        <v>0</v>
      </c>
      <c r="J357" s="11" t="n">
        <f aca="false">SUM(F357:I357)</f>
        <v>0</v>
      </c>
      <c r="K357" s="11" t="n">
        <f aca="false">J357-E357</f>
        <v>0</v>
      </c>
      <c r="L357" s="11" t="n">
        <f aca="false">IF(D357=1,L356+K357,0)</f>
        <v>550133.1701</v>
      </c>
      <c r="M357" s="11" t="n">
        <f aca="false">IF(D357=1,1/(1+Controls!$B$11)^B357,0)</f>
        <v>0.830283296671204</v>
      </c>
      <c r="N357" s="11" t="n">
        <f aca="false">K357*M357</f>
        <v>0</v>
      </c>
      <c r="O357" s="11" t="n">
        <f aca="false">IF(D357=1,O356+N357,0)</f>
        <v>423409.73597048</v>
      </c>
      <c r="P357" s="11" t="n">
        <f aca="false">IF(AND(D357=1,L357&lt;0),1,0)</f>
        <v>0</v>
      </c>
      <c r="Q357" s="11" t="n">
        <f aca="false">IF(AND(D357=1,O357&lt;0),1,0)</f>
        <v>0</v>
      </c>
    </row>
    <row r="358" customFormat="false" ht="15" hidden="false" customHeight="false" outlineLevel="0" collapsed="false">
      <c r="A358" s="4" t="s">
        <v>92</v>
      </c>
      <c r="B358" s="4" t="n">
        <v>30</v>
      </c>
      <c r="C358" s="11" t="n">
        <f aca="false">IF(COUNTIF('Scenario inputs'!$A$4:$A$213,Controls!$B$3&amp;"|"&amp;A358)&gt;0,1,0)</f>
        <v>1</v>
      </c>
      <c r="D358" s="11" t="n">
        <f aca="false">IF(AND(C358=1,B358&lt;Controls!$B$12),1,0)</f>
        <v>1</v>
      </c>
      <c r="E358" s="11" t="n">
        <f aca="false">IF(D358=1,SUMPRODUCT((Costs!$B$4:$B$903=A358)*(Costs!$D$4:$D$903="planned")*(Costs!$J$4:$J$903&lt;=B358)*(Costs!$K$4:$K$903&gt;B358)*Costs!$E$4:$E$903),0)</f>
        <v>0</v>
      </c>
      <c r="F358" s="11" t="n">
        <f aca="false">IF(D358=1,SUMIFS(Benefits!$S$4:$S$703,Benefits!$B$4:$B$703,A358,Benefits!$F$4:$F$703,B358,Benefits!$R$4:$R$703,"cash"),0)</f>
        <v>0</v>
      </c>
      <c r="G358" s="11" t="n">
        <f aca="false">IF(D358=1,SUMIFS(Benefits!$S$4:$S$703,Benefits!$B$4:$B$703,A358,Benefits!$F$4:$F$703,B358,Benefits!$R$4:$R$703,"revenue"),0)</f>
        <v>0</v>
      </c>
      <c r="H358" s="11" t="n">
        <f aca="false">IF(D358=1,SUMIFS(Benefits!$S$4:$S$703,Benefits!$B$4:$B$703,A358,Benefits!$F$4:$F$703,B358,Benefits!$R$4:$R$703,"avoided_cost_realised"),0)</f>
        <v>0</v>
      </c>
      <c r="I358" s="11" t="n">
        <f aca="false">IF(D358=1,SUMIFS(Benefits!$S$4:$S$703,Benefits!$B$4:$B$703,A358,Benefits!$F$4:$F$703,B358,Benefits!$R$4:$R$703,"capacity_converted"),0)</f>
        <v>0</v>
      </c>
      <c r="J358" s="11" t="n">
        <f aca="false">SUM(F358:I358)</f>
        <v>0</v>
      </c>
      <c r="K358" s="11" t="n">
        <f aca="false">J358-E358</f>
        <v>0</v>
      </c>
      <c r="L358" s="11" t="n">
        <f aca="false">IF(D358=1,L357+K358,0)</f>
        <v>550133.1701</v>
      </c>
      <c r="M358" s="11" t="n">
        <f aca="false">IF(D358=1,1/(1+Controls!$B$11)^B358,0)</f>
        <v>0.824975404915974</v>
      </c>
      <c r="N358" s="11" t="n">
        <f aca="false">K358*M358</f>
        <v>0</v>
      </c>
      <c r="O358" s="11" t="n">
        <f aca="false">IF(D358=1,O357+N358,0)</f>
        <v>423409.73597048</v>
      </c>
      <c r="P358" s="11" t="n">
        <f aca="false">IF(AND(D358=1,L358&lt;0),1,0)</f>
        <v>0</v>
      </c>
      <c r="Q358" s="11" t="n">
        <f aca="false">IF(AND(D358=1,O358&lt;0),1,0)</f>
        <v>0</v>
      </c>
    </row>
    <row r="359" customFormat="false" ht="15" hidden="false" customHeight="false" outlineLevel="0" collapsed="false">
      <c r="A359" s="4" t="s">
        <v>92</v>
      </c>
      <c r="B359" s="4" t="n">
        <v>31</v>
      </c>
      <c r="C359" s="11" t="n">
        <f aca="false">IF(COUNTIF('Scenario inputs'!$A$4:$A$213,Controls!$B$3&amp;"|"&amp;A359)&gt;0,1,0)</f>
        <v>1</v>
      </c>
      <c r="D359" s="11" t="n">
        <f aca="false">IF(AND(C359=1,B359&lt;Controls!$B$12),1,0)</f>
        <v>1</v>
      </c>
      <c r="E359" s="11" t="n">
        <f aca="false">IF(D359=1,SUMPRODUCT((Costs!$B$4:$B$903=A359)*(Costs!$D$4:$D$903="planned")*(Costs!$J$4:$J$903&lt;=B359)*(Costs!$K$4:$K$903&gt;B359)*Costs!$E$4:$E$903),0)</f>
        <v>0</v>
      </c>
      <c r="F359" s="11" t="n">
        <f aca="false">IF(D359=1,SUMIFS(Benefits!$S$4:$S$703,Benefits!$B$4:$B$703,A359,Benefits!$F$4:$F$703,B359,Benefits!$R$4:$R$703,"cash"),0)</f>
        <v>0</v>
      </c>
      <c r="G359" s="11" t="n">
        <f aca="false">IF(D359=1,SUMIFS(Benefits!$S$4:$S$703,Benefits!$B$4:$B$703,A359,Benefits!$F$4:$F$703,B359,Benefits!$R$4:$R$703,"revenue"),0)</f>
        <v>0</v>
      </c>
      <c r="H359" s="11" t="n">
        <f aca="false">IF(D359=1,SUMIFS(Benefits!$S$4:$S$703,Benefits!$B$4:$B$703,A359,Benefits!$F$4:$F$703,B359,Benefits!$R$4:$R$703,"avoided_cost_realised"),0)</f>
        <v>0</v>
      </c>
      <c r="I359" s="11" t="n">
        <f aca="false">IF(D359=1,SUMIFS(Benefits!$S$4:$S$703,Benefits!$B$4:$B$703,A359,Benefits!$F$4:$F$703,B359,Benefits!$R$4:$R$703,"capacity_converted"),0)</f>
        <v>0</v>
      </c>
      <c r="J359" s="11" t="n">
        <f aca="false">SUM(F359:I359)</f>
        <v>0</v>
      </c>
      <c r="K359" s="11" t="n">
        <f aca="false">J359-E359</f>
        <v>0</v>
      </c>
      <c r="L359" s="11" t="n">
        <f aca="false">IF(D359=1,L358+K359,0)</f>
        <v>550133.1701</v>
      </c>
      <c r="M359" s="11" t="n">
        <f aca="false">IF(D359=1,1/(1+Controls!$B$11)^B359,0)</f>
        <v>0.81970144581361</v>
      </c>
      <c r="N359" s="11" t="n">
        <f aca="false">K359*M359</f>
        <v>0</v>
      </c>
      <c r="O359" s="11" t="n">
        <f aca="false">IF(D359=1,O358+N359,0)</f>
        <v>423409.73597048</v>
      </c>
      <c r="P359" s="11" t="n">
        <f aca="false">IF(AND(D359=1,L359&lt;0),1,0)</f>
        <v>0</v>
      </c>
      <c r="Q359" s="11" t="n">
        <f aca="false">IF(AND(D359=1,O359&lt;0),1,0)</f>
        <v>0</v>
      </c>
    </row>
    <row r="360" customFormat="false" ht="15" hidden="false" customHeight="false" outlineLevel="0" collapsed="false">
      <c r="A360" s="4" t="s">
        <v>92</v>
      </c>
      <c r="B360" s="4" t="n">
        <v>32</v>
      </c>
      <c r="C360" s="11" t="n">
        <f aca="false">IF(COUNTIF('Scenario inputs'!$A$4:$A$213,Controls!$B$3&amp;"|"&amp;A360)&gt;0,1,0)</f>
        <v>1</v>
      </c>
      <c r="D360" s="11" t="n">
        <f aca="false">IF(AND(C360=1,B360&lt;Controls!$B$12),1,0)</f>
        <v>1</v>
      </c>
      <c r="E360" s="11" t="n">
        <f aca="false">IF(D360=1,SUMPRODUCT((Costs!$B$4:$B$903=A360)*(Costs!$D$4:$D$903="planned")*(Costs!$J$4:$J$903&lt;=B360)*(Costs!$K$4:$K$903&gt;B360)*Costs!$E$4:$E$903),0)</f>
        <v>0</v>
      </c>
      <c r="F360" s="11" t="n">
        <f aca="false">IF(D360=1,SUMIFS(Benefits!$S$4:$S$703,Benefits!$B$4:$B$703,A360,Benefits!$F$4:$F$703,B360,Benefits!$R$4:$R$703,"cash"),0)</f>
        <v>0</v>
      </c>
      <c r="G360" s="11" t="n">
        <f aca="false">IF(D360=1,SUMIFS(Benefits!$S$4:$S$703,Benefits!$B$4:$B$703,A360,Benefits!$F$4:$F$703,B360,Benefits!$R$4:$R$703,"revenue"),0)</f>
        <v>0</v>
      </c>
      <c r="H360" s="11" t="n">
        <f aca="false">IF(D360=1,SUMIFS(Benefits!$S$4:$S$703,Benefits!$B$4:$B$703,A360,Benefits!$F$4:$F$703,B360,Benefits!$R$4:$R$703,"avoided_cost_realised"),0)</f>
        <v>0</v>
      </c>
      <c r="I360" s="11" t="n">
        <f aca="false">IF(D360=1,SUMIFS(Benefits!$S$4:$S$703,Benefits!$B$4:$B$703,A360,Benefits!$F$4:$F$703,B360,Benefits!$R$4:$R$703,"capacity_converted"),0)</f>
        <v>0</v>
      </c>
      <c r="J360" s="11" t="n">
        <f aca="false">SUM(F360:I360)</f>
        <v>0</v>
      </c>
      <c r="K360" s="11" t="n">
        <f aca="false">J360-E360</f>
        <v>0</v>
      </c>
      <c r="L360" s="11" t="n">
        <f aca="false">IF(D360=1,L359+K360,0)</f>
        <v>550133.1701</v>
      </c>
      <c r="M360" s="11" t="n">
        <f aca="false">IF(D360=1,1/(1+Controls!$B$11)^B360,0)</f>
        <v>0.814461202437129</v>
      </c>
      <c r="N360" s="11" t="n">
        <f aca="false">K360*M360</f>
        <v>0</v>
      </c>
      <c r="O360" s="11" t="n">
        <f aca="false">IF(D360=1,O359+N360,0)</f>
        <v>423409.73597048</v>
      </c>
      <c r="P360" s="11" t="n">
        <f aca="false">IF(AND(D360=1,L360&lt;0),1,0)</f>
        <v>0</v>
      </c>
      <c r="Q360" s="11" t="n">
        <f aca="false">IF(AND(D360=1,O360&lt;0),1,0)</f>
        <v>0</v>
      </c>
    </row>
    <row r="361" customFormat="false" ht="15" hidden="false" customHeight="false" outlineLevel="0" collapsed="false">
      <c r="A361" s="4" t="s">
        <v>92</v>
      </c>
      <c r="B361" s="4" t="n">
        <v>33</v>
      </c>
      <c r="C361" s="11" t="n">
        <f aca="false">IF(COUNTIF('Scenario inputs'!$A$4:$A$213,Controls!$B$3&amp;"|"&amp;A361)&gt;0,1,0)</f>
        <v>1</v>
      </c>
      <c r="D361" s="11" t="n">
        <f aca="false">IF(AND(C361=1,B361&lt;Controls!$B$12),1,0)</f>
        <v>1</v>
      </c>
      <c r="E361" s="11" t="n">
        <f aca="false">IF(D361=1,SUMPRODUCT((Costs!$B$4:$B$903=A361)*(Costs!$D$4:$D$903="planned")*(Costs!$J$4:$J$903&lt;=B361)*(Costs!$K$4:$K$903&gt;B361)*Costs!$E$4:$E$903),0)</f>
        <v>0</v>
      </c>
      <c r="F361" s="11" t="n">
        <f aca="false">IF(D361=1,SUMIFS(Benefits!$S$4:$S$703,Benefits!$B$4:$B$703,A361,Benefits!$F$4:$F$703,B361,Benefits!$R$4:$R$703,"cash"),0)</f>
        <v>0</v>
      </c>
      <c r="G361" s="11" t="n">
        <f aca="false">IF(D361=1,SUMIFS(Benefits!$S$4:$S$703,Benefits!$B$4:$B$703,A361,Benefits!$F$4:$F$703,B361,Benefits!$R$4:$R$703,"revenue"),0)</f>
        <v>0</v>
      </c>
      <c r="H361" s="11" t="n">
        <f aca="false">IF(D361=1,SUMIFS(Benefits!$S$4:$S$703,Benefits!$B$4:$B$703,A361,Benefits!$F$4:$F$703,B361,Benefits!$R$4:$R$703,"avoided_cost_realised"),0)</f>
        <v>0</v>
      </c>
      <c r="I361" s="11" t="n">
        <f aca="false">IF(D361=1,SUMIFS(Benefits!$S$4:$S$703,Benefits!$B$4:$B$703,A361,Benefits!$F$4:$F$703,B361,Benefits!$R$4:$R$703,"capacity_converted"),0)</f>
        <v>0</v>
      </c>
      <c r="J361" s="11" t="n">
        <f aca="false">SUM(F361:I361)</f>
        <v>0</v>
      </c>
      <c r="K361" s="11" t="n">
        <f aca="false">J361-E361</f>
        <v>0</v>
      </c>
      <c r="L361" s="11" t="n">
        <f aca="false">IF(D361=1,L360+K361,0)</f>
        <v>550133.1701</v>
      </c>
      <c r="M361" s="11" t="n">
        <f aca="false">IF(D361=1,1/(1+Controls!$B$11)^B361,0)</f>
        <v>0.809254459246338</v>
      </c>
      <c r="N361" s="11" t="n">
        <f aca="false">K361*M361</f>
        <v>0</v>
      </c>
      <c r="O361" s="11" t="n">
        <f aca="false">IF(D361=1,O360+N361,0)</f>
        <v>423409.73597048</v>
      </c>
      <c r="P361" s="11" t="n">
        <f aca="false">IF(AND(D361=1,L361&lt;0),1,0)</f>
        <v>0</v>
      </c>
      <c r="Q361" s="11" t="n">
        <f aca="false">IF(AND(D361=1,O361&lt;0),1,0)</f>
        <v>0</v>
      </c>
    </row>
    <row r="362" customFormat="false" ht="15" hidden="false" customHeight="false" outlineLevel="0" collapsed="false">
      <c r="A362" s="4" t="s">
        <v>92</v>
      </c>
      <c r="B362" s="4" t="n">
        <v>34</v>
      </c>
      <c r="C362" s="11" t="n">
        <f aca="false">IF(COUNTIF('Scenario inputs'!$A$4:$A$213,Controls!$B$3&amp;"|"&amp;A362)&gt;0,1,0)</f>
        <v>1</v>
      </c>
      <c r="D362" s="11" t="n">
        <f aca="false">IF(AND(C362=1,B362&lt;Controls!$B$12),1,0)</f>
        <v>1</v>
      </c>
      <c r="E362" s="11" t="n">
        <f aca="false">IF(D362=1,SUMPRODUCT((Costs!$B$4:$B$903=A362)*(Costs!$D$4:$D$903="planned")*(Costs!$J$4:$J$903&lt;=B362)*(Costs!$K$4:$K$903&gt;B362)*Costs!$E$4:$E$903),0)</f>
        <v>0</v>
      </c>
      <c r="F362" s="11" t="n">
        <f aca="false">IF(D362=1,SUMIFS(Benefits!$S$4:$S$703,Benefits!$B$4:$B$703,A362,Benefits!$F$4:$F$703,B362,Benefits!$R$4:$R$703,"cash"),0)</f>
        <v>0</v>
      </c>
      <c r="G362" s="11" t="n">
        <f aca="false">IF(D362=1,SUMIFS(Benefits!$S$4:$S$703,Benefits!$B$4:$B$703,A362,Benefits!$F$4:$F$703,B362,Benefits!$R$4:$R$703,"revenue"),0)</f>
        <v>0</v>
      </c>
      <c r="H362" s="11" t="n">
        <f aca="false">IF(D362=1,SUMIFS(Benefits!$S$4:$S$703,Benefits!$B$4:$B$703,A362,Benefits!$F$4:$F$703,B362,Benefits!$R$4:$R$703,"avoided_cost_realised"),0)</f>
        <v>0</v>
      </c>
      <c r="I362" s="11" t="n">
        <f aca="false">IF(D362=1,SUMIFS(Benefits!$S$4:$S$703,Benefits!$B$4:$B$703,A362,Benefits!$F$4:$F$703,B362,Benefits!$R$4:$R$703,"capacity_converted"),0)</f>
        <v>0</v>
      </c>
      <c r="J362" s="11" t="n">
        <f aca="false">SUM(F362:I362)</f>
        <v>0</v>
      </c>
      <c r="K362" s="11" t="n">
        <f aca="false">J362-E362</f>
        <v>0</v>
      </c>
      <c r="L362" s="11" t="n">
        <f aca="false">IF(D362=1,L361+K362,0)</f>
        <v>550133.1701</v>
      </c>
      <c r="M362" s="11" t="n">
        <f aca="false">IF(D362=1,1/(1+Controls!$B$11)^B362,0)</f>
        <v>0.804081002078962</v>
      </c>
      <c r="N362" s="11" t="n">
        <f aca="false">K362*M362</f>
        <v>0</v>
      </c>
      <c r="O362" s="11" t="n">
        <f aca="false">IF(D362=1,O361+N362,0)</f>
        <v>423409.73597048</v>
      </c>
      <c r="P362" s="11" t="n">
        <f aca="false">IF(AND(D362=1,L362&lt;0),1,0)</f>
        <v>0</v>
      </c>
      <c r="Q362" s="11" t="n">
        <f aca="false">IF(AND(D362=1,O362&lt;0),1,0)</f>
        <v>0</v>
      </c>
    </row>
    <row r="363" customFormat="false" ht="15" hidden="false" customHeight="false" outlineLevel="0" collapsed="false">
      <c r="A363" s="4" t="s">
        <v>92</v>
      </c>
      <c r="B363" s="4" t="n">
        <v>35</v>
      </c>
      <c r="C363" s="11" t="n">
        <f aca="false">IF(COUNTIF('Scenario inputs'!$A$4:$A$213,Controls!$B$3&amp;"|"&amp;A363)&gt;0,1,0)</f>
        <v>1</v>
      </c>
      <c r="D363" s="11" t="n">
        <f aca="false">IF(AND(C363=1,B363&lt;Controls!$B$12),1,0)</f>
        <v>1</v>
      </c>
      <c r="E363" s="11" t="n">
        <f aca="false">IF(D363=1,SUMPRODUCT((Costs!$B$4:$B$903=A363)*(Costs!$D$4:$D$903="planned")*(Costs!$J$4:$J$903&lt;=B363)*(Costs!$K$4:$K$903&gt;B363)*Costs!$E$4:$E$903),0)</f>
        <v>0</v>
      </c>
      <c r="F363" s="11" t="n">
        <f aca="false">IF(D363=1,SUMIFS(Benefits!$S$4:$S$703,Benefits!$B$4:$B$703,A363,Benefits!$F$4:$F$703,B363,Benefits!$R$4:$R$703,"cash"),0)</f>
        <v>0</v>
      </c>
      <c r="G363" s="11" t="n">
        <f aca="false">IF(D363=1,SUMIFS(Benefits!$S$4:$S$703,Benefits!$B$4:$B$703,A363,Benefits!$F$4:$F$703,B363,Benefits!$R$4:$R$703,"revenue"),0)</f>
        <v>0</v>
      </c>
      <c r="H363" s="11" t="n">
        <f aca="false">IF(D363=1,SUMIFS(Benefits!$S$4:$S$703,Benefits!$B$4:$B$703,A363,Benefits!$F$4:$F$703,B363,Benefits!$R$4:$R$703,"avoided_cost_realised"),0)</f>
        <v>0</v>
      </c>
      <c r="I363" s="11" t="n">
        <f aca="false">IF(D363=1,SUMIFS(Benefits!$S$4:$S$703,Benefits!$B$4:$B$703,A363,Benefits!$F$4:$F$703,B363,Benefits!$R$4:$R$703,"capacity_converted"),0)</f>
        <v>0</v>
      </c>
      <c r="J363" s="11" t="n">
        <f aca="false">SUM(F363:I363)</f>
        <v>0</v>
      </c>
      <c r="K363" s="11" t="n">
        <f aca="false">J363-E363</f>
        <v>0</v>
      </c>
      <c r="L363" s="11" t="n">
        <f aca="false">IF(D363=1,L362+K363,0)</f>
        <v>550133.1701</v>
      </c>
      <c r="M363" s="11" t="n">
        <f aca="false">IF(D363=1,1/(1+Controls!$B$11)^B363,0)</f>
        <v>0.798940618141837</v>
      </c>
      <c r="N363" s="11" t="n">
        <f aca="false">K363*M363</f>
        <v>0</v>
      </c>
      <c r="O363" s="11" t="n">
        <f aca="false">IF(D363=1,O362+N363,0)</f>
        <v>423409.73597048</v>
      </c>
      <c r="P363" s="11" t="n">
        <f aca="false">IF(AND(D363=1,L363&lt;0),1,0)</f>
        <v>0</v>
      </c>
      <c r="Q363" s="11" t="n">
        <f aca="false">IF(AND(D363=1,O363&lt;0),1,0)</f>
        <v>0</v>
      </c>
    </row>
    <row r="364" customFormat="false" ht="15" hidden="false" customHeight="false" outlineLevel="0" collapsed="false">
      <c r="A364" s="4" t="s">
        <v>93</v>
      </c>
      <c r="B364" s="4" t="n">
        <v>0</v>
      </c>
      <c r="C364" s="11" t="n">
        <f aca="false">IF(COUNTIF('Scenario inputs'!$A$4:$A$213,Controls!$B$3&amp;"|"&amp;A364)&gt;0,1,0)</f>
        <v>1</v>
      </c>
      <c r="D364" s="11" t="n">
        <f aca="false">IF(AND(C364=1,B364&lt;Controls!$B$12),1,0)</f>
        <v>1</v>
      </c>
      <c r="E364" s="11" t="n">
        <f aca="false">IF(D364=1,SUMPRODUCT((Costs!$B$4:$B$903=A364)*(Costs!$D$4:$D$903="planned")*(Costs!$J$4:$J$903&lt;=B364)*(Costs!$K$4:$K$903&gt;B364)*Costs!$E$4:$E$903),0)</f>
        <v>7000</v>
      </c>
      <c r="F364" s="11" t="n">
        <f aca="false">IF(D364=1,SUMIFS(Benefits!$S$4:$S$703,Benefits!$B$4:$B$703,A364,Benefits!$F$4:$F$703,B364,Benefits!$R$4:$R$703,"cash"),0)</f>
        <v>0</v>
      </c>
      <c r="G364" s="11" t="n">
        <f aca="false">IF(D364=1,SUMIFS(Benefits!$S$4:$S$703,Benefits!$B$4:$B$703,A364,Benefits!$F$4:$F$703,B364,Benefits!$R$4:$R$703,"revenue"),0)</f>
        <v>0</v>
      </c>
      <c r="H364" s="11" t="n">
        <f aca="false">IF(D364=1,SUMIFS(Benefits!$S$4:$S$703,Benefits!$B$4:$B$703,A364,Benefits!$F$4:$F$703,B364,Benefits!$R$4:$R$703,"avoided_cost_realised"),0)</f>
        <v>0</v>
      </c>
      <c r="I364" s="11" t="n">
        <f aca="false">IF(D364=1,SUMIFS(Benefits!$S$4:$S$703,Benefits!$B$4:$B$703,A364,Benefits!$F$4:$F$703,B364,Benefits!$R$4:$R$703,"capacity_converted"),0)</f>
        <v>0</v>
      </c>
      <c r="J364" s="11" t="n">
        <f aca="false">SUM(F364:I364)</f>
        <v>0</v>
      </c>
      <c r="K364" s="11" t="n">
        <f aca="false">J364-E364</f>
        <v>-7000</v>
      </c>
      <c r="L364" s="11" t="n">
        <f aca="false">IF(D364=1,K364,0)</f>
        <v>-7000</v>
      </c>
      <c r="M364" s="11" t="n">
        <f aca="false">IF(D364=1,1/(1+Controls!$B$11)^B364,0)</f>
        <v>1</v>
      </c>
      <c r="N364" s="11" t="n">
        <f aca="false">K364*M364</f>
        <v>-7000</v>
      </c>
      <c r="O364" s="11" t="n">
        <f aca="false">IF(D364=1,N364,0)</f>
        <v>-7000</v>
      </c>
      <c r="P364" s="11" t="n">
        <f aca="false">IF(AND(D364=1,L364&lt;0),1,0)</f>
        <v>1</v>
      </c>
      <c r="Q364" s="11" t="n">
        <f aca="false">IF(AND(D364=1,O364&lt;0),1,0)</f>
        <v>1</v>
      </c>
    </row>
    <row r="365" customFormat="false" ht="15" hidden="false" customHeight="false" outlineLevel="0" collapsed="false">
      <c r="A365" s="4" t="s">
        <v>93</v>
      </c>
      <c r="B365" s="4" t="n">
        <v>1</v>
      </c>
      <c r="C365" s="11" t="n">
        <f aca="false">IF(COUNTIF('Scenario inputs'!$A$4:$A$213,Controls!$B$3&amp;"|"&amp;A365)&gt;0,1,0)</f>
        <v>1</v>
      </c>
      <c r="D365" s="11" t="n">
        <f aca="false">IF(AND(C365=1,B365&lt;Controls!$B$12),1,0)</f>
        <v>1</v>
      </c>
      <c r="E365" s="11" t="n">
        <f aca="false">IF(D365=1,SUMPRODUCT((Costs!$B$4:$B$903=A365)*(Costs!$D$4:$D$903="planned")*(Costs!$J$4:$J$903&lt;=B365)*(Costs!$K$4:$K$903&gt;B365)*Costs!$E$4:$E$903),0)</f>
        <v>0</v>
      </c>
      <c r="F365" s="11" t="n">
        <f aca="false">IF(D365=1,SUMIFS(Benefits!$S$4:$S$703,Benefits!$B$4:$B$703,A365,Benefits!$F$4:$F$703,B365,Benefits!$R$4:$R$703,"cash"),0)</f>
        <v>0</v>
      </c>
      <c r="G365" s="11" t="n">
        <f aca="false">IF(D365=1,SUMIFS(Benefits!$S$4:$S$703,Benefits!$B$4:$B$703,A365,Benefits!$F$4:$F$703,B365,Benefits!$R$4:$R$703,"revenue"),0)</f>
        <v>0</v>
      </c>
      <c r="H365" s="11" t="n">
        <f aca="false">IF(D365=1,SUMIFS(Benefits!$S$4:$S$703,Benefits!$B$4:$B$703,A365,Benefits!$F$4:$F$703,B365,Benefits!$R$4:$R$703,"avoided_cost_realised"),0)</f>
        <v>0</v>
      </c>
      <c r="I365" s="11" t="n">
        <f aca="false">IF(D365=1,SUMIFS(Benefits!$S$4:$S$703,Benefits!$B$4:$B$703,A365,Benefits!$F$4:$F$703,B365,Benefits!$R$4:$R$703,"capacity_converted"),0)</f>
        <v>0</v>
      </c>
      <c r="J365" s="11" t="n">
        <f aca="false">SUM(F365:I365)</f>
        <v>0</v>
      </c>
      <c r="K365" s="11" t="n">
        <f aca="false">J365-E365</f>
        <v>0</v>
      </c>
      <c r="L365" s="11" t="n">
        <f aca="false">IF(D365=1,L364+K365,0)</f>
        <v>-7000</v>
      </c>
      <c r="M365" s="11" t="n">
        <f aca="false">IF(D365=1,1/(1+Controls!$B$11)^B365,0)</f>
        <v>0.993607131714549</v>
      </c>
      <c r="N365" s="11" t="n">
        <f aca="false">K365*M365</f>
        <v>0</v>
      </c>
      <c r="O365" s="11" t="n">
        <f aca="false">IF(D365=1,O364+N365,0)</f>
        <v>-7000</v>
      </c>
      <c r="P365" s="11" t="n">
        <f aca="false">IF(AND(D365=1,L365&lt;0),1,0)</f>
        <v>1</v>
      </c>
      <c r="Q365" s="11" t="n">
        <f aca="false">IF(AND(D365=1,O365&lt;0),1,0)</f>
        <v>1</v>
      </c>
    </row>
    <row r="366" customFormat="false" ht="15" hidden="false" customHeight="false" outlineLevel="0" collapsed="false">
      <c r="A366" s="4" t="s">
        <v>93</v>
      </c>
      <c r="B366" s="4" t="n">
        <v>2</v>
      </c>
      <c r="C366" s="11" t="n">
        <f aca="false">IF(COUNTIF('Scenario inputs'!$A$4:$A$213,Controls!$B$3&amp;"|"&amp;A366)&gt;0,1,0)</f>
        <v>1</v>
      </c>
      <c r="D366" s="11" t="n">
        <f aca="false">IF(AND(C366=1,B366&lt;Controls!$B$12),1,0)</f>
        <v>1</v>
      </c>
      <c r="E366" s="11" t="n">
        <f aca="false">IF(D366=1,SUMPRODUCT((Costs!$B$4:$B$903=A366)*(Costs!$D$4:$D$903="planned")*(Costs!$J$4:$J$903&lt;=B366)*(Costs!$K$4:$K$903&gt;B366)*Costs!$E$4:$E$903),0)</f>
        <v>0</v>
      </c>
      <c r="F366" s="11" t="n">
        <f aca="false">IF(D366=1,SUMIFS(Benefits!$S$4:$S$703,Benefits!$B$4:$B$703,A366,Benefits!$F$4:$F$703,B366,Benefits!$R$4:$R$703,"cash"),0)</f>
        <v>0</v>
      </c>
      <c r="G366" s="11" t="n">
        <f aca="false">IF(D366=1,SUMIFS(Benefits!$S$4:$S$703,Benefits!$B$4:$B$703,A366,Benefits!$F$4:$F$703,B366,Benefits!$R$4:$R$703,"revenue"),0)</f>
        <v>0</v>
      </c>
      <c r="H366" s="11" t="n">
        <f aca="false">IF(D366=1,SUMIFS(Benefits!$S$4:$S$703,Benefits!$B$4:$B$703,A366,Benefits!$F$4:$F$703,B366,Benefits!$R$4:$R$703,"avoided_cost_realised"),0)</f>
        <v>0</v>
      </c>
      <c r="I366" s="11" t="n">
        <f aca="false">IF(D366=1,SUMIFS(Benefits!$S$4:$S$703,Benefits!$B$4:$B$703,A366,Benefits!$F$4:$F$703,B366,Benefits!$R$4:$R$703,"capacity_converted"),0)</f>
        <v>0</v>
      </c>
      <c r="J366" s="11" t="n">
        <f aca="false">SUM(F366:I366)</f>
        <v>0</v>
      </c>
      <c r="K366" s="11" t="n">
        <f aca="false">J366-E366</f>
        <v>0</v>
      </c>
      <c r="L366" s="11" t="n">
        <f aca="false">IF(D366=1,L365+K366,0)</f>
        <v>-7000</v>
      </c>
      <c r="M366" s="11" t="n">
        <f aca="false">IF(D366=1,1/(1+Controls!$B$11)^B366,0)</f>
        <v>0.987255132194012</v>
      </c>
      <c r="N366" s="11" t="n">
        <f aca="false">K366*M366</f>
        <v>0</v>
      </c>
      <c r="O366" s="11" t="n">
        <f aca="false">IF(D366=1,O365+N366,0)</f>
        <v>-7000</v>
      </c>
      <c r="P366" s="11" t="n">
        <f aca="false">IF(AND(D366=1,L366&lt;0),1,0)</f>
        <v>1</v>
      </c>
      <c r="Q366" s="11" t="n">
        <f aca="false">IF(AND(D366=1,O366&lt;0),1,0)</f>
        <v>1</v>
      </c>
    </row>
    <row r="367" customFormat="false" ht="15" hidden="false" customHeight="false" outlineLevel="0" collapsed="false">
      <c r="A367" s="4" t="s">
        <v>93</v>
      </c>
      <c r="B367" s="4" t="n">
        <v>3</v>
      </c>
      <c r="C367" s="11" t="n">
        <f aca="false">IF(COUNTIF('Scenario inputs'!$A$4:$A$213,Controls!$B$3&amp;"|"&amp;A367)&gt;0,1,0)</f>
        <v>1</v>
      </c>
      <c r="D367" s="11" t="n">
        <f aca="false">IF(AND(C367=1,B367&lt;Controls!$B$12),1,0)</f>
        <v>1</v>
      </c>
      <c r="E367" s="11" t="n">
        <f aca="false">IF(D367=1,SUMPRODUCT((Costs!$B$4:$B$903=A367)*(Costs!$D$4:$D$903="planned")*(Costs!$J$4:$J$903&lt;=B367)*(Costs!$K$4:$K$903&gt;B367)*Costs!$E$4:$E$903),0)</f>
        <v>0</v>
      </c>
      <c r="F367" s="11" t="n">
        <f aca="false">IF(D367=1,SUMIFS(Benefits!$S$4:$S$703,Benefits!$B$4:$B$703,A367,Benefits!$F$4:$F$703,B367,Benefits!$R$4:$R$703,"cash"),0)</f>
        <v>0</v>
      </c>
      <c r="G367" s="11" t="n">
        <f aca="false">IF(D367=1,SUMIFS(Benefits!$S$4:$S$703,Benefits!$B$4:$B$703,A367,Benefits!$F$4:$F$703,B367,Benefits!$R$4:$R$703,"revenue"),0)</f>
        <v>0</v>
      </c>
      <c r="H367" s="11" t="n">
        <f aca="false">IF(D367=1,SUMIFS(Benefits!$S$4:$S$703,Benefits!$B$4:$B$703,A367,Benefits!$F$4:$F$703,B367,Benefits!$R$4:$R$703,"avoided_cost_realised"),0)</f>
        <v>0</v>
      </c>
      <c r="I367" s="11" t="n">
        <f aca="false">IF(D367=1,SUMIFS(Benefits!$S$4:$S$703,Benefits!$B$4:$B$703,A367,Benefits!$F$4:$F$703,B367,Benefits!$R$4:$R$703,"capacity_converted"),0)</f>
        <v>0</v>
      </c>
      <c r="J367" s="11" t="n">
        <f aca="false">SUM(F367:I367)</f>
        <v>0</v>
      </c>
      <c r="K367" s="11" t="n">
        <f aca="false">J367-E367</f>
        <v>0</v>
      </c>
      <c r="L367" s="11" t="n">
        <f aca="false">IF(D367=1,L366+K367,0)</f>
        <v>-7000</v>
      </c>
      <c r="M367" s="11" t="n">
        <f aca="false">IF(D367=1,1/(1+Controls!$B$11)^B367,0)</f>
        <v>0.98094374016976</v>
      </c>
      <c r="N367" s="11" t="n">
        <f aca="false">K367*M367</f>
        <v>0</v>
      </c>
      <c r="O367" s="11" t="n">
        <f aca="false">IF(D367=1,O366+N367,0)</f>
        <v>-7000</v>
      </c>
      <c r="P367" s="11" t="n">
        <f aca="false">IF(AND(D367=1,L367&lt;0),1,0)</f>
        <v>1</v>
      </c>
      <c r="Q367" s="11" t="n">
        <f aca="false">IF(AND(D367=1,O367&lt;0),1,0)</f>
        <v>1</v>
      </c>
    </row>
    <row r="368" customFormat="false" ht="15" hidden="false" customHeight="false" outlineLevel="0" collapsed="false">
      <c r="A368" s="4" t="s">
        <v>93</v>
      </c>
      <c r="B368" s="4" t="n">
        <v>4</v>
      </c>
      <c r="C368" s="11" t="n">
        <f aca="false">IF(COUNTIF('Scenario inputs'!$A$4:$A$213,Controls!$B$3&amp;"|"&amp;A368)&gt;0,1,0)</f>
        <v>1</v>
      </c>
      <c r="D368" s="11" t="n">
        <f aca="false">IF(AND(C368=1,B368&lt;Controls!$B$12),1,0)</f>
        <v>1</v>
      </c>
      <c r="E368" s="11" t="n">
        <f aca="false">IF(D368=1,SUMPRODUCT((Costs!$B$4:$B$903=A368)*(Costs!$D$4:$D$903="planned")*(Costs!$J$4:$J$903&lt;=B368)*(Costs!$K$4:$K$903&gt;B368)*Costs!$E$4:$E$903),0)</f>
        <v>0</v>
      </c>
      <c r="F368" s="11" t="n">
        <f aca="false">IF(D368=1,SUMIFS(Benefits!$S$4:$S$703,Benefits!$B$4:$B$703,A368,Benefits!$F$4:$F$703,B368,Benefits!$R$4:$R$703,"cash"),0)</f>
        <v>0</v>
      </c>
      <c r="G368" s="11" t="n">
        <f aca="false">IF(D368=1,SUMIFS(Benefits!$S$4:$S$703,Benefits!$B$4:$B$703,A368,Benefits!$F$4:$F$703,B368,Benefits!$R$4:$R$703,"revenue"),0)</f>
        <v>0</v>
      </c>
      <c r="H368" s="11" t="n">
        <f aca="false">IF(D368=1,SUMIFS(Benefits!$S$4:$S$703,Benefits!$B$4:$B$703,A368,Benefits!$F$4:$F$703,B368,Benefits!$R$4:$R$703,"avoided_cost_realised"),0)</f>
        <v>0</v>
      </c>
      <c r="I368" s="11" t="n">
        <f aca="false">IF(D368=1,SUMIFS(Benefits!$S$4:$S$703,Benefits!$B$4:$B$703,A368,Benefits!$F$4:$F$703,B368,Benefits!$R$4:$R$703,"capacity_converted"),0)</f>
        <v>0</v>
      </c>
      <c r="J368" s="11" t="n">
        <f aca="false">SUM(F368:I368)</f>
        <v>0</v>
      </c>
      <c r="K368" s="11" t="n">
        <f aca="false">J368-E368</f>
        <v>0</v>
      </c>
      <c r="L368" s="11" t="n">
        <f aca="false">IF(D368=1,L367+K368,0)</f>
        <v>-7000</v>
      </c>
      <c r="M368" s="11" t="n">
        <f aca="false">IF(D368=1,1/(1+Controls!$B$11)^B368,0)</f>
        <v>0.974672696043417</v>
      </c>
      <c r="N368" s="11" t="n">
        <f aca="false">K368*M368</f>
        <v>0</v>
      </c>
      <c r="O368" s="11" t="n">
        <f aca="false">IF(D368=1,O367+N368,0)</f>
        <v>-7000</v>
      </c>
      <c r="P368" s="11" t="n">
        <f aca="false">IF(AND(D368=1,L368&lt;0),1,0)</f>
        <v>1</v>
      </c>
      <c r="Q368" s="11" t="n">
        <f aca="false">IF(AND(D368=1,O368&lt;0),1,0)</f>
        <v>1</v>
      </c>
    </row>
    <row r="369" customFormat="false" ht="15" hidden="false" customHeight="false" outlineLevel="0" collapsed="false">
      <c r="A369" s="4" t="s">
        <v>93</v>
      </c>
      <c r="B369" s="4" t="n">
        <v>5</v>
      </c>
      <c r="C369" s="11" t="n">
        <f aca="false">IF(COUNTIF('Scenario inputs'!$A$4:$A$213,Controls!$B$3&amp;"|"&amp;A369)&gt;0,1,0)</f>
        <v>1</v>
      </c>
      <c r="D369" s="11" t="n">
        <f aca="false">IF(AND(C369=1,B369&lt;Controls!$B$12),1,0)</f>
        <v>1</v>
      </c>
      <c r="E369" s="11" t="n">
        <f aca="false">IF(D369=1,SUMPRODUCT((Costs!$B$4:$B$903=A369)*(Costs!$D$4:$D$903="planned")*(Costs!$J$4:$J$903&lt;=B369)*(Costs!$K$4:$K$903&gt;B369)*Costs!$E$4:$E$903),0)</f>
        <v>0</v>
      </c>
      <c r="F369" s="11" t="n">
        <f aca="false">IF(D369=1,SUMIFS(Benefits!$S$4:$S$703,Benefits!$B$4:$B$703,A369,Benefits!$F$4:$F$703,B369,Benefits!$R$4:$R$703,"cash"),0)</f>
        <v>0</v>
      </c>
      <c r="G369" s="11" t="n">
        <f aca="false">IF(D369=1,SUMIFS(Benefits!$S$4:$S$703,Benefits!$B$4:$B$703,A369,Benefits!$F$4:$F$703,B369,Benefits!$R$4:$R$703,"revenue"),0)</f>
        <v>0</v>
      </c>
      <c r="H369" s="11" t="n">
        <f aca="false">IF(D369=1,SUMIFS(Benefits!$S$4:$S$703,Benefits!$B$4:$B$703,A369,Benefits!$F$4:$F$703,B369,Benefits!$R$4:$R$703,"avoided_cost_realised"),0)</f>
        <v>0</v>
      </c>
      <c r="I369" s="11" t="n">
        <f aca="false">IF(D369=1,SUMIFS(Benefits!$S$4:$S$703,Benefits!$B$4:$B$703,A369,Benefits!$F$4:$F$703,B369,Benefits!$R$4:$R$703,"capacity_converted"),0)</f>
        <v>0</v>
      </c>
      <c r="J369" s="11" t="n">
        <f aca="false">SUM(F369:I369)</f>
        <v>0</v>
      </c>
      <c r="K369" s="11" t="n">
        <f aca="false">J369-E369</f>
        <v>0</v>
      </c>
      <c r="L369" s="11" t="n">
        <f aca="false">IF(D369=1,L368+K369,0)</f>
        <v>-7000</v>
      </c>
      <c r="M369" s="11" t="n">
        <f aca="false">IF(D369=1,1/(1+Controls!$B$11)^B369,0)</f>
        <v>0.968441741876185</v>
      </c>
      <c r="N369" s="11" t="n">
        <f aca="false">K369*M369</f>
        <v>0</v>
      </c>
      <c r="O369" s="11" t="n">
        <f aca="false">IF(D369=1,O368+N369,0)</f>
        <v>-7000</v>
      </c>
      <c r="P369" s="11" t="n">
        <f aca="false">IF(AND(D369=1,L369&lt;0),1,0)</f>
        <v>1</v>
      </c>
      <c r="Q369" s="11" t="n">
        <f aca="false">IF(AND(D369=1,O369&lt;0),1,0)</f>
        <v>1</v>
      </c>
    </row>
    <row r="370" customFormat="false" ht="15" hidden="false" customHeight="false" outlineLevel="0" collapsed="false">
      <c r="A370" s="4" t="s">
        <v>93</v>
      </c>
      <c r="B370" s="4" t="n">
        <v>6</v>
      </c>
      <c r="C370" s="11" t="n">
        <f aca="false">IF(COUNTIF('Scenario inputs'!$A$4:$A$213,Controls!$B$3&amp;"|"&amp;A370)&gt;0,1,0)</f>
        <v>1</v>
      </c>
      <c r="D370" s="11" t="n">
        <f aca="false">IF(AND(C370=1,B370&lt;Controls!$B$12),1,0)</f>
        <v>1</v>
      </c>
      <c r="E370" s="11" t="n">
        <f aca="false">IF(D370=1,SUMPRODUCT((Costs!$B$4:$B$903=A370)*(Costs!$D$4:$D$903="planned")*(Costs!$J$4:$J$903&lt;=B370)*(Costs!$K$4:$K$903&gt;B370)*Costs!$E$4:$E$903),0)</f>
        <v>0</v>
      </c>
      <c r="F370" s="11" t="n">
        <f aca="false">IF(D370=1,SUMIFS(Benefits!$S$4:$S$703,Benefits!$B$4:$B$703,A370,Benefits!$F$4:$F$703,B370,Benefits!$R$4:$R$703,"cash"),0)</f>
        <v>0</v>
      </c>
      <c r="G370" s="11" t="n">
        <f aca="false">IF(D370=1,SUMIFS(Benefits!$S$4:$S$703,Benefits!$B$4:$B$703,A370,Benefits!$F$4:$F$703,B370,Benefits!$R$4:$R$703,"revenue"),0)</f>
        <v>0</v>
      </c>
      <c r="H370" s="11" t="n">
        <f aca="false">IF(D370=1,SUMIFS(Benefits!$S$4:$S$703,Benefits!$B$4:$B$703,A370,Benefits!$F$4:$F$703,B370,Benefits!$R$4:$R$703,"avoided_cost_realised"),0)</f>
        <v>0</v>
      </c>
      <c r="I370" s="11" t="n">
        <f aca="false">IF(D370=1,SUMIFS(Benefits!$S$4:$S$703,Benefits!$B$4:$B$703,A370,Benefits!$F$4:$F$703,B370,Benefits!$R$4:$R$703,"capacity_converted"),0)</f>
        <v>0</v>
      </c>
      <c r="J370" s="11" t="n">
        <f aca="false">SUM(F370:I370)</f>
        <v>0</v>
      </c>
      <c r="K370" s="11" t="n">
        <f aca="false">J370-E370</f>
        <v>0</v>
      </c>
      <c r="L370" s="11" t="n">
        <f aca="false">IF(D370=1,L369+K370,0)</f>
        <v>-7000</v>
      </c>
      <c r="M370" s="11" t="n">
        <f aca="false">IF(D370=1,1/(1+Controls!$B$11)^B370,0)</f>
        <v>0.962250621378238</v>
      </c>
      <c r="N370" s="11" t="n">
        <f aca="false">K370*M370</f>
        <v>0</v>
      </c>
      <c r="O370" s="11" t="n">
        <f aca="false">IF(D370=1,O369+N370,0)</f>
        <v>-7000</v>
      </c>
      <c r="P370" s="11" t="n">
        <f aca="false">IF(AND(D370=1,L370&lt;0),1,0)</f>
        <v>1</v>
      </c>
      <c r="Q370" s="11" t="n">
        <f aca="false">IF(AND(D370=1,O370&lt;0),1,0)</f>
        <v>1</v>
      </c>
    </row>
    <row r="371" customFormat="false" ht="15" hidden="false" customHeight="false" outlineLevel="0" collapsed="false">
      <c r="A371" s="4" t="s">
        <v>93</v>
      </c>
      <c r="B371" s="4" t="n">
        <v>7</v>
      </c>
      <c r="C371" s="11" t="n">
        <f aca="false">IF(COUNTIF('Scenario inputs'!$A$4:$A$213,Controls!$B$3&amp;"|"&amp;A371)&gt;0,1,0)</f>
        <v>1</v>
      </c>
      <c r="D371" s="11" t="n">
        <f aca="false">IF(AND(C371=1,B371&lt;Controls!$B$12),1,0)</f>
        <v>1</v>
      </c>
      <c r="E371" s="11" t="n">
        <f aca="false">IF(D371=1,SUMPRODUCT((Costs!$B$4:$B$903=A371)*(Costs!$D$4:$D$903="planned")*(Costs!$J$4:$J$903&lt;=B371)*(Costs!$K$4:$K$903&gt;B371)*Costs!$E$4:$E$903),0)</f>
        <v>0</v>
      </c>
      <c r="F371" s="11" t="n">
        <f aca="false">IF(D371=1,SUMIFS(Benefits!$S$4:$S$703,Benefits!$B$4:$B$703,A371,Benefits!$F$4:$F$703,B371,Benefits!$R$4:$R$703,"cash"),0)</f>
        <v>0</v>
      </c>
      <c r="G371" s="11" t="n">
        <f aca="false">IF(D371=1,SUMIFS(Benefits!$S$4:$S$703,Benefits!$B$4:$B$703,A371,Benefits!$F$4:$F$703,B371,Benefits!$R$4:$R$703,"revenue"),0)</f>
        <v>0</v>
      </c>
      <c r="H371" s="11" t="n">
        <f aca="false">IF(D371=1,SUMIFS(Benefits!$S$4:$S$703,Benefits!$B$4:$B$703,A371,Benefits!$F$4:$F$703,B371,Benefits!$R$4:$R$703,"avoided_cost_realised"),0)</f>
        <v>0</v>
      </c>
      <c r="I371" s="11" t="n">
        <f aca="false">IF(D371=1,SUMIFS(Benefits!$S$4:$S$703,Benefits!$B$4:$B$703,A371,Benefits!$F$4:$F$703,B371,Benefits!$R$4:$R$703,"capacity_converted"),0)</f>
        <v>0</v>
      </c>
      <c r="J371" s="11" t="n">
        <f aca="false">SUM(F371:I371)</f>
        <v>0</v>
      </c>
      <c r="K371" s="11" t="n">
        <f aca="false">J371-E371</f>
        <v>0</v>
      </c>
      <c r="L371" s="11" t="n">
        <f aca="false">IF(D371=1,L370+K371,0)</f>
        <v>-7000</v>
      </c>
      <c r="M371" s="11" t="n">
        <f aca="false">IF(D371=1,1/(1+Controls!$B$11)^B371,0)</f>
        <v>0.956099079898173</v>
      </c>
      <c r="N371" s="11" t="n">
        <f aca="false">K371*M371</f>
        <v>0</v>
      </c>
      <c r="O371" s="11" t="n">
        <f aca="false">IF(D371=1,O370+N371,0)</f>
        <v>-7000</v>
      </c>
      <c r="P371" s="11" t="n">
        <f aca="false">IF(AND(D371=1,L371&lt;0),1,0)</f>
        <v>1</v>
      </c>
      <c r="Q371" s="11" t="n">
        <f aca="false">IF(AND(D371=1,O371&lt;0),1,0)</f>
        <v>1</v>
      </c>
    </row>
    <row r="372" customFormat="false" ht="15" hidden="false" customHeight="false" outlineLevel="0" collapsed="false">
      <c r="A372" s="4" t="s">
        <v>93</v>
      </c>
      <c r="B372" s="4" t="n">
        <v>8</v>
      </c>
      <c r="C372" s="11" t="n">
        <f aca="false">IF(COUNTIF('Scenario inputs'!$A$4:$A$213,Controls!$B$3&amp;"|"&amp;A372)&gt;0,1,0)</f>
        <v>1</v>
      </c>
      <c r="D372" s="11" t="n">
        <f aca="false">IF(AND(C372=1,B372&lt;Controls!$B$12),1,0)</f>
        <v>1</v>
      </c>
      <c r="E372" s="11" t="n">
        <f aca="false">IF(D372=1,SUMPRODUCT((Costs!$B$4:$B$903=A372)*(Costs!$D$4:$D$903="planned")*(Costs!$J$4:$J$903&lt;=B372)*(Costs!$K$4:$K$903&gt;B372)*Costs!$E$4:$E$903),0)</f>
        <v>0</v>
      </c>
      <c r="F372" s="11" t="n">
        <f aca="false">IF(D372=1,SUMIFS(Benefits!$S$4:$S$703,Benefits!$B$4:$B$703,A372,Benefits!$F$4:$F$703,B372,Benefits!$R$4:$R$703,"cash"),0)</f>
        <v>0</v>
      </c>
      <c r="G372" s="11" t="n">
        <f aca="false">IF(D372=1,SUMIFS(Benefits!$S$4:$S$703,Benefits!$B$4:$B$703,A372,Benefits!$F$4:$F$703,B372,Benefits!$R$4:$R$703,"revenue"),0)</f>
        <v>0</v>
      </c>
      <c r="H372" s="11" t="n">
        <f aca="false">IF(D372=1,SUMIFS(Benefits!$S$4:$S$703,Benefits!$B$4:$B$703,A372,Benefits!$F$4:$F$703,B372,Benefits!$R$4:$R$703,"avoided_cost_realised"),0)</f>
        <v>0</v>
      </c>
      <c r="I372" s="11" t="n">
        <f aca="false">IF(D372=1,SUMIFS(Benefits!$S$4:$S$703,Benefits!$B$4:$B$703,A372,Benefits!$F$4:$F$703,B372,Benefits!$R$4:$R$703,"capacity_converted"),0)</f>
        <v>0</v>
      </c>
      <c r="J372" s="11" t="n">
        <f aca="false">SUM(F372:I372)</f>
        <v>0</v>
      </c>
      <c r="K372" s="11" t="n">
        <f aca="false">J372-E372</f>
        <v>0</v>
      </c>
      <c r="L372" s="11" t="n">
        <f aca="false">IF(D372=1,L371+K372,0)</f>
        <v>-7000</v>
      </c>
      <c r="M372" s="11" t="n">
        <f aca="false">IF(D372=1,1/(1+Controls!$B$11)^B372,0)</f>
        <v>0.949986864412542</v>
      </c>
      <c r="N372" s="11" t="n">
        <f aca="false">K372*M372</f>
        <v>0</v>
      </c>
      <c r="O372" s="11" t="n">
        <f aca="false">IF(D372=1,O371+N372,0)</f>
        <v>-7000</v>
      </c>
      <c r="P372" s="11" t="n">
        <f aca="false">IF(AND(D372=1,L372&lt;0),1,0)</f>
        <v>1</v>
      </c>
      <c r="Q372" s="11" t="n">
        <f aca="false">IF(AND(D372=1,O372&lt;0),1,0)</f>
        <v>1</v>
      </c>
    </row>
    <row r="373" customFormat="false" ht="15" hidden="false" customHeight="false" outlineLevel="0" collapsed="false">
      <c r="A373" s="4" t="s">
        <v>93</v>
      </c>
      <c r="B373" s="4" t="n">
        <v>9</v>
      </c>
      <c r="C373" s="11" t="n">
        <f aca="false">IF(COUNTIF('Scenario inputs'!$A$4:$A$213,Controls!$B$3&amp;"|"&amp;A373)&gt;0,1,0)</f>
        <v>1</v>
      </c>
      <c r="D373" s="11" t="n">
        <f aca="false">IF(AND(C373=1,B373&lt;Controls!$B$12),1,0)</f>
        <v>1</v>
      </c>
      <c r="E373" s="11" t="n">
        <f aca="false">IF(D373=1,SUMPRODUCT((Costs!$B$4:$B$903=A373)*(Costs!$D$4:$D$903="planned")*(Costs!$J$4:$J$903&lt;=B373)*(Costs!$K$4:$K$903&gt;B373)*Costs!$E$4:$E$903),0)</f>
        <v>58500</v>
      </c>
      <c r="F373" s="11" t="n">
        <f aca="false">IF(D373=1,SUMIFS(Benefits!$S$4:$S$703,Benefits!$B$4:$B$703,A373,Benefits!$F$4:$F$703,B373,Benefits!$R$4:$R$703,"cash"),0)</f>
        <v>0</v>
      </c>
      <c r="G373" s="11" t="n">
        <f aca="false">IF(D373=1,SUMIFS(Benefits!$S$4:$S$703,Benefits!$B$4:$B$703,A373,Benefits!$F$4:$F$703,B373,Benefits!$R$4:$R$703,"revenue"),0)</f>
        <v>0</v>
      </c>
      <c r="H373" s="11" t="n">
        <f aca="false">IF(D373=1,SUMIFS(Benefits!$S$4:$S$703,Benefits!$B$4:$B$703,A373,Benefits!$F$4:$F$703,B373,Benefits!$R$4:$R$703,"avoided_cost_realised"),0)</f>
        <v>0</v>
      </c>
      <c r="I373" s="11" t="n">
        <f aca="false">IF(D373=1,SUMIFS(Benefits!$S$4:$S$703,Benefits!$B$4:$B$703,A373,Benefits!$F$4:$F$703,B373,Benefits!$R$4:$R$703,"capacity_converted"),0)</f>
        <v>0</v>
      </c>
      <c r="J373" s="11" t="n">
        <f aca="false">SUM(F373:I373)</f>
        <v>0</v>
      </c>
      <c r="K373" s="11" t="n">
        <f aca="false">J373-E373</f>
        <v>-58500</v>
      </c>
      <c r="L373" s="11" t="n">
        <f aca="false">IF(D373=1,L372+K373,0)</f>
        <v>-65500</v>
      </c>
      <c r="M373" s="11" t="n">
        <f aca="false">IF(D373=1,1/(1+Controls!$B$11)^B373,0)</f>
        <v>0.943913723515444</v>
      </c>
      <c r="N373" s="11" t="n">
        <f aca="false">K373*M373</f>
        <v>-55218.9528256535</v>
      </c>
      <c r="O373" s="11" t="n">
        <f aca="false">IF(D373=1,O372+N373,0)</f>
        <v>-62218.9528256535</v>
      </c>
      <c r="P373" s="11" t="n">
        <f aca="false">IF(AND(D373=1,L373&lt;0),1,0)</f>
        <v>1</v>
      </c>
      <c r="Q373" s="11" t="n">
        <f aca="false">IF(AND(D373=1,O373&lt;0),1,0)</f>
        <v>1</v>
      </c>
    </row>
    <row r="374" customFormat="false" ht="15" hidden="false" customHeight="false" outlineLevel="0" collapsed="false">
      <c r="A374" s="4" t="s">
        <v>93</v>
      </c>
      <c r="B374" s="4" t="n">
        <v>10</v>
      </c>
      <c r="C374" s="11" t="n">
        <f aca="false">IF(COUNTIF('Scenario inputs'!$A$4:$A$213,Controls!$B$3&amp;"|"&amp;A374)&gt;0,1,0)</f>
        <v>1</v>
      </c>
      <c r="D374" s="11" t="n">
        <f aca="false">IF(AND(C374=1,B374&lt;Controls!$B$12),1,0)</f>
        <v>1</v>
      </c>
      <c r="E374" s="11" t="n">
        <f aca="false">IF(D374=1,SUMPRODUCT((Costs!$B$4:$B$903=A374)*(Costs!$D$4:$D$903="planned")*(Costs!$J$4:$J$903&lt;=B374)*(Costs!$K$4:$K$903&gt;B374)*Costs!$E$4:$E$903),0)</f>
        <v>59850</v>
      </c>
      <c r="F374" s="11" t="n">
        <f aca="false">IF(D374=1,SUMIFS(Benefits!$S$4:$S$703,Benefits!$B$4:$B$703,A374,Benefits!$F$4:$F$703,B374,Benefits!$R$4:$R$703,"cash"),0)</f>
        <v>0</v>
      </c>
      <c r="G374" s="11" t="n">
        <f aca="false">IF(D374=1,SUMIFS(Benefits!$S$4:$S$703,Benefits!$B$4:$B$703,A374,Benefits!$F$4:$F$703,B374,Benefits!$R$4:$R$703,"revenue"),0)</f>
        <v>0</v>
      </c>
      <c r="H374" s="11" t="n">
        <f aca="false">IF(D374=1,SUMIFS(Benefits!$S$4:$S$703,Benefits!$B$4:$B$703,A374,Benefits!$F$4:$F$703,B374,Benefits!$R$4:$R$703,"avoided_cost_realised"),0)</f>
        <v>0</v>
      </c>
      <c r="I374" s="11" t="n">
        <f aca="false">IF(D374=1,SUMIFS(Benefits!$S$4:$S$703,Benefits!$B$4:$B$703,A374,Benefits!$F$4:$F$703,B374,Benefits!$R$4:$R$703,"capacity_converted"),0)</f>
        <v>0</v>
      </c>
      <c r="J374" s="11" t="n">
        <f aca="false">SUM(F374:I374)</f>
        <v>0</v>
      </c>
      <c r="K374" s="11" t="n">
        <f aca="false">J374-E374</f>
        <v>-59850</v>
      </c>
      <c r="L374" s="11" t="n">
        <f aca="false">IF(D374=1,L373+K374,0)</f>
        <v>-125350</v>
      </c>
      <c r="M374" s="11" t="n">
        <f aca="false">IF(D374=1,1/(1+Controls!$B$11)^B374,0)</f>
        <v>0.93787940740818</v>
      </c>
      <c r="N374" s="11" t="n">
        <f aca="false">K374*M374</f>
        <v>-56132.0825333796</v>
      </c>
      <c r="O374" s="11" t="n">
        <f aca="false">IF(D374=1,O373+N374,0)</f>
        <v>-118351.035359033</v>
      </c>
      <c r="P374" s="11" t="n">
        <f aca="false">IF(AND(D374=1,L374&lt;0),1,0)</f>
        <v>1</v>
      </c>
      <c r="Q374" s="11" t="n">
        <f aca="false">IF(AND(D374=1,O374&lt;0),1,0)</f>
        <v>1</v>
      </c>
    </row>
    <row r="375" customFormat="false" ht="15" hidden="false" customHeight="false" outlineLevel="0" collapsed="false">
      <c r="A375" s="4" t="s">
        <v>93</v>
      </c>
      <c r="B375" s="4" t="n">
        <v>11</v>
      </c>
      <c r="C375" s="11" t="n">
        <f aca="false">IF(COUNTIF('Scenario inputs'!$A$4:$A$213,Controls!$B$3&amp;"|"&amp;A375)&gt;0,1,0)</f>
        <v>1</v>
      </c>
      <c r="D375" s="11" t="n">
        <f aca="false">IF(AND(C375=1,B375&lt;Controls!$B$12),1,0)</f>
        <v>1</v>
      </c>
      <c r="E375" s="11" t="n">
        <f aca="false">IF(D375=1,SUMPRODUCT((Costs!$B$4:$B$903=A375)*(Costs!$D$4:$D$903="planned")*(Costs!$J$4:$J$903&lt;=B375)*(Costs!$K$4:$K$903&gt;B375)*Costs!$E$4:$E$903),0)</f>
        <v>85150</v>
      </c>
      <c r="F375" s="11" t="n">
        <f aca="false">IF(D375=1,SUMIFS(Benefits!$S$4:$S$703,Benefits!$B$4:$B$703,A375,Benefits!$F$4:$F$703,B375,Benefits!$R$4:$R$703,"cash"),0)</f>
        <v>0</v>
      </c>
      <c r="G375" s="11" t="n">
        <f aca="false">IF(D375=1,SUMIFS(Benefits!$S$4:$S$703,Benefits!$B$4:$B$703,A375,Benefits!$F$4:$F$703,B375,Benefits!$R$4:$R$703,"revenue"),0)</f>
        <v>0</v>
      </c>
      <c r="H375" s="11" t="n">
        <f aca="false">IF(D375=1,SUMIFS(Benefits!$S$4:$S$703,Benefits!$B$4:$B$703,A375,Benefits!$F$4:$F$703,B375,Benefits!$R$4:$R$703,"avoided_cost_realised"),0)</f>
        <v>0</v>
      </c>
      <c r="I375" s="11" t="n">
        <f aca="false">IF(D375=1,SUMIFS(Benefits!$S$4:$S$703,Benefits!$B$4:$B$703,A375,Benefits!$F$4:$F$703,B375,Benefits!$R$4:$R$703,"capacity_converted"),0)</f>
        <v>0</v>
      </c>
      <c r="J375" s="11" t="n">
        <f aca="false">SUM(F375:I375)</f>
        <v>0</v>
      </c>
      <c r="K375" s="11" t="n">
        <f aca="false">J375-E375</f>
        <v>-85150</v>
      </c>
      <c r="L375" s="11" t="n">
        <f aca="false">IF(D375=1,L374+K375,0)</f>
        <v>-210500</v>
      </c>
      <c r="M375" s="11" t="n">
        <f aca="false">IF(D375=1,1/(1+Controls!$B$11)^B375,0)</f>
        <v>0.931883667888982</v>
      </c>
      <c r="N375" s="11" t="n">
        <f aca="false">K375*M375</f>
        <v>-79349.8943207468</v>
      </c>
      <c r="O375" s="11" t="n">
        <f aca="false">IF(D375=1,O374+N375,0)</f>
        <v>-197700.92967978</v>
      </c>
      <c r="P375" s="11" t="n">
        <f aca="false">IF(AND(D375=1,L375&lt;0),1,0)</f>
        <v>1</v>
      </c>
      <c r="Q375" s="11" t="n">
        <f aca="false">IF(AND(D375=1,O375&lt;0),1,0)</f>
        <v>1</v>
      </c>
    </row>
    <row r="376" customFormat="false" ht="15" hidden="false" customHeight="false" outlineLevel="0" collapsed="false">
      <c r="A376" s="4" t="s">
        <v>93</v>
      </c>
      <c r="B376" s="4" t="n">
        <v>12</v>
      </c>
      <c r="C376" s="11" t="n">
        <f aca="false">IF(COUNTIF('Scenario inputs'!$A$4:$A$213,Controls!$B$3&amp;"|"&amp;A376)&gt;0,1,0)</f>
        <v>1</v>
      </c>
      <c r="D376" s="11" t="n">
        <f aca="false">IF(AND(C376=1,B376&lt;Controls!$B$12),1,0)</f>
        <v>1</v>
      </c>
      <c r="E376" s="11" t="n">
        <f aca="false">IF(D376=1,SUMPRODUCT((Costs!$B$4:$B$903=A376)*(Costs!$D$4:$D$903="planned")*(Costs!$J$4:$J$903&lt;=B376)*(Costs!$K$4:$K$903&gt;B376)*Costs!$E$4:$E$903),0)</f>
        <v>157000</v>
      </c>
      <c r="F376" s="11" t="n">
        <f aca="false">IF(D376=1,SUMIFS(Benefits!$S$4:$S$703,Benefits!$B$4:$B$703,A376,Benefits!$F$4:$F$703,B376,Benefits!$R$4:$R$703,"cash"),0)</f>
        <v>5660</v>
      </c>
      <c r="G376" s="11" t="n">
        <f aca="false">IF(D376=1,SUMIFS(Benefits!$S$4:$S$703,Benefits!$B$4:$B$703,A376,Benefits!$F$4:$F$703,B376,Benefits!$R$4:$R$703,"revenue"),0)</f>
        <v>0</v>
      </c>
      <c r="H376" s="11" t="n">
        <f aca="false">IF(D376=1,SUMIFS(Benefits!$S$4:$S$703,Benefits!$B$4:$B$703,A376,Benefits!$F$4:$F$703,B376,Benefits!$R$4:$R$703,"avoided_cost_realised"),0)</f>
        <v>0</v>
      </c>
      <c r="I376" s="11" t="n">
        <f aca="false">IF(D376=1,SUMIFS(Benefits!$S$4:$S$703,Benefits!$B$4:$B$703,A376,Benefits!$F$4:$F$703,B376,Benefits!$R$4:$R$703,"capacity_converted"),0)</f>
        <v>0</v>
      </c>
      <c r="J376" s="11" t="n">
        <f aca="false">SUM(F376:I376)</f>
        <v>5660</v>
      </c>
      <c r="K376" s="11" t="n">
        <f aca="false">J376-E376</f>
        <v>-151340</v>
      </c>
      <c r="L376" s="11" t="n">
        <f aca="false">IF(D376=1,L375+K376,0)</f>
        <v>-361840</v>
      </c>
      <c r="M376" s="11" t="n">
        <f aca="false">IF(D376=1,1/(1+Controls!$B$11)^B376,0)</f>
        <v>0.925926258342804</v>
      </c>
      <c r="N376" s="11" t="n">
        <f aca="false">K376*M376</f>
        <v>-140129.6799376</v>
      </c>
      <c r="O376" s="11" t="n">
        <f aca="false">IF(D376=1,O375+N376,0)</f>
        <v>-337830.60961738</v>
      </c>
      <c r="P376" s="11" t="n">
        <f aca="false">IF(AND(D376=1,L376&lt;0),1,0)</f>
        <v>1</v>
      </c>
      <c r="Q376" s="11" t="n">
        <f aca="false">IF(AND(D376=1,O376&lt;0),1,0)</f>
        <v>1</v>
      </c>
    </row>
    <row r="377" customFormat="false" ht="15" hidden="false" customHeight="false" outlineLevel="0" collapsed="false">
      <c r="A377" s="4" t="s">
        <v>93</v>
      </c>
      <c r="B377" s="4" t="n">
        <v>13</v>
      </c>
      <c r="C377" s="11" t="n">
        <f aca="false">IF(COUNTIF('Scenario inputs'!$A$4:$A$213,Controls!$B$3&amp;"|"&amp;A377)&gt;0,1,0)</f>
        <v>1</v>
      </c>
      <c r="D377" s="11" t="n">
        <f aca="false">IF(AND(C377=1,B377&lt;Controls!$B$12),1,0)</f>
        <v>1</v>
      </c>
      <c r="E377" s="11" t="n">
        <f aca="false">IF(D377=1,SUMPRODUCT((Costs!$B$4:$B$903=A377)*(Costs!$D$4:$D$903="planned")*(Costs!$J$4:$J$903&lt;=B377)*(Costs!$K$4:$K$903&gt;B377)*Costs!$E$4:$E$903),0)</f>
        <v>7000</v>
      </c>
      <c r="F377" s="11" t="n">
        <f aca="false">IF(D377=1,SUMIFS(Benefits!$S$4:$S$703,Benefits!$B$4:$B$703,A377,Benefits!$F$4:$F$703,B377,Benefits!$R$4:$R$703,"cash"),0)</f>
        <v>16980</v>
      </c>
      <c r="G377" s="11" t="n">
        <f aca="false">IF(D377=1,SUMIFS(Benefits!$S$4:$S$703,Benefits!$B$4:$B$703,A377,Benefits!$F$4:$F$703,B377,Benefits!$R$4:$R$703,"revenue"),0)</f>
        <v>0</v>
      </c>
      <c r="H377" s="11" t="n">
        <f aca="false">IF(D377=1,SUMIFS(Benefits!$S$4:$S$703,Benefits!$B$4:$B$703,A377,Benefits!$F$4:$F$703,B377,Benefits!$R$4:$R$703,"avoided_cost_realised"),0)</f>
        <v>0</v>
      </c>
      <c r="I377" s="11" t="n">
        <f aca="false">IF(D377=1,SUMIFS(Benefits!$S$4:$S$703,Benefits!$B$4:$B$703,A377,Benefits!$F$4:$F$703,B377,Benefits!$R$4:$R$703,"capacity_converted"),0)</f>
        <v>0</v>
      </c>
      <c r="J377" s="11" t="n">
        <f aca="false">SUM(F377:I377)</f>
        <v>16980</v>
      </c>
      <c r="K377" s="11" t="n">
        <f aca="false">J377-E377</f>
        <v>9980</v>
      </c>
      <c r="L377" s="11" t="n">
        <f aca="false">IF(D377=1,L376+K377,0)</f>
        <v>-351860</v>
      </c>
      <c r="M377" s="11" t="n">
        <f aca="false">IF(D377=1,1/(1+Controls!$B$11)^B377,0)</f>
        <v>0.920006933731178</v>
      </c>
      <c r="N377" s="11" t="n">
        <f aca="false">K377*M377</f>
        <v>9181.66919863715</v>
      </c>
      <c r="O377" s="11" t="n">
        <f aca="false">IF(D377=1,O376+N377,0)</f>
        <v>-328648.940418743</v>
      </c>
      <c r="P377" s="11" t="n">
        <f aca="false">IF(AND(D377=1,L377&lt;0),1,0)</f>
        <v>1</v>
      </c>
      <c r="Q377" s="11" t="n">
        <f aca="false">IF(AND(D377=1,O377&lt;0),1,0)</f>
        <v>1</v>
      </c>
    </row>
    <row r="378" customFormat="false" ht="15" hidden="false" customHeight="false" outlineLevel="0" collapsed="false">
      <c r="A378" s="4" t="s">
        <v>93</v>
      </c>
      <c r="B378" s="4" t="n">
        <v>14</v>
      </c>
      <c r="C378" s="11" t="n">
        <f aca="false">IF(COUNTIF('Scenario inputs'!$A$4:$A$213,Controls!$B$3&amp;"|"&amp;A378)&gt;0,1,0)</f>
        <v>1</v>
      </c>
      <c r="D378" s="11" t="n">
        <f aca="false">IF(AND(C378=1,B378&lt;Controls!$B$12),1,0)</f>
        <v>1</v>
      </c>
      <c r="E378" s="11" t="n">
        <f aca="false">IF(D378=1,SUMPRODUCT((Costs!$B$4:$B$903=A378)*(Costs!$D$4:$D$903="planned")*(Costs!$J$4:$J$903&lt;=B378)*(Costs!$K$4:$K$903&gt;B378)*Costs!$E$4:$E$903),0)</f>
        <v>7000</v>
      </c>
      <c r="F378" s="11" t="n">
        <f aca="false">IF(D378=1,SUMIFS(Benefits!$S$4:$S$703,Benefits!$B$4:$B$703,A378,Benefits!$F$4:$F$703,B378,Benefits!$R$4:$R$703,"cash"),0)</f>
        <v>33960</v>
      </c>
      <c r="G378" s="11" t="n">
        <f aca="false">IF(D378=1,SUMIFS(Benefits!$S$4:$S$703,Benefits!$B$4:$B$703,A378,Benefits!$F$4:$F$703,B378,Benefits!$R$4:$R$703,"revenue"),0)</f>
        <v>0</v>
      </c>
      <c r="H378" s="11" t="n">
        <f aca="false">IF(D378=1,SUMIFS(Benefits!$S$4:$S$703,Benefits!$B$4:$B$703,A378,Benefits!$F$4:$F$703,B378,Benefits!$R$4:$R$703,"avoided_cost_realised"),0)</f>
        <v>0</v>
      </c>
      <c r="I378" s="11" t="n">
        <f aca="false">IF(D378=1,SUMIFS(Benefits!$S$4:$S$703,Benefits!$B$4:$B$703,A378,Benefits!$F$4:$F$703,B378,Benefits!$R$4:$R$703,"capacity_converted"),0)</f>
        <v>0</v>
      </c>
      <c r="J378" s="11" t="n">
        <f aca="false">SUM(F378:I378)</f>
        <v>33960</v>
      </c>
      <c r="K378" s="11" t="n">
        <f aca="false">J378-E378</f>
        <v>26960</v>
      </c>
      <c r="L378" s="11" t="n">
        <f aca="false">IF(D378=1,L377+K378,0)</f>
        <v>-324900</v>
      </c>
      <c r="M378" s="11" t="n">
        <f aca="false">IF(D378=1,1/(1+Controls!$B$11)^B378,0)</f>
        <v>0.914125450582132</v>
      </c>
      <c r="N378" s="11" t="n">
        <f aca="false">K378*M378</f>
        <v>24644.8221476943</v>
      </c>
      <c r="O378" s="11" t="n">
        <f aca="false">IF(D378=1,O377+N378,0)</f>
        <v>-304004.118271048</v>
      </c>
      <c r="P378" s="11" t="n">
        <f aca="false">IF(AND(D378=1,L378&lt;0),1,0)</f>
        <v>1</v>
      </c>
      <c r="Q378" s="11" t="n">
        <f aca="false">IF(AND(D378=1,O378&lt;0),1,0)</f>
        <v>1</v>
      </c>
    </row>
    <row r="379" customFormat="false" ht="15" hidden="false" customHeight="false" outlineLevel="0" collapsed="false">
      <c r="A379" s="4" t="s">
        <v>93</v>
      </c>
      <c r="B379" s="4" t="n">
        <v>15</v>
      </c>
      <c r="C379" s="11" t="n">
        <f aca="false">IF(COUNTIF('Scenario inputs'!$A$4:$A$213,Controls!$B$3&amp;"|"&amp;A379)&gt;0,1,0)</f>
        <v>1</v>
      </c>
      <c r="D379" s="11" t="n">
        <f aca="false">IF(AND(C379=1,B379&lt;Controls!$B$12),1,0)</f>
        <v>1</v>
      </c>
      <c r="E379" s="11" t="n">
        <f aca="false">IF(D379=1,SUMPRODUCT((Costs!$B$4:$B$903=A379)*(Costs!$D$4:$D$903="planned")*(Costs!$J$4:$J$903&lt;=B379)*(Costs!$K$4:$K$903&gt;B379)*Costs!$E$4:$E$903),0)</f>
        <v>7000</v>
      </c>
      <c r="F379" s="11" t="n">
        <f aca="false">IF(D379=1,SUMIFS(Benefits!$S$4:$S$703,Benefits!$B$4:$B$703,A379,Benefits!$F$4:$F$703,B379,Benefits!$R$4:$R$703,"cash"),0)</f>
        <v>56600</v>
      </c>
      <c r="G379" s="11" t="n">
        <f aca="false">IF(D379=1,SUMIFS(Benefits!$S$4:$S$703,Benefits!$B$4:$B$703,A379,Benefits!$F$4:$F$703,B379,Benefits!$R$4:$R$703,"revenue"),0)</f>
        <v>0</v>
      </c>
      <c r="H379" s="11" t="n">
        <f aca="false">IF(D379=1,SUMIFS(Benefits!$S$4:$S$703,Benefits!$B$4:$B$703,A379,Benefits!$F$4:$F$703,B379,Benefits!$R$4:$R$703,"avoided_cost_realised"),0)</f>
        <v>0</v>
      </c>
      <c r="I379" s="11" t="n">
        <f aca="false">IF(D379=1,SUMIFS(Benefits!$S$4:$S$703,Benefits!$B$4:$B$703,A379,Benefits!$F$4:$F$703,B379,Benefits!$R$4:$R$703,"capacity_converted"),0)</f>
        <v>0</v>
      </c>
      <c r="J379" s="11" t="n">
        <f aca="false">SUM(F379:I379)</f>
        <v>56600</v>
      </c>
      <c r="K379" s="11" t="n">
        <f aca="false">J379-E379</f>
        <v>49600</v>
      </c>
      <c r="L379" s="11" t="n">
        <f aca="false">IF(D379=1,L378+K379,0)</f>
        <v>-275300</v>
      </c>
      <c r="M379" s="11" t="n">
        <f aca="false">IF(D379=1,1/(1+Controls!$B$11)^B379,0)</f>
        <v>0.908281566980182</v>
      </c>
      <c r="N379" s="11" t="n">
        <f aca="false">K379*M379</f>
        <v>45050.765722217</v>
      </c>
      <c r="O379" s="11" t="n">
        <f aca="false">IF(D379=1,O378+N379,0)</f>
        <v>-258953.352548831</v>
      </c>
      <c r="P379" s="11" t="n">
        <f aca="false">IF(AND(D379=1,L379&lt;0),1,0)</f>
        <v>1</v>
      </c>
      <c r="Q379" s="11" t="n">
        <f aca="false">IF(AND(D379=1,O379&lt;0),1,0)</f>
        <v>1</v>
      </c>
    </row>
    <row r="380" customFormat="false" ht="15" hidden="false" customHeight="false" outlineLevel="0" collapsed="false">
      <c r="A380" s="4" t="s">
        <v>93</v>
      </c>
      <c r="B380" s="4" t="n">
        <v>16</v>
      </c>
      <c r="C380" s="11" t="n">
        <f aca="false">IF(COUNTIF('Scenario inputs'!$A$4:$A$213,Controls!$B$3&amp;"|"&amp;A380)&gt;0,1,0)</f>
        <v>1</v>
      </c>
      <c r="D380" s="11" t="n">
        <f aca="false">IF(AND(C380=1,B380&lt;Controls!$B$12),1,0)</f>
        <v>1</v>
      </c>
      <c r="E380" s="11" t="n">
        <f aca="false">IF(D380=1,SUMPRODUCT((Costs!$B$4:$B$903=A380)*(Costs!$D$4:$D$903="planned")*(Costs!$J$4:$J$903&lt;=B380)*(Costs!$K$4:$K$903&gt;B380)*Costs!$E$4:$E$903),0)</f>
        <v>7000</v>
      </c>
      <c r="F380" s="11" t="n">
        <f aca="false">IF(D380=1,SUMIFS(Benefits!$S$4:$S$703,Benefits!$B$4:$B$703,A380,Benefits!$F$4:$F$703,B380,Benefits!$R$4:$R$703,"cash"),0)</f>
        <v>56600</v>
      </c>
      <c r="G380" s="11" t="n">
        <f aca="false">IF(D380=1,SUMIFS(Benefits!$S$4:$S$703,Benefits!$B$4:$B$703,A380,Benefits!$F$4:$F$703,B380,Benefits!$R$4:$R$703,"revenue"),0)</f>
        <v>0</v>
      </c>
      <c r="H380" s="11" t="n">
        <f aca="false">IF(D380=1,SUMIFS(Benefits!$S$4:$S$703,Benefits!$B$4:$B$703,A380,Benefits!$F$4:$F$703,B380,Benefits!$R$4:$R$703,"avoided_cost_realised"),0)</f>
        <v>0</v>
      </c>
      <c r="I380" s="11" t="n">
        <f aca="false">IF(D380=1,SUMIFS(Benefits!$S$4:$S$703,Benefits!$B$4:$B$703,A380,Benefits!$F$4:$F$703,B380,Benefits!$R$4:$R$703,"capacity_converted"),0)</f>
        <v>0</v>
      </c>
      <c r="J380" s="11" t="n">
        <f aca="false">SUM(F380:I380)</f>
        <v>56600</v>
      </c>
      <c r="K380" s="11" t="n">
        <f aca="false">J380-E380</f>
        <v>49600</v>
      </c>
      <c r="L380" s="11" t="n">
        <f aca="false">IF(D380=1,L379+K380,0)</f>
        <v>-225700</v>
      </c>
      <c r="M380" s="11" t="n">
        <f aca="false">IF(D380=1,1/(1+Controls!$B$11)^B380,0)</f>
        <v>0.902475042556374</v>
      </c>
      <c r="N380" s="11" t="n">
        <f aca="false">K380*M380</f>
        <v>44762.7621107961</v>
      </c>
      <c r="O380" s="11" t="n">
        <f aca="false">IF(D380=1,O379+N380,0)</f>
        <v>-214190.590438035</v>
      </c>
      <c r="P380" s="11" t="n">
        <f aca="false">IF(AND(D380=1,L380&lt;0),1,0)</f>
        <v>1</v>
      </c>
      <c r="Q380" s="11" t="n">
        <f aca="false">IF(AND(D380=1,O380&lt;0),1,0)</f>
        <v>1</v>
      </c>
    </row>
    <row r="381" customFormat="false" ht="15" hidden="false" customHeight="false" outlineLevel="0" collapsed="false">
      <c r="A381" s="4" t="s">
        <v>93</v>
      </c>
      <c r="B381" s="4" t="n">
        <v>17</v>
      </c>
      <c r="C381" s="11" t="n">
        <f aca="false">IF(COUNTIF('Scenario inputs'!$A$4:$A$213,Controls!$B$3&amp;"|"&amp;A381)&gt;0,1,0)</f>
        <v>1</v>
      </c>
      <c r="D381" s="11" t="n">
        <f aca="false">IF(AND(C381=1,B381&lt;Controls!$B$12),1,0)</f>
        <v>1</v>
      </c>
      <c r="E381" s="11" t="n">
        <f aca="false">IF(D381=1,SUMPRODUCT((Costs!$B$4:$B$903=A381)*(Costs!$D$4:$D$903="planned")*(Costs!$J$4:$J$903&lt;=B381)*(Costs!$K$4:$K$903&gt;B381)*Costs!$E$4:$E$903),0)</f>
        <v>7000</v>
      </c>
      <c r="F381" s="11" t="n">
        <f aca="false">IF(D381=1,SUMIFS(Benefits!$S$4:$S$703,Benefits!$B$4:$B$703,A381,Benefits!$F$4:$F$703,B381,Benefits!$R$4:$R$703,"cash"),0)</f>
        <v>56600</v>
      </c>
      <c r="G381" s="11" t="n">
        <f aca="false">IF(D381=1,SUMIFS(Benefits!$S$4:$S$703,Benefits!$B$4:$B$703,A381,Benefits!$F$4:$F$703,B381,Benefits!$R$4:$R$703,"revenue"),0)</f>
        <v>0</v>
      </c>
      <c r="H381" s="11" t="n">
        <f aca="false">IF(D381=1,SUMIFS(Benefits!$S$4:$S$703,Benefits!$B$4:$B$703,A381,Benefits!$F$4:$F$703,B381,Benefits!$R$4:$R$703,"avoided_cost_realised"),0)</f>
        <v>0</v>
      </c>
      <c r="I381" s="11" t="n">
        <f aca="false">IF(D381=1,SUMIFS(Benefits!$S$4:$S$703,Benefits!$B$4:$B$703,A381,Benefits!$F$4:$F$703,B381,Benefits!$R$4:$R$703,"capacity_converted"),0)</f>
        <v>0</v>
      </c>
      <c r="J381" s="11" t="n">
        <f aca="false">SUM(F381:I381)</f>
        <v>56600</v>
      </c>
      <c r="K381" s="11" t="n">
        <f aca="false">J381-E381</f>
        <v>49600</v>
      </c>
      <c r="L381" s="11" t="n">
        <f aca="false">IF(D381=1,L380+K381,0)</f>
        <v>-176100</v>
      </c>
      <c r="M381" s="11" t="n">
        <f aca="false">IF(D381=1,1/(1+Controls!$B$11)^B381,0)</f>
        <v>0.896705638478404</v>
      </c>
      <c r="N381" s="11" t="n">
        <f aca="false">K381*M381</f>
        <v>44476.5996685288</v>
      </c>
      <c r="O381" s="11" t="n">
        <f aca="false">IF(D381=1,O380+N381,0)</f>
        <v>-169713.990769506</v>
      </c>
      <c r="P381" s="11" t="n">
        <f aca="false">IF(AND(D381=1,L381&lt;0),1,0)</f>
        <v>1</v>
      </c>
      <c r="Q381" s="11" t="n">
        <f aca="false">IF(AND(D381=1,O381&lt;0),1,0)</f>
        <v>1</v>
      </c>
    </row>
    <row r="382" customFormat="false" ht="15" hidden="false" customHeight="false" outlineLevel="0" collapsed="false">
      <c r="A382" s="4" t="s">
        <v>93</v>
      </c>
      <c r="B382" s="4" t="n">
        <v>18</v>
      </c>
      <c r="C382" s="11" t="n">
        <f aca="false">IF(COUNTIF('Scenario inputs'!$A$4:$A$213,Controls!$B$3&amp;"|"&amp;A382)&gt;0,1,0)</f>
        <v>1</v>
      </c>
      <c r="D382" s="11" t="n">
        <f aca="false">IF(AND(C382=1,B382&lt;Controls!$B$12),1,0)</f>
        <v>1</v>
      </c>
      <c r="E382" s="11" t="n">
        <f aca="false">IF(D382=1,SUMPRODUCT((Costs!$B$4:$B$903=A382)*(Costs!$D$4:$D$903="planned")*(Costs!$J$4:$J$903&lt;=B382)*(Costs!$K$4:$K$903&gt;B382)*Costs!$E$4:$E$903),0)</f>
        <v>7200</v>
      </c>
      <c r="F382" s="11" t="n">
        <f aca="false">IF(D382=1,SUMIFS(Benefits!$S$4:$S$703,Benefits!$B$4:$B$703,A382,Benefits!$F$4:$F$703,B382,Benefits!$R$4:$R$703,"cash"),0)</f>
        <v>56600</v>
      </c>
      <c r="G382" s="11" t="n">
        <f aca="false">IF(D382=1,SUMIFS(Benefits!$S$4:$S$703,Benefits!$B$4:$B$703,A382,Benefits!$F$4:$F$703,B382,Benefits!$R$4:$R$703,"revenue"),0)</f>
        <v>0</v>
      </c>
      <c r="H382" s="11" t="n">
        <f aca="false">IF(D382=1,SUMIFS(Benefits!$S$4:$S$703,Benefits!$B$4:$B$703,A382,Benefits!$F$4:$F$703,B382,Benefits!$R$4:$R$703,"avoided_cost_realised"),0)</f>
        <v>0</v>
      </c>
      <c r="I382" s="11" t="n">
        <f aca="false">IF(D382=1,SUMIFS(Benefits!$S$4:$S$703,Benefits!$B$4:$B$703,A382,Benefits!$F$4:$F$703,B382,Benefits!$R$4:$R$703,"capacity_converted"),0)</f>
        <v>0</v>
      </c>
      <c r="J382" s="11" t="n">
        <f aca="false">SUM(F382:I382)</f>
        <v>56600</v>
      </c>
      <c r="K382" s="11" t="n">
        <f aca="false">J382-E382</f>
        <v>49400</v>
      </c>
      <c r="L382" s="11" t="n">
        <f aca="false">IF(D382=1,L381+K382,0)</f>
        <v>-126700</v>
      </c>
      <c r="M382" s="11" t="n">
        <f aca="false">IF(D382=1,1/(1+Controls!$B$11)^B382,0)</f>
        <v>0.89097311744079</v>
      </c>
      <c r="N382" s="11" t="n">
        <f aca="false">K382*M382</f>
        <v>44014.072001575</v>
      </c>
      <c r="O382" s="11" t="n">
        <f aca="false">IF(D382=1,O381+N382,0)</f>
        <v>-125699.918767931</v>
      </c>
      <c r="P382" s="11" t="n">
        <f aca="false">IF(AND(D382=1,L382&lt;0),1,0)</f>
        <v>1</v>
      </c>
      <c r="Q382" s="11" t="n">
        <f aca="false">IF(AND(D382=1,O382&lt;0),1,0)</f>
        <v>1</v>
      </c>
    </row>
    <row r="383" customFormat="false" ht="15" hidden="false" customHeight="false" outlineLevel="0" collapsed="false">
      <c r="A383" s="4" t="s">
        <v>93</v>
      </c>
      <c r="B383" s="4" t="n">
        <v>19</v>
      </c>
      <c r="C383" s="11" t="n">
        <f aca="false">IF(COUNTIF('Scenario inputs'!$A$4:$A$213,Controls!$B$3&amp;"|"&amp;A383)&gt;0,1,0)</f>
        <v>1</v>
      </c>
      <c r="D383" s="11" t="n">
        <f aca="false">IF(AND(C383=1,B383&lt;Controls!$B$12),1,0)</f>
        <v>1</v>
      </c>
      <c r="E383" s="11" t="n">
        <f aca="false">IF(D383=1,SUMPRODUCT((Costs!$B$4:$B$903=A383)*(Costs!$D$4:$D$903="planned")*(Costs!$J$4:$J$903&lt;=B383)*(Costs!$K$4:$K$903&gt;B383)*Costs!$E$4:$E$903),0)</f>
        <v>7200</v>
      </c>
      <c r="F383" s="11" t="n">
        <f aca="false">IF(D383=1,SUMIFS(Benefits!$S$4:$S$703,Benefits!$B$4:$B$703,A383,Benefits!$F$4:$F$703,B383,Benefits!$R$4:$R$703,"cash"),0)</f>
        <v>56600</v>
      </c>
      <c r="G383" s="11" t="n">
        <f aca="false">IF(D383=1,SUMIFS(Benefits!$S$4:$S$703,Benefits!$B$4:$B$703,A383,Benefits!$F$4:$F$703,B383,Benefits!$R$4:$R$703,"revenue"),0)</f>
        <v>0</v>
      </c>
      <c r="H383" s="11" t="n">
        <f aca="false">IF(D383=1,SUMIFS(Benefits!$S$4:$S$703,Benefits!$B$4:$B$703,A383,Benefits!$F$4:$F$703,B383,Benefits!$R$4:$R$703,"avoided_cost_realised"),0)</f>
        <v>0</v>
      </c>
      <c r="I383" s="11" t="n">
        <f aca="false">IF(D383=1,SUMIFS(Benefits!$S$4:$S$703,Benefits!$B$4:$B$703,A383,Benefits!$F$4:$F$703,B383,Benefits!$R$4:$R$703,"capacity_converted"),0)</f>
        <v>0</v>
      </c>
      <c r="J383" s="11" t="n">
        <f aca="false">SUM(F383:I383)</f>
        <v>56600</v>
      </c>
      <c r="K383" s="11" t="n">
        <f aca="false">J383-E383</f>
        <v>49400</v>
      </c>
      <c r="L383" s="11" t="n">
        <f aca="false">IF(D383=1,L382+K383,0)</f>
        <v>-77300</v>
      </c>
      <c r="M383" s="11" t="n">
        <f aca="false">IF(D383=1,1/(1+Controls!$B$11)^B383,0)</f>
        <v>0.885277243655113</v>
      </c>
      <c r="N383" s="11" t="n">
        <f aca="false">K383*M383</f>
        <v>43732.6958365626</v>
      </c>
      <c r="O383" s="11" t="n">
        <f aca="false">IF(D383=1,O382+N383,0)</f>
        <v>-81967.2229313688</v>
      </c>
      <c r="P383" s="11" t="n">
        <f aca="false">IF(AND(D383=1,L383&lt;0),1,0)</f>
        <v>1</v>
      </c>
      <c r="Q383" s="11" t="n">
        <f aca="false">IF(AND(D383=1,O383&lt;0),1,0)</f>
        <v>1</v>
      </c>
    </row>
    <row r="384" customFormat="false" ht="15" hidden="false" customHeight="false" outlineLevel="0" collapsed="false">
      <c r="A384" s="4" t="s">
        <v>93</v>
      </c>
      <c r="B384" s="4" t="n">
        <v>20</v>
      </c>
      <c r="C384" s="11" t="n">
        <f aca="false">IF(COUNTIF('Scenario inputs'!$A$4:$A$213,Controls!$B$3&amp;"|"&amp;A384)&gt;0,1,0)</f>
        <v>1</v>
      </c>
      <c r="D384" s="11" t="n">
        <f aca="false">IF(AND(C384=1,B384&lt;Controls!$B$12),1,0)</f>
        <v>1</v>
      </c>
      <c r="E384" s="11" t="n">
        <f aca="false">IF(D384=1,SUMPRODUCT((Costs!$B$4:$B$903=A384)*(Costs!$D$4:$D$903="planned")*(Costs!$J$4:$J$903&lt;=B384)*(Costs!$K$4:$K$903&gt;B384)*Costs!$E$4:$E$903),0)</f>
        <v>7200</v>
      </c>
      <c r="F384" s="11" t="n">
        <f aca="false">IF(D384=1,SUMIFS(Benefits!$S$4:$S$703,Benefits!$B$4:$B$703,A384,Benefits!$F$4:$F$703,B384,Benefits!$R$4:$R$703,"cash"),0)</f>
        <v>56600</v>
      </c>
      <c r="G384" s="11" t="n">
        <f aca="false">IF(D384=1,SUMIFS(Benefits!$S$4:$S$703,Benefits!$B$4:$B$703,A384,Benefits!$F$4:$F$703,B384,Benefits!$R$4:$R$703,"revenue"),0)</f>
        <v>0</v>
      </c>
      <c r="H384" s="11" t="n">
        <f aca="false">IF(D384=1,SUMIFS(Benefits!$S$4:$S$703,Benefits!$B$4:$B$703,A384,Benefits!$F$4:$F$703,B384,Benefits!$R$4:$R$703,"avoided_cost_realised"),0)</f>
        <v>0</v>
      </c>
      <c r="I384" s="11" t="n">
        <f aca="false">IF(D384=1,SUMIFS(Benefits!$S$4:$S$703,Benefits!$B$4:$B$703,A384,Benefits!$F$4:$F$703,B384,Benefits!$R$4:$R$703,"capacity_converted"),0)</f>
        <v>0</v>
      </c>
      <c r="J384" s="11" t="n">
        <f aca="false">SUM(F384:I384)</f>
        <v>56600</v>
      </c>
      <c r="K384" s="11" t="n">
        <f aca="false">J384-E384</f>
        <v>49400</v>
      </c>
      <c r="L384" s="11" t="n">
        <f aca="false">IF(D384=1,L383+K384,0)</f>
        <v>-27900</v>
      </c>
      <c r="M384" s="11" t="n">
        <f aca="false">IF(D384=1,1/(1+Controls!$B$11)^B384,0)</f>
        <v>0.879617782840318</v>
      </c>
      <c r="N384" s="11" t="n">
        <f aca="false">K384*M384</f>
        <v>43453.1184723117</v>
      </c>
      <c r="O384" s="11" t="n">
        <f aca="false">IF(D384=1,O383+N384,0)</f>
        <v>-38514.1044590571</v>
      </c>
      <c r="P384" s="11" t="n">
        <f aca="false">IF(AND(D384=1,L384&lt;0),1,0)</f>
        <v>1</v>
      </c>
      <c r="Q384" s="11" t="n">
        <f aca="false">IF(AND(D384=1,O384&lt;0),1,0)</f>
        <v>1</v>
      </c>
    </row>
    <row r="385" customFormat="false" ht="15" hidden="false" customHeight="false" outlineLevel="0" collapsed="false">
      <c r="A385" s="4" t="s">
        <v>93</v>
      </c>
      <c r="B385" s="4" t="n">
        <v>21</v>
      </c>
      <c r="C385" s="11" t="n">
        <f aca="false">IF(COUNTIF('Scenario inputs'!$A$4:$A$213,Controls!$B$3&amp;"|"&amp;A385)&gt;0,1,0)</f>
        <v>1</v>
      </c>
      <c r="D385" s="11" t="n">
        <f aca="false">IF(AND(C385=1,B385&lt;Controls!$B$12),1,0)</f>
        <v>1</v>
      </c>
      <c r="E385" s="11" t="n">
        <f aca="false">IF(D385=1,SUMPRODUCT((Costs!$B$4:$B$903=A385)*(Costs!$D$4:$D$903="planned")*(Costs!$J$4:$J$903&lt;=B385)*(Costs!$K$4:$K$903&gt;B385)*Costs!$E$4:$E$903),0)</f>
        <v>7200</v>
      </c>
      <c r="F385" s="11" t="n">
        <f aca="false">IF(D385=1,SUMIFS(Benefits!$S$4:$S$703,Benefits!$B$4:$B$703,A385,Benefits!$F$4:$F$703,B385,Benefits!$R$4:$R$703,"cash"),0)</f>
        <v>56600</v>
      </c>
      <c r="G385" s="11" t="n">
        <f aca="false">IF(D385=1,SUMIFS(Benefits!$S$4:$S$703,Benefits!$B$4:$B$703,A385,Benefits!$F$4:$F$703,B385,Benefits!$R$4:$R$703,"revenue"),0)</f>
        <v>0</v>
      </c>
      <c r="H385" s="11" t="n">
        <f aca="false">IF(D385=1,SUMIFS(Benefits!$S$4:$S$703,Benefits!$B$4:$B$703,A385,Benefits!$F$4:$F$703,B385,Benefits!$R$4:$R$703,"avoided_cost_realised"),0)</f>
        <v>0</v>
      </c>
      <c r="I385" s="11" t="n">
        <f aca="false">IF(D385=1,SUMIFS(Benefits!$S$4:$S$703,Benefits!$B$4:$B$703,A385,Benefits!$F$4:$F$703,B385,Benefits!$R$4:$R$703,"capacity_converted"),0)</f>
        <v>0</v>
      </c>
      <c r="J385" s="11" t="n">
        <f aca="false">SUM(F385:I385)</f>
        <v>56600</v>
      </c>
      <c r="K385" s="11" t="n">
        <f aca="false">J385-E385</f>
        <v>49400</v>
      </c>
      <c r="L385" s="11" t="n">
        <f aca="false">IF(D385=1,L384+K385,0)</f>
        <v>21500</v>
      </c>
      <c r="M385" s="11" t="n">
        <f aca="false">IF(D385=1,1/(1+Controls!$B$11)^B385,0)</f>
        <v>0.873994502213079</v>
      </c>
      <c r="N385" s="11" t="n">
        <f aca="false">K385*M385</f>
        <v>43175.3284093261</v>
      </c>
      <c r="O385" s="11" t="n">
        <f aca="false">IF(D385=1,O384+N385,0)</f>
        <v>4661.22395026901</v>
      </c>
      <c r="P385" s="11" t="n">
        <f aca="false">IF(AND(D385=1,L385&lt;0),1,0)</f>
        <v>0</v>
      </c>
      <c r="Q385" s="11" t="n">
        <f aca="false">IF(AND(D385=1,O385&lt;0),1,0)</f>
        <v>0</v>
      </c>
    </row>
    <row r="386" customFormat="false" ht="15" hidden="false" customHeight="false" outlineLevel="0" collapsed="false">
      <c r="A386" s="4" t="s">
        <v>93</v>
      </c>
      <c r="B386" s="4" t="n">
        <v>22</v>
      </c>
      <c r="C386" s="11" t="n">
        <f aca="false">IF(COUNTIF('Scenario inputs'!$A$4:$A$213,Controls!$B$3&amp;"|"&amp;A386)&gt;0,1,0)</f>
        <v>1</v>
      </c>
      <c r="D386" s="11" t="n">
        <f aca="false">IF(AND(C386=1,B386&lt;Controls!$B$12),1,0)</f>
        <v>1</v>
      </c>
      <c r="E386" s="11" t="n">
        <f aca="false">IF(D386=1,SUMPRODUCT((Costs!$B$4:$B$903=A386)*(Costs!$D$4:$D$903="planned")*(Costs!$J$4:$J$903&lt;=B386)*(Costs!$K$4:$K$903&gt;B386)*Costs!$E$4:$E$903),0)</f>
        <v>7200</v>
      </c>
      <c r="F386" s="11" t="n">
        <f aca="false">IF(D386=1,SUMIFS(Benefits!$S$4:$S$703,Benefits!$B$4:$B$703,A386,Benefits!$F$4:$F$703,B386,Benefits!$R$4:$R$703,"cash"),0)</f>
        <v>56600</v>
      </c>
      <c r="G386" s="11" t="n">
        <f aca="false">IF(D386=1,SUMIFS(Benefits!$S$4:$S$703,Benefits!$B$4:$B$703,A386,Benefits!$F$4:$F$703,B386,Benefits!$R$4:$R$703,"revenue"),0)</f>
        <v>0</v>
      </c>
      <c r="H386" s="11" t="n">
        <f aca="false">IF(D386=1,SUMIFS(Benefits!$S$4:$S$703,Benefits!$B$4:$B$703,A386,Benefits!$F$4:$F$703,B386,Benefits!$R$4:$R$703,"avoided_cost_realised"),0)</f>
        <v>0</v>
      </c>
      <c r="I386" s="11" t="n">
        <f aca="false">IF(D386=1,SUMIFS(Benefits!$S$4:$S$703,Benefits!$B$4:$B$703,A386,Benefits!$F$4:$F$703,B386,Benefits!$R$4:$R$703,"capacity_converted"),0)</f>
        <v>0</v>
      </c>
      <c r="J386" s="11" t="n">
        <f aca="false">SUM(F386:I386)</f>
        <v>56600</v>
      </c>
      <c r="K386" s="11" t="n">
        <f aca="false">J386-E386</f>
        <v>49400</v>
      </c>
      <c r="L386" s="11" t="n">
        <f aca="false">IF(D386=1,L385+K386,0)</f>
        <v>70900</v>
      </c>
      <c r="M386" s="11" t="n">
        <f aca="false">IF(D386=1,1/(1+Controls!$B$11)^B386,0)</f>
        <v>0.868407170478222</v>
      </c>
      <c r="N386" s="11" t="n">
        <f aca="false">K386*M386</f>
        <v>42899.3142216242</v>
      </c>
      <c r="O386" s="11" t="n">
        <f aca="false">IF(D386=1,O385+N386,0)</f>
        <v>47560.5381718932</v>
      </c>
      <c r="P386" s="11" t="n">
        <f aca="false">IF(AND(D386=1,L386&lt;0),1,0)</f>
        <v>0</v>
      </c>
      <c r="Q386" s="11" t="n">
        <f aca="false">IF(AND(D386=1,O386&lt;0),1,0)</f>
        <v>0</v>
      </c>
    </row>
    <row r="387" customFormat="false" ht="15" hidden="false" customHeight="false" outlineLevel="0" collapsed="false">
      <c r="A387" s="4" t="s">
        <v>93</v>
      </c>
      <c r="B387" s="4" t="n">
        <v>23</v>
      </c>
      <c r="C387" s="11" t="n">
        <f aca="false">IF(COUNTIF('Scenario inputs'!$A$4:$A$213,Controls!$B$3&amp;"|"&amp;A387)&gt;0,1,0)</f>
        <v>1</v>
      </c>
      <c r="D387" s="11" t="n">
        <f aca="false">IF(AND(C387=1,B387&lt;Controls!$B$12),1,0)</f>
        <v>1</v>
      </c>
      <c r="E387" s="11" t="n">
        <f aca="false">IF(D387=1,SUMPRODUCT((Costs!$B$4:$B$903=A387)*(Costs!$D$4:$D$903="planned")*(Costs!$J$4:$J$903&lt;=B387)*(Costs!$K$4:$K$903&gt;B387)*Costs!$E$4:$E$903),0)</f>
        <v>7200</v>
      </c>
      <c r="F387" s="11" t="n">
        <f aca="false">IF(D387=1,SUMIFS(Benefits!$S$4:$S$703,Benefits!$B$4:$B$703,A387,Benefits!$F$4:$F$703,B387,Benefits!$R$4:$R$703,"cash"),0)</f>
        <v>56600</v>
      </c>
      <c r="G387" s="11" t="n">
        <f aca="false">IF(D387=1,SUMIFS(Benefits!$S$4:$S$703,Benefits!$B$4:$B$703,A387,Benefits!$F$4:$F$703,B387,Benefits!$R$4:$R$703,"revenue"),0)</f>
        <v>0</v>
      </c>
      <c r="H387" s="11" t="n">
        <f aca="false">IF(D387=1,SUMIFS(Benefits!$S$4:$S$703,Benefits!$B$4:$B$703,A387,Benefits!$F$4:$F$703,B387,Benefits!$R$4:$R$703,"avoided_cost_realised"),0)</f>
        <v>0</v>
      </c>
      <c r="I387" s="11" t="n">
        <f aca="false">IF(D387=1,SUMIFS(Benefits!$S$4:$S$703,Benefits!$B$4:$B$703,A387,Benefits!$F$4:$F$703,B387,Benefits!$R$4:$R$703,"capacity_converted"),0)</f>
        <v>0</v>
      </c>
      <c r="J387" s="11" t="n">
        <f aca="false">SUM(F387:I387)</f>
        <v>56600</v>
      </c>
      <c r="K387" s="11" t="n">
        <f aca="false">J387-E387</f>
        <v>49400</v>
      </c>
      <c r="L387" s="11" t="n">
        <f aca="false">IF(D387=1,L386+K387,0)</f>
        <v>120300</v>
      </c>
      <c r="M387" s="11" t="n">
        <f aca="false">IF(D387=1,1/(1+Controls!$B$11)^B387,0)</f>
        <v>0.862855557819213</v>
      </c>
      <c r="N387" s="11" t="n">
        <f aca="false">K387*M387</f>
        <v>42625.0645562691</v>
      </c>
      <c r="O387" s="11" t="n">
        <f aca="false">IF(D387=1,O386+N387,0)</f>
        <v>90185.6027281623</v>
      </c>
      <c r="P387" s="11" t="n">
        <f aca="false">IF(AND(D387=1,L387&lt;0),1,0)</f>
        <v>0</v>
      </c>
      <c r="Q387" s="11" t="n">
        <f aca="false">IF(AND(D387=1,O387&lt;0),1,0)</f>
        <v>0</v>
      </c>
    </row>
    <row r="388" customFormat="false" ht="15" hidden="false" customHeight="false" outlineLevel="0" collapsed="false">
      <c r="A388" s="4" t="s">
        <v>93</v>
      </c>
      <c r="B388" s="4" t="n">
        <v>24</v>
      </c>
      <c r="C388" s="11" t="n">
        <f aca="false">IF(COUNTIF('Scenario inputs'!$A$4:$A$213,Controls!$B$3&amp;"|"&amp;A388)&gt;0,1,0)</f>
        <v>1</v>
      </c>
      <c r="D388" s="11" t="n">
        <f aca="false">IF(AND(C388=1,B388&lt;Controls!$B$12),1,0)</f>
        <v>1</v>
      </c>
      <c r="E388" s="11" t="n">
        <f aca="false">IF(D388=1,SUMPRODUCT((Costs!$B$4:$B$903=A388)*(Costs!$D$4:$D$903="planned")*(Costs!$J$4:$J$903&lt;=B388)*(Costs!$K$4:$K$903&gt;B388)*Costs!$E$4:$E$903),0)</f>
        <v>7200</v>
      </c>
      <c r="F388" s="11" t="n">
        <f aca="false">IF(D388=1,SUMIFS(Benefits!$S$4:$S$703,Benefits!$B$4:$B$703,A388,Benefits!$F$4:$F$703,B388,Benefits!$R$4:$R$703,"cash"),0)</f>
        <v>0</v>
      </c>
      <c r="G388" s="11" t="n">
        <f aca="false">IF(D388=1,SUMIFS(Benefits!$S$4:$S$703,Benefits!$B$4:$B$703,A388,Benefits!$F$4:$F$703,B388,Benefits!$R$4:$R$703,"revenue"),0)</f>
        <v>0</v>
      </c>
      <c r="H388" s="11" t="n">
        <f aca="false">IF(D388=1,SUMIFS(Benefits!$S$4:$S$703,Benefits!$B$4:$B$703,A388,Benefits!$F$4:$F$703,B388,Benefits!$R$4:$R$703,"avoided_cost_realised"),0)</f>
        <v>0</v>
      </c>
      <c r="I388" s="11" t="n">
        <f aca="false">IF(D388=1,SUMIFS(Benefits!$S$4:$S$703,Benefits!$B$4:$B$703,A388,Benefits!$F$4:$F$703,B388,Benefits!$R$4:$R$703,"capacity_converted"),0)</f>
        <v>0</v>
      </c>
      <c r="J388" s="11" t="n">
        <f aca="false">SUM(F388:I388)</f>
        <v>0</v>
      </c>
      <c r="K388" s="11" t="n">
        <f aca="false">J388-E388</f>
        <v>-7200</v>
      </c>
      <c r="L388" s="11" t="n">
        <f aca="false">IF(D388=1,L387+K388,0)</f>
        <v>113100</v>
      </c>
      <c r="M388" s="11" t="n">
        <f aca="false">IF(D388=1,1/(1+Controls!$B$11)^B388,0)</f>
        <v>0.857339435888705</v>
      </c>
      <c r="N388" s="11" t="n">
        <f aca="false">K388*M388</f>
        <v>-6172.84393839868</v>
      </c>
      <c r="O388" s="11" t="n">
        <f aca="false">IF(D388=1,O387+N388,0)</f>
        <v>84012.7587897636</v>
      </c>
      <c r="P388" s="11" t="n">
        <f aca="false">IF(AND(D388=1,L388&lt;0),1,0)</f>
        <v>0</v>
      </c>
      <c r="Q388" s="11" t="n">
        <f aca="false">IF(AND(D388=1,O388&lt;0),1,0)</f>
        <v>0</v>
      </c>
    </row>
    <row r="389" customFormat="false" ht="15" hidden="false" customHeight="false" outlineLevel="0" collapsed="false">
      <c r="A389" s="4" t="s">
        <v>93</v>
      </c>
      <c r="B389" s="4" t="n">
        <v>25</v>
      </c>
      <c r="C389" s="11" t="n">
        <f aca="false">IF(COUNTIF('Scenario inputs'!$A$4:$A$213,Controls!$B$3&amp;"|"&amp;A389)&gt;0,1,0)</f>
        <v>1</v>
      </c>
      <c r="D389" s="11" t="n">
        <f aca="false">IF(AND(C389=1,B389&lt;Controls!$B$12),1,0)</f>
        <v>1</v>
      </c>
      <c r="E389" s="11" t="n">
        <f aca="false">IF(D389=1,SUMPRODUCT((Costs!$B$4:$B$903=A389)*(Costs!$D$4:$D$903="planned")*(Costs!$J$4:$J$903&lt;=B389)*(Costs!$K$4:$K$903&gt;B389)*Costs!$E$4:$E$903),0)</f>
        <v>0</v>
      </c>
      <c r="F389" s="11" t="n">
        <f aca="false">IF(D389=1,SUMIFS(Benefits!$S$4:$S$703,Benefits!$B$4:$B$703,A389,Benefits!$F$4:$F$703,B389,Benefits!$R$4:$R$703,"cash"),0)</f>
        <v>0</v>
      </c>
      <c r="G389" s="11" t="n">
        <f aca="false">IF(D389=1,SUMIFS(Benefits!$S$4:$S$703,Benefits!$B$4:$B$703,A389,Benefits!$F$4:$F$703,B389,Benefits!$R$4:$R$703,"revenue"),0)</f>
        <v>0</v>
      </c>
      <c r="H389" s="11" t="n">
        <f aca="false">IF(D389=1,SUMIFS(Benefits!$S$4:$S$703,Benefits!$B$4:$B$703,A389,Benefits!$F$4:$F$703,B389,Benefits!$R$4:$R$703,"avoided_cost_realised"),0)</f>
        <v>0</v>
      </c>
      <c r="I389" s="11" t="n">
        <f aca="false">IF(D389=1,SUMIFS(Benefits!$S$4:$S$703,Benefits!$B$4:$B$703,A389,Benefits!$F$4:$F$703,B389,Benefits!$R$4:$R$703,"capacity_converted"),0)</f>
        <v>0</v>
      </c>
      <c r="J389" s="11" t="n">
        <f aca="false">SUM(F389:I389)</f>
        <v>0</v>
      </c>
      <c r="K389" s="11" t="n">
        <f aca="false">J389-E389</f>
        <v>0</v>
      </c>
      <c r="L389" s="11" t="n">
        <f aca="false">IF(D389=1,L388+K389,0)</f>
        <v>113100</v>
      </c>
      <c r="M389" s="11" t="n">
        <f aca="false">IF(D389=1,1/(1+Controls!$B$11)^B389,0)</f>
        <v>0.851858577799146</v>
      </c>
      <c r="N389" s="11" t="n">
        <f aca="false">K389*M389</f>
        <v>0</v>
      </c>
      <c r="O389" s="11" t="n">
        <f aca="false">IF(D389=1,O388+N389,0)</f>
        <v>84012.7587897636</v>
      </c>
      <c r="P389" s="11" t="n">
        <f aca="false">IF(AND(D389=1,L389&lt;0),1,0)</f>
        <v>0</v>
      </c>
      <c r="Q389" s="11" t="n">
        <f aca="false">IF(AND(D389=1,O389&lt;0),1,0)</f>
        <v>0</v>
      </c>
    </row>
    <row r="390" customFormat="false" ht="15" hidden="false" customHeight="false" outlineLevel="0" collapsed="false">
      <c r="A390" s="4" t="s">
        <v>93</v>
      </c>
      <c r="B390" s="4" t="n">
        <v>26</v>
      </c>
      <c r="C390" s="11" t="n">
        <f aca="false">IF(COUNTIF('Scenario inputs'!$A$4:$A$213,Controls!$B$3&amp;"|"&amp;A390)&gt;0,1,0)</f>
        <v>1</v>
      </c>
      <c r="D390" s="11" t="n">
        <f aca="false">IF(AND(C390=1,B390&lt;Controls!$B$12),1,0)</f>
        <v>1</v>
      </c>
      <c r="E390" s="11" t="n">
        <f aca="false">IF(D390=1,SUMPRODUCT((Costs!$B$4:$B$903=A390)*(Costs!$D$4:$D$903="planned")*(Costs!$J$4:$J$903&lt;=B390)*(Costs!$K$4:$K$903&gt;B390)*Costs!$E$4:$E$903),0)</f>
        <v>0</v>
      </c>
      <c r="F390" s="11" t="n">
        <f aca="false">IF(D390=1,SUMIFS(Benefits!$S$4:$S$703,Benefits!$B$4:$B$703,A390,Benefits!$F$4:$F$703,B390,Benefits!$R$4:$R$703,"cash"),0)</f>
        <v>0</v>
      </c>
      <c r="G390" s="11" t="n">
        <f aca="false">IF(D390=1,SUMIFS(Benefits!$S$4:$S$703,Benefits!$B$4:$B$703,A390,Benefits!$F$4:$F$703,B390,Benefits!$R$4:$R$703,"revenue"),0)</f>
        <v>0</v>
      </c>
      <c r="H390" s="11" t="n">
        <f aca="false">IF(D390=1,SUMIFS(Benefits!$S$4:$S$703,Benefits!$B$4:$B$703,A390,Benefits!$F$4:$F$703,B390,Benefits!$R$4:$R$703,"avoided_cost_realised"),0)</f>
        <v>0</v>
      </c>
      <c r="I390" s="11" t="n">
        <f aca="false">IF(D390=1,SUMIFS(Benefits!$S$4:$S$703,Benefits!$B$4:$B$703,A390,Benefits!$F$4:$F$703,B390,Benefits!$R$4:$R$703,"capacity_converted"),0)</f>
        <v>0</v>
      </c>
      <c r="J390" s="11" t="n">
        <f aca="false">SUM(F390:I390)</f>
        <v>0</v>
      </c>
      <c r="K390" s="11" t="n">
        <f aca="false">J390-E390</f>
        <v>0</v>
      </c>
      <c r="L390" s="11" t="n">
        <f aca="false">IF(D390=1,L389+K390,0)</f>
        <v>113100</v>
      </c>
      <c r="M390" s="11" t="n">
        <f aca="false">IF(D390=1,1/(1+Controls!$B$11)^B390,0)</f>
        <v>0.846412758113444</v>
      </c>
      <c r="N390" s="11" t="n">
        <f aca="false">K390*M390</f>
        <v>0</v>
      </c>
      <c r="O390" s="11" t="n">
        <f aca="false">IF(D390=1,O389+N390,0)</f>
        <v>84012.7587897636</v>
      </c>
      <c r="P390" s="11" t="n">
        <f aca="false">IF(AND(D390=1,L390&lt;0),1,0)</f>
        <v>0</v>
      </c>
      <c r="Q390" s="11" t="n">
        <f aca="false">IF(AND(D390=1,O390&lt;0),1,0)</f>
        <v>0</v>
      </c>
    </row>
    <row r="391" customFormat="false" ht="15" hidden="false" customHeight="false" outlineLevel="0" collapsed="false">
      <c r="A391" s="4" t="s">
        <v>93</v>
      </c>
      <c r="B391" s="4" t="n">
        <v>27</v>
      </c>
      <c r="C391" s="11" t="n">
        <f aca="false">IF(COUNTIF('Scenario inputs'!$A$4:$A$213,Controls!$B$3&amp;"|"&amp;A391)&gt;0,1,0)</f>
        <v>1</v>
      </c>
      <c r="D391" s="11" t="n">
        <f aca="false">IF(AND(C391=1,B391&lt;Controls!$B$12),1,0)</f>
        <v>1</v>
      </c>
      <c r="E391" s="11" t="n">
        <f aca="false">IF(D391=1,SUMPRODUCT((Costs!$B$4:$B$903=A391)*(Costs!$D$4:$D$903="planned")*(Costs!$J$4:$J$903&lt;=B391)*(Costs!$K$4:$K$903&gt;B391)*Costs!$E$4:$E$903),0)</f>
        <v>0</v>
      </c>
      <c r="F391" s="11" t="n">
        <f aca="false">IF(D391=1,SUMIFS(Benefits!$S$4:$S$703,Benefits!$B$4:$B$703,A391,Benefits!$F$4:$F$703,B391,Benefits!$R$4:$R$703,"cash"),0)</f>
        <v>0</v>
      </c>
      <c r="G391" s="11" t="n">
        <f aca="false">IF(D391=1,SUMIFS(Benefits!$S$4:$S$703,Benefits!$B$4:$B$703,A391,Benefits!$F$4:$F$703,B391,Benefits!$R$4:$R$703,"revenue"),0)</f>
        <v>0</v>
      </c>
      <c r="H391" s="11" t="n">
        <f aca="false">IF(D391=1,SUMIFS(Benefits!$S$4:$S$703,Benefits!$B$4:$B$703,A391,Benefits!$F$4:$F$703,B391,Benefits!$R$4:$R$703,"avoided_cost_realised"),0)</f>
        <v>0</v>
      </c>
      <c r="I391" s="11" t="n">
        <f aca="false">IF(D391=1,SUMIFS(Benefits!$S$4:$S$703,Benefits!$B$4:$B$703,A391,Benefits!$F$4:$F$703,B391,Benefits!$R$4:$R$703,"capacity_converted"),0)</f>
        <v>0</v>
      </c>
      <c r="J391" s="11" t="n">
        <f aca="false">SUM(F391:I391)</f>
        <v>0</v>
      </c>
      <c r="K391" s="11" t="n">
        <f aca="false">J391-E391</f>
        <v>0</v>
      </c>
      <c r="L391" s="11" t="n">
        <f aca="false">IF(D391=1,L390+K391,0)</f>
        <v>113100</v>
      </c>
      <c r="M391" s="11" t="n">
        <f aca="false">IF(D391=1,1/(1+Controls!$B$11)^B391,0)</f>
        <v>0.841001752835699</v>
      </c>
      <c r="N391" s="11" t="n">
        <f aca="false">K391*M391</f>
        <v>0</v>
      </c>
      <c r="O391" s="11" t="n">
        <f aca="false">IF(D391=1,O390+N391,0)</f>
        <v>84012.7587897636</v>
      </c>
      <c r="P391" s="11" t="n">
        <f aca="false">IF(AND(D391=1,L391&lt;0),1,0)</f>
        <v>0</v>
      </c>
      <c r="Q391" s="11" t="n">
        <f aca="false">IF(AND(D391=1,O391&lt;0),1,0)</f>
        <v>0</v>
      </c>
    </row>
    <row r="392" customFormat="false" ht="15" hidden="false" customHeight="false" outlineLevel="0" collapsed="false">
      <c r="A392" s="4" t="s">
        <v>93</v>
      </c>
      <c r="B392" s="4" t="n">
        <v>28</v>
      </c>
      <c r="C392" s="11" t="n">
        <f aca="false">IF(COUNTIF('Scenario inputs'!$A$4:$A$213,Controls!$B$3&amp;"|"&amp;A392)&gt;0,1,0)</f>
        <v>1</v>
      </c>
      <c r="D392" s="11" t="n">
        <f aca="false">IF(AND(C392=1,B392&lt;Controls!$B$12),1,0)</f>
        <v>1</v>
      </c>
      <c r="E392" s="11" t="n">
        <f aca="false">IF(D392=1,SUMPRODUCT((Costs!$B$4:$B$903=A392)*(Costs!$D$4:$D$903="planned")*(Costs!$J$4:$J$903&lt;=B392)*(Costs!$K$4:$K$903&gt;B392)*Costs!$E$4:$E$903),0)</f>
        <v>0</v>
      </c>
      <c r="F392" s="11" t="n">
        <f aca="false">IF(D392=1,SUMIFS(Benefits!$S$4:$S$703,Benefits!$B$4:$B$703,A392,Benefits!$F$4:$F$703,B392,Benefits!$R$4:$R$703,"cash"),0)</f>
        <v>0</v>
      </c>
      <c r="G392" s="11" t="n">
        <f aca="false">IF(D392=1,SUMIFS(Benefits!$S$4:$S$703,Benefits!$B$4:$B$703,A392,Benefits!$F$4:$F$703,B392,Benefits!$R$4:$R$703,"revenue"),0)</f>
        <v>0</v>
      </c>
      <c r="H392" s="11" t="n">
        <f aca="false">IF(D392=1,SUMIFS(Benefits!$S$4:$S$703,Benefits!$B$4:$B$703,A392,Benefits!$F$4:$F$703,B392,Benefits!$R$4:$R$703,"avoided_cost_realised"),0)</f>
        <v>0</v>
      </c>
      <c r="I392" s="11" t="n">
        <f aca="false">IF(D392=1,SUMIFS(Benefits!$S$4:$S$703,Benefits!$B$4:$B$703,A392,Benefits!$F$4:$F$703,B392,Benefits!$R$4:$R$703,"capacity_converted"),0)</f>
        <v>0</v>
      </c>
      <c r="J392" s="11" t="n">
        <f aca="false">SUM(F392:I392)</f>
        <v>0</v>
      </c>
      <c r="K392" s="11" t="n">
        <f aca="false">J392-E392</f>
        <v>0</v>
      </c>
      <c r="L392" s="11" t="n">
        <f aca="false">IF(D392=1,L391+K392,0)</f>
        <v>113100</v>
      </c>
      <c r="M392" s="11" t="n">
        <f aca="false">IF(D392=1,1/(1+Controls!$B$11)^B392,0)</f>
        <v>0.835625339401986</v>
      </c>
      <c r="N392" s="11" t="n">
        <f aca="false">K392*M392</f>
        <v>0</v>
      </c>
      <c r="O392" s="11" t="n">
        <f aca="false">IF(D392=1,O391+N392,0)</f>
        <v>84012.7587897636</v>
      </c>
      <c r="P392" s="11" t="n">
        <f aca="false">IF(AND(D392=1,L392&lt;0),1,0)</f>
        <v>0</v>
      </c>
      <c r="Q392" s="11" t="n">
        <f aca="false">IF(AND(D392=1,O392&lt;0),1,0)</f>
        <v>0</v>
      </c>
    </row>
    <row r="393" customFormat="false" ht="15" hidden="false" customHeight="false" outlineLevel="0" collapsed="false">
      <c r="A393" s="4" t="s">
        <v>93</v>
      </c>
      <c r="B393" s="4" t="n">
        <v>29</v>
      </c>
      <c r="C393" s="11" t="n">
        <f aca="false">IF(COUNTIF('Scenario inputs'!$A$4:$A$213,Controls!$B$3&amp;"|"&amp;A393)&gt;0,1,0)</f>
        <v>1</v>
      </c>
      <c r="D393" s="11" t="n">
        <f aca="false">IF(AND(C393=1,B393&lt;Controls!$B$12),1,0)</f>
        <v>1</v>
      </c>
      <c r="E393" s="11" t="n">
        <f aca="false">IF(D393=1,SUMPRODUCT((Costs!$B$4:$B$903=A393)*(Costs!$D$4:$D$903="planned")*(Costs!$J$4:$J$903&lt;=B393)*(Costs!$K$4:$K$903&gt;B393)*Costs!$E$4:$E$903),0)</f>
        <v>0</v>
      </c>
      <c r="F393" s="11" t="n">
        <f aca="false">IF(D393=1,SUMIFS(Benefits!$S$4:$S$703,Benefits!$B$4:$B$703,A393,Benefits!$F$4:$F$703,B393,Benefits!$R$4:$R$703,"cash"),0)</f>
        <v>0</v>
      </c>
      <c r="G393" s="11" t="n">
        <f aca="false">IF(D393=1,SUMIFS(Benefits!$S$4:$S$703,Benefits!$B$4:$B$703,A393,Benefits!$F$4:$F$703,B393,Benefits!$R$4:$R$703,"revenue"),0)</f>
        <v>0</v>
      </c>
      <c r="H393" s="11" t="n">
        <f aca="false">IF(D393=1,SUMIFS(Benefits!$S$4:$S$703,Benefits!$B$4:$B$703,A393,Benefits!$F$4:$F$703,B393,Benefits!$R$4:$R$703,"avoided_cost_realised"),0)</f>
        <v>0</v>
      </c>
      <c r="I393" s="11" t="n">
        <f aca="false">IF(D393=1,SUMIFS(Benefits!$S$4:$S$703,Benefits!$B$4:$B$703,A393,Benefits!$F$4:$F$703,B393,Benefits!$R$4:$R$703,"capacity_converted"),0)</f>
        <v>0</v>
      </c>
      <c r="J393" s="11" t="n">
        <f aca="false">SUM(F393:I393)</f>
        <v>0</v>
      </c>
      <c r="K393" s="11" t="n">
        <f aca="false">J393-E393</f>
        <v>0</v>
      </c>
      <c r="L393" s="11" t="n">
        <f aca="false">IF(D393=1,L392+K393,0)</f>
        <v>113100</v>
      </c>
      <c r="M393" s="11" t="n">
        <f aca="false">IF(D393=1,1/(1+Controls!$B$11)^B393,0)</f>
        <v>0.830283296671204</v>
      </c>
      <c r="N393" s="11" t="n">
        <f aca="false">K393*M393</f>
        <v>0</v>
      </c>
      <c r="O393" s="11" t="n">
        <f aca="false">IF(D393=1,O392+N393,0)</f>
        <v>84012.7587897636</v>
      </c>
      <c r="P393" s="11" t="n">
        <f aca="false">IF(AND(D393=1,L393&lt;0),1,0)</f>
        <v>0</v>
      </c>
      <c r="Q393" s="11" t="n">
        <f aca="false">IF(AND(D393=1,O393&lt;0),1,0)</f>
        <v>0</v>
      </c>
    </row>
    <row r="394" customFormat="false" ht="15" hidden="false" customHeight="false" outlineLevel="0" collapsed="false">
      <c r="A394" s="4" t="s">
        <v>93</v>
      </c>
      <c r="B394" s="4" t="n">
        <v>30</v>
      </c>
      <c r="C394" s="11" t="n">
        <f aca="false">IF(COUNTIF('Scenario inputs'!$A$4:$A$213,Controls!$B$3&amp;"|"&amp;A394)&gt;0,1,0)</f>
        <v>1</v>
      </c>
      <c r="D394" s="11" t="n">
        <f aca="false">IF(AND(C394=1,B394&lt;Controls!$B$12),1,0)</f>
        <v>1</v>
      </c>
      <c r="E394" s="11" t="n">
        <f aca="false">IF(D394=1,SUMPRODUCT((Costs!$B$4:$B$903=A394)*(Costs!$D$4:$D$903="planned")*(Costs!$J$4:$J$903&lt;=B394)*(Costs!$K$4:$K$903&gt;B394)*Costs!$E$4:$E$903),0)</f>
        <v>0</v>
      </c>
      <c r="F394" s="11" t="n">
        <f aca="false">IF(D394=1,SUMIFS(Benefits!$S$4:$S$703,Benefits!$B$4:$B$703,A394,Benefits!$F$4:$F$703,B394,Benefits!$R$4:$R$703,"cash"),0)</f>
        <v>0</v>
      </c>
      <c r="G394" s="11" t="n">
        <f aca="false">IF(D394=1,SUMIFS(Benefits!$S$4:$S$703,Benefits!$B$4:$B$703,A394,Benefits!$F$4:$F$703,B394,Benefits!$R$4:$R$703,"revenue"),0)</f>
        <v>0</v>
      </c>
      <c r="H394" s="11" t="n">
        <f aca="false">IF(D394=1,SUMIFS(Benefits!$S$4:$S$703,Benefits!$B$4:$B$703,A394,Benefits!$F$4:$F$703,B394,Benefits!$R$4:$R$703,"avoided_cost_realised"),0)</f>
        <v>0</v>
      </c>
      <c r="I394" s="11" t="n">
        <f aca="false">IF(D394=1,SUMIFS(Benefits!$S$4:$S$703,Benefits!$B$4:$B$703,A394,Benefits!$F$4:$F$703,B394,Benefits!$R$4:$R$703,"capacity_converted"),0)</f>
        <v>0</v>
      </c>
      <c r="J394" s="11" t="n">
        <f aca="false">SUM(F394:I394)</f>
        <v>0</v>
      </c>
      <c r="K394" s="11" t="n">
        <f aca="false">J394-E394</f>
        <v>0</v>
      </c>
      <c r="L394" s="11" t="n">
        <f aca="false">IF(D394=1,L393+K394,0)</f>
        <v>113100</v>
      </c>
      <c r="M394" s="11" t="n">
        <f aca="false">IF(D394=1,1/(1+Controls!$B$11)^B394,0)</f>
        <v>0.824975404915974</v>
      </c>
      <c r="N394" s="11" t="n">
        <f aca="false">K394*M394</f>
        <v>0</v>
      </c>
      <c r="O394" s="11" t="n">
        <f aca="false">IF(D394=1,O393+N394,0)</f>
        <v>84012.7587897636</v>
      </c>
      <c r="P394" s="11" t="n">
        <f aca="false">IF(AND(D394=1,L394&lt;0),1,0)</f>
        <v>0</v>
      </c>
      <c r="Q394" s="11" t="n">
        <f aca="false">IF(AND(D394=1,O394&lt;0),1,0)</f>
        <v>0</v>
      </c>
    </row>
    <row r="395" customFormat="false" ht="15" hidden="false" customHeight="false" outlineLevel="0" collapsed="false">
      <c r="A395" s="4" t="s">
        <v>93</v>
      </c>
      <c r="B395" s="4" t="n">
        <v>31</v>
      </c>
      <c r="C395" s="11" t="n">
        <f aca="false">IF(COUNTIF('Scenario inputs'!$A$4:$A$213,Controls!$B$3&amp;"|"&amp;A395)&gt;0,1,0)</f>
        <v>1</v>
      </c>
      <c r="D395" s="11" t="n">
        <f aca="false">IF(AND(C395=1,B395&lt;Controls!$B$12),1,0)</f>
        <v>1</v>
      </c>
      <c r="E395" s="11" t="n">
        <f aca="false">IF(D395=1,SUMPRODUCT((Costs!$B$4:$B$903=A395)*(Costs!$D$4:$D$903="planned")*(Costs!$J$4:$J$903&lt;=B395)*(Costs!$K$4:$K$903&gt;B395)*Costs!$E$4:$E$903),0)</f>
        <v>0</v>
      </c>
      <c r="F395" s="11" t="n">
        <f aca="false">IF(D395=1,SUMIFS(Benefits!$S$4:$S$703,Benefits!$B$4:$B$703,A395,Benefits!$F$4:$F$703,B395,Benefits!$R$4:$R$703,"cash"),0)</f>
        <v>0</v>
      </c>
      <c r="G395" s="11" t="n">
        <f aca="false">IF(D395=1,SUMIFS(Benefits!$S$4:$S$703,Benefits!$B$4:$B$703,A395,Benefits!$F$4:$F$703,B395,Benefits!$R$4:$R$703,"revenue"),0)</f>
        <v>0</v>
      </c>
      <c r="H395" s="11" t="n">
        <f aca="false">IF(D395=1,SUMIFS(Benefits!$S$4:$S$703,Benefits!$B$4:$B$703,A395,Benefits!$F$4:$F$703,B395,Benefits!$R$4:$R$703,"avoided_cost_realised"),0)</f>
        <v>0</v>
      </c>
      <c r="I395" s="11" t="n">
        <f aca="false">IF(D395=1,SUMIFS(Benefits!$S$4:$S$703,Benefits!$B$4:$B$703,A395,Benefits!$F$4:$F$703,B395,Benefits!$R$4:$R$703,"capacity_converted"),0)</f>
        <v>0</v>
      </c>
      <c r="J395" s="11" t="n">
        <f aca="false">SUM(F395:I395)</f>
        <v>0</v>
      </c>
      <c r="K395" s="11" t="n">
        <f aca="false">J395-E395</f>
        <v>0</v>
      </c>
      <c r="L395" s="11" t="n">
        <f aca="false">IF(D395=1,L394+K395,0)</f>
        <v>113100</v>
      </c>
      <c r="M395" s="11" t="n">
        <f aca="false">IF(D395=1,1/(1+Controls!$B$11)^B395,0)</f>
        <v>0.81970144581361</v>
      </c>
      <c r="N395" s="11" t="n">
        <f aca="false">K395*M395</f>
        <v>0</v>
      </c>
      <c r="O395" s="11" t="n">
        <f aca="false">IF(D395=1,O394+N395,0)</f>
        <v>84012.7587897636</v>
      </c>
      <c r="P395" s="11" t="n">
        <f aca="false">IF(AND(D395=1,L395&lt;0),1,0)</f>
        <v>0</v>
      </c>
      <c r="Q395" s="11" t="n">
        <f aca="false">IF(AND(D395=1,O395&lt;0),1,0)</f>
        <v>0</v>
      </c>
    </row>
    <row r="396" customFormat="false" ht="15" hidden="false" customHeight="false" outlineLevel="0" collapsed="false">
      <c r="A396" s="4" t="s">
        <v>93</v>
      </c>
      <c r="B396" s="4" t="n">
        <v>32</v>
      </c>
      <c r="C396" s="11" t="n">
        <f aca="false">IF(COUNTIF('Scenario inputs'!$A$4:$A$213,Controls!$B$3&amp;"|"&amp;A396)&gt;0,1,0)</f>
        <v>1</v>
      </c>
      <c r="D396" s="11" t="n">
        <f aca="false">IF(AND(C396=1,B396&lt;Controls!$B$12),1,0)</f>
        <v>1</v>
      </c>
      <c r="E396" s="11" t="n">
        <f aca="false">IF(D396=1,SUMPRODUCT((Costs!$B$4:$B$903=A396)*(Costs!$D$4:$D$903="planned")*(Costs!$J$4:$J$903&lt;=B396)*(Costs!$K$4:$K$903&gt;B396)*Costs!$E$4:$E$903),0)</f>
        <v>0</v>
      </c>
      <c r="F396" s="11" t="n">
        <f aca="false">IF(D396=1,SUMIFS(Benefits!$S$4:$S$703,Benefits!$B$4:$B$703,A396,Benefits!$F$4:$F$703,B396,Benefits!$R$4:$R$703,"cash"),0)</f>
        <v>0</v>
      </c>
      <c r="G396" s="11" t="n">
        <f aca="false">IF(D396=1,SUMIFS(Benefits!$S$4:$S$703,Benefits!$B$4:$B$703,A396,Benefits!$F$4:$F$703,B396,Benefits!$R$4:$R$703,"revenue"),0)</f>
        <v>0</v>
      </c>
      <c r="H396" s="11" t="n">
        <f aca="false">IF(D396=1,SUMIFS(Benefits!$S$4:$S$703,Benefits!$B$4:$B$703,A396,Benefits!$F$4:$F$703,B396,Benefits!$R$4:$R$703,"avoided_cost_realised"),0)</f>
        <v>0</v>
      </c>
      <c r="I396" s="11" t="n">
        <f aca="false">IF(D396=1,SUMIFS(Benefits!$S$4:$S$703,Benefits!$B$4:$B$703,A396,Benefits!$F$4:$F$703,B396,Benefits!$R$4:$R$703,"capacity_converted"),0)</f>
        <v>0</v>
      </c>
      <c r="J396" s="11" t="n">
        <f aca="false">SUM(F396:I396)</f>
        <v>0</v>
      </c>
      <c r="K396" s="11" t="n">
        <f aca="false">J396-E396</f>
        <v>0</v>
      </c>
      <c r="L396" s="11" t="n">
        <f aca="false">IF(D396=1,L395+K396,0)</f>
        <v>113100</v>
      </c>
      <c r="M396" s="11" t="n">
        <f aca="false">IF(D396=1,1/(1+Controls!$B$11)^B396,0)</f>
        <v>0.814461202437129</v>
      </c>
      <c r="N396" s="11" t="n">
        <f aca="false">K396*M396</f>
        <v>0</v>
      </c>
      <c r="O396" s="11" t="n">
        <f aca="false">IF(D396=1,O395+N396,0)</f>
        <v>84012.7587897636</v>
      </c>
      <c r="P396" s="11" t="n">
        <f aca="false">IF(AND(D396=1,L396&lt;0),1,0)</f>
        <v>0</v>
      </c>
      <c r="Q396" s="11" t="n">
        <f aca="false">IF(AND(D396=1,O396&lt;0),1,0)</f>
        <v>0</v>
      </c>
    </row>
    <row r="397" customFormat="false" ht="15" hidden="false" customHeight="false" outlineLevel="0" collapsed="false">
      <c r="A397" s="4" t="s">
        <v>93</v>
      </c>
      <c r="B397" s="4" t="n">
        <v>33</v>
      </c>
      <c r="C397" s="11" t="n">
        <f aca="false">IF(COUNTIF('Scenario inputs'!$A$4:$A$213,Controls!$B$3&amp;"|"&amp;A397)&gt;0,1,0)</f>
        <v>1</v>
      </c>
      <c r="D397" s="11" t="n">
        <f aca="false">IF(AND(C397=1,B397&lt;Controls!$B$12),1,0)</f>
        <v>1</v>
      </c>
      <c r="E397" s="11" t="n">
        <f aca="false">IF(D397=1,SUMPRODUCT((Costs!$B$4:$B$903=A397)*(Costs!$D$4:$D$903="planned")*(Costs!$J$4:$J$903&lt;=B397)*(Costs!$K$4:$K$903&gt;B397)*Costs!$E$4:$E$903),0)</f>
        <v>0</v>
      </c>
      <c r="F397" s="11" t="n">
        <f aca="false">IF(D397=1,SUMIFS(Benefits!$S$4:$S$703,Benefits!$B$4:$B$703,A397,Benefits!$F$4:$F$703,B397,Benefits!$R$4:$R$703,"cash"),0)</f>
        <v>0</v>
      </c>
      <c r="G397" s="11" t="n">
        <f aca="false">IF(D397=1,SUMIFS(Benefits!$S$4:$S$703,Benefits!$B$4:$B$703,A397,Benefits!$F$4:$F$703,B397,Benefits!$R$4:$R$703,"revenue"),0)</f>
        <v>0</v>
      </c>
      <c r="H397" s="11" t="n">
        <f aca="false">IF(D397=1,SUMIFS(Benefits!$S$4:$S$703,Benefits!$B$4:$B$703,A397,Benefits!$F$4:$F$703,B397,Benefits!$R$4:$R$703,"avoided_cost_realised"),0)</f>
        <v>0</v>
      </c>
      <c r="I397" s="11" t="n">
        <f aca="false">IF(D397=1,SUMIFS(Benefits!$S$4:$S$703,Benefits!$B$4:$B$703,A397,Benefits!$F$4:$F$703,B397,Benefits!$R$4:$R$703,"capacity_converted"),0)</f>
        <v>0</v>
      </c>
      <c r="J397" s="11" t="n">
        <f aca="false">SUM(F397:I397)</f>
        <v>0</v>
      </c>
      <c r="K397" s="11" t="n">
        <f aca="false">J397-E397</f>
        <v>0</v>
      </c>
      <c r="L397" s="11" t="n">
        <f aca="false">IF(D397=1,L396+K397,0)</f>
        <v>113100</v>
      </c>
      <c r="M397" s="11" t="n">
        <f aca="false">IF(D397=1,1/(1+Controls!$B$11)^B397,0)</f>
        <v>0.809254459246338</v>
      </c>
      <c r="N397" s="11" t="n">
        <f aca="false">K397*M397</f>
        <v>0</v>
      </c>
      <c r="O397" s="11" t="n">
        <f aca="false">IF(D397=1,O396+N397,0)</f>
        <v>84012.7587897636</v>
      </c>
      <c r="P397" s="11" t="n">
        <f aca="false">IF(AND(D397=1,L397&lt;0),1,0)</f>
        <v>0</v>
      </c>
      <c r="Q397" s="11" t="n">
        <f aca="false">IF(AND(D397=1,O397&lt;0),1,0)</f>
        <v>0</v>
      </c>
    </row>
    <row r="398" customFormat="false" ht="15" hidden="false" customHeight="false" outlineLevel="0" collapsed="false">
      <c r="A398" s="4" t="s">
        <v>93</v>
      </c>
      <c r="B398" s="4" t="n">
        <v>34</v>
      </c>
      <c r="C398" s="11" t="n">
        <f aca="false">IF(COUNTIF('Scenario inputs'!$A$4:$A$213,Controls!$B$3&amp;"|"&amp;A398)&gt;0,1,0)</f>
        <v>1</v>
      </c>
      <c r="D398" s="11" t="n">
        <f aca="false">IF(AND(C398=1,B398&lt;Controls!$B$12),1,0)</f>
        <v>1</v>
      </c>
      <c r="E398" s="11" t="n">
        <f aca="false">IF(D398=1,SUMPRODUCT((Costs!$B$4:$B$903=A398)*(Costs!$D$4:$D$903="planned")*(Costs!$J$4:$J$903&lt;=B398)*(Costs!$K$4:$K$903&gt;B398)*Costs!$E$4:$E$903),0)</f>
        <v>0</v>
      </c>
      <c r="F398" s="11" t="n">
        <f aca="false">IF(D398=1,SUMIFS(Benefits!$S$4:$S$703,Benefits!$B$4:$B$703,A398,Benefits!$F$4:$F$703,B398,Benefits!$R$4:$R$703,"cash"),0)</f>
        <v>0</v>
      </c>
      <c r="G398" s="11" t="n">
        <f aca="false">IF(D398=1,SUMIFS(Benefits!$S$4:$S$703,Benefits!$B$4:$B$703,A398,Benefits!$F$4:$F$703,B398,Benefits!$R$4:$R$703,"revenue"),0)</f>
        <v>0</v>
      </c>
      <c r="H398" s="11" t="n">
        <f aca="false">IF(D398=1,SUMIFS(Benefits!$S$4:$S$703,Benefits!$B$4:$B$703,A398,Benefits!$F$4:$F$703,B398,Benefits!$R$4:$R$703,"avoided_cost_realised"),0)</f>
        <v>0</v>
      </c>
      <c r="I398" s="11" t="n">
        <f aca="false">IF(D398=1,SUMIFS(Benefits!$S$4:$S$703,Benefits!$B$4:$B$703,A398,Benefits!$F$4:$F$703,B398,Benefits!$R$4:$R$703,"capacity_converted"),0)</f>
        <v>0</v>
      </c>
      <c r="J398" s="11" t="n">
        <f aca="false">SUM(F398:I398)</f>
        <v>0</v>
      </c>
      <c r="K398" s="11" t="n">
        <f aca="false">J398-E398</f>
        <v>0</v>
      </c>
      <c r="L398" s="11" t="n">
        <f aca="false">IF(D398=1,L397+K398,0)</f>
        <v>113100</v>
      </c>
      <c r="M398" s="11" t="n">
        <f aca="false">IF(D398=1,1/(1+Controls!$B$11)^B398,0)</f>
        <v>0.804081002078962</v>
      </c>
      <c r="N398" s="11" t="n">
        <f aca="false">K398*M398</f>
        <v>0</v>
      </c>
      <c r="O398" s="11" t="n">
        <f aca="false">IF(D398=1,O397+N398,0)</f>
        <v>84012.7587897636</v>
      </c>
      <c r="P398" s="11" t="n">
        <f aca="false">IF(AND(D398=1,L398&lt;0),1,0)</f>
        <v>0</v>
      </c>
      <c r="Q398" s="11" t="n">
        <f aca="false">IF(AND(D398=1,O398&lt;0),1,0)</f>
        <v>0</v>
      </c>
    </row>
    <row r="399" customFormat="false" ht="15" hidden="false" customHeight="false" outlineLevel="0" collapsed="false">
      <c r="A399" s="4" t="s">
        <v>93</v>
      </c>
      <c r="B399" s="4" t="n">
        <v>35</v>
      </c>
      <c r="C399" s="11" t="n">
        <f aca="false">IF(COUNTIF('Scenario inputs'!$A$4:$A$213,Controls!$B$3&amp;"|"&amp;A399)&gt;0,1,0)</f>
        <v>1</v>
      </c>
      <c r="D399" s="11" t="n">
        <f aca="false">IF(AND(C399=1,B399&lt;Controls!$B$12),1,0)</f>
        <v>1</v>
      </c>
      <c r="E399" s="11" t="n">
        <f aca="false">IF(D399=1,SUMPRODUCT((Costs!$B$4:$B$903=A399)*(Costs!$D$4:$D$903="planned")*(Costs!$J$4:$J$903&lt;=B399)*(Costs!$K$4:$K$903&gt;B399)*Costs!$E$4:$E$903),0)</f>
        <v>0</v>
      </c>
      <c r="F399" s="11" t="n">
        <f aca="false">IF(D399=1,SUMIFS(Benefits!$S$4:$S$703,Benefits!$B$4:$B$703,A399,Benefits!$F$4:$F$703,B399,Benefits!$R$4:$R$703,"cash"),0)</f>
        <v>0</v>
      </c>
      <c r="G399" s="11" t="n">
        <f aca="false">IF(D399=1,SUMIFS(Benefits!$S$4:$S$703,Benefits!$B$4:$B$703,A399,Benefits!$F$4:$F$703,B399,Benefits!$R$4:$R$703,"revenue"),0)</f>
        <v>0</v>
      </c>
      <c r="H399" s="11" t="n">
        <f aca="false">IF(D399=1,SUMIFS(Benefits!$S$4:$S$703,Benefits!$B$4:$B$703,A399,Benefits!$F$4:$F$703,B399,Benefits!$R$4:$R$703,"avoided_cost_realised"),0)</f>
        <v>0</v>
      </c>
      <c r="I399" s="11" t="n">
        <f aca="false">IF(D399=1,SUMIFS(Benefits!$S$4:$S$703,Benefits!$B$4:$B$703,A399,Benefits!$F$4:$F$703,B399,Benefits!$R$4:$R$703,"capacity_converted"),0)</f>
        <v>0</v>
      </c>
      <c r="J399" s="11" t="n">
        <f aca="false">SUM(F399:I399)</f>
        <v>0</v>
      </c>
      <c r="K399" s="11" t="n">
        <f aca="false">J399-E399</f>
        <v>0</v>
      </c>
      <c r="L399" s="11" t="n">
        <f aca="false">IF(D399=1,L398+K399,0)</f>
        <v>113100</v>
      </c>
      <c r="M399" s="11" t="n">
        <f aca="false">IF(D399=1,1/(1+Controls!$B$11)^B399,0)</f>
        <v>0.798940618141837</v>
      </c>
      <c r="N399" s="11" t="n">
        <f aca="false">K399*M399</f>
        <v>0</v>
      </c>
      <c r="O399" s="11" t="n">
        <f aca="false">IF(D399=1,O398+N399,0)</f>
        <v>84012.7587897636</v>
      </c>
      <c r="P399" s="11" t="n">
        <f aca="false">IF(AND(D399=1,L399&lt;0),1,0)</f>
        <v>0</v>
      </c>
      <c r="Q399" s="11" t="n">
        <f aca="false">IF(AND(D399=1,O399&lt;0),1,0)</f>
        <v>0</v>
      </c>
    </row>
    <row r="400" customFormat="false" ht="15" hidden="false" customHeight="false" outlineLevel="0" collapsed="false">
      <c r="A400" s="4" t="s">
        <v>94</v>
      </c>
      <c r="B400" s="4" t="n">
        <v>0</v>
      </c>
      <c r="C400" s="11" t="n">
        <f aca="false">IF(COUNTIF('Scenario inputs'!$A$4:$A$213,Controls!$B$3&amp;"|"&amp;A400)&gt;0,1,0)</f>
        <v>1</v>
      </c>
      <c r="D400" s="11" t="n">
        <f aca="false">IF(AND(C400=1,B400&lt;Controls!$B$12),1,0)</f>
        <v>1</v>
      </c>
      <c r="E400" s="11" t="n">
        <f aca="false">IF(D400=1,SUMPRODUCT((Costs!$B$4:$B$903=A400)*(Costs!$D$4:$D$903="planned")*(Costs!$J$4:$J$903&lt;=B400)*(Costs!$K$4:$K$903&gt;B400)*Costs!$E$4:$E$903),0)</f>
        <v>15000</v>
      </c>
      <c r="F400" s="11" t="n">
        <f aca="false">IF(D400=1,SUMIFS(Benefits!$S$4:$S$703,Benefits!$B$4:$B$703,A400,Benefits!$F$4:$F$703,B400,Benefits!$R$4:$R$703,"cash"),0)</f>
        <v>0</v>
      </c>
      <c r="G400" s="11" t="n">
        <f aca="false">IF(D400=1,SUMIFS(Benefits!$S$4:$S$703,Benefits!$B$4:$B$703,A400,Benefits!$F$4:$F$703,B400,Benefits!$R$4:$R$703,"revenue"),0)</f>
        <v>0</v>
      </c>
      <c r="H400" s="11" t="n">
        <f aca="false">IF(D400=1,SUMIFS(Benefits!$S$4:$S$703,Benefits!$B$4:$B$703,A400,Benefits!$F$4:$F$703,B400,Benefits!$R$4:$R$703,"avoided_cost_realised"),0)</f>
        <v>0</v>
      </c>
      <c r="I400" s="11" t="n">
        <f aca="false">IF(D400=1,SUMIFS(Benefits!$S$4:$S$703,Benefits!$B$4:$B$703,A400,Benefits!$F$4:$F$703,B400,Benefits!$R$4:$R$703,"capacity_converted"),0)</f>
        <v>0</v>
      </c>
      <c r="J400" s="11" t="n">
        <f aca="false">SUM(F400:I400)</f>
        <v>0</v>
      </c>
      <c r="K400" s="11" t="n">
        <f aca="false">J400-E400</f>
        <v>-15000</v>
      </c>
      <c r="L400" s="11" t="n">
        <f aca="false">IF(D400=1,K400,0)</f>
        <v>-15000</v>
      </c>
      <c r="M400" s="11" t="n">
        <f aca="false">IF(D400=1,1/(1+Controls!$B$11)^B400,0)</f>
        <v>1</v>
      </c>
      <c r="N400" s="11" t="n">
        <f aca="false">K400*M400</f>
        <v>-15000</v>
      </c>
      <c r="O400" s="11" t="n">
        <f aca="false">IF(D400=1,N400,0)</f>
        <v>-15000</v>
      </c>
      <c r="P400" s="11" t="n">
        <f aca="false">IF(AND(D400=1,L400&lt;0),1,0)</f>
        <v>1</v>
      </c>
      <c r="Q400" s="11" t="n">
        <f aca="false">IF(AND(D400=1,O400&lt;0),1,0)</f>
        <v>1</v>
      </c>
    </row>
    <row r="401" customFormat="false" ht="15" hidden="false" customHeight="false" outlineLevel="0" collapsed="false">
      <c r="A401" s="4" t="s">
        <v>94</v>
      </c>
      <c r="B401" s="4" t="n">
        <v>1</v>
      </c>
      <c r="C401" s="11" t="n">
        <f aca="false">IF(COUNTIF('Scenario inputs'!$A$4:$A$213,Controls!$B$3&amp;"|"&amp;A401)&gt;0,1,0)</f>
        <v>1</v>
      </c>
      <c r="D401" s="11" t="n">
        <f aca="false">IF(AND(C401=1,B401&lt;Controls!$B$12),1,0)</f>
        <v>1</v>
      </c>
      <c r="E401" s="11" t="n">
        <f aca="false">IF(D401=1,SUMPRODUCT((Costs!$B$4:$B$903=A401)*(Costs!$D$4:$D$903="planned")*(Costs!$J$4:$J$903&lt;=B401)*(Costs!$K$4:$K$903&gt;B401)*Costs!$E$4:$E$903),0)</f>
        <v>0</v>
      </c>
      <c r="F401" s="11" t="n">
        <f aca="false">IF(D401=1,SUMIFS(Benefits!$S$4:$S$703,Benefits!$B$4:$B$703,A401,Benefits!$F$4:$F$703,B401,Benefits!$R$4:$R$703,"cash"),0)</f>
        <v>0</v>
      </c>
      <c r="G401" s="11" t="n">
        <f aca="false">IF(D401=1,SUMIFS(Benefits!$S$4:$S$703,Benefits!$B$4:$B$703,A401,Benefits!$F$4:$F$703,B401,Benefits!$R$4:$R$703,"revenue"),0)</f>
        <v>0</v>
      </c>
      <c r="H401" s="11" t="n">
        <f aca="false">IF(D401=1,SUMIFS(Benefits!$S$4:$S$703,Benefits!$B$4:$B$703,A401,Benefits!$F$4:$F$703,B401,Benefits!$R$4:$R$703,"avoided_cost_realised"),0)</f>
        <v>0</v>
      </c>
      <c r="I401" s="11" t="n">
        <f aca="false">IF(D401=1,SUMIFS(Benefits!$S$4:$S$703,Benefits!$B$4:$B$703,A401,Benefits!$F$4:$F$703,B401,Benefits!$R$4:$R$703,"capacity_converted"),0)</f>
        <v>0</v>
      </c>
      <c r="J401" s="11" t="n">
        <f aca="false">SUM(F401:I401)</f>
        <v>0</v>
      </c>
      <c r="K401" s="11" t="n">
        <f aca="false">J401-E401</f>
        <v>0</v>
      </c>
      <c r="L401" s="11" t="n">
        <f aca="false">IF(D401=1,L400+K401,0)</f>
        <v>-15000</v>
      </c>
      <c r="M401" s="11" t="n">
        <f aca="false">IF(D401=1,1/(1+Controls!$B$11)^B401,0)</f>
        <v>0.993607131714549</v>
      </c>
      <c r="N401" s="11" t="n">
        <f aca="false">K401*M401</f>
        <v>0</v>
      </c>
      <c r="O401" s="11" t="n">
        <f aca="false">IF(D401=1,O400+N401,0)</f>
        <v>-15000</v>
      </c>
      <c r="P401" s="11" t="n">
        <f aca="false">IF(AND(D401=1,L401&lt;0),1,0)</f>
        <v>1</v>
      </c>
      <c r="Q401" s="11" t="n">
        <f aca="false">IF(AND(D401=1,O401&lt;0),1,0)</f>
        <v>1</v>
      </c>
    </row>
    <row r="402" customFormat="false" ht="15" hidden="false" customHeight="false" outlineLevel="0" collapsed="false">
      <c r="A402" s="4" t="s">
        <v>94</v>
      </c>
      <c r="B402" s="4" t="n">
        <v>2</v>
      </c>
      <c r="C402" s="11" t="n">
        <f aca="false">IF(COUNTIF('Scenario inputs'!$A$4:$A$213,Controls!$B$3&amp;"|"&amp;A402)&gt;0,1,0)</f>
        <v>1</v>
      </c>
      <c r="D402" s="11" t="n">
        <f aca="false">IF(AND(C402=1,B402&lt;Controls!$B$12),1,0)</f>
        <v>1</v>
      </c>
      <c r="E402" s="11" t="n">
        <f aca="false">IF(D402=1,SUMPRODUCT((Costs!$B$4:$B$903=A402)*(Costs!$D$4:$D$903="planned")*(Costs!$J$4:$J$903&lt;=B402)*(Costs!$K$4:$K$903&gt;B402)*Costs!$E$4:$E$903),0)</f>
        <v>0</v>
      </c>
      <c r="F402" s="11" t="n">
        <f aca="false">IF(D402=1,SUMIFS(Benefits!$S$4:$S$703,Benefits!$B$4:$B$703,A402,Benefits!$F$4:$F$703,B402,Benefits!$R$4:$R$703,"cash"),0)</f>
        <v>0</v>
      </c>
      <c r="G402" s="11" t="n">
        <f aca="false">IF(D402=1,SUMIFS(Benefits!$S$4:$S$703,Benefits!$B$4:$B$703,A402,Benefits!$F$4:$F$703,B402,Benefits!$R$4:$R$703,"revenue"),0)</f>
        <v>0</v>
      </c>
      <c r="H402" s="11" t="n">
        <f aca="false">IF(D402=1,SUMIFS(Benefits!$S$4:$S$703,Benefits!$B$4:$B$703,A402,Benefits!$F$4:$F$703,B402,Benefits!$R$4:$R$703,"avoided_cost_realised"),0)</f>
        <v>0</v>
      </c>
      <c r="I402" s="11" t="n">
        <f aca="false">IF(D402=1,SUMIFS(Benefits!$S$4:$S$703,Benefits!$B$4:$B$703,A402,Benefits!$F$4:$F$703,B402,Benefits!$R$4:$R$703,"capacity_converted"),0)</f>
        <v>0</v>
      </c>
      <c r="J402" s="11" t="n">
        <f aca="false">SUM(F402:I402)</f>
        <v>0</v>
      </c>
      <c r="K402" s="11" t="n">
        <f aca="false">J402-E402</f>
        <v>0</v>
      </c>
      <c r="L402" s="11" t="n">
        <f aca="false">IF(D402=1,L401+K402,0)</f>
        <v>-15000</v>
      </c>
      <c r="M402" s="11" t="n">
        <f aca="false">IF(D402=1,1/(1+Controls!$B$11)^B402,0)</f>
        <v>0.987255132194012</v>
      </c>
      <c r="N402" s="11" t="n">
        <f aca="false">K402*M402</f>
        <v>0</v>
      </c>
      <c r="O402" s="11" t="n">
        <f aca="false">IF(D402=1,O401+N402,0)</f>
        <v>-15000</v>
      </c>
      <c r="P402" s="11" t="n">
        <f aca="false">IF(AND(D402=1,L402&lt;0),1,0)</f>
        <v>1</v>
      </c>
      <c r="Q402" s="11" t="n">
        <f aca="false">IF(AND(D402=1,O402&lt;0),1,0)</f>
        <v>1</v>
      </c>
    </row>
    <row r="403" customFormat="false" ht="15" hidden="false" customHeight="false" outlineLevel="0" collapsed="false">
      <c r="A403" s="4" t="s">
        <v>94</v>
      </c>
      <c r="B403" s="4" t="n">
        <v>3</v>
      </c>
      <c r="C403" s="11" t="n">
        <f aca="false">IF(COUNTIF('Scenario inputs'!$A$4:$A$213,Controls!$B$3&amp;"|"&amp;A403)&gt;0,1,0)</f>
        <v>1</v>
      </c>
      <c r="D403" s="11" t="n">
        <f aca="false">IF(AND(C403=1,B403&lt;Controls!$B$12),1,0)</f>
        <v>1</v>
      </c>
      <c r="E403" s="11" t="n">
        <f aca="false">IF(D403=1,SUMPRODUCT((Costs!$B$4:$B$903=A403)*(Costs!$D$4:$D$903="planned")*(Costs!$J$4:$J$903&lt;=B403)*(Costs!$K$4:$K$903&gt;B403)*Costs!$E$4:$E$903),0)</f>
        <v>0</v>
      </c>
      <c r="F403" s="11" t="n">
        <f aca="false">IF(D403=1,SUMIFS(Benefits!$S$4:$S$703,Benefits!$B$4:$B$703,A403,Benefits!$F$4:$F$703,B403,Benefits!$R$4:$R$703,"cash"),0)</f>
        <v>0</v>
      </c>
      <c r="G403" s="11" t="n">
        <f aca="false">IF(D403=1,SUMIFS(Benefits!$S$4:$S$703,Benefits!$B$4:$B$703,A403,Benefits!$F$4:$F$703,B403,Benefits!$R$4:$R$703,"revenue"),0)</f>
        <v>0</v>
      </c>
      <c r="H403" s="11" t="n">
        <f aca="false">IF(D403=1,SUMIFS(Benefits!$S$4:$S$703,Benefits!$B$4:$B$703,A403,Benefits!$F$4:$F$703,B403,Benefits!$R$4:$R$703,"avoided_cost_realised"),0)</f>
        <v>0</v>
      </c>
      <c r="I403" s="11" t="n">
        <f aca="false">IF(D403=1,SUMIFS(Benefits!$S$4:$S$703,Benefits!$B$4:$B$703,A403,Benefits!$F$4:$F$703,B403,Benefits!$R$4:$R$703,"capacity_converted"),0)</f>
        <v>0</v>
      </c>
      <c r="J403" s="11" t="n">
        <f aca="false">SUM(F403:I403)</f>
        <v>0</v>
      </c>
      <c r="K403" s="11" t="n">
        <f aca="false">J403-E403</f>
        <v>0</v>
      </c>
      <c r="L403" s="11" t="n">
        <f aca="false">IF(D403=1,L402+K403,0)</f>
        <v>-15000</v>
      </c>
      <c r="M403" s="11" t="n">
        <f aca="false">IF(D403=1,1/(1+Controls!$B$11)^B403,0)</f>
        <v>0.98094374016976</v>
      </c>
      <c r="N403" s="11" t="n">
        <f aca="false">K403*M403</f>
        <v>0</v>
      </c>
      <c r="O403" s="11" t="n">
        <f aca="false">IF(D403=1,O402+N403,0)</f>
        <v>-15000</v>
      </c>
      <c r="P403" s="11" t="n">
        <f aca="false">IF(AND(D403=1,L403&lt;0),1,0)</f>
        <v>1</v>
      </c>
      <c r="Q403" s="11" t="n">
        <f aca="false">IF(AND(D403=1,O403&lt;0),1,0)</f>
        <v>1</v>
      </c>
    </row>
    <row r="404" customFormat="false" ht="15" hidden="false" customHeight="false" outlineLevel="0" collapsed="false">
      <c r="A404" s="4" t="s">
        <v>94</v>
      </c>
      <c r="B404" s="4" t="n">
        <v>4</v>
      </c>
      <c r="C404" s="11" t="n">
        <f aca="false">IF(COUNTIF('Scenario inputs'!$A$4:$A$213,Controls!$B$3&amp;"|"&amp;A404)&gt;0,1,0)</f>
        <v>1</v>
      </c>
      <c r="D404" s="11" t="n">
        <f aca="false">IF(AND(C404=1,B404&lt;Controls!$B$12),1,0)</f>
        <v>1</v>
      </c>
      <c r="E404" s="11" t="n">
        <f aca="false">IF(D404=1,SUMPRODUCT((Costs!$B$4:$B$903=A404)*(Costs!$D$4:$D$903="planned")*(Costs!$J$4:$J$903&lt;=B404)*(Costs!$K$4:$K$903&gt;B404)*Costs!$E$4:$E$903),0)</f>
        <v>0</v>
      </c>
      <c r="F404" s="11" t="n">
        <f aca="false">IF(D404=1,SUMIFS(Benefits!$S$4:$S$703,Benefits!$B$4:$B$703,A404,Benefits!$F$4:$F$703,B404,Benefits!$R$4:$R$703,"cash"),0)</f>
        <v>0</v>
      </c>
      <c r="G404" s="11" t="n">
        <f aca="false">IF(D404=1,SUMIFS(Benefits!$S$4:$S$703,Benefits!$B$4:$B$703,A404,Benefits!$F$4:$F$703,B404,Benefits!$R$4:$R$703,"revenue"),0)</f>
        <v>0</v>
      </c>
      <c r="H404" s="11" t="n">
        <f aca="false">IF(D404=1,SUMIFS(Benefits!$S$4:$S$703,Benefits!$B$4:$B$703,A404,Benefits!$F$4:$F$703,B404,Benefits!$R$4:$R$703,"avoided_cost_realised"),0)</f>
        <v>0</v>
      </c>
      <c r="I404" s="11" t="n">
        <f aca="false">IF(D404=1,SUMIFS(Benefits!$S$4:$S$703,Benefits!$B$4:$B$703,A404,Benefits!$F$4:$F$703,B404,Benefits!$R$4:$R$703,"capacity_converted"),0)</f>
        <v>0</v>
      </c>
      <c r="J404" s="11" t="n">
        <f aca="false">SUM(F404:I404)</f>
        <v>0</v>
      </c>
      <c r="K404" s="11" t="n">
        <f aca="false">J404-E404</f>
        <v>0</v>
      </c>
      <c r="L404" s="11" t="n">
        <f aca="false">IF(D404=1,L403+K404,0)</f>
        <v>-15000</v>
      </c>
      <c r="M404" s="11" t="n">
        <f aca="false">IF(D404=1,1/(1+Controls!$B$11)^B404,0)</f>
        <v>0.974672696043417</v>
      </c>
      <c r="N404" s="11" t="n">
        <f aca="false">K404*M404</f>
        <v>0</v>
      </c>
      <c r="O404" s="11" t="n">
        <f aca="false">IF(D404=1,O403+N404,0)</f>
        <v>-15000</v>
      </c>
      <c r="P404" s="11" t="n">
        <f aca="false">IF(AND(D404=1,L404&lt;0),1,0)</f>
        <v>1</v>
      </c>
      <c r="Q404" s="11" t="n">
        <f aca="false">IF(AND(D404=1,O404&lt;0),1,0)</f>
        <v>1</v>
      </c>
    </row>
    <row r="405" customFormat="false" ht="15" hidden="false" customHeight="false" outlineLevel="0" collapsed="false">
      <c r="A405" s="4" t="s">
        <v>94</v>
      </c>
      <c r="B405" s="4" t="n">
        <v>5</v>
      </c>
      <c r="C405" s="11" t="n">
        <f aca="false">IF(COUNTIF('Scenario inputs'!$A$4:$A$213,Controls!$B$3&amp;"|"&amp;A405)&gt;0,1,0)</f>
        <v>1</v>
      </c>
      <c r="D405" s="11" t="n">
        <f aca="false">IF(AND(C405=1,B405&lt;Controls!$B$12),1,0)</f>
        <v>1</v>
      </c>
      <c r="E405" s="11" t="n">
        <f aca="false">IF(D405=1,SUMPRODUCT((Costs!$B$4:$B$903=A405)*(Costs!$D$4:$D$903="planned")*(Costs!$J$4:$J$903&lt;=B405)*(Costs!$K$4:$K$903&gt;B405)*Costs!$E$4:$E$903),0)</f>
        <v>0</v>
      </c>
      <c r="F405" s="11" t="n">
        <f aca="false">IF(D405=1,SUMIFS(Benefits!$S$4:$S$703,Benefits!$B$4:$B$703,A405,Benefits!$F$4:$F$703,B405,Benefits!$R$4:$R$703,"cash"),0)</f>
        <v>0</v>
      </c>
      <c r="G405" s="11" t="n">
        <f aca="false">IF(D405=1,SUMIFS(Benefits!$S$4:$S$703,Benefits!$B$4:$B$703,A405,Benefits!$F$4:$F$703,B405,Benefits!$R$4:$R$703,"revenue"),0)</f>
        <v>0</v>
      </c>
      <c r="H405" s="11" t="n">
        <f aca="false">IF(D405=1,SUMIFS(Benefits!$S$4:$S$703,Benefits!$B$4:$B$703,A405,Benefits!$F$4:$F$703,B405,Benefits!$R$4:$R$703,"avoided_cost_realised"),0)</f>
        <v>0</v>
      </c>
      <c r="I405" s="11" t="n">
        <f aca="false">IF(D405=1,SUMIFS(Benefits!$S$4:$S$703,Benefits!$B$4:$B$703,A405,Benefits!$F$4:$F$703,B405,Benefits!$R$4:$R$703,"capacity_converted"),0)</f>
        <v>0</v>
      </c>
      <c r="J405" s="11" t="n">
        <f aca="false">SUM(F405:I405)</f>
        <v>0</v>
      </c>
      <c r="K405" s="11" t="n">
        <f aca="false">J405-E405</f>
        <v>0</v>
      </c>
      <c r="L405" s="11" t="n">
        <f aca="false">IF(D405=1,L404+K405,0)</f>
        <v>-15000</v>
      </c>
      <c r="M405" s="11" t="n">
        <f aca="false">IF(D405=1,1/(1+Controls!$B$11)^B405,0)</f>
        <v>0.968441741876185</v>
      </c>
      <c r="N405" s="11" t="n">
        <f aca="false">K405*M405</f>
        <v>0</v>
      </c>
      <c r="O405" s="11" t="n">
        <f aca="false">IF(D405=1,O404+N405,0)</f>
        <v>-15000</v>
      </c>
      <c r="P405" s="11" t="n">
        <f aca="false">IF(AND(D405=1,L405&lt;0),1,0)</f>
        <v>1</v>
      </c>
      <c r="Q405" s="11" t="n">
        <f aca="false">IF(AND(D405=1,O405&lt;0),1,0)</f>
        <v>1</v>
      </c>
    </row>
    <row r="406" customFormat="false" ht="15" hidden="false" customHeight="false" outlineLevel="0" collapsed="false">
      <c r="A406" s="4" t="s">
        <v>94</v>
      </c>
      <c r="B406" s="4" t="n">
        <v>6</v>
      </c>
      <c r="C406" s="11" t="n">
        <f aca="false">IF(COUNTIF('Scenario inputs'!$A$4:$A$213,Controls!$B$3&amp;"|"&amp;A406)&gt;0,1,0)</f>
        <v>1</v>
      </c>
      <c r="D406" s="11" t="n">
        <f aca="false">IF(AND(C406=1,B406&lt;Controls!$B$12),1,0)</f>
        <v>1</v>
      </c>
      <c r="E406" s="11" t="n">
        <f aca="false">IF(D406=1,SUMPRODUCT((Costs!$B$4:$B$903=A406)*(Costs!$D$4:$D$903="planned")*(Costs!$J$4:$J$903&lt;=B406)*(Costs!$K$4:$K$903&gt;B406)*Costs!$E$4:$E$903),0)</f>
        <v>0</v>
      </c>
      <c r="F406" s="11" t="n">
        <f aca="false">IF(D406=1,SUMIFS(Benefits!$S$4:$S$703,Benefits!$B$4:$B$703,A406,Benefits!$F$4:$F$703,B406,Benefits!$R$4:$R$703,"cash"),0)</f>
        <v>0</v>
      </c>
      <c r="G406" s="11" t="n">
        <f aca="false">IF(D406=1,SUMIFS(Benefits!$S$4:$S$703,Benefits!$B$4:$B$703,A406,Benefits!$F$4:$F$703,B406,Benefits!$R$4:$R$703,"revenue"),0)</f>
        <v>0</v>
      </c>
      <c r="H406" s="11" t="n">
        <f aca="false">IF(D406=1,SUMIFS(Benefits!$S$4:$S$703,Benefits!$B$4:$B$703,A406,Benefits!$F$4:$F$703,B406,Benefits!$R$4:$R$703,"avoided_cost_realised"),0)</f>
        <v>0</v>
      </c>
      <c r="I406" s="11" t="n">
        <f aca="false">IF(D406=1,SUMIFS(Benefits!$S$4:$S$703,Benefits!$B$4:$B$703,A406,Benefits!$F$4:$F$703,B406,Benefits!$R$4:$R$703,"capacity_converted"),0)</f>
        <v>0</v>
      </c>
      <c r="J406" s="11" t="n">
        <f aca="false">SUM(F406:I406)</f>
        <v>0</v>
      </c>
      <c r="K406" s="11" t="n">
        <f aca="false">J406-E406</f>
        <v>0</v>
      </c>
      <c r="L406" s="11" t="n">
        <f aca="false">IF(D406=1,L405+K406,0)</f>
        <v>-15000</v>
      </c>
      <c r="M406" s="11" t="n">
        <f aca="false">IF(D406=1,1/(1+Controls!$B$11)^B406,0)</f>
        <v>0.962250621378238</v>
      </c>
      <c r="N406" s="11" t="n">
        <f aca="false">K406*M406</f>
        <v>0</v>
      </c>
      <c r="O406" s="11" t="n">
        <f aca="false">IF(D406=1,O405+N406,0)</f>
        <v>-15000</v>
      </c>
      <c r="P406" s="11" t="n">
        <f aca="false">IF(AND(D406=1,L406&lt;0),1,0)</f>
        <v>1</v>
      </c>
      <c r="Q406" s="11" t="n">
        <f aca="false">IF(AND(D406=1,O406&lt;0),1,0)</f>
        <v>1</v>
      </c>
    </row>
    <row r="407" customFormat="false" ht="15" hidden="false" customHeight="false" outlineLevel="0" collapsed="false">
      <c r="A407" s="4" t="s">
        <v>94</v>
      </c>
      <c r="B407" s="4" t="n">
        <v>7</v>
      </c>
      <c r="C407" s="11" t="n">
        <f aca="false">IF(COUNTIF('Scenario inputs'!$A$4:$A$213,Controls!$B$3&amp;"|"&amp;A407)&gt;0,1,0)</f>
        <v>1</v>
      </c>
      <c r="D407" s="11" t="n">
        <f aca="false">IF(AND(C407=1,B407&lt;Controls!$B$12),1,0)</f>
        <v>1</v>
      </c>
      <c r="E407" s="11" t="n">
        <f aca="false">IF(D407=1,SUMPRODUCT((Costs!$B$4:$B$903=A407)*(Costs!$D$4:$D$903="planned")*(Costs!$J$4:$J$903&lt;=B407)*(Costs!$K$4:$K$903&gt;B407)*Costs!$E$4:$E$903),0)</f>
        <v>0</v>
      </c>
      <c r="F407" s="11" t="n">
        <f aca="false">IF(D407=1,SUMIFS(Benefits!$S$4:$S$703,Benefits!$B$4:$B$703,A407,Benefits!$F$4:$F$703,B407,Benefits!$R$4:$R$703,"cash"),0)</f>
        <v>0</v>
      </c>
      <c r="G407" s="11" t="n">
        <f aca="false">IF(D407=1,SUMIFS(Benefits!$S$4:$S$703,Benefits!$B$4:$B$703,A407,Benefits!$F$4:$F$703,B407,Benefits!$R$4:$R$703,"revenue"),0)</f>
        <v>0</v>
      </c>
      <c r="H407" s="11" t="n">
        <f aca="false">IF(D407=1,SUMIFS(Benefits!$S$4:$S$703,Benefits!$B$4:$B$703,A407,Benefits!$F$4:$F$703,B407,Benefits!$R$4:$R$703,"avoided_cost_realised"),0)</f>
        <v>0</v>
      </c>
      <c r="I407" s="11" t="n">
        <f aca="false">IF(D407=1,SUMIFS(Benefits!$S$4:$S$703,Benefits!$B$4:$B$703,A407,Benefits!$F$4:$F$703,B407,Benefits!$R$4:$R$703,"capacity_converted"),0)</f>
        <v>0</v>
      </c>
      <c r="J407" s="11" t="n">
        <f aca="false">SUM(F407:I407)</f>
        <v>0</v>
      </c>
      <c r="K407" s="11" t="n">
        <f aca="false">J407-E407</f>
        <v>0</v>
      </c>
      <c r="L407" s="11" t="n">
        <f aca="false">IF(D407=1,L406+K407,0)</f>
        <v>-15000</v>
      </c>
      <c r="M407" s="11" t="n">
        <f aca="false">IF(D407=1,1/(1+Controls!$B$11)^B407,0)</f>
        <v>0.956099079898173</v>
      </c>
      <c r="N407" s="11" t="n">
        <f aca="false">K407*M407</f>
        <v>0</v>
      </c>
      <c r="O407" s="11" t="n">
        <f aca="false">IF(D407=1,O406+N407,0)</f>
        <v>-15000</v>
      </c>
      <c r="P407" s="11" t="n">
        <f aca="false">IF(AND(D407=1,L407&lt;0),1,0)</f>
        <v>1</v>
      </c>
      <c r="Q407" s="11" t="n">
        <f aca="false">IF(AND(D407=1,O407&lt;0),1,0)</f>
        <v>1</v>
      </c>
    </row>
    <row r="408" customFormat="false" ht="15" hidden="false" customHeight="false" outlineLevel="0" collapsed="false">
      <c r="A408" s="4" t="s">
        <v>94</v>
      </c>
      <c r="B408" s="4" t="n">
        <v>8</v>
      </c>
      <c r="C408" s="11" t="n">
        <f aca="false">IF(COUNTIF('Scenario inputs'!$A$4:$A$213,Controls!$B$3&amp;"|"&amp;A408)&gt;0,1,0)</f>
        <v>1</v>
      </c>
      <c r="D408" s="11" t="n">
        <f aca="false">IF(AND(C408=1,B408&lt;Controls!$B$12),1,0)</f>
        <v>1</v>
      </c>
      <c r="E408" s="11" t="n">
        <f aca="false">IF(D408=1,SUMPRODUCT((Costs!$B$4:$B$903=A408)*(Costs!$D$4:$D$903="planned")*(Costs!$J$4:$J$903&lt;=B408)*(Costs!$K$4:$K$903&gt;B408)*Costs!$E$4:$E$903),0)</f>
        <v>0</v>
      </c>
      <c r="F408" s="11" t="n">
        <f aca="false">IF(D408=1,SUMIFS(Benefits!$S$4:$S$703,Benefits!$B$4:$B$703,A408,Benefits!$F$4:$F$703,B408,Benefits!$R$4:$R$703,"cash"),0)</f>
        <v>0</v>
      </c>
      <c r="G408" s="11" t="n">
        <f aca="false">IF(D408=1,SUMIFS(Benefits!$S$4:$S$703,Benefits!$B$4:$B$703,A408,Benefits!$F$4:$F$703,B408,Benefits!$R$4:$R$703,"revenue"),0)</f>
        <v>0</v>
      </c>
      <c r="H408" s="11" t="n">
        <f aca="false">IF(D408=1,SUMIFS(Benefits!$S$4:$S$703,Benefits!$B$4:$B$703,A408,Benefits!$F$4:$F$703,B408,Benefits!$R$4:$R$703,"avoided_cost_realised"),0)</f>
        <v>0</v>
      </c>
      <c r="I408" s="11" t="n">
        <f aca="false">IF(D408=1,SUMIFS(Benefits!$S$4:$S$703,Benefits!$B$4:$B$703,A408,Benefits!$F$4:$F$703,B408,Benefits!$R$4:$R$703,"capacity_converted"),0)</f>
        <v>0</v>
      </c>
      <c r="J408" s="11" t="n">
        <f aca="false">SUM(F408:I408)</f>
        <v>0</v>
      </c>
      <c r="K408" s="11" t="n">
        <f aca="false">J408-E408</f>
        <v>0</v>
      </c>
      <c r="L408" s="11" t="n">
        <f aca="false">IF(D408=1,L407+K408,0)</f>
        <v>-15000</v>
      </c>
      <c r="M408" s="11" t="n">
        <f aca="false">IF(D408=1,1/(1+Controls!$B$11)^B408,0)</f>
        <v>0.949986864412542</v>
      </c>
      <c r="N408" s="11" t="n">
        <f aca="false">K408*M408</f>
        <v>0</v>
      </c>
      <c r="O408" s="11" t="n">
        <f aca="false">IF(D408=1,O407+N408,0)</f>
        <v>-15000</v>
      </c>
      <c r="P408" s="11" t="n">
        <f aca="false">IF(AND(D408=1,L408&lt;0),1,0)</f>
        <v>1</v>
      </c>
      <c r="Q408" s="11" t="n">
        <f aca="false">IF(AND(D408=1,O408&lt;0),1,0)</f>
        <v>1</v>
      </c>
    </row>
    <row r="409" customFormat="false" ht="15" hidden="false" customHeight="false" outlineLevel="0" collapsed="false">
      <c r="A409" s="4" t="s">
        <v>94</v>
      </c>
      <c r="B409" s="4" t="n">
        <v>9</v>
      </c>
      <c r="C409" s="11" t="n">
        <f aca="false">IF(COUNTIF('Scenario inputs'!$A$4:$A$213,Controls!$B$3&amp;"|"&amp;A409)&gt;0,1,0)</f>
        <v>1</v>
      </c>
      <c r="D409" s="11" t="n">
        <f aca="false">IF(AND(C409=1,B409&lt;Controls!$B$12),1,0)</f>
        <v>1</v>
      </c>
      <c r="E409" s="11" t="n">
        <f aca="false">IF(D409=1,SUMPRODUCT((Costs!$B$4:$B$903=A409)*(Costs!$D$4:$D$903="planned")*(Costs!$J$4:$J$903&lt;=B409)*(Costs!$K$4:$K$903&gt;B409)*Costs!$E$4:$E$903),0)</f>
        <v>0</v>
      </c>
      <c r="F409" s="11" t="n">
        <f aca="false">IF(D409=1,SUMIFS(Benefits!$S$4:$S$703,Benefits!$B$4:$B$703,A409,Benefits!$F$4:$F$703,B409,Benefits!$R$4:$R$703,"cash"),0)</f>
        <v>0</v>
      </c>
      <c r="G409" s="11" t="n">
        <f aca="false">IF(D409=1,SUMIFS(Benefits!$S$4:$S$703,Benefits!$B$4:$B$703,A409,Benefits!$F$4:$F$703,B409,Benefits!$R$4:$R$703,"revenue"),0)</f>
        <v>0</v>
      </c>
      <c r="H409" s="11" t="n">
        <f aca="false">IF(D409=1,SUMIFS(Benefits!$S$4:$S$703,Benefits!$B$4:$B$703,A409,Benefits!$F$4:$F$703,B409,Benefits!$R$4:$R$703,"avoided_cost_realised"),0)</f>
        <v>0</v>
      </c>
      <c r="I409" s="11" t="n">
        <f aca="false">IF(D409=1,SUMIFS(Benefits!$S$4:$S$703,Benefits!$B$4:$B$703,A409,Benefits!$F$4:$F$703,B409,Benefits!$R$4:$R$703,"capacity_converted"),0)</f>
        <v>0</v>
      </c>
      <c r="J409" s="11" t="n">
        <f aca="false">SUM(F409:I409)</f>
        <v>0</v>
      </c>
      <c r="K409" s="11" t="n">
        <f aca="false">J409-E409</f>
        <v>0</v>
      </c>
      <c r="L409" s="11" t="n">
        <f aca="false">IF(D409=1,L408+K409,0)</f>
        <v>-15000</v>
      </c>
      <c r="M409" s="11" t="n">
        <f aca="false">IF(D409=1,1/(1+Controls!$B$11)^B409,0)</f>
        <v>0.943913723515444</v>
      </c>
      <c r="N409" s="11" t="n">
        <f aca="false">K409*M409</f>
        <v>0</v>
      </c>
      <c r="O409" s="11" t="n">
        <f aca="false">IF(D409=1,O408+N409,0)</f>
        <v>-15000</v>
      </c>
      <c r="P409" s="11" t="n">
        <f aca="false">IF(AND(D409=1,L409&lt;0),1,0)</f>
        <v>1</v>
      </c>
      <c r="Q409" s="11" t="n">
        <f aca="false">IF(AND(D409=1,O409&lt;0),1,0)</f>
        <v>1</v>
      </c>
    </row>
    <row r="410" customFormat="false" ht="15" hidden="false" customHeight="false" outlineLevel="0" collapsed="false">
      <c r="A410" s="4" t="s">
        <v>94</v>
      </c>
      <c r="B410" s="4" t="n">
        <v>10</v>
      </c>
      <c r="C410" s="11" t="n">
        <f aca="false">IF(COUNTIF('Scenario inputs'!$A$4:$A$213,Controls!$B$3&amp;"|"&amp;A410)&gt;0,1,0)</f>
        <v>1</v>
      </c>
      <c r="D410" s="11" t="n">
        <f aca="false">IF(AND(C410=1,B410&lt;Controls!$B$12),1,0)</f>
        <v>1</v>
      </c>
      <c r="E410" s="11" t="n">
        <f aca="false">IF(D410=1,SUMPRODUCT((Costs!$B$4:$B$903=A410)*(Costs!$D$4:$D$903="planned")*(Costs!$J$4:$J$903&lt;=B410)*(Costs!$K$4:$K$903&gt;B410)*Costs!$E$4:$E$903),0)</f>
        <v>0</v>
      </c>
      <c r="F410" s="11" t="n">
        <f aca="false">IF(D410=1,SUMIFS(Benefits!$S$4:$S$703,Benefits!$B$4:$B$703,A410,Benefits!$F$4:$F$703,B410,Benefits!$R$4:$R$703,"cash"),0)</f>
        <v>0</v>
      </c>
      <c r="G410" s="11" t="n">
        <f aca="false">IF(D410=1,SUMIFS(Benefits!$S$4:$S$703,Benefits!$B$4:$B$703,A410,Benefits!$F$4:$F$703,B410,Benefits!$R$4:$R$703,"revenue"),0)</f>
        <v>0</v>
      </c>
      <c r="H410" s="11" t="n">
        <f aca="false">IF(D410=1,SUMIFS(Benefits!$S$4:$S$703,Benefits!$B$4:$B$703,A410,Benefits!$F$4:$F$703,B410,Benefits!$R$4:$R$703,"avoided_cost_realised"),0)</f>
        <v>0</v>
      </c>
      <c r="I410" s="11" t="n">
        <f aca="false">IF(D410=1,SUMIFS(Benefits!$S$4:$S$703,Benefits!$B$4:$B$703,A410,Benefits!$F$4:$F$703,B410,Benefits!$R$4:$R$703,"capacity_converted"),0)</f>
        <v>0</v>
      </c>
      <c r="J410" s="11" t="n">
        <f aca="false">SUM(F410:I410)</f>
        <v>0</v>
      </c>
      <c r="K410" s="11" t="n">
        <f aca="false">J410-E410</f>
        <v>0</v>
      </c>
      <c r="L410" s="11" t="n">
        <f aca="false">IF(D410=1,L409+K410,0)</f>
        <v>-15000</v>
      </c>
      <c r="M410" s="11" t="n">
        <f aca="false">IF(D410=1,1/(1+Controls!$B$11)^B410,0)</f>
        <v>0.93787940740818</v>
      </c>
      <c r="N410" s="11" t="n">
        <f aca="false">K410*M410</f>
        <v>0</v>
      </c>
      <c r="O410" s="11" t="n">
        <f aca="false">IF(D410=1,O409+N410,0)</f>
        <v>-15000</v>
      </c>
      <c r="P410" s="11" t="n">
        <f aca="false">IF(AND(D410=1,L410&lt;0),1,0)</f>
        <v>1</v>
      </c>
      <c r="Q410" s="11" t="n">
        <f aca="false">IF(AND(D410=1,O410&lt;0),1,0)</f>
        <v>1</v>
      </c>
    </row>
    <row r="411" customFormat="false" ht="15" hidden="false" customHeight="false" outlineLevel="0" collapsed="false">
      <c r="A411" s="4" t="s">
        <v>94</v>
      </c>
      <c r="B411" s="4" t="n">
        <v>11</v>
      </c>
      <c r="C411" s="11" t="n">
        <f aca="false">IF(COUNTIF('Scenario inputs'!$A$4:$A$213,Controls!$B$3&amp;"|"&amp;A411)&gt;0,1,0)</f>
        <v>1</v>
      </c>
      <c r="D411" s="11" t="n">
        <f aca="false">IF(AND(C411=1,B411&lt;Controls!$B$12),1,0)</f>
        <v>1</v>
      </c>
      <c r="E411" s="11" t="n">
        <f aca="false">IF(D411=1,SUMPRODUCT((Costs!$B$4:$B$903=A411)*(Costs!$D$4:$D$903="planned")*(Costs!$J$4:$J$903&lt;=B411)*(Costs!$K$4:$K$903&gt;B411)*Costs!$E$4:$E$903),0)</f>
        <v>0</v>
      </c>
      <c r="F411" s="11" t="n">
        <f aca="false">IF(D411=1,SUMIFS(Benefits!$S$4:$S$703,Benefits!$B$4:$B$703,A411,Benefits!$F$4:$F$703,B411,Benefits!$R$4:$R$703,"cash"),0)</f>
        <v>0</v>
      </c>
      <c r="G411" s="11" t="n">
        <f aca="false">IF(D411=1,SUMIFS(Benefits!$S$4:$S$703,Benefits!$B$4:$B$703,A411,Benefits!$F$4:$F$703,B411,Benefits!$R$4:$R$703,"revenue"),0)</f>
        <v>0</v>
      </c>
      <c r="H411" s="11" t="n">
        <f aca="false">IF(D411=1,SUMIFS(Benefits!$S$4:$S$703,Benefits!$B$4:$B$703,A411,Benefits!$F$4:$F$703,B411,Benefits!$R$4:$R$703,"avoided_cost_realised"),0)</f>
        <v>0</v>
      </c>
      <c r="I411" s="11" t="n">
        <f aca="false">IF(D411=1,SUMIFS(Benefits!$S$4:$S$703,Benefits!$B$4:$B$703,A411,Benefits!$F$4:$F$703,B411,Benefits!$R$4:$R$703,"capacity_converted"),0)</f>
        <v>0</v>
      </c>
      <c r="J411" s="11" t="n">
        <f aca="false">SUM(F411:I411)</f>
        <v>0</v>
      </c>
      <c r="K411" s="11" t="n">
        <f aca="false">J411-E411</f>
        <v>0</v>
      </c>
      <c r="L411" s="11" t="n">
        <f aca="false">IF(D411=1,L410+K411,0)</f>
        <v>-15000</v>
      </c>
      <c r="M411" s="11" t="n">
        <f aca="false">IF(D411=1,1/(1+Controls!$B$11)^B411,0)</f>
        <v>0.931883667888982</v>
      </c>
      <c r="N411" s="11" t="n">
        <f aca="false">K411*M411</f>
        <v>0</v>
      </c>
      <c r="O411" s="11" t="n">
        <f aca="false">IF(D411=1,O410+N411,0)</f>
        <v>-15000</v>
      </c>
      <c r="P411" s="11" t="n">
        <f aca="false">IF(AND(D411=1,L411&lt;0),1,0)</f>
        <v>1</v>
      </c>
      <c r="Q411" s="11" t="n">
        <f aca="false">IF(AND(D411=1,O411&lt;0),1,0)</f>
        <v>1</v>
      </c>
    </row>
    <row r="412" customFormat="false" ht="15" hidden="false" customHeight="false" outlineLevel="0" collapsed="false">
      <c r="A412" s="4" t="s">
        <v>94</v>
      </c>
      <c r="B412" s="4" t="n">
        <v>12</v>
      </c>
      <c r="C412" s="11" t="n">
        <f aca="false">IF(COUNTIF('Scenario inputs'!$A$4:$A$213,Controls!$B$3&amp;"|"&amp;A412)&gt;0,1,0)</f>
        <v>1</v>
      </c>
      <c r="D412" s="11" t="n">
        <f aca="false">IF(AND(C412=1,B412&lt;Controls!$B$12),1,0)</f>
        <v>1</v>
      </c>
      <c r="E412" s="11" t="n">
        <f aca="false">IF(D412=1,SUMPRODUCT((Costs!$B$4:$B$903=A412)*(Costs!$D$4:$D$903="planned")*(Costs!$J$4:$J$903&lt;=B412)*(Costs!$K$4:$K$903&gt;B412)*Costs!$E$4:$E$903),0)</f>
        <v>0</v>
      </c>
      <c r="F412" s="11" t="n">
        <f aca="false">IF(D412=1,SUMIFS(Benefits!$S$4:$S$703,Benefits!$B$4:$B$703,A412,Benefits!$F$4:$F$703,B412,Benefits!$R$4:$R$703,"cash"),0)</f>
        <v>0</v>
      </c>
      <c r="G412" s="11" t="n">
        <f aca="false">IF(D412=1,SUMIFS(Benefits!$S$4:$S$703,Benefits!$B$4:$B$703,A412,Benefits!$F$4:$F$703,B412,Benefits!$R$4:$R$703,"revenue"),0)</f>
        <v>0</v>
      </c>
      <c r="H412" s="11" t="n">
        <f aca="false">IF(D412=1,SUMIFS(Benefits!$S$4:$S$703,Benefits!$B$4:$B$703,A412,Benefits!$F$4:$F$703,B412,Benefits!$R$4:$R$703,"avoided_cost_realised"),0)</f>
        <v>0</v>
      </c>
      <c r="I412" s="11" t="n">
        <f aca="false">IF(D412=1,SUMIFS(Benefits!$S$4:$S$703,Benefits!$B$4:$B$703,A412,Benefits!$F$4:$F$703,B412,Benefits!$R$4:$R$703,"capacity_converted"),0)</f>
        <v>0</v>
      </c>
      <c r="J412" s="11" t="n">
        <f aca="false">SUM(F412:I412)</f>
        <v>0</v>
      </c>
      <c r="K412" s="11" t="n">
        <f aca="false">J412-E412</f>
        <v>0</v>
      </c>
      <c r="L412" s="11" t="n">
        <f aca="false">IF(D412=1,L411+K412,0)</f>
        <v>-15000</v>
      </c>
      <c r="M412" s="11" t="n">
        <f aca="false">IF(D412=1,1/(1+Controls!$B$11)^B412,0)</f>
        <v>0.925926258342804</v>
      </c>
      <c r="N412" s="11" t="n">
        <f aca="false">K412*M412</f>
        <v>0</v>
      </c>
      <c r="O412" s="11" t="n">
        <f aca="false">IF(D412=1,O411+N412,0)</f>
        <v>-15000</v>
      </c>
      <c r="P412" s="11" t="n">
        <f aca="false">IF(AND(D412=1,L412&lt;0),1,0)</f>
        <v>1</v>
      </c>
      <c r="Q412" s="11" t="n">
        <f aca="false">IF(AND(D412=1,O412&lt;0),1,0)</f>
        <v>1</v>
      </c>
    </row>
    <row r="413" customFormat="false" ht="15" hidden="false" customHeight="false" outlineLevel="0" collapsed="false">
      <c r="A413" s="4" t="s">
        <v>94</v>
      </c>
      <c r="B413" s="4" t="n">
        <v>13</v>
      </c>
      <c r="C413" s="11" t="n">
        <f aca="false">IF(COUNTIF('Scenario inputs'!$A$4:$A$213,Controls!$B$3&amp;"|"&amp;A413)&gt;0,1,0)</f>
        <v>1</v>
      </c>
      <c r="D413" s="11" t="n">
        <f aca="false">IF(AND(C413=1,B413&lt;Controls!$B$12),1,0)</f>
        <v>1</v>
      </c>
      <c r="E413" s="11" t="n">
        <f aca="false">IF(D413=1,SUMPRODUCT((Costs!$B$4:$B$903=A413)*(Costs!$D$4:$D$903="planned")*(Costs!$J$4:$J$903&lt;=B413)*(Costs!$K$4:$K$903&gt;B413)*Costs!$E$4:$E$903),0)</f>
        <v>0</v>
      </c>
      <c r="F413" s="11" t="n">
        <f aca="false">IF(D413=1,SUMIFS(Benefits!$S$4:$S$703,Benefits!$B$4:$B$703,A413,Benefits!$F$4:$F$703,B413,Benefits!$R$4:$R$703,"cash"),0)</f>
        <v>0</v>
      </c>
      <c r="G413" s="11" t="n">
        <f aca="false">IF(D413=1,SUMIFS(Benefits!$S$4:$S$703,Benefits!$B$4:$B$703,A413,Benefits!$F$4:$F$703,B413,Benefits!$R$4:$R$703,"revenue"),0)</f>
        <v>0</v>
      </c>
      <c r="H413" s="11" t="n">
        <f aca="false">IF(D413=1,SUMIFS(Benefits!$S$4:$S$703,Benefits!$B$4:$B$703,A413,Benefits!$F$4:$F$703,B413,Benefits!$R$4:$R$703,"avoided_cost_realised"),0)</f>
        <v>0</v>
      </c>
      <c r="I413" s="11" t="n">
        <f aca="false">IF(D413=1,SUMIFS(Benefits!$S$4:$S$703,Benefits!$B$4:$B$703,A413,Benefits!$F$4:$F$703,B413,Benefits!$R$4:$R$703,"capacity_converted"),0)</f>
        <v>0</v>
      </c>
      <c r="J413" s="11" t="n">
        <f aca="false">SUM(F413:I413)</f>
        <v>0</v>
      </c>
      <c r="K413" s="11" t="n">
        <f aca="false">J413-E413</f>
        <v>0</v>
      </c>
      <c r="L413" s="11" t="n">
        <f aca="false">IF(D413=1,L412+K413,0)</f>
        <v>-15000</v>
      </c>
      <c r="M413" s="11" t="n">
        <f aca="false">IF(D413=1,1/(1+Controls!$B$11)^B413,0)</f>
        <v>0.920006933731178</v>
      </c>
      <c r="N413" s="11" t="n">
        <f aca="false">K413*M413</f>
        <v>0</v>
      </c>
      <c r="O413" s="11" t="n">
        <f aca="false">IF(D413=1,O412+N413,0)</f>
        <v>-15000</v>
      </c>
      <c r="P413" s="11" t="n">
        <f aca="false">IF(AND(D413=1,L413&lt;0),1,0)</f>
        <v>1</v>
      </c>
      <c r="Q413" s="11" t="n">
        <f aca="false">IF(AND(D413=1,O413&lt;0),1,0)</f>
        <v>1</v>
      </c>
    </row>
    <row r="414" customFormat="false" ht="15" hidden="false" customHeight="false" outlineLevel="0" collapsed="false">
      <c r="A414" s="4" t="s">
        <v>94</v>
      </c>
      <c r="B414" s="4" t="n">
        <v>14</v>
      </c>
      <c r="C414" s="11" t="n">
        <f aca="false">IF(COUNTIF('Scenario inputs'!$A$4:$A$213,Controls!$B$3&amp;"|"&amp;A414)&gt;0,1,0)</f>
        <v>1</v>
      </c>
      <c r="D414" s="11" t="n">
        <f aca="false">IF(AND(C414=1,B414&lt;Controls!$B$12),1,0)</f>
        <v>1</v>
      </c>
      <c r="E414" s="11" t="n">
        <f aca="false">IF(D414=1,SUMPRODUCT((Costs!$B$4:$B$903=A414)*(Costs!$D$4:$D$903="planned")*(Costs!$J$4:$J$903&lt;=B414)*(Costs!$K$4:$K$903&gt;B414)*Costs!$E$4:$E$903),0)</f>
        <v>211750</v>
      </c>
      <c r="F414" s="11" t="n">
        <f aca="false">IF(D414=1,SUMIFS(Benefits!$S$4:$S$703,Benefits!$B$4:$B$703,A414,Benefits!$F$4:$F$703,B414,Benefits!$R$4:$R$703,"cash"),0)</f>
        <v>0</v>
      </c>
      <c r="G414" s="11" t="n">
        <f aca="false">IF(D414=1,SUMIFS(Benefits!$S$4:$S$703,Benefits!$B$4:$B$703,A414,Benefits!$F$4:$F$703,B414,Benefits!$R$4:$R$703,"revenue"),0)</f>
        <v>0</v>
      </c>
      <c r="H414" s="11" t="n">
        <f aca="false">IF(D414=1,SUMIFS(Benefits!$S$4:$S$703,Benefits!$B$4:$B$703,A414,Benefits!$F$4:$F$703,B414,Benefits!$R$4:$R$703,"avoided_cost_realised"),0)</f>
        <v>0</v>
      </c>
      <c r="I414" s="11" t="n">
        <f aca="false">IF(D414=1,SUMIFS(Benefits!$S$4:$S$703,Benefits!$B$4:$B$703,A414,Benefits!$F$4:$F$703,B414,Benefits!$R$4:$R$703,"capacity_converted"),0)</f>
        <v>0</v>
      </c>
      <c r="J414" s="11" t="n">
        <f aca="false">SUM(F414:I414)</f>
        <v>0</v>
      </c>
      <c r="K414" s="11" t="n">
        <f aca="false">J414-E414</f>
        <v>-211750</v>
      </c>
      <c r="L414" s="11" t="n">
        <f aca="false">IF(D414=1,L413+K414,0)</f>
        <v>-226750</v>
      </c>
      <c r="M414" s="11" t="n">
        <f aca="false">IF(D414=1,1/(1+Controls!$B$11)^B414,0)</f>
        <v>0.914125450582132</v>
      </c>
      <c r="N414" s="11" t="n">
        <f aca="false">K414*M414</f>
        <v>-193566.064160767</v>
      </c>
      <c r="O414" s="11" t="n">
        <f aca="false">IF(D414=1,O413+N414,0)</f>
        <v>-208566.064160767</v>
      </c>
      <c r="P414" s="11" t="n">
        <f aca="false">IF(AND(D414=1,L414&lt;0),1,0)</f>
        <v>1</v>
      </c>
      <c r="Q414" s="11" t="n">
        <f aca="false">IF(AND(D414=1,O414&lt;0),1,0)</f>
        <v>1</v>
      </c>
    </row>
    <row r="415" customFormat="false" ht="15" hidden="false" customHeight="false" outlineLevel="0" collapsed="false">
      <c r="A415" s="4" t="s">
        <v>94</v>
      </c>
      <c r="B415" s="4" t="n">
        <v>15</v>
      </c>
      <c r="C415" s="11" t="n">
        <f aca="false">IF(COUNTIF('Scenario inputs'!$A$4:$A$213,Controls!$B$3&amp;"|"&amp;A415)&gt;0,1,0)</f>
        <v>1</v>
      </c>
      <c r="D415" s="11" t="n">
        <f aca="false">IF(AND(C415=1,B415&lt;Controls!$B$12),1,0)</f>
        <v>1</v>
      </c>
      <c r="E415" s="11" t="n">
        <f aca="false">IF(D415=1,SUMPRODUCT((Costs!$B$4:$B$903=A415)*(Costs!$D$4:$D$903="planned")*(Costs!$J$4:$J$903&lt;=B415)*(Costs!$K$4:$K$903&gt;B415)*Costs!$E$4:$E$903),0)</f>
        <v>203400</v>
      </c>
      <c r="F415" s="11" t="n">
        <f aca="false">IF(D415=1,SUMIFS(Benefits!$S$4:$S$703,Benefits!$B$4:$B$703,A415,Benefits!$F$4:$F$703,B415,Benefits!$R$4:$R$703,"cash"),0)</f>
        <v>0</v>
      </c>
      <c r="G415" s="11" t="n">
        <f aca="false">IF(D415=1,SUMIFS(Benefits!$S$4:$S$703,Benefits!$B$4:$B$703,A415,Benefits!$F$4:$F$703,B415,Benefits!$R$4:$R$703,"revenue"),0)</f>
        <v>0</v>
      </c>
      <c r="H415" s="11" t="n">
        <f aca="false">IF(D415=1,SUMIFS(Benefits!$S$4:$S$703,Benefits!$B$4:$B$703,A415,Benefits!$F$4:$F$703,B415,Benefits!$R$4:$R$703,"avoided_cost_realised"),0)</f>
        <v>0</v>
      </c>
      <c r="I415" s="11" t="n">
        <f aca="false">IF(D415=1,SUMIFS(Benefits!$S$4:$S$703,Benefits!$B$4:$B$703,A415,Benefits!$F$4:$F$703,B415,Benefits!$R$4:$R$703,"capacity_converted"),0)</f>
        <v>0</v>
      </c>
      <c r="J415" s="11" t="n">
        <f aca="false">SUM(F415:I415)</f>
        <v>0</v>
      </c>
      <c r="K415" s="11" t="n">
        <f aca="false">J415-E415</f>
        <v>-203400</v>
      </c>
      <c r="L415" s="11" t="n">
        <f aca="false">IF(D415=1,L414+K415,0)</f>
        <v>-430150</v>
      </c>
      <c r="M415" s="11" t="n">
        <f aca="false">IF(D415=1,1/(1+Controls!$B$11)^B415,0)</f>
        <v>0.908281566980182</v>
      </c>
      <c r="N415" s="11" t="n">
        <f aca="false">K415*M415</f>
        <v>-184744.470723769</v>
      </c>
      <c r="O415" s="11" t="n">
        <f aca="false">IF(D415=1,O414+N415,0)</f>
        <v>-393310.534884536</v>
      </c>
      <c r="P415" s="11" t="n">
        <f aca="false">IF(AND(D415=1,L415&lt;0),1,0)</f>
        <v>1</v>
      </c>
      <c r="Q415" s="11" t="n">
        <f aca="false">IF(AND(D415=1,O415&lt;0),1,0)</f>
        <v>1</v>
      </c>
    </row>
    <row r="416" customFormat="false" ht="15" hidden="false" customHeight="false" outlineLevel="0" collapsed="false">
      <c r="A416" s="4" t="s">
        <v>94</v>
      </c>
      <c r="B416" s="4" t="n">
        <v>16</v>
      </c>
      <c r="C416" s="11" t="n">
        <f aca="false">IF(COUNTIF('Scenario inputs'!$A$4:$A$213,Controls!$B$3&amp;"|"&amp;A416)&gt;0,1,0)</f>
        <v>1</v>
      </c>
      <c r="D416" s="11" t="n">
        <f aca="false">IF(AND(C416=1,B416&lt;Controls!$B$12),1,0)</f>
        <v>1</v>
      </c>
      <c r="E416" s="11" t="n">
        <f aca="false">IF(D416=1,SUMPRODUCT((Costs!$B$4:$B$903=A416)*(Costs!$D$4:$D$903="planned")*(Costs!$J$4:$J$903&lt;=B416)*(Costs!$K$4:$K$903&gt;B416)*Costs!$E$4:$E$903),0)</f>
        <v>254850</v>
      </c>
      <c r="F416" s="11" t="n">
        <f aca="false">IF(D416=1,SUMIFS(Benefits!$S$4:$S$703,Benefits!$B$4:$B$703,A416,Benefits!$F$4:$F$703,B416,Benefits!$R$4:$R$703,"cash"),0)</f>
        <v>0</v>
      </c>
      <c r="G416" s="11" t="n">
        <f aca="false">IF(D416=1,SUMIFS(Benefits!$S$4:$S$703,Benefits!$B$4:$B$703,A416,Benefits!$F$4:$F$703,B416,Benefits!$R$4:$R$703,"revenue"),0)</f>
        <v>0</v>
      </c>
      <c r="H416" s="11" t="n">
        <f aca="false">IF(D416=1,SUMIFS(Benefits!$S$4:$S$703,Benefits!$B$4:$B$703,A416,Benefits!$F$4:$F$703,B416,Benefits!$R$4:$R$703,"avoided_cost_realised"),0)</f>
        <v>0</v>
      </c>
      <c r="I416" s="11" t="n">
        <f aca="false">IF(D416=1,SUMIFS(Benefits!$S$4:$S$703,Benefits!$B$4:$B$703,A416,Benefits!$F$4:$F$703,B416,Benefits!$R$4:$R$703,"capacity_converted"),0)</f>
        <v>0</v>
      </c>
      <c r="J416" s="11" t="n">
        <f aca="false">SUM(F416:I416)</f>
        <v>0</v>
      </c>
      <c r="K416" s="11" t="n">
        <f aca="false">J416-E416</f>
        <v>-254850</v>
      </c>
      <c r="L416" s="11" t="n">
        <f aca="false">IF(D416=1,L415+K416,0)</f>
        <v>-685000</v>
      </c>
      <c r="M416" s="11" t="n">
        <f aca="false">IF(D416=1,1/(1+Controls!$B$11)^B416,0)</f>
        <v>0.902475042556374</v>
      </c>
      <c r="N416" s="11" t="n">
        <f aca="false">K416*M416</f>
        <v>-229995.764595492</v>
      </c>
      <c r="O416" s="11" t="n">
        <f aca="false">IF(D416=1,O415+N416,0)</f>
        <v>-623306.299480027</v>
      </c>
      <c r="P416" s="11" t="n">
        <f aca="false">IF(AND(D416=1,L416&lt;0),1,0)</f>
        <v>1</v>
      </c>
      <c r="Q416" s="11" t="n">
        <f aca="false">IF(AND(D416=1,O416&lt;0),1,0)</f>
        <v>1</v>
      </c>
    </row>
    <row r="417" customFormat="false" ht="15" hidden="false" customHeight="false" outlineLevel="0" collapsed="false">
      <c r="A417" s="4" t="s">
        <v>94</v>
      </c>
      <c r="B417" s="4" t="n">
        <v>17</v>
      </c>
      <c r="C417" s="11" t="n">
        <f aca="false">IF(COUNTIF('Scenario inputs'!$A$4:$A$213,Controls!$B$3&amp;"|"&amp;A417)&gt;0,1,0)</f>
        <v>1</v>
      </c>
      <c r="D417" s="11" t="n">
        <f aca="false">IF(AND(C417=1,B417&lt;Controls!$B$12),1,0)</f>
        <v>1</v>
      </c>
      <c r="E417" s="11" t="n">
        <f aca="false">IF(D417=1,SUMPRODUCT((Costs!$B$4:$B$903=A417)*(Costs!$D$4:$D$903="planned")*(Costs!$J$4:$J$903&lt;=B417)*(Costs!$K$4:$K$903&gt;B417)*Costs!$E$4:$E$903),0)</f>
        <v>117500</v>
      </c>
      <c r="F417" s="11" t="n">
        <f aca="false">IF(D417=1,SUMIFS(Benefits!$S$4:$S$703,Benefits!$B$4:$B$703,A417,Benefits!$F$4:$F$703,B417,Benefits!$R$4:$R$703,"cash"),0)</f>
        <v>0</v>
      </c>
      <c r="G417" s="11" t="n">
        <f aca="false">IF(D417=1,SUMIFS(Benefits!$S$4:$S$703,Benefits!$B$4:$B$703,A417,Benefits!$F$4:$F$703,B417,Benefits!$R$4:$R$703,"revenue"),0)</f>
        <v>8320.0416</v>
      </c>
      <c r="H417" s="11" t="n">
        <f aca="false">IF(D417=1,SUMIFS(Benefits!$S$4:$S$703,Benefits!$B$4:$B$703,A417,Benefits!$F$4:$F$703,B417,Benefits!$R$4:$R$703,"avoided_cost_realised"),0)</f>
        <v>0</v>
      </c>
      <c r="I417" s="11" t="n">
        <f aca="false">IF(D417=1,SUMIFS(Benefits!$S$4:$S$703,Benefits!$B$4:$B$703,A417,Benefits!$F$4:$F$703,B417,Benefits!$R$4:$R$703,"capacity_converted"),0)</f>
        <v>0</v>
      </c>
      <c r="J417" s="11" t="n">
        <f aca="false">SUM(F417:I417)</f>
        <v>8320.0416</v>
      </c>
      <c r="K417" s="11" t="n">
        <f aca="false">J417-E417</f>
        <v>-109179.9584</v>
      </c>
      <c r="L417" s="11" t="n">
        <f aca="false">IF(D417=1,L416+K417,0)</f>
        <v>-794179.9584</v>
      </c>
      <c r="M417" s="11" t="n">
        <f aca="false">IF(D417=1,1/(1+Controls!$B$11)^B417,0)</f>
        <v>0.896705638478404</v>
      </c>
      <c r="N417" s="11" t="n">
        <f aca="false">K417*M417</f>
        <v>-97902.2843061176</v>
      </c>
      <c r="O417" s="11" t="n">
        <f aca="false">IF(D417=1,O416+N417,0)</f>
        <v>-721208.583786145</v>
      </c>
      <c r="P417" s="11" t="n">
        <f aca="false">IF(AND(D417=1,L417&lt;0),1,0)</f>
        <v>1</v>
      </c>
      <c r="Q417" s="11" t="n">
        <f aca="false">IF(AND(D417=1,O417&lt;0),1,0)</f>
        <v>1</v>
      </c>
    </row>
    <row r="418" customFormat="false" ht="15" hidden="false" customHeight="false" outlineLevel="0" collapsed="false">
      <c r="A418" s="4" t="s">
        <v>94</v>
      </c>
      <c r="B418" s="4" t="n">
        <v>18</v>
      </c>
      <c r="C418" s="11" t="n">
        <f aca="false">IF(COUNTIF('Scenario inputs'!$A$4:$A$213,Controls!$B$3&amp;"|"&amp;A418)&gt;0,1,0)</f>
        <v>1</v>
      </c>
      <c r="D418" s="11" t="n">
        <f aca="false">IF(AND(C418=1,B418&lt;Controls!$B$12),1,0)</f>
        <v>1</v>
      </c>
      <c r="E418" s="11" t="n">
        <f aca="false">IF(D418=1,SUMPRODUCT((Costs!$B$4:$B$903=A418)*(Costs!$D$4:$D$903="planned")*(Costs!$J$4:$J$903&lt;=B418)*(Costs!$K$4:$K$903&gt;B418)*Costs!$E$4:$E$903),0)</f>
        <v>15000</v>
      </c>
      <c r="F418" s="11" t="n">
        <f aca="false">IF(D418=1,SUMIFS(Benefits!$S$4:$S$703,Benefits!$B$4:$B$703,A418,Benefits!$F$4:$F$703,B418,Benefits!$R$4:$R$703,"cash"),0)</f>
        <v>0</v>
      </c>
      <c r="G418" s="11" t="n">
        <f aca="false">IF(D418=1,SUMIFS(Benefits!$S$4:$S$703,Benefits!$B$4:$B$703,A418,Benefits!$F$4:$F$703,B418,Benefits!$R$4:$R$703,"revenue"),0)</f>
        <v>24960</v>
      </c>
      <c r="H418" s="11" t="n">
        <f aca="false">IF(D418=1,SUMIFS(Benefits!$S$4:$S$703,Benefits!$B$4:$B$703,A418,Benefits!$F$4:$F$703,B418,Benefits!$R$4:$R$703,"avoided_cost_realised"),0)</f>
        <v>0</v>
      </c>
      <c r="I418" s="11" t="n">
        <f aca="false">IF(D418=1,SUMIFS(Benefits!$S$4:$S$703,Benefits!$B$4:$B$703,A418,Benefits!$F$4:$F$703,B418,Benefits!$R$4:$R$703,"capacity_converted"),0)</f>
        <v>0</v>
      </c>
      <c r="J418" s="11" t="n">
        <f aca="false">SUM(F418:I418)</f>
        <v>24960</v>
      </c>
      <c r="K418" s="11" t="n">
        <f aca="false">J418-E418</f>
        <v>9960</v>
      </c>
      <c r="L418" s="11" t="n">
        <f aca="false">IF(D418=1,L417+K418,0)</f>
        <v>-784219.9584</v>
      </c>
      <c r="M418" s="11" t="n">
        <f aca="false">IF(D418=1,1/(1+Controls!$B$11)^B418,0)</f>
        <v>0.89097311744079</v>
      </c>
      <c r="N418" s="11" t="n">
        <f aca="false">K418*M418</f>
        <v>8874.09224971027</v>
      </c>
      <c r="O418" s="11" t="n">
        <f aca="false">IF(D418=1,O417+N418,0)</f>
        <v>-712334.491536435</v>
      </c>
      <c r="P418" s="11" t="n">
        <f aca="false">IF(AND(D418=1,L418&lt;0),1,0)</f>
        <v>1</v>
      </c>
      <c r="Q418" s="11" t="n">
        <f aca="false">IF(AND(D418=1,O418&lt;0),1,0)</f>
        <v>1</v>
      </c>
    </row>
    <row r="419" customFormat="false" ht="15" hidden="false" customHeight="false" outlineLevel="0" collapsed="false">
      <c r="A419" s="4" t="s">
        <v>94</v>
      </c>
      <c r="B419" s="4" t="n">
        <v>19</v>
      </c>
      <c r="C419" s="11" t="n">
        <f aca="false">IF(COUNTIF('Scenario inputs'!$A$4:$A$213,Controls!$B$3&amp;"|"&amp;A419)&gt;0,1,0)</f>
        <v>1</v>
      </c>
      <c r="D419" s="11" t="n">
        <f aca="false">IF(AND(C419=1,B419&lt;Controls!$B$12),1,0)</f>
        <v>1</v>
      </c>
      <c r="E419" s="11" t="n">
        <f aca="false">IF(D419=1,SUMPRODUCT((Costs!$B$4:$B$903=A419)*(Costs!$D$4:$D$903="planned")*(Costs!$J$4:$J$903&lt;=B419)*(Costs!$K$4:$K$903&gt;B419)*Costs!$E$4:$E$903),0)</f>
        <v>15000</v>
      </c>
      <c r="F419" s="11" t="n">
        <f aca="false">IF(D419=1,SUMIFS(Benefits!$S$4:$S$703,Benefits!$B$4:$B$703,A419,Benefits!$F$4:$F$703,B419,Benefits!$R$4:$R$703,"cash"),0)</f>
        <v>0</v>
      </c>
      <c r="G419" s="11" t="n">
        <f aca="false">IF(D419=1,SUMIFS(Benefits!$S$4:$S$703,Benefits!$B$4:$B$703,A419,Benefits!$F$4:$F$703,B419,Benefits!$R$4:$R$703,"revenue"),0)</f>
        <v>49920</v>
      </c>
      <c r="H419" s="11" t="n">
        <f aca="false">IF(D419=1,SUMIFS(Benefits!$S$4:$S$703,Benefits!$B$4:$B$703,A419,Benefits!$F$4:$F$703,B419,Benefits!$R$4:$R$703,"avoided_cost_realised"),0)</f>
        <v>0</v>
      </c>
      <c r="I419" s="11" t="n">
        <f aca="false">IF(D419=1,SUMIFS(Benefits!$S$4:$S$703,Benefits!$B$4:$B$703,A419,Benefits!$F$4:$F$703,B419,Benefits!$R$4:$R$703,"capacity_converted"),0)</f>
        <v>0</v>
      </c>
      <c r="J419" s="11" t="n">
        <f aca="false">SUM(F419:I419)</f>
        <v>49920</v>
      </c>
      <c r="K419" s="11" t="n">
        <f aca="false">J419-E419</f>
        <v>34920</v>
      </c>
      <c r="L419" s="11" t="n">
        <f aca="false">IF(D419=1,L418+K419,0)</f>
        <v>-749299.9584</v>
      </c>
      <c r="M419" s="11" t="n">
        <f aca="false">IF(D419=1,1/(1+Controls!$B$11)^B419,0)</f>
        <v>0.885277243655113</v>
      </c>
      <c r="N419" s="11" t="n">
        <f aca="false">K419*M419</f>
        <v>30913.8813484365</v>
      </c>
      <c r="O419" s="11" t="n">
        <f aca="false">IF(D419=1,O418+N419,0)</f>
        <v>-681420.610187998</v>
      </c>
      <c r="P419" s="11" t="n">
        <f aca="false">IF(AND(D419=1,L419&lt;0),1,0)</f>
        <v>1</v>
      </c>
      <c r="Q419" s="11" t="n">
        <f aca="false">IF(AND(D419=1,O419&lt;0),1,0)</f>
        <v>1</v>
      </c>
    </row>
    <row r="420" customFormat="false" ht="15" hidden="false" customHeight="false" outlineLevel="0" collapsed="false">
      <c r="A420" s="4" t="s">
        <v>94</v>
      </c>
      <c r="B420" s="4" t="n">
        <v>20</v>
      </c>
      <c r="C420" s="11" t="n">
        <f aca="false">IF(COUNTIF('Scenario inputs'!$A$4:$A$213,Controls!$B$3&amp;"|"&amp;A420)&gt;0,1,0)</f>
        <v>1</v>
      </c>
      <c r="D420" s="11" t="n">
        <f aca="false">IF(AND(C420=1,B420&lt;Controls!$B$12),1,0)</f>
        <v>1</v>
      </c>
      <c r="E420" s="11" t="n">
        <f aca="false">IF(D420=1,SUMPRODUCT((Costs!$B$4:$B$903=A420)*(Costs!$D$4:$D$903="planned")*(Costs!$J$4:$J$903&lt;=B420)*(Costs!$K$4:$K$903&gt;B420)*Costs!$E$4:$E$903),0)</f>
        <v>15000</v>
      </c>
      <c r="F420" s="11" t="n">
        <f aca="false">IF(D420=1,SUMIFS(Benefits!$S$4:$S$703,Benefits!$B$4:$B$703,A420,Benefits!$F$4:$F$703,B420,Benefits!$R$4:$R$703,"cash"),0)</f>
        <v>0</v>
      </c>
      <c r="G420" s="11" t="n">
        <f aca="false">IF(D420=1,SUMIFS(Benefits!$S$4:$S$703,Benefits!$B$4:$B$703,A420,Benefits!$F$4:$F$703,B420,Benefits!$R$4:$R$703,"revenue"),0)</f>
        <v>83200.0416</v>
      </c>
      <c r="H420" s="11" t="n">
        <f aca="false">IF(D420=1,SUMIFS(Benefits!$S$4:$S$703,Benefits!$B$4:$B$703,A420,Benefits!$F$4:$F$703,B420,Benefits!$R$4:$R$703,"avoided_cost_realised"),0)</f>
        <v>0</v>
      </c>
      <c r="I420" s="11" t="n">
        <f aca="false">IF(D420=1,SUMIFS(Benefits!$S$4:$S$703,Benefits!$B$4:$B$703,A420,Benefits!$F$4:$F$703,B420,Benefits!$R$4:$R$703,"capacity_converted"),0)</f>
        <v>0</v>
      </c>
      <c r="J420" s="11" t="n">
        <f aca="false">SUM(F420:I420)</f>
        <v>83200.0416</v>
      </c>
      <c r="K420" s="11" t="n">
        <f aca="false">J420-E420</f>
        <v>68200.0416</v>
      </c>
      <c r="L420" s="11" t="n">
        <f aca="false">IF(D420=1,L419+K420,0)</f>
        <v>-681099.9168</v>
      </c>
      <c r="M420" s="11" t="n">
        <f aca="false">IF(D420=1,1/(1+Controls!$B$11)^B420,0)</f>
        <v>0.879617782840318</v>
      </c>
      <c r="N420" s="11" t="n">
        <f aca="false">K420*M420</f>
        <v>59989.9693818095</v>
      </c>
      <c r="O420" s="11" t="n">
        <f aca="false">IF(D420=1,O419+N420,0)</f>
        <v>-621430.640806189</v>
      </c>
      <c r="P420" s="11" t="n">
        <f aca="false">IF(AND(D420=1,L420&lt;0),1,0)</f>
        <v>1</v>
      </c>
      <c r="Q420" s="11" t="n">
        <f aca="false">IF(AND(D420=1,O420&lt;0),1,0)</f>
        <v>1</v>
      </c>
    </row>
    <row r="421" customFormat="false" ht="15" hidden="false" customHeight="false" outlineLevel="0" collapsed="false">
      <c r="A421" s="4" t="s">
        <v>94</v>
      </c>
      <c r="B421" s="4" t="n">
        <v>21</v>
      </c>
      <c r="C421" s="11" t="n">
        <f aca="false">IF(COUNTIF('Scenario inputs'!$A$4:$A$213,Controls!$B$3&amp;"|"&amp;A421)&gt;0,1,0)</f>
        <v>1</v>
      </c>
      <c r="D421" s="11" t="n">
        <f aca="false">IF(AND(C421=1,B421&lt;Controls!$B$12),1,0)</f>
        <v>1</v>
      </c>
      <c r="E421" s="11" t="n">
        <f aca="false">IF(D421=1,SUMPRODUCT((Costs!$B$4:$B$903=A421)*(Costs!$D$4:$D$903="planned")*(Costs!$J$4:$J$903&lt;=B421)*(Costs!$K$4:$K$903&gt;B421)*Costs!$E$4:$E$903),0)</f>
        <v>15000</v>
      </c>
      <c r="F421" s="11" t="n">
        <f aca="false">IF(D421=1,SUMIFS(Benefits!$S$4:$S$703,Benefits!$B$4:$B$703,A421,Benefits!$F$4:$F$703,B421,Benefits!$R$4:$R$703,"cash"),0)</f>
        <v>0</v>
      </c>
      <c r="G421" s="11" t="n">
        <f aca="false">IF(D421=1,SUMIFS(Benefits!$S$4:$S$703,Benefits!$B$4:$B$703,A421,Benefits!$F$4:$F$703,B421,Benefits!$R$4:$R$703,"revenue"),0)</f>
        <v>124800</v>
      </c>
      <c r="H421" s="11" t="n">
        <f aca="false">IF(D421=1,SUMIFS(Benefits!$S$4:$S$703,Benefits!$B$4:$B$703,A421,Benefits!$F$4:$F$703,B421,Benefits!$R$4:$R$703,"avoided_cost_realised"),0)</f>
        <v>0</v>
      </c>
      <c r="I421" s="11" t="n">
        <f aca="false">IF(D421=1,SUMIFS(Benefits!$S$4:$S$703,Benefits!$B$4:$B$703,A421,Benefits!$F$4:$F$703,B421,Benefits!$R$4:$R$703,"capacity_converted"),0)</f>
        <v>0</v>
      </c>
      <c r="J421" s="11" t="n">
        <f aca="false">SUM(F421:I421)</f>
        <v>124800</v>
      </c>
      <c r="K421" s="11" t="n">
        <f aca="false">J421-E421</f>
        <v>109800</v>
      </c>
      <c r="L421" s="11" t="n">
        <f aca="false">IF(D421=1,L420+K421,0)</f>
        <v>-571299.9168</v>
      </c>
      <c r="M421" s="11" t="n">
        <f aca="false">IF(D421=1,1/(1+Controls!$B$11)^B421,0)</f>
        <v>0.873994502213079</v>
      </c>
      <c r="N421" s="11" t="n">
        <f aca="false">K421*M421</f>
        <v>95964.5963429961</v>
      </c>
      <c r="O421" s="11" t="n">
        <f aca="false">IF(D421=1,O420+N421,0)</f>
        <v>-525466.044463193</v>
      </c>
      <c r="P421" s="11" t="n">
        <f aca="false">IF(AND(D421=1,L421&lt;0),1,0)</f>
        <v>1</v>
      </c>
      <c r="Q421" s="11" t="n">
        <f aca="false">IF(AND(D421=1,O421&lt;0),1,0)</f>
        <v>1</v>
      </c>
    </row>
    <row r="422" customFormat="false" ht="15" hidden="false" customHeight="false" outlineLevel="0" collapsed="false">
      <c r="A422" s="4" t="s">
        <v>94</v>
      </c>
      <c r="B422" s="4" t="n">
        <v>22</v>
      </c>
      <c r="C422" s="11" t="n">
        <f aca="false">IF(COUNTIF('Scenario inputs'!$A$4:$A$213,Controls!$B$3&amp;"|"&amp;A422)&gt;0,1,0)</f>
        <v>1</v>
      </c>
      <c r="D422" s="11" t="n">
        <f aca="false">IF(AND(C422=1,B422&lt;Controls!$B$12),1,0)</f>
        <v>1</v>
      </c>
      <c r="E422" s="11" t="n">
        <f aca="false">IF(D422=1,SUMPRODUCT((Costs!$B$4:$B$903=A422)*(Costs!$D$4:$D$903="planned")*(Costs!$J$4:$J$903&lt;=B422)*(Costs!$K$4:$K$903&gt;B422)*Costs!$E$4:$E$903),0)</f>
        <v>15000</v>
      </c>
      <c r="F422" s="11" t="n">
        <f aca="false">IF(D422=1,SUMIFS(Benefits!$S$4:$S$703,Benefits!$B$4:$B$703,A422,Benefits!$F$4:$F$703,B422,Benefits!$R$4:$R$703,"cash"),0)</f>
        <v>0</v>
      </c>
      <c r="G422" s="11" t="n">
        <f aca="false">IF(D422=1,SUMIFS(Benefits!$S$4:$S$703,Benefits!$B$4:$B$703,A422,Benefits!$F$4:$F$703,B422,Benefits!$R$4:$R$703,"revenue"),0)</f>
        <v>124800</v>
      </c>
      <c r="H422" s="11" t="n">
        <f aca="false">IF(D422=1,SUMIFS(Benefits!$S$4:$S$703,Benefits!$B$4:$B$703,A422,Benefits!$F$4:$F$703,B422,Benefits!$R$4:$R$703,"avoided_cost_realised"),0)</f>
        <v>0</v>
      </c>
      <c r="I422" s="11" t="n">
        <f aca="false">IF(D422=1,SUMIFS(Benefits!$S$4:$S$703,Benefits!$B$4:$B$703,A422,Benefits!$F$4:$F$703,B422,Benefits!$R$4:$R$703,"capacity_converted"),0)</f>
        <v>0</v>
      </c>
      <c r="J422" s="11" t="n">
        <f aca="false">SUM(F422:I422)</f>
        <v>124800</v>
      </c>
      <c r="K422" s="11" t="n">
        <f aca="false">J422-E422</f>
        <v>109800</v>
      </c>
      <c r="L422" s="11" t="n">
        <f aca="false">IF(D422=1,L421+K422,0)</f>
        <v>-461499.9168</v>
      </c>
      <c r="M422" s="11" t="n">
        <f aca="false">IF(D422=1,1/(1+Controls!$B$11)^B422,0)</f>
        <v>0.868407170478222</v>
      </c>
      <c r="N422" s="11" t="n">
        <f aca="false">K422*M422</f>
        <v>95351.1073185088</v>
      </c>
      <c r="O422" s="11" t="n">
        <f aca="false">IF(D422=1,O421+N422,0)</f>
        <v>-430114.937144684</v>
      </c>
      <c r="P422" s="11" t="n">
        <f aca="false">IF(AND(D422=1,L422&lt;0),1,0)</f>
        <v>1</v>
      </c>
      <c r="Q422" s="11" t="n">
        <f aca="false">IF(AND(D422=1,O422&lt;0),1,0)</f>
        <v>1</v>
      </c>
    </row>
    <row r="423" customFormat="false" ht="15" hidden="false" customHeight="false" outlineLevel="0" collapsed="false">
      <c r="A423" s="4" t="s">
        <v>94</v>
      </c>
      <c r="B423" s="4" t="n">
        <v>23</v>
      </c>
      <c r="C423" s="11" t="n">
        <f aca="false">IF(COUNTIF('Scenario inputs'!$A$4:$A$213,Controls!$B$3&amp;"|"&amp;A423)&gt;0,1,0)</f>
        <v>1</v>
      </c>
      <c r="D423" s="11" t="n">
        <f aca="false">IF(AND(C423=1,B423&lt;Controls!$B$12),1,0)</f>
        <v>1</v>
      </c>
      <c r="E423" s="11" t="n">
        <f aca="false">IF(D423=1,SUMPRODUCT((Costs!$B$4:$B$903=A423)*(Costs!$D$4:$D$903="planned")*(Costs!$J$4:$J$903&lt;=B423)*(Costs!$K$4:$K$903&gt;B423)*Costs!$E$4:$E$903),0)</f>
        <v>15550</v>
      </c>
      <c r="F423" s="11" t="n">
        <f aca="false">IF(D423=1,SUMIFS(Benefits!$S$4:$S$703,Benefits!$B$4:$B$703,A423,Benefits!$F$4:$F$703,B423,Benefits!$R$4:$R$703,"cash"),0)</f>
        <v>0</v>
      </c>
      <c r="G423" s="11" t="n">
        <f aca="false">IF(D423=1,SUMIFS(Benefits!$S$4:$S$703,Benefits!$B$4:$B$703,A423,Benefits!$F$4:$F$703,B423,Benefits!$R$4:$R$703,"revenue"),0)</f>
        <v>124800</v>
      </c>
      <c r="H423" s="11" t="n">
        <f aca="false">IF(D423=1,SUMIFS(Benefits!$S$4:$S$703,Benefits!$B$4:$B$703,A423,Benefits!$F$4:$F$703,B423,Benefits!$R$4:$R$703,"avoided_cost_realised"),0)</f>
        <v>0</v>
      </c>
      <c r="I423" s="11" t="n">
        <f aca="false">IF(D423=1,SUMIFS(Benefits!$S$4:$S$703,Benefits!$B$4:$B$703,A423,Benefits!$F$4:$F$703,B423,Benefits!$R$4:$R$703,"capacity_converted"),0)</f>
        <v>0</v>
      </c>
      <c r="J423" s="11" t="n">
        <f aca="false">SUM(F423:I423)</f>
        <v>124800</v>
      </c>
      <c r="K423" s="11" t="n">
        <f aca="false">J423-E423</f>
        <v>109250</v>
      </c>
      <c r="L423" s="11" t="n">
        <f aca="false">IF(D423=1,L422+K423,0)</f>
        <v>-352249.9168</v>
      </c>
      <c r="M423" s="11" t="n">
        <f aca="false">IF(D423=1,1/(1+Controls!$B$11)^B423,0)</f>
        <v>0.862855557819213</v>
      </c>
      <c r="N423" s="11" t="n">
        <f aca="false">K423*M423</f>
        <v>94266.9696917491</v>
      </c>
      <c r="O423" s="11" t="n">
        <f aca="false">IF(D423=1,O422+N423,0)</f>
        <v>-335847.967452935</v>
      </c>
      <c r="P423" s="11" t="n">
        <f aca="false">IF(AND(D423=1,L423&lt;0),1,0)</f>
        <v>1</v>
      </c>
      <c r="Q423" s="11" t="n">
        <f aca="false">IF(AND(D423=1,O423&lt;0),1,0)</f>
        <v>1</v>
      </c>
    </row>
    <row r="424" customFormat="false" ht="15" hidden="false" customHeight="false" outlineLevel="0" collapsed="false">
      <c r="A424" s="4" t="s">
        <v>94</v>
      </c>
      <c r="B424" s="4" t="n">
        <v>24</v>
      </c>
      <c r="C424" s="11" t="n">
        <f aca="false">IF(COUNTIF('Scenario inputs'!$A$4:$A$213,Controls!$B$3&amp;"|"&amp;A424)&gt;0,1,0)</f>
        <v>1</v>
      </c>
      <c r="D424" s="11" t="n">
        <f aca="false">IF(AND(C424=1,B424&lt;Controls!$B$12),1,0)</f>
        <v>1</v>
      </c>
      <c r="E424" s="11" t="n">
        <f aca="false">IF(D424=1,SUMPRODUCT((Costs!$B$4:$B$903=A424)*(Costs!$D$4:$D$903="planned")*(Costs!$J$4:$J$903&lt;=B424)*(Costs!$K$4:$K$903&gt;B424)*Costs!$E$4:$E$903),0)</f>
        <v>15550</v>
      </c>
      <c r="F424" s="11" t="n">
        <f aca="false">IF(D424=1,SUMIFS(Benefits!$S$4:$S$703,Benefits!$B$4:$B$703,A424,Benefits!$F$4:$F$703,B424,Benefits!$R$4:$R$703,"cash"),0)</f>
        <v>0</v>
      </c>
      <c r="G424" s="11" t="n">
        <f aca="false">IF(D424=1,SUMIFS(Benefits!$S$4:$S$703,Benefits!$B$4:$B$703,A424,Benefits!$F$4:$F$703,B424,Benefits!$R$4:$R$703,"revenue"),0)</f>
        <v>124800</v>
      </c>
      <c r="H424" s="11" t="n">
        <f aca="false">IF(D424=1,SUMIFS(Benefits!$S$4:$S$703,Benefits!$B$4:$B$703,A424,Benefits!$F$4:$F$703,B424,Benefits!$R$4:$R$703,"avoided_cost_realised"),0)</f>
        <v>0</v>
      </c>
      <c r="I424" s="11" t="n">
        <f aca="false">IF(D424=1,SUMIFS(Benefits!$S$4:$S$703,Benefits!$B$4:$B$703,A424,Benefits!$F$4:$F$703,B424,Benefits!$R$4:$R$703,"capacity_converted"),0)</f>
        <v>0</v>
      </c>
      <c r="J424" s="11" t="n">
        <f aca="false">SUM(F424:I424)</f>
        <v>124800</v>
      </c>
      <c r="K424" s="11" t="n">
        <f aca="false">J424-E424</f>
        <v>109250</v>
      </c>
      <c r="L424" s="11" t="n">
        <f aca="false">IF(D424=1,L423+K424,0)</f>
        <v>-242999.9168</v>
      </c>
      <c r="M424" s="11" t="n">
        <f aca="false">IF(D424=1,1/(1+Controls!$B$11)^B424,0)</f>
        <v>0.857339435888705</v>
      </c>
      <c r="N424" s="11" t="n">
        <f aca="false">K424*M424</f>
        <v>93664.3333708411</v>
      </c>
      <c r="O424" s="11" t="n">
        <f aca="false">IF(D424=1,O423+N424,0)</f>
        <v>-242183.634082094</v>
      </c>
      <c r="P424" s="11" t="n">
        <f aca="false">IF(AND(D424=1,L424&lt;0),1,0)</f>
        <v>1</v>
      </c>
      <c r="Q424" s="11" t="n">
        <f aca="false">IF(AND(D424=1,O424&lt;0),1,0)</f>
        <v>1</v>
      </c>
    </row>
    <row r="425" customFormat="false" ht="15" hidden="false" customHeight="false" outlineLevel="0" collapsed="false">
      <c r="A425" s="4" t="s">
        <v>94</v>
      </c>
      <c r="B425" s="4" t="n">
        <v>25</v>
      </c>
      <c r="C425" s="11" t="n">
        <f aca="false">IF(COUNTIF('Scenario inputs'!$A$4:$A$213,Controls!$B$3&amp;"|"&amp;A425)&gt;0,1,0)</f>
        <v>1</v>
      </c>
      <c r="D425" s="11" t="n">
        <f aca="false">IF(AND(C425=1,B425&lt;Controls!$B$12),1,0)</f>
        <v>1</v>
      </c>
      <c r="E425" s="11" t="n">
        <f aca="false">IF(D425=1,SUMPRODUCT((Costs!$B$4:$B$903=A425)*(Costs!$D$4:$D$903="planned")*(Costs!$J$4:$J$903&lt;=B425)*(Costs!$K$4:$K$903&gt;B425)*Costs!$E$4:$E$903),0)</f>
        <v>15550</v>
      </c>
      <c r="F425" s="11" t="n">
        <f aca="false">IF(D425=1,SUMIFS(Benefits!$S$4:$S$703,Benefits!$B$4:$B$703,A425,Benefits!$F$4:$F$703,B425,Benefits!$R$4:$R$703,"cash"),0)</f>
        <v>0</v>
      </c>
      <c r="G425" s="11" t="n">
        <f aca="false">IF(D425=1,SUMIFS(Benefits!$S$4:$S$703,Benefits!$B$4:$B$703,A425,Benefits!$F$4:$F$703,B425,Benefits!$R$4:$R$703,"revenue"),0)</f>
        <v>124800</v>
      </c>
      <c r="H425" s="11" t="n">
        <f aca="false">IF(D425=1,SUMIFS(Benefits!$S$4:$S$703,Benefits!$B$4:$B$703,A425,Benefits!$F$4:$F$703,B425,Benefits!$R$4:$R$703,"avoided_cost_realised"),0)</f>
        <v>0</v>
      </c>
      <c r="I425" s="11" t="n">
        <f aca="false">IF(D425=1,SUMIFS(Benefits!$S$4:$S$703,Benefits!$B$4:$B$703,A425,Benefits!$F$4:$F$703,B425,Benefits!$R$4:$R$703,"capacity_converted"),0)</f>
        <v>0</v>
      </c>
      <c r="J425" s="11" t="n">
        <f aca="false">SUM(F425:I425)</f>
        <v>124800</v>
      </c>
      <c r="K425" s="11" t="n">
        <f aca="false">J425-E425</f>
        <v>109250</v>
      </c>
      <c r="L425" s="11" t="n">
        <f aca="false">IF(D425=1,L424+K425,0)</f>
        <v>-133749.9168</v>
      </c>
      <c r="M425" s="11" t="n">
        <f aca="false">IF(D425=1,1/(1+Controls!$B$11)^B425,0)</f>
        <v>0.851858577799146</v>
      </c>
      <c r="N425" s="11" t="n">
        <f aca="false">K425*M425</f>
        <v>93065.5496245567</v>
      </c>
      <c r="O425" s="11" t="n">
        <f aca="false">IF(D425=1,O424+N425,0)</f>
        <v>-149118.084457537</v>
      </c>
      <c r="P425" s="11" t="n">
        <f aca="false">IF(AND(D425=1,L425&lt;0),1,0)</f>
        <v>1</v>
      </c>
      <c r="Q425" s="11" t="n">
        <f aca="false">IF(AND(D425=1,O425&lt;0),1,0)</f>
        <v>1</v>
      </c>
    </row>
    <row r="426" customFormat="false" ht="15" hidden="false" customHeight="false" outlineLevel="0" collapsed="false">
      <c r="A426" s="4" t="s">
        <v>94</v>
      </c>
      <c r="B426" s="4" t="n">
        <v>26</v>
      </c>
      <c r="C426" s="11" t="n">
        <f aca="false">IF(COUNTIF('Scenario inputs'!$A$4:$A$213,Controls!$B$3&amp;"|"&amp;A426)&gt;0,1,0)</f>
        <v>1</v>
      </c>
      <c r="D426" s="11" t="n">
        <f aca="false">IF(AND(C426=1,B426&lt;Controls!$B$12),1,0)</f>
        <v>1</v>
      </c>
      <c r="E426" s="11" t="n">
        <f aca="false">IF(D426=1,SUMPRODUCT((Costs!$B$4:$B$903=A426)*(Costs!$D$4:$D$903="planned")*(Costs!$J$4:$J$903&lt;=B426)*(Costs!$K$4:$K$903&gt;B426)*Costs!$E$4:$E$903),0)</f>
        <v>15550</v>
      </c>
      <c r="F426" s="11" t="n">
        <f aca="false">IF(D426=1,SUMIFS(Benefits!$S$4:$S$703,Benefits!$B$4:$B$703,A426,Benefits!$F$4:$F$703,B426,Benefits!$R$4:$R$703,"cash"),0)</f>
        <v>0</v>
      </c>
      <c r="G426" s="11" t="n">
        <f aca="false">IF(D426=1,SUMIFS(Benefits!$S$4:$S$703,Benefits!$B$4:$B$703,A426,Benefits!$F$4:$F$703,B426,Benefits!$R$4:$R$703,"revenue"),0)</f>
        <v>124800</v>
      </c>
      <c r="H426" s="11" t="n">
        <f aca="false">IF(D426=1,SUMIFS(Benefits!$S$4:$S$703,Benefits!$B$4:$B$703,A426,Benefits!$F$4:$F$703,B426,Benefits!$R$4:$R$703,"avoided_cost_realised"),0)</f>
        <v>0</v>
      </c>
      <c r="I426" s="11" t="n">
        <f aca="false">IF(D426=1,SUMIFS(Benefits!$S$4:$S$703,Benefits!$B$4:$B$703,A426,Benefits!$F$4:$F$703,B426,Benefits!$R$4:$R$703,"capacity_converted"),0)</f>
        <v>0</v>
      </c>
      <c r="J426" s="11" t="n">
        <f aca="false">SUM(F426:I426)</f>
        <v>124800</v>
      </c>
      <c r="K426" s="11" t="n">
        <f aca="false">J426-E426</f>
        <v>109250</v>
      </c>
      <c r="L426" s="11" t="n">
        <f aca="false">IF(D426=1,L425+K426,0)</f>
        <v>-24499.9168</v>
      </c>
      <c r="M426" s="11" t="n">
        <f aca="false">IF(D426=1,1/(1+Controls!$B$11)^B426,0)</f>
        <v>0.846412758113444</v>
      </c>
      <c r="N426" s="11" t="n">
        <f aca="false">K426*M426</f>
        <v>92470.5938238937</v>
      </c>
      <c r="O426" s="11" t="n">
        <f aca="false">IF(D426=1,O425+N426,0)</f>
        <v>-56647.4906336433</v>
      </c>
      <c r="P426" s="11" t="n">
        <f aca="false">IF(AND(D426=1,L426&lt;0),1,0)</f>
        <v>1</v>
      </c>
      <c r="Q426" s="11" t="n">
        <f aca="false">IF(AND(D426=1,O426&lt;0),1,0)</f>
        <v>1</v>
      </c>
    </row>
    <row r="427" customFormat="false" ht="15" hidden="false" customHeight="false" outlineLevel="0" collapsed="false">
      <c r="A427" s="4" t="s">
        <v>94</v>
      </c>
      <c r="B427" s="4" t="n">
        <v>27</v>
      </c>
      <c r="C427" s="11" t="n">
        <f aca="false">IF(COUNTIF('Scenario inputs'!$A$4:$A$213,Controls!$B$3&amp;"|"&amp;A427)&gt;0,1,0)</f>
        <v>1</v>
      </c>
      <c r="D427" s="11" t="n">
        <f aca="false">IF(AND(C427=1,B427&lt;Controls!$B$12),1,0)</f>
        <v>1</v>
      </c>
      <c r="E427" s="11" t="n">
        <f aca="false">IF(D427=1,SUMPRODUCT((Costs!$B$4:$B$903=A427)*(Costs!$D$4:$D$903="planned")*(Costs!$J$4:$J$903&lt;=B427)*(Costs!$K$4:$K$903&gt;B427)*Costs!$E$4:$E$903),0)</f>
        <v>15550</v>
      </c>
      <c r="F427" s="11" t="n">
        <f aca="false">IF(D427=1,SUMIFS(Benefits!$S$4:$S$703,Benefits!$B$4:$B$703,A427,Benefits!$F$4:$F$703,B427,Benefits!$R$4:$R$703,"cash"),0)</f>
        <v>0</v>
      </c>
      <c r="G427" s="11" t="n">
        <f aca="false">IF(D427=1,SUMIFS(Benefits!$S$4:$S$703,Benefits!$B$4:$B$703,A427,Benefits!$F$4:$F$703,B427,Benefits!$R$4:$R$703,"revenue"),0)</f>
        <v>124800</v>
      </c>
      <c r="H427" s="11" t="n">
        <f aca="false">IF(D427=1,SUMIFS(Benefits!$S$4:$S$703,Benefits!$B$4:$B$703,A427,Benefits!$F$4:$F$703,B427,Benefits!$R$4:$R$703,"avoided_cost_realised"),0)</f>
        <v>0</v>
      </c>
      <c r="I427" s="11" t="n">
        <f aca="false">IF(D427=1,SUMIFS(Benefits!$S$4:$S$703,Benefits!$B$4:$B$703,A427,Benefits!$F$4:$F$703,B427,Benefits!$R$4:$R$703,"capacity_converted"),0)</f>
        <v>0</v>
      </c>
      <c r="J427" s="11" t="n">
        <f aca="false">SUM(F427:I427)</f>
        <v>124800</v>
      </c>
      <c r="K427" s="11" t="n">
        <f aca="false">J427-E427</f>
        <v>109250</v>
      </c>
      <c r="L427" s="11" t="n">
        <f aca="false">IF(D427=1,L426+K427,0)</f>
        <v>84750.0832</v>
      </c>
      <c r="M427" s="11" t="n">
        <f aca="false">IF(D427=1,1/(1+Controls!$B$11)^B427,0)</f>
        <v>0.841001752835699</v>
      </c>
      <c r="N427" s="11" t="n">
        <f aca="false">K427*M427</f>
        <v>91879.4414973001</v>
      </c>
      <c r="O427" s="11" t="n">
        <f aca="false">IF(D427=1,O426+N427,0)</f>
        <v>35231.9508636568</v>
      </c>
      <c r="P427" s="11" t="n">
        <f aca="false">IF(AND(D427=1,L427&lt;0),1,0)</f>
        <v>0</v>
      </c>
      <c r="Q427" s="11" t="n">
        <f aca="false">IF(AND(D427=1,O427&lt;0),1,0)</f>
        <v>0</v>
      </c>
    </row>
    <row r="428" customFormat="false" ht="15" hidden="false" customHeight="false" outlineLevel="0" collapsed="false">
      <c r="A428" s="4" t="s">
        <v>94</v>
      </c>
      <c r="B428" s="4" t="n">
        <v>28</v>
      </c>
      <c r="C428" s="11" t="n">
        <f aca="false">IF(COUNTIF('Scenario inputs'!$A$4:$A$213,Controls!$B$3&amp;"|"&amp;A428)&gt;0,1,0)</f>
        <v>1</v>
      </c>
      <c r="D428" s="11" t="n">
        <f aca="false">IF(AND(C428=1,B428&lt;Controls!$B$12),1,0)</f>
        <v>1</v>
      </c>
      <c r="E428" s="11" t="n">
        <f aca="false">IF(D428=1,SUMPRODUCT((Costs!$B$4:$B$903=A428)*(Costs!$D$4:$D$903="planned")*(Costs!$J$4:$J$903&lt;=B428)*(Costs!$K$4:$K$903&gt;B428)*Costs!$E$4:$E$903),0)</f>
        <v>15550</v>
      </c>
      <c r="F428" s="11" t="n">
        <f aca="false">IF(D428=1,SUMIFS(Benefits!$S$4:$S$703,Benefits!$B$4:$B$703,A428,Benefits!$F$4:$F$703,B428,Benefits!$R$4:$R$703,"cash"),0)</f>
        <v>0</v>
      </c>
      <c r="G428" s="11" t="n">
        <f aca="false">IF(D428=1,SUMIFS(Benefits!$S$4:$S$703,Benefits!$B$4:$B$703,A428,Benefits!$F$4:$F$703,B428,Benefits!$R$4:$R$703,"revenue"),0)</f>
        <v>124800</v>
      </c>
      <c r="H428" s="11" t="n">
        <f aca="false">IF(D428=1,SUMIFS(Benefits!$S$4:$S$703,Benefits!$B$4:$B$703,A428,Benefits!$F$4:$F$703,B428,Benefits!$R$4:$R$703,"avoided_cost_realised"),0)</f>
        <v>0</v>
      </c>
      <c r="I428" s="11" t="n">
        <f aca="false">IF(D428=1,SUMIFS(Benefits!$S$4:$S$703,Benefits!$B$4:$B$703,A428,Benefits!$F$4:$F$703,B428,Benefits!$R$4:$R$703,"capacity_converted"),0)</f>
        <v>0</v>
      </c>
      <c r="J428" s="11" t="n">
        <f aca="false">SUM(F428:I428)</f>
        <v>124800</v>
      </c>
      <c r="K428" s="11" t="n">
        <f aca="false">J428-E428</f>
        <v>109250</v>
      </c>
      <c r="L428" s="11" t="n">
        <f aca="false">IF(D428=1,L427+K428,0)</f>
        <v>194000.0832</v>
      </c>
      <c r="M428" s="11" t="n">
        <f aca="false">IF(D428=1,1/(1+Controls!$B$11)^B428,0)</f>
        <v>0.835625339401986</v>
      </c>
      <c r="N428" s="11" t="n">
        <f aca="false">K428*M428</f>
        <v>91292.068329667</v>
      </c>
      <c r="O428" s="11" t="n">
        <f aca="false">IF(D428=1,O427+N428,0)</f>
        <v>126524.019193324</v>
      </c>
      <c r="P428" s="11" t="n">
        <f aca="false">IF(AND(D428=1,L428&lt;0),1,0)</f>
        <v>0</v>
      </c>
      <c r="Q428" s="11" t="n">
        <f aca="false">IF(AND(D428=1,O428&lt;0),1,0)</f>
        <v>0</v>
      </c>
    </row>
    <row r="429" customFormat="false" ht="15" hidden="false" customHeight="false" outlineLevel="0" collapsed="false">
      <c r="A429" s="4" t="s">
        <v>94</v>
      </c>
      <c r="B429" s="4" t="n">
        <v>29</v>
      </c>
      <c r="C429" s="11" t="n">
        <f aca="false">IF(COUNTIF('Scenario inputs'!$A$4:$A$213,Controls!$B$3&amp;"|"&amp;A429)&gt;0,1,0)</f>
        <v>1</v>
      </c>
      <c r="D429" s="11" t="n">
        <f aca="false">IF(AND(C429=1,B429&lt;Controls!$B$12),1,0)</f>
        <v>1</v>
      </c>
      <c r="E429" s="11" t="n">
        <f aca="false">IF(D429=1,SUMPRODUCT((Costs!$B$4:$B$903=A429)*(Costs!$D$4:$D$903="planned")*(Costs!$J$4:$J$903&lt;=B429)*(Costs!$K$4:$K$903&gt;B429)*Costs!$E$4:$E$903),0)</f>
        <v>0</v>
      </c>
      <c r="F429" s="11" t="n">
        <f aca="false">IF(D429=1,SUMIFS(Benefits!$S$4:$S$703,Benefits!$B$4:$B$703,A429,Benefits!$F$4:$F$703,B429,Benefits!$R$4:$R$703,"cash"),0)</f>
        <v>0</v>
      </c>
      <c r="G429" s="11" t="n">
        <f aca="false">IF(D429=1,SUMIFS(Benefits!$S$4:$S$703,Benefits!$B$4:$B$703,A429,Benefits!$F$4:$F$703,B429,Benefits!$R$4:$R$703,"revenue"),0)</f>
        <v>0</v>
      </c>
      <c r="H429" s="11" t="n">
        <f aca="false">IF(D429=1,SUMIFS(Benefits!$S$4:$S$703,Benefits!$B$4:$B$703,A429,Benefits!$F$4:$F$703,B429,Benefits!$R$4:$R$703,"avoided_cost_realised"),0)</f>
        <v>0</v>
      </c>
      <c r="I429" s="11" t="n">
        <f aca="false">IF(D429=1,SUMIFS(Benefits!$S$4:$S$703,Benefits!$B$4:$B$703,A429,Benefits!$F$4:$F$703,B429,Benefits!$R$4:$R$703,"capacity_converted"),0)</f>
        <v>0</v>
      </c>
      <c r="J429" s="11" t="n">
        <f aca="false">SUM(F429:I429)</f>
        <v>0</v>
      </c>
      <c r="K429" s="11" t="n">
        <f aca="false">J429-E429</f>
        <v>0</v>
      </c>
      <c r="L429" s="11" t="n">
        <f aca="false">IF(D429=1,L428+K429,0)</f>
        <v>194000.0832</v>
      </c>
      <c r="M429" s="11" t="n">
        <f aca="false">IF(D429=1,1/(1+Controls!$B$11)^B429,0)</f>
        <v>0.830283296671204</v>
      </c>
      <c r="N429" s="11" t="n">
        <f aca="false">K429*M429</f>
        <v>0</v>
      </c>
      <c r="O429" s="11" t="n">
        <f aca="false">IF(D429=1,O428+N429,0)</f>
        <v>126524.019193324</v>
      </c>
      <c r="P429" s="11" t="n">
        <f aca="false">IF(AND(D429=1,L429&lt;0),1,0)</f>
        <v>0</v>
      </c>
      <c r="Q429" s="11" t="n">
        <f aca="false">IF(AND(D429=1,O429&lt;0),1,0)</f>
        <v>0</v>
      </c>
    </row>
    <row r="430" customFormat="false" ht="15" hidden="false" customHeight="false" outlineLevel="0" collapsed="false">
      <c r="A430" s="4" t="s">
        <v>94</v>
      </c>
      <c r="B430" s="4" t="n">
        <v>30</v>
      </c>
      <c r="C430" s="11" t="n">
        <f aca="false">IF(COUNTIF('Scenario inputs'!$A$4:$A$213,Controls!$B$3&amp;"|"&amp;A430)&gt;0,1,0)</f>
        <v>1</v>
      </c>
      <c r="D430" s="11" t="n">
        <f aca="false">IF(AND(C430=1,B430&lt;Controls!$B$12),1,0)</f>
        <v>1</v>
      </c>
      <c r="E430" s="11" t="n">
        <f aca="false">IF(D430=1,SUMPRODUCT((Costs!$B$4:$B$903=A430)*(Costs!$D$4:$D$903="planned")*(Costs!$J$4:$J$903&lt;=B430)*(Costs!$K$4:$K$903&gt;B430)*Costs!$E$4:$E$903),0)</f>
        <v>0</v>
      </c>
      <c r="F430" s="11" t="n">
        <f aca="false">IF(D430=1,SUMIFS(Benefits!$S$4:$S$703,Benefits!$B$4:$B$703,A430,Benefits!$F$4:$F$703,B430,Benefits!$R$4:$R$703,"cash"),0)</f>
        <v>0</v>
      </c>
      <c r="G430" s="11" t="n">
        <f aca="false">IF(D430=1,SUMIFS(Benefits!$S$4:$S$703,Benefits!$B$4:$B$703,A430,Benefits!$F$4:$F$703,B430,Benefits!$R$4:$R$703,"revenue"),0)</f>
        <v>0</v>
      </c>
      <c r="H430" s="11" t="n">
        <f aca="false">IF(D430=1,SUMIFS(Benefits!$S$4:$S$703,Benefits!$B$4:$B$703,A430,Benefits!$F$4:$F$703,B430,Benefits!$R$4:$R$703,"avoided_cost_realised"),0)</f>
        <v>0</v>
      </c>
      <c r="I430" s="11" t="n">
        <f aca="false">IF(D430=1,SUMIFS(Benefits!$S$4:$S$703,Benefits!$B$4:$B$703,A430,Benefits!$F$4:$F$703,B430,Benefits!$R$4:$R$703,"capacity_converted"),0)</f>
        <v>0</v>
      </c>
      <c r="J430" s="11" t="n">
        <f aca="false">SUM(F430:I430)</f>
        <v>0</v>
      </c>
      <c r="K430" s="11" t="n">
        <f aca="false">J430-E430</f>
        <v>0</v>
      </c>
      <c r="L430" s="11" t="n">
        <f aca="false">IF(D430=1,L429+K430,0)</f>
        <v>194000.0832</v>
      </c>
      <c r="M430" s="11" t="n">
        <f aca="false">IF(D430=1,1/(1+Controls!$B$11)^B430,0)</f>
        <v>0.824975404915974</v>
      </c>
      <c r="N430" s="11" t="n">
        <f aca="false">K430*M430</f>
        <v>0</v>
      </c>
      <c r="O430" s="11" t="n">
        <f aca="false">IF(D430=1,O429+N430,0)</f>
        <v>126524.019193324</v>
      </c>
      <c r="P430" s="11" t="n">
        <f aca="false">IF(AND(D430=1,L430&lt;0),1,0)</f>
        <v>0</v>
      </c>
      <c r="Q430" s="11" t="n">
        <f aca="false">IF(AND(D430=1,O430&lt;0),1,0)</f>
        <v>0</v>
      </c>
    </row>
    <row r="431" customFormat="false" ht="15" hidden="false" customHeight="false" outlineLevel="0" collapsed="false">
      <c r="A431" s="4" t="s">
        <v>94</v>
      </c>
      <c r="B431" s="4" t="n">
        <v>31</v>
      </c>
      <c r="C431" s="11" t="n">
        <f aca="false">IF(COUNTIF('Scenario inputs'!$A$4:$A$213,Controls!$B$3&amp;"|"&amp;A431)&gt;0,1,0)</f>
        <v>1</v>
      </c>
      <c r="D431" s="11" t="n">
        <f aca="false">IF(AND(C431=1,B431&lt;Controls!$B$12),1,0)</f>
        <v>1</v>
      </c>
      <c r="E431" s="11" t="n">
        <f aca="false">IF(D431=1,SUMPRODUCT((Costs!$B$4:$B$903=A431)*(Costs!$D$4:$D$903="planned")*(Costs!$J$4:$J$903&lt;=B431)*(Costs!$K$4:$K$903&gt;B431)*Costs!$E$4:$E$903),0)</f>
        <v>0</v>
      </c>
      <c r="F431" s="11" t="n">
        <f aca="false">IF(D431=1,SUMIFS(Benefits!$S$4:$S$703,Benefits!$B$4:$B$703,A431,Benefits!$F$4:$F$703,B431,Benefits!$R$4:$R$703,"cash"),0)</f>
        <v>0</v>
      </c>
      <c r="G431" s="11" t="n">
        <f aca="false">IF(D431=1,SUMIFS(Benefits!$S$4:$S$703,Benefits!$B$4:$B$703,A431,Benefits!$F$4:$F$703,B431,Benefits!$R$4:$R$703,"revenue"),0)</f>
        <v>0</v>
      </c>
      <c r="H431" s="11" t="n">
        <f aca="false">IF(D431=1,SUMIFS(Benefits!$S$4:$S$703,Benefits!$B$4:$B$703,A431,Benefits!$F$4:$F$703,B431,Benefits!$R$4:$R$703,"avoided_cost_realised"),0)</f>
        <v>0</v>
      </c>
      <c r="I431" s="11" t="n">
        <f aca="false">IF(D431=1,SUMIFS(Benefits!$S$4:$S$703,Benefits!$B$4:$B$703,A431,Benefits!$F$4:$F$703,B431,Benefits!$R$4:$R$703,"capacity_converted"),0)</f>
        <v>0</v>
      </c>
      <c r="J431" s="11" t="n">
        <f aca="false">SUM(F431:I431)</f>
        <v>0</v>
      </c>
      <c r="K431" s="11" t="n">
        <f aca="false">J431-E431</f>
        <v>0</v>
      </c>
      <c r="L431" s="11" t="n">
        <f aca="false">IF(D431=1,L430+K431,0)</f>
        <v>194000.0832</v>
      </c>
      <c r="M431" s="11" t="n">
        <f aca="false">IF(D431=1,1/(1+Controls!$B$11)^B431,0)</f>
        <v>0.81970144581361</v>
      </c>
      <c r="N431" s="11" t="n">
        <f aca="false">K431*M431</f>
        <v>0</v>
      </c>
      <c r="O431" s="11" t="n">
        <f aca="false">IF(D431=1,O430+N431,0)</f>
        <v>126524.019193324</v>
      </c>
      <c r="P431" s="11" t="n">
        <f aca="false">IF(AND(D431=1,L431&lt;0),1,0)</f>
        <v>0</v>
      </c>
      <c r="Q431" s="11" t="n">
        <f aca="false">IF(AND(D431=1,O431&lt;0),1,0)</f>
        <v>0</v>
      </c>
    </row>
    <row r="432" customFormat="false" ht="15" hidden="false" customHeight="false" outlineLevel="0" collapsed="false">
      <c r="A432" s="4" t="s">
        <v>94</v>
      </c>
      <c r="B432" s="4" t="n">
        <v>32</v>
      </c>
      <c r="C432" s="11" t="n">
        <f aca="false">IF(COUNTIF('Scenario inputs'!$A$4:$A$213,Controls!$B$3&amp;"|"&amp;A432)&gt;0,1,0)</f>
        <v>1</v>
      </c>
      <c r="D432" s="11" t="n">
        <f aca="false">IF(AND(C432=1,B432&lt;Controls!$B$12),1,0)</f>
        <v>1</v>
      </c>
      <c r="E432" s="11" t="n">
        <f aca="false">IF(D432=1,SUMPRODUCT((Costs!$B$4:$B$903=A432)*(Costs!$D$4:$D$903="planned")*(Costs!$J$4:$J$903&lt;=B432)*(Costs!$K$4:$K$903&gt;B432)*Costs!$E$4:$E$903),0)</f>
        <v>0</v>
      </c>
      <c r="F432" s="11" t="n">
        <f aca="false">IF(D432=1,SUMIFS(Benefits!$S$4:$S$703,Benefits!$B$4:$B$703,A432,Benefits!$F$4:$F$703,B432,Benefits!$R$4:$R$703,"cash"),0)</f>
        <v>0</v>
      </c>
      <c r="G432" s="11" t="n">
        <f aca="false">IF(D432=1,SUMIFS(Benefits!$S$4:$S$703,Benefits!$B$4:$B$703,A432,Benefits!$F$4:$F$703,B432,Benefits!$R$4:$R$703,"revenue"),0)</f>
        <v>0</v>
      </c>
      <c r="H432" s="11" t="n">
        <f aca="false">IF(D432=1,SUMIFS(Benefits!$S$4:$S$703,Benefits!$B$4:$B$703,A432,Benefits!$F$4:$F$703,B432,Benefits!$R$4:$R$703,"avoided_cost_realised"),0)</f>
        <v>0</v>
      </c>
      <c r="I432" s="11" t="n">
        <f aca="false">IF(D432=1,SUMIFS(Benefits!$S$4:$S$703,Benefits!$B$4:$B$703,A432,Benefits!$F$4:$F$703,B432,Benefits!$R$4:$R$703,"capacity_converted"),0)</f>
        <v>0</v>
      </c>
      <c r="J432" s="11" t="n">
        <f aca="false">SUM(F432:I432)</f>
        <v>0</v>
      </c>
      <c r="K432" s="11" t="n">
        <f aca="false">J432-E432</f>
        <v>0</v>
      </c>
      <c r="L432" s="11" t="n">
        <f aca="false">IF(D432=1,L431+K432,0)</f>
        <v>194000.0832</v>
      </c>
      <c r="M432" s="11" t="n">
        <f aca="false">IF(D432=1,1/(1+Controls!$B$11)^B432,0)</f>
        <v>0.814461202437129</v>
      </c>
      <c r="N432" s="11" t="n">
        <f aca="false">K432*M432</f>
        <v>0</v>
      </c>
      <c r="O432" s="11" t="n">
        <f aca="false">IF(D432=1,O431+N432,0)</f>
        <v>126524.019193324</v>
      </c>
      <c r="P432" s="11" t="n">
        <f aca="false">IF(AND(D432=1,L432&lt;0),1,0)</f>
        <v>0</v>
      </c>
      <c r="Q432" s="11" t="n">
        <f aca="false">IF(AND(D432=1,O432&lt;0),1,0)</f>
        <v>0</v>
      </c>
    </row>
    <row r="433" customFormat="false" ht="15" hidden="false" customHeight="false" outlineLevel="0" collapsed="false">
      <c r="A433" s="4" t="s">
        <v>94</v>
      </c>
      <c r="B433" s="4" t="n">
        <v>33</v>
      </c>
      <c r="C433" s="11" t="n">
        <f aca="false">IF(COUNTIF('Scenario inputs'!$A$4:$A$213,Controls!$B$3&amp;"|"&amp;A433)&gt;0,1,0)</f>
        <v>1</v>
      </c>
      <c r="D433" s="11" t="n">
        <f aca="false">IF(AND(C433=1,B433&lt;Controls!$B$12),1,0)</f>
        <v>1</v>
      </c>
      <c r="E433" s="11" t="n">
        <f aca="false">IF(D433=1,SUMPRODUCT((Costs!$B$4:$B$903=A433)*(Costs!$D$4:$D$903="planned")*(Costs!$J$4:$J$903&lt;=B433)*(Costs!$K$4:$K$903&gt;B433)*Costs!$E$4:$E$903),0)</f>
        <v>0</v>
      </c>
      <c r="F433" s="11" t="n">
        <f aca="false">IF(D433=1,SUMIFS(Benefits!$S$4:$S$703,Benefits!$B$4:$B$703,A433,Benefits!$F$4:$F$703,B433,Benefits!$R$4:$R$703,"cash"),0)</f>
        <v>0</v>
      </c>
      <c r="G433" s="11" t="n">
        <f aca="false">IF(D433=1,SUMIFS(Benefits!$S$4:$S$703,Benefits!$B$4:$B$703,A433,Benefits!$F$4:$F$703,B433,Benefits!$R$4:$R$703,"revenue"),0)</f>
        <v>0</v>
      </c>
      <c r="H433" s="11" t="n">
        <f aca="false">IF(D433=1,SUMIFS(Benefits!$S$4:$S$703,Benefits!$B$4:$B$703,A433,Benefits!$F$4:$F$703,B433,Benefits!$R$4:$R$703,"avoided_cost_realised"),0)</f>
        <v>0</v>
      </c>
      <c r="I433" s="11" t="n">
        <f aca="false">IF(D433=1,SUMIFS(Benefits!$S$4:$S$703,Benefits!$B$4:$B$703,A433,Benefits!$F$4:$F$703,B433,Benefits!$R$4:$R$703,"capacity_converted"),0)</f>
        <v>0</v>
      </c>
      <c r="J433" s="11" t="n">
        <f aca="false">SUM(F433:I433)</f>
        <v>0</v>
      </c>
      <c r="K433" s="11" t="n">
        <f aca="false">J433-E433</f>
        <v>0</v>
      </c>
      <c r="L433" s="11" t="n">
        <f aca="false">IF(D433=1,L432+K433,0)</f>
        <v>194000.0832</v>
      </c>
      <c r="M433" s="11" t="n">
        <f aca="false">IF(D433=1,1/(1+Controls!$B$11)^B433,0)</f>
        <v>0.809254459246338</v>
      </c>
      <c r="N433" s="11" t="n">
        <f aca="false">K433*M433</f>
        <v>0</v>
      </c>
      <c r="O433" s="11" t="n">
        <f aca="false">IF(D433=1,O432+N433,0)</f>
        <v>126524.019193324</v>
      </c>
      <c r="P433" s="11" t="n">
        <f aca="false">IF(AND(D433=1,L433&lt;0),1,0)</f>
        <v>0</v>
      </c>
      <c r="Q433" s="11" t="n">
        <f aca="false">IF(AND(D433=1,O433&lt;0),1,0)</f>
        <v>0</v>
      </c>
    </row>
    <row r="434" customFormat="false" ht="15" hidden="false" customHeight="false" outlineLevel="0" collapsed="false">
      <c r="A434" s="4" t="s">
        <v>94</v>
      </c>
      <c r="B434" s="4" t="n">
        <v>34</v>
      </c>
      <c r="C434" s="11" t="n">
        <f aca="false">IF(COUNTIF('Scenario inputs'!$A$4:$A$213,Controls!$B$3&amp;"|"&amp;A434)&gt;0,1,0)</f>
        <v>1</v>
      </c>
      <c r="D434" s="11" t="n">
        <f aca="false">IF(AND(C434=1,B434&lt;Controls!$B$12),1,0)</f>
        <v>1</v>
      </c>
      <c r="E434" s="11" t="n">
        <f aca="false">IF(D434=1,SUMPRODUCT((Costs!$B$4:$B$903=A434)*(Costs!$D$4:$D$903="planned")*(Costs!$J$4:$J$903&lt;=B434)*(Costs!$K$4:$K$903&gt;B434)*Costs!$E$4:$E$903),0)</f>
        <v>0</v>
      </c>
      <c r="F434" s="11" t="n">
        <f aca="false">IF(D434=1,SUMIFS(Benefits!$S$4:$S$703,Benefits!$B$4:$B$703,A434,Benefits!$F$4:$F$703,B434,Benefits!$R$4:$R$703,"cash"),0)</f>
        <v>0</v>
      </c>
      <c r="G434" s="11" t="n">
        <f aca="false">IF(D434=1,SUMIFS(Benefits!$S$4:$S$703,Benefits!$B$4:$B$703,A434,Benefits!$F$4:$F$703,B434,Benefits!$R$4:$R$703,"revenue"),0)</f>
        <v>0</v>
      </c>
      <c r="H434" s="11" t="n">
        <f aca="false">IF(D434=1,SUMIFS(Benefits!$S$4:$S$703,Benefits!$B$4:$B$703,A434,Benefits!$F$4:$F$703,B434,Benefits!$R$4:$R$703,"avoided_cost_realised"),0)</f>
        <v>0</v>
      </c>
      <c r="I434" s="11" t="n">
        <f aca="false">IF(D434=1,SUMIFS(Benefits!$S$4:$S$703,Benefits!$B$4:$B$703,A434,Benefits!$F$4:$F$703,B434,Benefits!$R$4:$R$703,"capacity_converted"),0)</f>
        <v>0</v>
      </c>
      <c r="J434" s="11" t="n">
        <f aca="false">SUM(F434:I434)</f>
        <v>0</v>
      </c>
      <c r="K434" s="11" t="n">
        <f aca="false">J434-E434</f>
        <v>0</v>
      </c>
      <c r="L434" s="11" t="n">
        <f aca="false">IF(D434=1,L433+K434,0)</f>
        <v>194000.0832</v>
      </c>
      <c r="M434" s="11" t="n">
        <f aca="false">IF(D434=1,1/(1+Controls!$B$11)^B434,0)</f>
        <v>0.804081002078962</v>
      </c>
      <c r="N434" s="11" t="n">
        <f aca="false">K434*M434</f>
        <v>0</v>
      </c>
      <c r="O434" s="11" t="n">
        <f aca="false">IF(D434=1,O433+N434,0)</f>
        <v>126524.019193324</v>
      </c>
      <c r="P434" s="11" t="n">
        <f aca="false">IF(AND(D434=1,L434&lt;0),1,0)</f>
        <v>0</v>
      </c>
      <c r="Q434" s="11" t="n">
        <f aca="false">IF(AND(D434=1,O434&lt;0),1,0)</f>
        <v>0</v>
      </c>
    </row>
    <row r="435" customFormat="false" ht="15" hidden="false" customHeight="false" outlineLevel="0" collapsed="false">
      <c r="A435" s="4" t="s">
        <v>94</v>
      </c>
      <c r="B435" s="4" t="n">
        <v>35</v>
      </c>
      <c r="C435" s="11" t="n">
        <f aca="false">IF(COUNTIF('Scenario inputs'!$A$4:$A$213,Controls!$B$3&amp;"|"&amp;A435)&gt;0,1,0)</f>
        <v>1</v>
      </c>
      <c r="D435" s="11" t="n">
        <f aca="false">IF(AND(C435=1,B435&lt;Controls!$B$12),1,0)</f>
        <v>1</v>
      </c>
      <c r="E435" s="11" t="n">
        <f aca="false">IF(D435=1,SUMPRODUCT((Costs!$B$4:$B$903=A435)*(Costs!$D$4:$D$903="planned")*(Costs!$J$4:$J$903&lt;=B435)*(Costs!$K$4:$K$903&gt;B435)*Costs!$E$4:$E$903),0)</f>
        <v>0</v>
      </c>
      <c r="F435" s="11" t="n">
        <f aca="false">IF(D435=1,SUMIFS(Benefits!$S$4:$S$703,Benefits!$B$4:$B$703,A435,Benefits!$F$4:$F$703,B435,Benefits!$R$4:$R$703,"cash"),0)</f>
        <v>0</v>
      </c>
      <c r="G435" s="11" t="n">
        <f aca="false">IF(D435=1,SUMIFS(Benefits!$S$4:$S$703,Benefits!$B$4:$B$703,A435,Benefits!$F$4:$F$703,B435,Benefits!$R$4:$R$703,"revenue"),0)</f>
        <v>0</v>
      </c>
      <c r="H435" s="11" t="n">
        <f aca="false">IF(D435=1,SUMIFS(Benefits!$S$4:$S$703,Benefits!$B$4:$B$703,A435,Benefits!$F$4:$F$703,B435,Benefits!$R$4:$R$703,"avoided_cost_realised"),0)</f>
        <v>0</v>
      </c>
      <c r="I435" s="11" t="n">
        <f aca="false">IF(D435=1,SUMIFS(Benefits!$S$4:$S$703,Benefits!$B$4:$B$703,A435,Benefits!$F$4:$F$703,B435,Benefits!$R$4:$R$703,"capacity_converted"),0)</f>
        <v>0</v>
      </c>
      <c r="J435" s="11" t="n">
        <f aca="false">SUM(F435:I435)</f>
        <v>0</v>
      </c>
      <c r="K435" s="11" t="n">
        <f aca="false">J435-E435</f>
        <v>0</v>
      </c>
      <c r="L435" s="11" t="n">
        <f aca="false">IF(D435=1,L434+K435,0)</f>
        <v>194000.0832</v>
      </c>
      <c r="M435" s="11" t="n">
        <f aca="false">IF(D435=1,1/(1+Controls!$B$11)^B435,0)</f>
        <v>0.798940618141837</v>
      </c>
      <c r="N435" s="11" t="n">
        <f aca="false">K435*M435</f>
        <v>0</v>
      </c>
      <c r="O435" s="11" t="n">
        <f aca="false">IF(D435=1,O434+N435,0)</f>
        <v>126524.019193324</v>
      </c>
      <c r="P435" s="11" t="n">
        <f aca="false">IF(AND(D435=1,L435&lt;0),1,0)</f>
        <v>0</v>
      </c>
      <c r="Q435" s="11" t="n">
        <f aca="false">IF(AND(D435=1,O435&lt;0),1,0)</f>
        <v>0</v>
      </c>
    </row>
    <row r="436" customFormat="false" ht="15" hidden="false" customHeight="false" outlineLevel="0" collapsed="false">
      <c r="A436" s="4" t="s">
        <v>95</v>
      </c>
      <c r="B436" s="4" t="n">
        <v>0</v>
      </c>
      <c r="C436" s="11" t="n">
        <f aca="false">IF(COUNTIF('Scenario inputs'!$A$4:$A$213,Controls!$B$3&amp;"|"&amp;A436)&gt;0,1,0)</f>
        <v>1</v>
      </c>
      <c r="D436" s="11" t="n">
        <f aca="false">IF(AND(C436=1,B436&lt;Controls!$B$12),1,0)</f>
        <v>1</v>
      </c>
      <c r="E436" s="11" t="n">
        <f aca="false">IF(D436=1,SUMPRODUCT((Costs!$B$4:$B$903=A436)*(Costs!$D$4:$D$903="planned")*(Costs!$J$4:$J$903&lt;=B436)*(Costs!$K$4:$K$903&gt;B436)*Costs!$E$4:$E$903),0)</f>
        <v>868950</v>
      </c>
      <c r="F436" s="11" t="n">
        <f aca="false">IF(D436=1,SUMIFS(Benefits!$S$4:$S$703,Benefits!$B$4:$B$703,A436,Benefits!$F$4:$F$703,B436,Benefits!$R$4:$R$703,"cash"),0)</f>
        <v>0</v>
      </c>
      <c r="G436" s="11" t="n">
        <f aca="false">IF(D436=1,SUMIFS(Benefits!$S$4:$S$703,Benefits!$B$4:$B$703,A436,Benefits!$F$4:$F$703,B436,Benefits!$R$4:$R$703,"revenue"),0)</f>
        <v>0</v>
      </c>
      <c r="H436" s="11" t="n">
        <f aca="false">IF(D436=1,SUMIFS(Benefits!$S$4:$S$703,Benefits!$B$4:$B$703,A436,Benefits!$F$4:$F$703,B436,Benefits!$R$4:$R$703,"avoided_cost_realised"),0)</f>
        <v>0</v>
      </c>
      <c r="I436" s="11" t="n">
        <f aca="false">IF(D436=1,SUMIFS(Benefits!$S$4:$S$703,Benefits!$B$4:$B$703,A436,Benefits!$F$4:$F$703,B436,Benefits!$R$4:$R$703,"capacity_converted"),0)</f>
        <v>0</v>
      </c>
      <c r="J436" s="11" t="n">
        <f aca="false">SUM(F436:I436)</f>
        <v>0</v>
      </c>
      <c r="K436" s="11" t="n">
        <f aca="false">J436-E436</f>
        <v>-868950</v>
      </c>
      <c r="L436" s="11" t="n">
        <f aca="false">IF(D436=1,K436,0)</f>
        <v>-868950</v>
      </c>
      <c r="M436" s="11" t="n">
        <f aca="false">IF(D436=1,1/(1+Controls!$B$11)^B436,0)</f>
        <v>1</v>
      </c>
      <c r="N436" s="11" t="n">
        <f aca="false">K436*M436</f>
        <v>-868950</v>
      </c>
      <c r="O436" s="11" t="n">
        <f aca="false">IF(D436=1,N436,0)</f>
        <v>-868950</v>
      </c>
      <c r="P436" s="11" t="n">
        <f aca="false">IF(AND(D436=1,L436&lt;0),1,0)</f>
        <v>1</v>
      </c>
      <c r="Q436" s="11" t="n">
        <f aca="false">IF(AND(D436=1,O436&lt;0),1,0)</f>
        <v>1</v>
      </c>
    </row>
    <row r="437" customFormat="false" ht="15" hidden="false" customHeight="false" outlineLevel="0" collapsed="false">
      <c r="A437" s="4" t="s">
        <v>95</v>
      </c>
      <c r="B437" s="4" t="n">
        <v>1</v>
      </c>
      <c r="C437" s="11" t="n">
        <f aca="false">IF(COUNTIF('Scenario inputs'!$A$4:$A$213,Controls!$B$3&amp;"|"&amp;A437)&gt;0,1,0)</f>
        <v>1</v>
      </c>
      <c r="D437" s="11" t="n">
        <f aca="false">IF(AND(C437=1,B437&lt;Controls!$B$12),1,0)</f>
        <v>1</v>
      </c>
      <c r="E437" s="11" t="n">
        <f aca="false">IF(D437=1,SUMPRODUCT((Costs!$B$4:$B$903=A437)*(Costs!$D$4:$D$903="planned")*(Costs!$J$4:$J$903&lt;=B437)*(Costs!$K$4:$K$903&gt;B437)*Costs!$E$4:$E$903),0)</f>
        <v>522050</v>
      </c>
      <c r="F437" s="11" t="n">
        <f aca="false">IF(D437=1,SUMIFS(Benefits!$S$4:$S$703,Benefits!$B$4:$B$703,A437,Benefits!$F$4:$F$703,B437,Benefits!$R$4:$R$703,"cash"),0)</f>
        <v>5340.3205</v>
      </c>
      <c r="G437" s="11" t="n">
        <f aca="false">IF(D437=1,SUMIFS(Benefits!$S$4:$S$703,Benefits!$B$4:$B$703,A437,Benefits!$F$4:$F$703,B437,Benefits!$R$4:$R$703,"revenue"),0)</f>
        <v>0</v>
      </c>
      <c r="H437" s="11" t="n">
        <f aca="false">IF(D437=1,SUMIFS(Benefits!$S$4:$S$703,Benefits!$B$4:$B$703,A437,Benefits!$F$4:$F$703,B437,Benefits!$R$4:$R$703,"avoided_cost_realised"),0)</f>
        <v>0</v>
      </c>
      <c r="I437" s="11" t="n">
        <f aca="false">IF(D437=1,SUMIFS(Benefits!$S$4:$S$703,Benefits!$B$4:$B$703,A437,Benefits!$F$4:$F$703,B437,Benefits!$R$4:$R$703,"capacity_converted"),0)</f>
        <v>0</v>
      </c>
      <c r="J437" s="11" t="n">
        <f aca="false">SUM(F437:I437)</f>
        <v>5340.3205</v>
      </c>
      <c r="K437" s="11" t="n">
        <f aca="false">J437-E437</f>
        <v>-516709.6795</v>
      </c>
      <c r="L437" s="11" t="n">
        <f aca="false">IF(D437=1,L436+K437,0)</f>
        <v>-1385659.6795</v>
      </c>
      <c r="M437" s="11" t="n">
        <f aca="false">IF(D437=1,1/(1+Controls!$B$11)^B437,0)</f>
        <v>0.993607131714549</v>
      </c>
      <c r="N437" s="11" t="n">
        <f aca="false">K437*M437</f>
        <v>-513406.422577139</v>
      </c>
      <c r="O437" s="11" t="n">
        <f aca="false">IF(D437=1,O436+N437,0)</f>
        <v>-1382356.42257714</v>
      </c>
      <c r="P437" s="11" t="n">
        <f aca="false">IF(AND(D437=1,L437&lt;0),1,0)</f>
        <v>1</v>
      </c>
      <c r="Q437" s="11" t="n">
        <f aca="false">IF(AND(D437=1,O437&lt;0),1,0)</f>
        <v>1</v>
      </c>
    </row>
    <row r="438" customFormat="false" ht="15" hidden="false" customHeight="false" outlineLevel="0" collapsed="false">
      <c r="A438" s="4" t="s">
        <v>95</v>
      </c>
      <c r="B438" s="4" t="n">
        <v>2</v>
      </c>
      <c r="C438" s="11" t="n">
        <f aca="false">IF(COUNTIF('Scenario inputs'!$A$4:$A$213,Controls!$B$3&amp;"|"&amp;A438)&gt;0,1,0)</f>
        <v>1</v>
      </c>
      <c r="D438" s="11" t="n">
        <f aca="false">IF(AND(C438=1,B438&lt;Controls!$B$12),1,0)</f>
        <v>1</v>
      </c>
      <c r="E438" s="11" t="n">
        <f aca="false">IF(D438=1,SUMPRODUCT((Costs!$B$4:$B$903=A438)*(Costs!$D$4:$D$903="planned")*(Costs!$J$4:$J$903&lt;=B438)*(Costs!$K$4:$K$903&gt;B438)*Costs!$E$4:$E$903),0)</f>
        <v>26000</v>
      </c>
      <c r="F438" s="11" t="n">
        <f aca="false">IF(D438=1,SUMIFS(Benefits!$S$4:$S$703,Benefits!$B$4:$B$703,A438,Benefits!$F$4:$F$703,B438,Benefits!$R$4:$R$703,"cash"),0)</f>
        <v>16020.76925</v>
      </c>
      <c r="G438" s="11" t="n">
        <f aca="false">IF(D438=1,SUMIFS(Benefits!$S$4:$S$703,Benefits!$B$4:$B$703,A438,Benefits!$F$4:$F$703,B438,Benefits!$R$4:$R$703,"revenue"),0)</f>
        <v>0</v>
      </c>
      <c r="H438" s="11" t="n">
        <f aca="false">IF(D438=1,SUMIFS(Benefits!$S$4:$S$703,Benefits!$B$4:$B$703,A438,Benefits!$F$4:$F$703,B438,Benefits!$R$4:$R$703,"avoided_cost_realised"),0)</f>
        <v>2875.023</v>
      </c>
      <c r="I438" s="11" t="n">
        <f aca="false">IF(D438=1,SUMIFS(Benefits!$S$4:$S$703,Benefits!$B$4:$B$703,A438,Benefits!$F$4:$F$703,B438,Benefits!$R$4:$R$703,"capacity_converted"),0)</f>
        <v>425.65034962</v>
      </c>
      <c r="J438" s="11" t="n">
        <f aca="false">SUM(F438:I438)</f>
        <v>19321.44259962</v>
      </c>
      <c r="K438" s="11" t="n">
        <f aca="false">J438-E438</f>
        <v>-6678.55740038</v>
      </c>
      <c r="L438" s="11" t="n">
        <f aca="false">IF(D438=1,L437+K438,0)</f>
        <v>-1392338.23690038</v>
      </c>
      <c r="M438" s="11" t="n">
        <f aca="false">IF(D438=1,1/(1+Controls!$B$11)^B438,0)</f>
        <v>0.987255132194012</v>
      </c>
      <c r="N438" s="11" t="n">
        <f aca="false">K438*M438</f>
        <v>-6593.44006917746</v>
      </c>
      <c r="O438" s="11" t="n">
        <f aca="false">IF(D438=1,O437+N438,0)</f>
        <v>-1388949.86264632</v>
      </c>
      <c r="P438" s="11" t="n">
        <f aca="false">IF(AND(D438=1,L438&lt;0),1,0)</f>
        <v>1</v>
      </c>
      <c r="Q438" s="11" t="n">
        <f aca="false">IF(AND(D438=1,O438&lt;0),1,0)</f>
        <v>1</v>
      </c>
    </row>
    <row r="439" customFormat="false" ht="15" hidden="false" customHeight="false" outlineLevel="0" collapsed="false">
      <c r="A439" s="4" t="s">
        <v>95</v>
      </c>
      <c r="B439" s="4" t="n">
        <v>3</v>
      </c>
      <c r="C439" s="11" t="n">
        <f aca="false">IF(COUNTIF('Scenario inputs'!$A$4:$A$213,Controls!$B$3&amp;"|"&amp;A439)&gt;0,1,0)</f>
        <v>1</v>
      </c>
      <c r="D439" s="11" t="n">
        <f aca="false">IF(AND(C439=1,B439&lt;Controls!$B$12),1,0)</f>
        <v>1</v>
      </c>
      <c r="E439" s="11" t="n">
        <f aca="false">IF(D439=1,SUMPRODUCT((Costs!$B$4:$B$903=A439)*(Costs!$D$4:$D$903="planned")*(Costs!$J$4:$J$903&lt;=B439)*(Costs!$K$4:$K$903&gt;B439)*Costs!$E$4:$E$903),0)</f>
        <v>26000</v>
      </c>
      <c r="F439" s="11" t="n">
        <f aca="false">IF(D439=1,SUMIFS(Benefits!$S$4:$S$703,Benefits!$B$4:$B$703,A439,Benefits!$F$4:$F$703,B439,Benefits!$R$4:$R$703,"cash"),0)</f>
        <v>32041.73075</v>
      </c>
      <c r="G439" s="11" t="n">
        <f aca="false">IF(D439=1,SUMIFS(Benefits!$S$4:$S$703,Benefits!$B$4:$B$703,A439,Benefits!$F$4:$F$703,B439,Benefits!$R$4:$R$703,"revenue"),0)</f>
        <v>0</v>
      </c>
      <c r="H439" s="11" t="n">
        <f aca="false">IF(D439=1,SUMIFS(Benefits!$S$4:$S$703,Benefits!$B$4:$B$703,A439,Benefits!$F$4:$F$703,B439,Benefits!$R$4:$R$703,"avoided_cost_realised"),0)</f>
        <v>8624.9655</v>
      </c>
      <c r="I439" s="11" t="n">
        <f aca="false">IF(D439=1,SUMIFS(Benefits!$S$4:$S$703,Benefits!$B$4:$B$703,A439,Benefits!$F$4:$F$703,B439,Benefits!$R$4:$R$703,"capacity_converted"),0)</f>
        <v>1276.93572557</v>
      </c>
      <c r="J439" s="11" t="n">
        <f aca="false">SUM(F439:I439)</f>
        <v>41943.63197557</v>
      </c>
      <c r="K439" s="11" t="n">
        <f aca="false">J439-E439</f>
        <v>15943.63197557</v>
      </c>
      <c r="L439" s="11" t="n">
        <f aca="false">IF(D439=1,L438+K439,0)</f>
        <v>-1376394.60492481</v>
      </c>
      <c r="M439" s="11" t="n">
        <f aca="false">IF(D439=1,1/(1+Controls!$B$11)^B439,0)</f>
        <v>0.98094374016976</v>
      </c>
      <c r="N439" s="11" t="n">
        <f aca="false">K439*M439</f>
        <v>15639.8059820058</v>
      </c>
      <c r="O439" s="11" t="n">
        <f aca="false">IF(D439=1,O438+N439,0)</f>
        <v>-1373310.05666431</v>
      </c>
      <c r="P439" s="11" t="n">
        <f aca="false">IF(AND(D439=1,L439&lt;0),1,0)</f>
        <v>1</v>
      </c>
      <c r="Q439" s="11" t="n">
        <f aca="false">IF(AND(D439=1,O439&lt;0),1,0)</f>
        <v>1</v>
      </c>
    </row>
    <row r="440" customFormat="false" ht="15" hidden="false" customHeight="false" outlineLevel="0" collapsed="false">
      <c r="A440" s="4" t="s">
        <v>95</v>
      </c>
      <c r="B440" s="4" t="n">
        <v>4</v>
      </c>
      <c r="C440" s="11" t="n">
        <f aca="false">IF(COUNTIF('Scenario inputs'!$A$4:$A$213,Controls!$B$3&amp;"|"&amp;A440)&gt;0,1,0)</f>
        <v>1</v>
      </c>
      <c r="D440" s="11" t="n">
        <f aca="false">IF(AND(C440=1,B440&lt;Controls!$B$12),1,0)</f>
        <v>1</v>
      </c>
      <c r="E440" s="11" t="n">
        <f aca="false">IF(D440=1,SUMPRODUCT((Costs!$B$4:$B$903=A440)*(Costs!$D$4:$D$903="planned")*(Costs!$J$4:$J$903&lt;=B440)*(Costs!$K$4:$K$903&gt;B440)*Costs!$E$4:$E$903),0)</f>
        <v>26000</v>
      </c>
      <c r="F440" s="11" t="n">
        <f aca="false">IF(D440=1,SUMIFS(Benefits!$S$4:$S$703,Benefits!$B$4:$B$703,A440,Benefits!$F$4:$F$703,B440,Benefits!$R$4:$R$703,"cash"),0)</f>
        <v>53402.8205</v>
      </c>
      <c r="G440" s="11" t="n">
        <f aca="false">IF(D440=1,SUMIFS(Benefits!$S$4:$S$703,Benefits!$B$4:$B$703,A440,Benefits!$F$4:$F$703,B440,Benefits!$R$4:$R$703,"revenue"),0)</f>
        <v>0</v>
      </c>
      <c r="H440" s="11" t="n">
        <f aca="false">IF(D440=1,SUMIFS(Benefits!$S$4:$S$703,Benefits!$B$4:$B$703,A440,Benefits!$F$4:$F$703,B440,Benefits!$R$4:$R$703,"avoided_cost_realised"),0)</f>
        <v>17250.0345</v>
      </c>
      <c r="I440" s="11" t="n">
        <f aca="false">IF(D440=1,SUMIFS(Benefits!$S$4:$S$703,Benefits!$B$4:$B$703,A440,Benefits!$F$4:$F$703,B440,Benefits!$R$4:$R$703,"capacity_converted"),0)</f>
        <v>2553.88677443</v>
      </c>
      <c r="J440" s="11" t="n">
        <f aca="false">SUM(F440:I440)</f>
        <v>73206.74177443</v>
      </c>
      <c r="K440" s="11" t="n">
        <f aca="false">J440-E440</f>
        <v>47206.74177443</v>
      </c>
      <c r="L440" s="11" t="n">
        <f aca="false">IF(D440=1,L439+K440,0)</f>
        <v>-1329187.86315038</v>
      </c>
      <c r="M440" s="11" t="n">
        <f aca="false">IF(D440=1,1/(1+Controls!$B$11)^B440,0)</f>
        <v>0.974672696043417</v>
      </c>
      <c r="N440" s="11" t="n">
        <f aca="false">K440*M440</f>
        <v>46011.1222767091</v>
      </c>
      <c r="O440" s="11" t="n">
        <f aca="false">IF(D440=1,O439+N440,0)</f>
        <v>-1327298.9343876</v>
      </c>
      <c r="P440" s="11" t="n">
        <f aca="false">IF(AND(D440=1,L440&lt;0),1,0)</f>
        <v>1</v>
      </c>
      <c r="Q440" s="11" t="n">
        <f aca="false">IF(AND(D440=1,O440&lt;0),1,0)</f>
        <v>1</v>
      </c>
    </row>
    <row r="441" customFormat="false" ht="15" hidden="false" customHeight="false" outlineLevel="0" collapsed="false">
      <c r="A441" s="4" t="s">
        <v>95</v>
      </c>
      <c r="B441" s="4" t="n">
        <v>5</v>
      </c>
      <c r="C441" s="11" t="n">
        <f aca="false">IF(COUNTIF('Scenario inputs'!$A$4:$A$213,Controls!$B$3&amp;"|"&amp;A441)&gt;0,1,0)</f>
        <v>1</v>
      </c>
      <c r="D441" s="11" t="n">
        <f aca="false">IF(AND(C441=1,B441&lt;Controls!$B$12),1,0)</f>
        <v>1</v>
      </c>
      <c r="E441" s="11" t="n">
        <f aca="false">IF(D441=1,SUMPRODUCT((Costs!$B$4:$B$903=A441)*(Costs!$D$4:$D$903="planned")*(Costs!$J$4:$J$903&lt;=B441)*(Costs!$K$4:$K$903&gt;B441)*Costs!$E$4:$E$903),0)</f>
        <v>26000</v>
      </c>
      <c r="F441" s="11" t="n">
        <f aca="false">IF(D441=1,SUMIFS(Benefits!$S$4:$S$703,Benefits!$B$4:$B$703,A441,Benefits!$F$4:$F$703,B441,Benefits!$R$4:$R$703,"cash"),0)</f>
        <v>80104.23075</v>
      </c>
      <c r="G441" s="11" t="n">
        <f aca="false">IF(D441=1,SUMIFS(Benefits!$S$4:$S$703,Benefits!$B$4:$B$703,A441,Benefits!$F$4:$F$703,B441,Benefits!$R$4:$R$703,"revenue"),0)</f>
        <v>0</v>
      </c>
      <c r="H441" s="11" t="n">
        <f aca="false">IF(D441=1,SUMIFS(Benefits!$S$4:$S$703,Benefits!$B$4:$B$703,A441,Benefits!$F$4:$F$703,B441,Benefits!$R$4:$R$703,"avoided_cost_realised"),0)</f>
        <v>28750.023</v>
      </c>
      <c r="I441" s="11" t="n">
        <f aca="false">IF(D441=1,SUMIFS(Benefits!$S$4:$S$703,Benefits!$B$4:$B$703,A441,Benefits!$F$4:$F$703,B441,Benefits!$R$4:$R$703,"capacity_converted"),0)</f>
        <v>4256.47284962</v>
      </c>
      <c r="J441" s="11" t="n">
        <f aca="false">SUM(F441:I441)</f>
        <v>113110.72659962</v>
      </c>
      <c r="K441" s="11" t="n">
        <f aca="false">J441-E441</f>
        <v>87110.72659962</v>
      </c>
      <c r="L441" s="11" t="n">
        <f aca="false">IF(D441=1,L440+K441,0)</f>
        <v>-1242077.13655076</v>
      </c>
      <c r="M441" s="11" t="n">
        <f aca="false">IF(D441=1,1/(1+Controls!$B$11)^B441,0)</f>
        <v>0.968441741876185</v>
      </c>
      <c r="N441" s="11" t="n">
        <f aca="false">K441*M441</f>
        <v>84361.6638042361</v>
      </c>
      <c r="O441" s="11" t="n">
        <f aca="false">IF(D441=1,O440+N441,0)</f>
        <v>-1242937.27058337</v>
      </c>
      <c r="P441" s="11" t="n">
        <f aca="false">IF(AND(D441=1,L441&lt;0),1,0)</f>
        <v>1</v>
      </c>
      <c r="Q441" s="11" t="n">
        <f aca="false">IF(AND(D441=1,O441&lt;0),1,0)</f>
        <v>1</v>
      </c>
    </row>
    <row r="442" customFormat="false" ht="15" hidden="false" customHeight="false" outlineLevel="0" collapsed="false">
      <c r="A442" s="4" t="s">
        <v>95</v>
      </c>
      <c r="B442" s="4" t="n">
        <v>6</v>
      </c>
      <c r="C442" s="11" t="n">
        <f aca="false">IF(COUNTIF('Scenario inputs'!$A$4:$A$213,Controls!$B$3&amp;"|"&amp;A442)&gt;0,1,0)</f>
        <v>1</v>
      </c>
      <c r="D442" s="11" t="n">
        <f aca="false">IF(AND(C442=1,B442&lt;Controls!$B$12),1,0)</f>
        <v>1</v>
      </c>
      <c r="E442" s="11" t="n">
        <f aca="false">IF(D442=1,SUMPRODUCT((Costs!$B$4:$B$903=A442)*(Costs!$D$4:$D$903="planned")*(Costs!$J$4:$J$903&lt;=B442)*(Costs!$K$4:$K$903&gt;B442)*Costs!$E$4:$E$903),0)</f>
        <v>26000</v>
      </c>
      <c r="F442" s="11" t="n">
        <f aca="false">IF(D442=1,SUMIFS(Benefits!$S$4:$S$703,Benefits!$B$4:$B$703,A442,Benefits!$F$4:$F$703,B442,Benefits!$R$4:$R$703,"cash"),0)</f>
        <v>112145.76925</v>
      </c>
      <c r="G442" s="11" t="n">
        <f aca="false">IF(D442=1,SUMIFS(Benefits!$S$4:$S$703,Benefits!$B$4:$B$703,A442,Benefits!$F$4:$F$703,B442,Benefits!$R$4:$R$703,"revenue"),0)</f>
        <v>0</v>
      </c>
      <c r="H442" s="11" t="n">
        <f aca="false">IF(D442=1,SUMIFS(Benefits!$S$4:$S$703,Benefits!$B$4:$B$703,A442,Benefits!$F$4:$F$703,B442,Benefits!$R$4:$R$703,"avoided_cost_realised"),0)</f>
        <v>43125.0345</v>
      </c>
      <c r="I442" s="11" t="n">
        <f aca="false">IF(D442=1,SUMIFS(Benefits!$S$4:$S$703,Benefits!$B$4:$B$703,A442,Benefits!$F$4:$F$703,B442,Benefits!$R$4:$R$703,"capacity_converted"),0)</f>
        <v>6384.70927443</v>
      </c>
      <c r="J442" s="11" t="n">
        <f aca="false">SUM(F442:I442)</f>
        <v>161655.51302443</v>
      </c>
      <c r="K442" s="11" t="n">
        <f aca="false">J442-E442</f>
        <v>135655.51302443</v>
      </c>
      <c r="L442" s="11" t="n">
        <f aca="false">IF(D442=1,L441+K442,0)</f>
        <v>-1106421.62352633</v>
      </c>
      <c r="M442" s="11" t="n">
        <f aca="false">IF(D442=1,1/(1+Controls!$B$11)^B442,0)</f>
        <v>0.962250621378238</v>
      </c>
      <c r="N442" s="11" t="n">
        <f aca="false">K442*M442</f>
        <v>130534.601701141</v>
      </c>
      <c r="O442" s="11" t="n">
        <f aca="false">IF(D442=1,O441+N442,0)</f>
        <v>-1112402.66888222</v>
      </c>
      <c r="P442" s="11" t="n">
        <f aca="false">IF(AND(D442=1,L442&lt;0),1,0)</f>
        <v>1</v>
      </c>
      <c r="Q442" s="11" t="n">
        <f aca="false">IF(AND(D442=1,O442&lt;0),1,0)</f>
        <v>1</v>
      </c>
    </row>
    <row r="443" customFormat="false" ht="15" hidden="false" customHeight="false" outlineLevel="0" collapsed="false">
      <c r="A443" s="4" t="s">
        <v>95</v>
      </c>
      <c r="B443" s="4" t="n">
        <v>7</v>
      </c>
      <c r="C443" s="11" t="n">
        <f aca="false">IF(COUNTIF('Scenario inputs'!$A$4:$A$213,Controls!$B$3&amp;"|"&amp;A443)&gt;0,1,0)</f>
        <v>1</v>
      </c>
      <c r="D443" s="11" t="n">
        <f aca="false">IF(AND(C443=1,B443&lt;Controls!$B$12),1,0)</f>
        <v>1</v>
      </c>
      <c r="E443" s="11" t="n">
        <f aca="false">IF(D443=1,SUMPRODUCT((Costs!$B$4:$B$903=A443)*(Costs!$D$4:$D$903="planned")*(Costs!$J$4:$J$903&lt;=B443)*(Costs!$K$4:$K$903&gt;B443)*Costs!$E$4:$E$903),0)</f>
        <v>26850</v>
      </c>
      <c r="F443" s="11" t="n">
        <f aca="false">IF(D443=1,SUMIFS(Benefits!$S$4:$S$703,Benefits!$B$4:$B$703,A443,Benefits!$F$4:$F$703,B443,Benefits!$R$4:$R$703,"cash"),0)</f>
        <v>149527.8205</v>
      </c>
      <c r="G443" s="11" t="n">
        <f aca="false">IF(D443=1,SUMIFS(Benefits!$S$4:$S$703,Benefits!$B$4:$B$703,A443,Benefits!$F$4:$F$703,B443,Benefits!$R$4:$R$703,"revenue"),0)</f>
        <v>0</v>
      </c>
      <c r="H443" s="11" t="n">
        <f aca="false">IF(D443=1,SUMIFS(Benefits!$S$4:$S$703,Benefits!$B$4:$B$703,A443,Benefits!$F$4:$F$703,B443,Benefits!$R$4:$R$703,"avoided_cost_realised"),0)</f>
        <v>60374.9655</v>
      </c>
      <c r="I443" s="11" t="n">
        <f aca="false">IF(D443=1,SUMIFS(Benefits!$S$4:$S$703,Benefits!$B$4:$B$703,A443,Benefits!$F$4:$F$703,B443,Benefits!$R$4:$R$703,"capacity_converted"),0)</f>
        <v>8938.58072557</v>
      </c>
      <c r="J443" s="11" t="n">
        <f aca="false">SUM(F443:I443)</f>
        <v>218841.36672557</v>
      </c>
      <c r="K443" s="11" t="n">
        <f aca="false">J443-E443</f>
        <v>191991.36672557</v>
      </c>
      <c r="L443" s="11" t="n">
        <f aca="false">IF(D443=1,L442+K443,0)</f>
        <v>-914430.25680076</v>
      </c>
      <c r="M443" s="11" t="n">
        <f aca="false">IF(D443=1,1/(1+Controls!$B$11)^B443,0)</f>
        <v>0.956099079898173</v>
      </c>
      <c r="N443" s="11" t="n">
        <f aca="false">K443*M443</f>
        <v>183562.76907471</v>
      </c>
      <c r="O443" s="11" t="n">
        <f aca="false">IF(D443=1,O442+N443,0)</f>
        <v>-928839.899807514</v>
      </c>
      <c r="P443" s="11" t="n">
        <f aca="false">IF(AND(D443=1,L443&lt;0),1,0)</f>
        <v>1</v>
      </c>
      <c r="Q443" s="11" t="n">
        <f aca="false">IF(AND(D443=1,O443&lt;0),1,0)</f>
        <v>1</v>
      </c>
    </row>
    <row r="444" customFormat="false" ht="15" hidden="false" customHeight="false" outlineLevel="0" collapsed="false">
      <c r="A444" s="4" t="s">
        <v>95</v>
      </c>
      <c r="B444" s="4" t="n">
        <v>8</v>
      </c>
      <c r="C444" s="11" t="n">
        <f aca="false">IF(COUNTIF('Scenario inputs'!$A$4:$A$213,Controls!$B$3&amp;"|"&amp;A444)&gt;0,1,0)</f>
        <v>1</v>
      </c>
      <c r="D444" s="11" t="n">
        <f aca="false">IF(AND(C444=1,B444&lt;Controls!$B$12),1,0)</f>
        <v>1</v>
      </c>
      <c r="E444" s="11" t="n">
        <f aca="false">IF(D444=1,SUMPRODUCT((Costs!$B$4:$B$903=A444)*(Costs!$D$4:$D$903="planned")*(Costs!$J$4:$J$903&lt;=B444)*(Costs!$K$4:$K$903&gt;B444)*Costs!$E$4:$E$903),0)</f>
        <v>26850</v>
      </c>
      <c r="F444" s="11" t="n">
        <f aca="false">IF(D444=1,SUMIFS(Benefits!$S$4:$S$703,Benefits!$B$4:$B$703,A444,Benefits!$F$4:$F$703,B444,Benefits!$R$4:$R$703,"cash"),0)</f>
        <v>192250</v>
      </c>
      <c r="G444" s="11" t="n">
        <f aca="false">IF(D444=1,SUMIFS(Benefits!$S$4:$S$703,Benefits!$B$4:$B$703,A444,Benefits!$F$4:$F$703,B444,Benefits!$R$4:$R$703,"revenue"),0)</f>
        <v>0</v>
      </c>
      <c r="H444" s="11" t="n">
        <f aca="false">IF(D444=1,SUMIFS(Benefits!$S$4:$S$703,Benefits!$B$4:$B$703,A444,Benefits!$F$4:$F$703,B444,Benefits!$R$4:$R$703,"avoided_cost_realised"),0)</f>
        <v>80500.023</v>
      </c>
      <c r="I444" s="11" t="n">
        <f aca="false">IF(D444=1,SUMIFS(Benefits!$S$4:$S$703,Benefits!$B$4:$B$703,A444,Benefits!$F$4:$F$703,B444,Benefits!$R$4:$R$703,"capacity_converted"),0)</f>
        <v>11918.11784962</v>
      </c>
      <c r="J444" s="11" t="n">
        <f aca="false">SUM(F444:I444)</f>
        <v>284668.14084962</v>
      </c>
      <c r="K444" s="11" t="n">
        <f aca="false">J444-E444</f>
        <v>257818.14084962</v>
      </c>
      <c r="L444" s="11" t="n">
        <f aca="false">IF(D444=1,L443+K444,0)</f>
        <v>-656612.11595114</v>
      </c>
      <c r="M444" s="11" t="n">
        <f aca="false">IF(D444=1,1/(1+Controls!$B$11)^B444,0)</f>
        <v>0.949986864412542</v>
      </c>
      <c r="N444" s="11" t="n">
        <f aca="false">K444*M444</f>
        <v>244923.847214402</v>
      </c>
      <c r="O444" s="11" t="n">
        <f aca="false">IF(D444=1,O443+N444,0)</f>
        <v>-683916.052593112</v>
      </c>
      <c r="P444" s="11" t="n">
        <f aca="false">IF(AND(D444=1,L444&lt;0),1,0)</f>
        <v>1</v>
      </c>
      <c r="Q444" s="11" t="n">
        <f aca="false">IF(AND(D444=1,O444&lt;0),1,0)</f>
        <v>1</v>
      </c>
    </row>
    <row r="445" customFormat="false" ht="15" hidden="false" customHeight="false" outlineLevel="0" collapsed="false">
      <c r="A445" s="4" t="s">
        <v>95</v>
      </c>
      <c r="B445" s="4" t="n">
        <v>9</v>
      </c>
      <c r="C445" s="11" t="n">
        <f aca="false">IF(COUNTIF('Scenario inputs'!$A$4:$A$213,Controls!$B$3&amp;"|"&amp;A445)&gt;0,1,0)</f>
        <v>1</v>
      </c>
      <c r="D445" s="11" t="n">
        <f aca="false">IF(AND(C445=1,B445&lt;Controls!$B$12),1,0)</f>
        <v>1</v>
      </c>
      <c r="E445" s="11" t="n">
        <f aca="false">IF(D445=1,SUMPRODUCT((Costs!$B$4:$B$903=A445)*(Costs!$D$4:$D$903="planned")*(Costs!$J$4:$J$903&lt;=B445)*(Costs!$K$4:$K$903&gt;B445)*Costs!$E$4:$E$903),0)</f>
        <v>26850</v>
      </c>
      <c r="F445" s="11" t="n">
        <f aca="false">IF(D445=1,SUMIFS(Benefits!$S$4:$S$703,Benefits!$B$4:$B$703,A445,Benefits!$F$4:$F$703,B445,Benefits!$R$4:$R$703,"cash"),0)</f>
        <v>192250</v>
      </c>
      <c r="G445" s="11" t="n">
        <f aca="false">IF(D445=1,SUMIFS(Benefits!$S$4:$S$703,Benefits!$B$4:$B$703,A445,Benefits!$F$4:$F$703,B445,Benefits!$R$4:$R$703,"revenue"),0)</f>
        <v>0</v>
      </c>
      <c r="H445" s="11" t="n">
        <f aca="false">IF(D445=1,SUMIFS(Benefits!$S$4:$S$703,Benefits!$B$4:$B$703,A445,Benefits!$F$4:$F$703,B445,Benefits!$R$4:$R$703,"avoided_cost_realised"),0)</f>
        <v>103500</v>
      </c>
      <c r="I445" s="11" t="n">
        <f aca="false">IF(D445=1,SUMIFS(Benefits!$S$4:$S$703,Benefits!$B$4:$B$703,A445,Benefits!$F$4:$F$703,B445,Benefits!$R$4:$R$703,"capacity_converted"),0)</f>
        <v>15323.29</v>
      </c>
      <c r="J445" s="11" t="n">
        <f aca="false">SUM(F445:I445)</f>
        <v>311073.29</v>
      </c>
      <c r="K445" s="11" t="n">
        <f aca="false">J445-E445</f>
        <v>284223.29</v>
      </c>
      <c r="L445" s="11" t="n">
        <f aca="false">IF(D445=1,L444+K445,0)</f>
        <v>-372388.82595114</v>
      </c>
      <c r="M445" s="11" t="n">
        <f aca="false">IF(D445=1,1/(1+Controls!$B$11)^B445,0)</f>
        <v>0.943913723515444</v>
      </c>
      <c r="N445" s="11" t="n">
        <f aca="false">K445*M445</f>
        <v>268282.26397371</v>
      </c>
      <c r="O445" s="11" t="n">
        <f aca="false">IF(D445=1,O444+N445,0)</f>
        <v>-415633.788619402</v>
      </c>
      <c r="P445" s="11" t="n">
        <f aca="false">IF(AND(D445=1,L445&lt;0),1,0)</f>
        <v>1</v>
      </c>
      <c r="Q445" s="11" t="n">
        <f aca="false">IF(AND(D445=1,O445&lt;0),1,0)</f>
        <v>1</v>
      </c>
    </row>
    <row r="446" customFormat="false" ht="15" hidden="false" customHeight="false" outlineLevel="0" collapsed="false">
      <c r="A446" s="4" t="s">
        <v>95</v>
      </c>
      <c r="B446" s="4" t="n">
        <v>10</v>
      </c>
      <c r="C446" s="11" t="n">
        <f aca="false">IF(COUNTIF('Scenario inputs'!$A$4:$A$213,Controls!$B$3&amp;"|"&amp;A446)&gt;0,1,0)</f>
        <v>1</v>
      </c>
      <c r="D446" s="11" t="n">
        <f aca="false">IF(AND(C446=1,B446&lt;Controls!$B$12),1,0)</f>
        <v>1</v>
      </c>
      <c r="E446" s="11" t="n">
        <f aca="false">IF(D446=1,SUMPRODUCT((Costs!$B$4:$B$903=A446)*(Costs!$D$4:$D$903="planned")*(Costs!$J$4:$J$903&lt;=B446)*(Costs!$K$4:$K$903&gt;B446)*Costs!$E$4:$E$903),0)</f>
        <v>26850</v>
      </c>
      <c r="F446" s="11" t="n">
        <f aca="false">IF(D446=1,SUMIFS(Benefits!$S$4:$S$703,Benefits!$B$4:$B$703,A446,Benefits!$F$4:$F$703,B446,Benefits!$R$4:$R$703,"cash"),0)</f>
        <v>192250</v>
      </c>
      <c r="G446" s="11" t="n">
        <f aca="false">IF(D446=1,SUMIFS(Benefits!$S$4:$S$703,Benefits!$B$4:$B$703,A446,Benefits!$F$4:$F$703,B446,Benefits!$R$4:$R$703,"revenue"),0)</f>
        <v>0</v>
      </c>
      <c r="H446" s="11" t="n">
        <f aca="false">IF(D446=1,SUMIFS(Benefits!$S$4:$S$703,Benefits!$B$4:$B$703,A446,Benefits!$F$4:$F$703,B446,Benefits!$R$4:$R$703,"avoided_cost_realised"),0)</f>
        <v>103500</v>
      </c>
      <c r="I446" s="11" t="n">
        <f aca="false">IF(D446=1,SUMIFS(Benefits!$S$4:$S$703,Benefits!$B$4:$B$703,A446,Benefits!$F$4:$F$703,B446,Benefits!$R$4:$R$703,"capacity_converted"),0)</f>
        <v>15323.29</v>
      </c>
      <c r="J446" s="11" t="n">
        <f aca="false">SUM(F446:I446)</f>
        <v>311073.29</v>
      </c>
      <c r="K446" s="11" t="n">
        <f aca="false">J446-E446</f>
        <v>284223.29</v>
      </c>
      <c r="L446" s="11" t="n">
        <f aca="false">IF(D446=1,L445+K446,0)</f>
        <v>-88165.5359511401</v>
      </c>
      <c r="M446" s="11" t="n">
        <f aca="false">IF(D446=1,1/(1+Controls!$B$11)^B446,0)</f>
        <v>0.93787940740818</v>
      </c>
      <c r="N446" s="11" t="n">
        <f aca="false">K446*M446</f>
        <v>266567.170796803</v>
      </c>
      <c r="O446" s="11" t="n">
        <f aca="false">IF(D446=1,O445+N446,0)</f>
        <v>-149066.617822599</v>
      </c>
      <c r="P446" s="11" t="n">
        <f aca="false">IF(AND(D446=1,L446&lt;0),1,0)</f>
        <v>1</v>
      </c>
      <c r="Q446" s="11" t="n">
        <f aca="false">IF(AND(D446=1,O446&lt;0),1,0)</f>
        <v>1</v>
      </c>
    </row>
    <row r="447" customFormat="false" ht="15" hidden="false" customHeight="false" outlineLevel="0" collapsed="false">
      <c r="A447" s="4" t="s">
        <v>95</v>
      </c>
      <c r="B447" s="4" t="n">
        <v>11</v>
      </c>
      <c r="C447" s="11" t="n">
        <f aca="false">IF(COUNTIF('Scenario inputs'!$A$4:$A$213,Controls!$B$3&amp;"|"&amp;A447)&gt;0,1,0)</f>
        <v>1</v>
      </c>
      <c r="D447" s="11" t="n">
        <f aca="false">IF(AND(C447=1,B447&lt;Controls!$B$12),1,0)</f>
        <v>1</v>
      </c>
      <c r="E447" s="11" t="n">
        <f aca="false">IF(D447=1,SUMPRODUCT((Costs!$B$4:$B$903=A447)*(Costs!$D$4:$D$903="planned")*(Costs!$J$4:$J$903&lt;=B447)*(Costs!$K$4:$K$903&gt;B447)*Costs!$E$4:$E$903),0)</f>
        <v>26850</v>
      </c>
      <c r="F447" s="11" t="n">
        <f aca="false">IF(D447=1,SUMIFS(Benefits!$S$4:$S$703,Benefits!$B$4:$B$703,A447,Benefits!$F$4:$F$703,B447,Benefits!$R$4:$R$703,"cash"),0)</f>
        <v>192250</v>
      </c>
      <c r="G447" s="11" t="n">
        <f aca="false">IF(D447=1,SUMIFS(Benefits!$S$4:$S$703,Benefits!$B$4:$B$703,A447,Benefits!$F$4:$F$703,B447,Benefits!$R$4:$R$703,"revenue"),0)</f>
        <v>0</v>
      </c>
      <c r="H447" s="11" t="n">
        <f aca="false">IF(D447=1,SUMIFS(Benefits!$S$4:$S$703,Benefits!$B$4:$B$703,A447,Benefits!$F$4:$F$703,B447,Benefits!$R$4:$R$703,"avoided_cost_realised"),0)</f>
        <v>103500</v>
      </c>
      <c r="I447" s="11" t="n">
        <f aca="false">IF(D447=1,SUMIFS(Benefits!$S$4:$S$703,Benefits!$B$4:$B$703,A447,Benefits!$F$4:$F$703,B447,Benefits!$R$4:$R$703,"capacity_converted"),0)</f>
        <v>15323.29</v>
      </c>
      <c r="J447" s="11" t="n">
        <f aca="false">SUM(F447:I447)</f>
        <v>311073.29</v>
      </c>
      <c r="K447" s="11" t="n">
        <f aca="false">J447-E447</f>
        <v>284223.29</v>
      </c>
      <c r="L447" s="11" t="n">
        <f aca="false">IF(D447=1,L446+K447,0)</f>
        <v>196057.75404886</v>
      </c>
      <c r="M447" s="11" t="n">
        <f aca="false">IF(D447=1,1/(1+Controls!$B$11)^B447,0)</f>
        <v>0.931883667888982</v>
      </c>
      <c r="N447" s="11" t="n">
        <f aca="false">K447*M447</f>
        <v>264863.041984674</v>
      </c>
      <c r="O447" s="11" t="n">
        <f aca="false">IF(D447=1,O446+N447,0)</f>
        <v>115796.424162075</v>
      </c>
      <c r="P447" s="11" t="n">
        <f aca="false">IF(AND(D447=1,L447&lt;0),1,0)</f>
        <v>0</v>
      </c>
      <c r="Q447" s="11" t="n">
        <f aca="false">IF(AND(D447=1,O447&lt;0),1,0)</f>
        <v>0</v>
      </c>
    </row>
    <row r="448" customFormat="false" ht="15" hidden="false" customHeight="false" outlineLevel="0" collapsed="false">
      <c r="A448" s="4" t="s">
        <v>95</v>
      </c>
      <c r="B448" s="4" t="n">
        <v>12</v>
      </c>
      <c r="C448" s="11" t="n">
        <f aca="false">IF(COUNTIF('Scenario inputs'!$A$4:$A$213,Controls!$B$3&amp;"|"&amp;A448)&gt;0,1,0)</f>
        <v>1</v>
      </c>
      <c r="D448" s="11" t="n">
        <f aca="false">IF(AND(C448=1,B448&lt;Controls!$B$12),1,0)</f>
        <v>1</v>
      </c>
      <c r="E448" s="11" t="n">
        <f aca="false">IF(D448=1,SUMPRODUCT((Costs!$B$4:$B$903=A448)*(Costs!$D$4:$D$903="planned")*(Costs!$J$4:$J$903&lt;=B448)*(Costs!$K$4:$K$903&gt;B448)*Costs!$E$4:$E$903),0)</f>
        <v>26850</v>
      </c>
      <c r="F448" s="11" t="n">
        <f aca="false">IF(D448=1,SUMIFS(Benefits!$S$4:$S$703,Benefits!$B$4:$B$703,A448,Benefits!$F$4:$F$703,B448,Benefits!$R$4:$R$703,"cash"),0)</f>
        <v>192250</v>
      </c>
      <c r="G448" s="11" t="n">
        <f aca="false">IF(D448=1,SUMIFS(Benefits!$S$4:$S$703,Benefits!$B$4:$B$703,A448,Benefits!$F$4:$F$703,B448,Benefits!$R$4:$R$703,"revenue"),0)</f>
        <v>0</v>
      </c>
      <c r="H448" s="11" t="n">
        <f aca="false">IF(D448=1,SUMIFS(Benefits!$S$4:$S$703,Benefits!$B$4:$B$703,A448,Benefits!$F$4:$F$703,B448,Benefits!$R$4:$R$703,"avoided_cost_realised"),0)</f>
        <v>103500</v>
      </c>
      <c r="I448" s="11" t="n">
        <f aca="false">IF(D448=1,SUMIFS(Benefits!$S$4:$S$703,Benefits!$B$4:$B$703,A448,Benefits!$F$4:$F$703,B448,Benefits!$R$4:$R$703,"capacity_converted"),0)</f>
        <v>15323.29</v>
      </c>
      <c r="J448" s="11" t="n">
        <f aca="false">SUM(F448:I448)</f>
        <v>311073.29</v>
      </c>
      <c r="K448" s="11" t="n">
        <f aca="false">J448-E448</f>
        <v>284223.29</v>
      </c>
      <c r="L448" s="11" t="n">
        <f aca="false">IF(D448=1,L447+K448,0)</f>
        <v>480281.04404886</v>
      </c>
      <c r="M448" s="11" t="n">
        <f aca="false">IF(D448=1,1/(1+Controls!$B$11)^B448,0)</f>
        <v>0.925926258342804</v>
      </c>
      <c r="N448" s="11" t="n">
        <f aca="false">K448*M448</f>
        <v>263169.807443582</v>
      </c>
      <c r="O448" s="11" t="n">
        <f aca="false">IF(D448=1,O447+N448,0)</f>
        <v>378966.231605657</v>
      </c>
      <c r="P448" s="11" t="n">
        <f aca="false">IF(AND(D448=1,L448&lt;0),1,0)</f>
        <v>0</v>
      </c>
      <c r="Q448" s="11" t="n">
        <f aca="false">IF(AND(D448=1,O448&lt;0),1,0)</f>
        <v>0</v>
      </c>
    </row>
    <row r="449" customFormat="false" ht="15" hidden="false" customHeight="false" outlineLevel="0" collapsed="false">
      <c r="A449" s="4" t="s">
        <v>95</v>
      </c>
      <c r="B449" s="4" t="n">
        <v>13</v>
      </c>
      <c r="C449" s="11" t="n">
        <f aca="false">IF(COUNTIF('Scenario inputs'!$A$4:$A$213,Controls!$B$3&amp;"|"&amp;A449)&gt;0,1,0)</f>
        <v>1</v>
      </c>
      <c r="D449" s="11" t="n">
        <f aca="false">IF(AND(C449=1,B449&lt;Controls!$B$12),1,0)</f>
        <v>1</v>
      </c>
      <c r="E449" s="11" t="n">
        <f aca="false">IF(D449=1,SUMPRODUCT((Costs!$B$4:$B$903=A449)*(Costs!$D$4:$D$903="planned")*(Costs!$J$4:$J$903&lt;=B449)*(Costs!$K$4:$K$903&gt;B449)*Costs!$E$4:$E$903),0)</f>
        <v>26850</v>
      </c>
      <c r="F449" s="11" t="n">
        <f aca="false">IF(D449=1,SUMIFS(Benefits!$S$4:$S$703,Benefits!$B$4:$B$703,A449,Benefits!$F$4:$F$703,B449,Benefits!$R$4:$R$703,"cash"),0)</f>
        <v>0</v>
      </c>
      <c r="G449" s="11" t="n">
        <f aca="false">IF(D449=1,SUMIFS(Benefits!$S$4:$S$703,Benefits!$B$4:$B$703,A449,Benefits!$F$4:$F$703,B449,Benefits!$R$4:$R$703,"revenue"),0)</f>
        <v>0</v>
      </c>
      <c r="H449" s="11" t="n">
        <f aca="false">IF(D449=1,SUMIFS(Benefits!$S$4:$S$703,Benefits!$B$4:$B$703,A449,Benefits!$F$4:$F$703,B449,Benefits!$R$4:$R$703,"avoided_cost_realised"),0)</f>
        <v>103500</v>
      </c>
      <c r="I449" s="11" t="n">
        <f aca="false">IF(D449=1,SUMIFS(Benefits!$S$4:$S$703,Benefits!$B$4:$B$703,A449,Benefits!$F$4:$F$703,B449,Benefits!$R$4:$R$703,"capacity_converted"),0)</f>
        <v>15323.29</v>
      </c>
      <c r="J449" s="11" t="n">
        <f aca="false">SUM(F449:I449)</f>
        <v>118823.29</v>
      </c>
      <c r="K449" s="11" t="n">
        <f aca="false">J449-E449</f>
        <v>91973.29</v>
      </c>
      <c r="L449" s="11" t="n">
        <f aca="false">IF(D449=1,L448+K449,0)</f>
        <v>572254.33404886</v>
      </c>
      <c r="M449" s="11" t="n">
        <f aca="false">IF(D449=1,1/(1+Controls!$B$11)^B449,0)</f>
        <v>0.920006933731178</v>
      </c>
      <c r="N449" s="11" t="n">
        <f aca="false">K449*M449</f>
        <v>84616.0645180684</v>
      </c>
      <c r="O449" s="11" t="n">
        <f aca="false">IF(D449=1,O448+N449,0)</f>
        <v>463582.296123725</v>
      </c>
      <c r="P449" s="11" t="n">
        <f aca="false">IF(AND(D449=1,L449&lt;0),1,0)</f>
        <v>0</v>
      </c>
      <c r="Q449" s="11" t="n">
        <f aca="false">IF(AND(D449=1,O449&lt;0),1,0)</f>
        <v>0</v>
      </c>
    </row>
    <row r="450" customFormat="false" ht="15" hidden="false" customHeight="false" outlineLevel="0" collapsed="false">
      <c r="A450" s="4" t="s">
        <v>95</v>
      </c>
      <c r="B450" s="4" t="n">
        <v>14</v>
      </c>
      <c r="C450" s="11" t="n">
        <f aca="false">IF(COUNTIF('Scenario inputs'!$A$4:$A$213,Controls!$B$3&amp;"|"&amp;A450)&gt;0,1,0)</f>
        <v>1</v>
      </c>
      <c r="D450" s="11" t="n">
        <f aca="false">IF(AND(C450=1,B450&lt;Controls!$B$12),1,0)</f>
        <v>1</v>
      </c>
      <c r="E450" s="11" t="n">
        <f aca="false">IF(D450=1,SUMPRODUCT((Costs!$B$4:$B$903=A450)*(Costs!$D$4:$D$903="planned")*(Costs!$J$4:$J$903&lt;=B450)*(Costs!$K$4:$K$903&gt;B450)*Costs!$E$4:$E$903),0)</f>
        <v>0</v>
      </c>
      <c r="F450" s="11" t="n">
        <f aca="false">IF(D450=1,SUMIFS(Benefits!$S$4:$S$703,Benefits!$B$4:$B$703,A450,Benefits!$F$4:$F$703,B450,Benefits!$R$4:$R$703,"cash"),0)</f>
        <v>0</v>
      </c>
      <c r="G450" s="11" t="n">
        <f aca="false">IF(D450=1,SUMIFS(Benefits!$S$4:$S$703,Benefits!$B$4:$B$703,A450,Benefits!$F$4:$F$703,B450,Benefits!$R$4:$R$703,"revenue"),0)</f>
        <v>0</v>
      </c>
      <c r="H450" s="11" t="n">
        <f aca="false">IF(D450=1,SUMIFS(Benefits!$S$4:$S$703,Benefits!$B$4:$B$703,A450,Benefits!$F$4:$F$703,B450,Benefits!$R$4:$R$703,"avoided_cost_realised"),0)</f>
        <v>0</v>
      </c>
      <c r="I450" s="11" t="n">
        <f aca="false">IF(D450=1,SUMIFS(Benefits!$S$4:$S$703,Benefits!$B$4:$B$703,A450,Benefits!$F$4:$F$703,B450,Benefits!$R$4:$R$703,"capacity_converted"),0)</f>
        <v>0</v>
      </c>
      <c r="J450" s="11" t="n">
        <f aca="false">SUM(F450:I450)</f>
        <v>0</v>
      </c>
      <c r="K450" s="11" t="n">
        <f aca="false">J450-E450</f>
        <v>0</v>
      </c>
      <c r="L450" s="11" t="n">
        <f aca="false">IF(D450=1,L449+K450,0)</f>
        <v>572254.33404886</v>
      </c>
      <c r="M450" s="11" t="n">
        <f aca="false">IF(D450=1,1/(1+Controls!$B$11)^B450,0)</f>
        <v>0.914125450582132</v>
      </c>
      <c r="N450" s="11" t="n">
        <f aca="false">K450*M450</f>
        <v>0</v>
      </c>
      <c r="O450" s="11" t="n">
        <f aca="false">IF(D450=1,O449+N450,0)</f>
        <v>463582.296123725</v>
      </c>
      <c r="P450" s="11" t="n">
        <f aca="false">IF(AND(D450=1,L450&lt;0),1,0)</f>
        <v>0</v>
      </c>
      <c r="Q450" s="11" t="n">
        <f aca="false">IF(AND(D450=1,O450&lt;0),1,0)</f>
        <v>0</v>
      </c>
    </row>
    <row r="451" customFormat="false" ht="15" hidden="false" customHeight="false" outlineLevel="0" collapsed="false">
      <c r="A451" s="4" t="s">
        <v>95</v>
      </c>
      <c r="B451" s="4" t="n">
        <v>15</v>
      </c>
      <c r="C451" s="11" t="n">
        <f aca="false">IF(COUNTIF('Scenario inputs'!$A$4:$A$213,Controls!$B$3&amp;"|"&amp;A451)&gt;0,1,0)</f>
        <v>1</v>
      </c>
      <c r="D451" s="11" t="n">
        <f aca="false">IF(AND(C451=1,B451&lt;Controls!$B$12),1,0)</f>
        <v>1</v>
      </c>
      <c r="E451" s="11" t="n">
        <f aca="false">IF(D451=1,SUMPRODUCT((Costs!$B$4:$B$903=A451)*(Costs!$D$4:$D$903="planned")*(Costs!$J$4:$J$903&lt;=B451)*(Costs!$K$4:$K$903&gt;B451)*Costs!$E$4:$E$903),0)</f>
        <v>0</v>
      </c>
      <c r="F451" s="11" t="n">
        <f aca="false">IF(D451=1,SUMIFS(Benefits!$S$4:$S$703,Benefits!$B$4:$B$703,A451,Benefits!$F$4:$F$703,B451,Benefits!$R$4:$R$703,"cash"),0)</f>
        <v>0</v>
      </c>
      <c r="G451" s="11" t="n">
        <f aca="false">IF(D451=1,SUMIFS(Benefits!$S$4:$S$703,Benefits!$B$4:$B$703,A451,Benefits!$F$4:$F$703,B451,Benefits!$R$4:$R$703,"revenue"),0)</f>
        <v>0</v>
      </c>
      <c r="H451" s="11" t="n">
        <f aca="false">IF(D451=1,SUMIFS(Benefits!$S$4:$S$703,Benefits!$B$4:$B$703,A451,Benefits!$F$4:$F$703,B451,Benefits!$R$4:$R$703,"avoided_cost_realised"),0)</f>
        <v>0</v>
      </c>
      <c r="I451" s="11" t="n">
        <f aca="false">IF(D451=1,SUMIFS(Benefits!$S$4:$S$703,Benefits!$B$4:$B$703,A451,Benefits!$F$4:$F$703,B451,Benefits!$R$4:$R$703,"capacity_converted"),0)</f>
        <v>0</v>
      </c>
      <c r="J451" s="11" t="n">
        <f aca="false">SUM(F451:I451)</f>
        <v>0</v>
      </c>
      <c r="K451" s="11" t="n">
        <f aca="false">J451-E451</f>
        <v>0</v>
      </c>
      <c r="L451" s="11" t="n">
        <f aca="false">IF(D451=1,L450+K451,0)</f>
        <v>572254.33404886</v>
      </c>
      <c r="M451" s="11" t="n">
        <f aca="false">IF(D451=1,1/(1+Controls!$B$11)^B451,0)</f>
        <v>0.908281566980182</v>
      </c>
      <c r="N451" s="11" t="n">
        <f aca="false">K451*M451</f>
        <v>0</v>
      </c>
      <c r="O451" s="11" t="n">
        <f aca="false">IF(D451=1,O450+N451,0)</f>
        <v>463582.296123725</v>
      </c>
      <c r="P451" s="11" t="n">
        <f aca="false">IF(AND(D451=1,L451&lt;0),1,0)</f>
        <v>0</v>
      </c>
      <c r="Q451" s="11" t="n">
        <f aca="false">IF(AND(D451=1,O451&lt;0),1,0)</f>
        <v>0</v>
      </c>
    </row>
    <row r="452" customFormat="false" ht="15" hidden="false" customHeight="false" outlineLevel="0" collapsed="false">
      <c r="A452" s="4" t="s">
        <v>95</v>
      </c>
      <c r="B452" s="4" t="n">
        <v>16</v>
      </c>
      <c r="C452" s="11" t="n">
        <f aca="false">IF(COUNTIF('Scenario inputs'!$A$4:$A$213,Controls!$B$3&amp;"|"&amp;A452)&gt;0,1,0)</f>
        <v>1</v>
      </c>
      <c r="D452" s="11" t="n">
        <f aca="false">IF(AND(C452=1,B452&lt;Controls!$B$12),1,0)</f>
        <v>1</v>
      </c>
      <c r="E452" s="11" t="n">
        <f aca="false">IF(D452=1,SUMPRODUCT((Costs!$B$4:$B$903=A452)*(Costs!$D$4:$D$903="planned")*(Costs!$J$4:$J$903&lt;=B452)*(Costs!$K$4:$K$903&gt;B452)*Costs!$E$4:$E$903),0)</f>
        <v>0</v>
      </c>
      <c r="F452" s="11" t="n">
        <f aca="false">IF(D452=1,SUMIFS(Benefits!$S$4:$S$703,Benefits!$B$4:$B$703,A452,Benefits!$F$4:$F$703,B452,Benefits!$R$4:$R$703,"cash"),0)</f>
        <v>0</v>
      </c>
      <c r="G452" s="11" t="n">
        <f aca="false">IF(D452=1,SUMIFS(Benefits!$S$4:$S$703,Benefits!$B$4:$B$703,A452,Benefits!$F$4:$F$703,B452,Benefits!$R$4:$R$703,"revenue"),0)</f>
        <v>0</v>
      </c>
      <c r="H452" s="11" t="n">
        <f aca="false">IF(D452=1,SUMIFS(Benefits!$S$4:$S$703,Benefits!$B$4:$B$703,A452,Benefits!$F$4:$F$703,B452,Benefits!$R$4:$R$703,"avoided_cost_realised"),0)</f>
        <v>0</v>
      </c>
      <c r="I452" s="11" t="n">
        <f aca="false">IF(D452=1,SUMIFS(Benefits!$S$4:$S$703,Benefits!$B$4:$B$703,A452,Benefits!$F$4:$F$703,B452,Benefits!$R$4:$R$703,"capacity_converted"),0)</f>
        <v>0</v>
      </c>
      <c r="J452" s="11" t="n">
        <f aca="false">SUM(F452:I452)</f>
        <v>0</v>
      </c>
      <c r="K452" s="11" t="n">
        <f aca="false">J452-E452</f>
        <v>0</v>
      </c>
      <c r="L452" s="11" t="n">
        <f aca="false">IF(D452=1,L451+K452,0)</f>
        <v>572254.33404886</v>
      </c>
      <c r="M452" s="11" t="n">
        <f aca="false">IF(D452=1,1/(1+Controls!$B$11)^B452,0)</f>
        <v>0.902475042556374</v>
      </c>
      <c r="N452" s="11" t="n">
        <f aca="false">K452*M452</f>
        <v>0</v>
      </c>
      <c r="O452" s="11" t="n">
        <f aca="false">IF(D452=1,O451+N452,0)</f>
        <v>463582.296123725</v>
      </c>
      <c r="P452" s="11" t="n">
        <f aca="false">IF(AND(D452=1,L452&lt;0),1,0)</f>
        <v>0</v>
      </c>
      <c r="Q452" s="11" t="n">
        <f aca="false">IF(AND(D452=1,O452&lt;0),1,0)</f>
        <v>0</v>
      </c>
    </row>
    <row r="453" customFormat="false" ht="15" hidden="false" customHeight="false" outlineLevel="0" collapsed="false">
      <c r="A453" s="4" t="s">
        <v>95</v>
      </c>
      <c r="B453" s="4" t="n">
        <v>17</v>
      </c>
      <c r="C453" s="11" t="n">
        <f aca="false">IF(COUNTIF('Scenario inputs'!$A$4:$A$213,Controls!$B$3&amp;"|"&amp;A453)&gt;0,1,0)</f>
        <v>1</v>
      </c>
      <c r="D453" s="11" t="n">
        <f aca="false">IF(AND(C453=1,B453&lt;Controls!$B$12),1,0)</f>
        <v>1</v>
      </c>
      <c r="E453" s="11" t="n">
        <f aca="false">IF(D453=1,SUMPRODUCT((Costs!$B$4:$B$903=A453)*(Costs!$D$4:$D$903="planned")*(Costs!$J$4:$J$903&lt;=B453)*(Costs!$K$4:$K$903&gt;B453)*Costs!$E$4:$E$903),0)</f>
        <v>0</v>
      </c>
      <c r="F453" s="11" t="n">
        <f aca="false">IF(D453=1,SUMIFS(Benefits!$S$4:$S$703,Benefits!$B$4:$B$703,A453,Benefits!$F$4:$F$703,B453,Benefits!$R$4:$R$703,"cash"),0)</f>
        <v>0</v>
      </c>
      <c r="G453" s="11" t="n">
        <f aca="false">IF(D453=1,SUMIFS(Benefits!$S$4:$S$703,Benefits!$B$4:$B$703,A453,Benefits!$F$4:$F$703,B453,Benefits!$R$4:$R$703,"revenue"),0)</f>
        <v>0</v>
      </c>
      <c r="H453" s="11" t="n">
        <f aca="false">IF(D453=1,SUMIFS(Benefits!$S$4:$S$703,Benefits!$B$4:$B$703,A453,Benefits!$F$4:$F$703,B453,Benefits!$R$4:$R$703,"avoided_cost_realised"),0)</f>
        <v>0</v>
      </c>
      <c r="I453" s="11" t="n">
        <f aca="false">IF(D453=1,SUMIFS(Benefits!$S$4:$S$703,Benefits!$B$4:$B$703,A453,Benefits!$F$4:$F$703,B453,Benefits!$R$4:$R$703,"capacity_converted"),0)</f>
        <v>0</v>
      </c>
      <c r="J453" s="11" t="n">
        <f aca="false">SUM(F453:I453)</f>
        <v>0</v>
      </c>
      <c r="K453" s="11" t="n">
        <f aca="false">J453-E453</f>
        <v>0</v>
      </c>
      <c r="L453" s="11" t="n">
        <f aca="false">IF(D453=1,L452+K453,0)</f>
        <v>572254.33404886</v>
      </c>
      <c r="M453" s="11" t="n">
        <f aca="false">IF(D453=1,1/(1+Controls!$B$11)^B453,0)</f>
        <v>0.896705638478404</v>
      </c>
      <c r="N453" s="11" t="n">
        <f aca="false">K453*M453</f>
        <v>0</v>
      </c>
      <c r="O453" s="11" t="n">
        <f aca="false">IF(D453=1,O452+N453,0)</f>
        <v>463582.296123725</v>
      </c>
      <c r="P453" s="11" t="n">
        <f aca="false">IF(AND(D453=1,L453&lt;0),1,0)</f>
        <v>0</v>
      </c>
      <c r="Q453" s="11" t="n">
        <f aca="false">IF(AND(D453=1,O453&lt;0),1,0)</f>
        <v>0</v>
      </c>
    </row>
    <row r="454" customFormat="false" ht="15" hidden="false" customHeight="false" outlineLevel="0" collapsed="false">
      <c r="A454" s="4" t="s">
        <v>95</v>
      </c>
      <c r="B454" s="4" t="n">
        <v>18</v>
      </c>
      <c r="C454" s="11" t="n">
        <f aca="false">IF(COUNTIF('Scenario inputs'!$A$4:$A$213,Controls!$B$3&amp;"|"&amp;A454)&gt;0,1,0)</f>
        <v>1</v>
      </c>
      <c r="D454" s="11" t="n">
        <f aca="false">IF(AND(C454=1,B454&lt;Controls!$B$12),1,0)</f>
        <v>1</v>
      </c>
      <c r="E454" s="11" t="n">
        <f aca="false">IF(D454=1,SUMPRODUCT((Costs!$B$4:$B$903=A454)*(Costs!$D$4:$D$903="planned")*(Costs!$J$4:$J$903&lt;=B454)*(Costs!$K$4:$K$903&gt;B454)*Costs!$E$4:$E$903),0)</f>
        <v>0</v>
      </c>
      <c r="F454" s="11" t="n">
        <f aca="false">IF(D454=1,SUMIFS(Benefits!$S$4:$S$703,Benefits!$B$4:$B$703,A454,Benefits!$F$4:$F$703,B454,Benefits!$R$4:$R$703,"cash"),0)</f>
        <v>0</v>
      </c>
      <c r="G454" s="11" t="n">
        <f aca="false">IF(D454=1,SUMIFS(Benefits!$S$4:$S$703,Benefits!$B$4:$B$703,A454,Benefits!$F$4:$F$703,B454,Benefits!$R$4:$R$703,"revenue"),0)</f>
        <v>0</v>
      </c>
      <c r="H454" s="11" t="n">
        <f aca="false">IF(D454=1,SUMIFS(Benefits!$S$4:$S$703,Benefits!$B$4:$B$703,A454,Benefits!$F$4:$F$703,B454,Benefits!$R$4:$R$703,"avoided_cost_realised"),0)</f>
        <v>0</v>
      </c>
      <c r="I454" s="11" t="n">
        <f aca="false">IF(D454=1,SUMIFS(Benefits!$S$4:$S$703,Benefits!$B$4:$B$703,A454,Benefits!$F$4:$F$703,B454,Benefits!$R$4:$R$703,"capacity_converted"),0)</f>
        <v>0</v>
      </c>
      <c r="J454" s="11" t="n">
        <f aca="false">SUM(F454:I454)</f>
        <v>0</v>
      </c>
      <c r="K454" s="11" t="n">
        <f aca="false">J454-E454</f>
        <v>0</v>
      </c>
      <c r="L454" s="11" t="n">
        <f aca="false">IF(D454=1,L453+K454,0)</f>
        <v>572254.33404886</v>
      </c>
      <c r="M454" s="11" t="n">
        <f aca="false">IF(D454=1,1/(1+Controls!$B$11)^B454,0)</f>
        <v>0.89097311744079</v>
      </c>
      <c r="N454" s="11" t="n">
        <f aca="false">K454*M454</f>
        <v>0</v>
      </c>
      <c r="O454" s="11" t="n">
        <f aca="false">IF(D454=1,O453+N454,0)</f>
        <v>463582.296123725</v>
      </c>
      <c r="P454" s="11" t="n">
        <f aca="false">IF(AND(D454=1,L454&lt;0),1,0)</f>
        <v>0</v>
      </c>
      <c r="Q454" s="11" t="n">
        <f aca="false">IF(AND(D454=1,O454&lt;0),1,0)</f>
        <v>0</v>
      </c>
    </row>
    <row r="455" customFormat="false" ht="15" hidden="false" customHeight="false" outlineLevel="0" collapsed="false">
      <c r="A455" s="4" t="s">
        <v>95</v>
      </c>
      <c r="B455" s="4" t="n">
        <v>19</v>
      </c>
      <c r="C455" s="11" t="n">
        <f aca="false">IF(COUNTIF('Scenario inputs'!$A$4:$A$213,Controls!$B$3&amp;"|"&amp;A455)&gt;0,1,0)</f>
        <v>1</v>
      </c>
      <c r="D455" s="11" t="n">
        <f aca="false">IF(AND(C455=1,B455&lt;Controls!$B$12),1,0)</f>
        <v>1</v>
      </c>
      <c r="E455" s="11" t="n">
        <f aca="false">IF(D455=1,SUMPRODUCT((Costs!$B$4:$B$903=A455)*(Costs!$D$4:$D$903="planned")*(Costs!$J$4:$J$903&lt;=B455)*(Costs!$K$4:$K$903&gt;B455)*Costs!$E$4:$E$903),0)</f>
        <v>0</v>
      </c>
      <c r="F455" s="11" t="n">
        <f aca="false">IF(D455=1,SUMIFS(Benefits!$S$4:$S$703,Benefits!$B$4:$B$703,A455,Benefits!$F$4:$F$703,B455,Benefits!$R$4:$R$703,"cash"),0)</f>
        <v>0</v>
      </c>
      <c r="G455" s="11" t="n">
        <f aca="false">IF(D455=1,SUMIFS(Benefits!$S$4:$S$703,Benefits!$B$4:$B$703,A455,Benefits!$F$4:$F$703,B455,Benefits!$R$4:$R$703,"revenue"),0)</f>
        <v>0</v>
      </c>
      <c r="H455" s="11" t="n">
        <f aca="false">IF(D455=1,SUMIFS(Benefits!$S$4:$S$703,Benefits!$B$4:$B$703,A455,Benefits!$F$4:$F$703,B455,Benefits!$R$4:$R$703,"avoided_cost_realised"),0)</f>
        <v>0</v>
      </c>
      <c r="I455" s="11" t="n">
        <f aca="false">IF(D455=1,SUMIFS(Benefits!$S$4:$S$703,Benefits!$B$4:$B$703,A455,Benefits!$F$4:$F$703,B455,Benefits!$R$4:$R$703,"capacity_converted"),0)</f>
        <v>0</v>
      </c>
      <c r="J455" s="11" t="n">
        <f aca="false">SUM(F455:I455)</f>
        <v>0</v>
      </c>
      <c r="K455" s="11" t="n">
        <f aca="false">J455-E455</f>
        <v>0</v>
      </c>
      <c r="L455" s="11" t="n">
        <f aca="false">IF(D455=1,L454+K455,0)</f>
        <v>572254.33404886</v>
      </c>
      <c r="M455" s="11" t="n">
        <f aca="false">IF(D455=1,1/(1+Controls!$B$11)^B455,0)</f>
        <v>0.885277243655113</v>
      </c>
      <c r="N455" s="11" t="n">
        <f aca="false">K455*M455</f>
        <v>0</v>
      </c>
      <c r="O455" s="11" t="n">
        <f aca="false">IF(D455=1,O454+N455,0)</f>
        <v>463582.296123725</v>
      </c>
      <c r="P455" s="11" t="n">
        <f aca="false">IF(AND(D455=1,L455&lt;0),1,0)</f>
        <v>0</v>
      </c>
      <c r="Q455" s="11" t="n">
        <f aca="false">IF(AND(D455=1,O455&lt;0),1,0)</f>
        <v>0</v>
      </c>
    </row>
    <row r="456" customFormat="false" ht="15" hidden="false" customHeight="false" outlineLevel="0" collapsed="false">
      <c r="A456" s="4" t="s">
        <v>95</v>
      </c>
      <c r="B456" s="4" t="n">
        <v>20</v>
      </c>
      <c r="C456" s="11" t="n">
        <f aca="false">IF(COUNTIF('Scenario inputs'!$A$4:$A$213,Controls!$B$3&amp;"|"&amp;A456)&gt;0,1,0)</f>
        <v>1</v>
      </c>
      <c r="D456" s="11" t="n">
        <f aca="false">IF(AND(C456=1,B456&lt;Controls!$B$12),1,0)</f>
        <v>1</v>
      </c>
      <c r="E456" s="11" t="n">
        <f aca="false">IF(D456=1,SUMPRODUCT((Costs!$B$4:$B$903=A456)*(Costs!$D$4:$D$903="planned")*(Costs!$J$4:$J$903&lt;=B456)*(Costs!$K$4:$K$903&gt;B456)*Costs!$E$4:$E$903),0)</f>
        <v>0</v>
      </c>
      <c r="F456" s="11" t="n">
        <f aca="false">IF(D456=1,SUMIFS(Benefits!$S$4:$S$703,Benefits!$B$4:$B$703,A456,Benefits!$F$4:$F$703,B456,Benefits!$R$4:$R$703,"cash"),0)</f>
        <v>0</v>
      </c>
      <c r="G456" s="11" t="n">
        <f aca="false">IF(D456=1,SUMIFS(Benefits!$S$4:$S$703,Benefits!$B$4:$B$703,A456,Benefits!$F$4:$F$703,B456,Benefits!$R$4:$R$703,"revenue"),0)</f>
        <v>0</v>
      </c>
      <c r="H456" s="11" t="n">
        <f aca="false">IF(D456=1,SUMIFS(Benefits!$S$4:$S$703,Benefits!$B$4:$B$703,A456,Benefits!$F$4:$F$703,B456,Benefits!$R$4:$R$703,"avoided_cost_realised"),0)</f>
        <v>0</v>
      </c>
      <c r="I456" s="11" t="n">
        <f aca="false">IF(D456=1,SUMIFS(Benefits!$S$4:$S$703,Benefits!$B$4:$B$703,A456,Benefits!$F$4:$F$703,B456,Benefits!$R$4:$R$703,"capacity_converted"),0)</f>
        <v>0</v>
      </c>
      <c r="J456" s="11" t="n">
        <f aca="false">SUM(F456:I456)</f>
        <v>0</v>
      </c>
      <c r="K456" s="11" t="n">
        <f aca="false">J456-E456</f>
        <v>0</v>
      </c>
      <c r="L456" s="11" t="n">
        <f aca="false">IF(D456=1,L455+K456,0)</f>
        <v>572254.33404886</v>
      </c>
      <c r="M456" s="11" t="n">
        <f aca="false">IF(D456=1,1/(1+Controls!$B$11)^B456,0)</f>
        <v>0.879617782840318</v>
      </c>
      <c r="N456" s="11" t="n">
        <f aca="false">K456*M456</f>
        <v>0</v>
      </c>
      <c r="O456" s="11" t="n">
        <f aca="false">IF(D456=1,O455+N456,0)</f>
        <v>463582.296123725</v>
      </c>
      <c r="P456" s="11" t="n">
        <f aca="false">IF(AND(D456=1,L456&lt;0),1,0)</f>
        <v>0</v>
      </c>
      <c r="Q456" s="11" t="n">
        <f aca="false">IF(AND(D456=1,O456&lt;0),1,0)</f>
        <v>0</v>
      </c>
    </row>
    <row r="457" customFormat="false" ht="15" hidden="false" customHeight="false" outlineLevel="0" collapsed="false">
      <c r="A457" s="4" t="s">
        <v>95</v>
      </c>
      <c r="B457" s="4" t="n">
        <v>21</v>
      </c>
      <c r="C457" s="11" t="n">
        <f aca="false">IF(COUNTIF('Scenario inputs'!$A$4:$A$213,Controls!$B$3&amp;"|"&amp;A457)&gt;0,1,0)</f>
        <v>1</v>
      </c>
      <c r="D457" s="11" t="n">
        <f aca="false">IF(AND(C457=1,B457&lt;Controls!$B$12),1,0)</f>
        <v>1</v>
      </c>
      <c r="E457" s="11" t="n">
        <f aca="false">IF(D457=1,SUMPRODUCT((Costs!$B$4:$B$903=A457)*(Costs!$D$4:$D$903="planned")*(Costs!$J$4:$J$903&lt;=B457)*(Costs!$K$4:$K$903&gt;B457)*Costs!$E$4:$E$903),0)</f>
        <v>0</v>
      </c>
      <c r="F457" s="11" t="n">
        <f aca="false">IF(D457=1,SUMIFS(Benefits!$S$4:$S$703,Benefits!$B$4:$B$703,A457,Benefits!$F$4:$F$703,B457,Benefits!$R$4:$R$703,"cash"),0)</f>
        <v>0</v>
      </c>
      <c r="G457" s="11" t="n">
        <f aca="false">IF(D457=1,SUMIFS(Benefits!$S$4:$S$703,Benefits!$B$4:$B$703,A457,Benefits!$F$4:$F$703,B457,Benefits!$R$4:$R$703,"revenue"),0)</f>
        <v>0</v>
      </c>
      <c r="H457" s="11" t="n">
        <f aca="false">IF(D457=1,SUMIFS(Benefits!$S$4:$S$703,Benefits!$B$4:$B$703,A457,Benefits!$F$4:$F$703,B457,Benefits!$R$4:$R$703,"avoided_cost_realised"),0)</f>
        <v>0</v>
      </c>
      <c r="I457" s="11" t="n">
        <f aca="false">IF(D457=1,SUMIFS(Benefits!$S$4:$S$703,Benefits!$B$4:$B$703,A457,Benefits!$F$4:$F$703,B457,Benefits!$R$4:$R$703,"capacity_converted"),0)</f>
        <v>0</v>
      </c>
      <c r="J457" s="11" t="n">
        <f aca="false">SUM(F457:I457)</f>
        <v>0</v>
      </c>
      <c r="K457" s="11" t="n">
        <f aca="false">J457-E457</f>
        <v>0</v>
      </c>
      <c r="L457" s="11" t="n">
        <f aca="false">IF(D457=1,L456+K457,0)</f>
        <v>572254.33404886</v>
      </c>
      <c r="M457" s="11" t="n">
        <f aca="false">IF(D457=1,1/(1+Controls!$B$11)^B457,0)</f>
        <v>0.873994502213079</v>
      </c>
      <c r="N457" s="11" t="n">
        <f aca="false">K457*M457</f>
        <v>0</v>
      </c>
      <c r="O457" s="11" t="n">
        <f aca="false">IF(D457=1,O456+N457,0)</f>
        <v>463582.296123725</v>
      </c>
      <c r="P457" s="11" t="n">
        <f aca="false">IF(AND(D457=1,L457&lt;0),1,0)</f>
        <v>0</v>
      </c>
      <c r="Q457" s="11" t="n">
        <f aca="false">IF(AND(D457=1,O457&lt;0),1,0)</f>
        <v>0</v>
      </c>
    </row>
    <row r="458" customFormat="false" ht="15" hidden="false" customHeight="false" outlineLevel="0" collapsed="false">
      <c r="A458" s="4" t="s">
        <v>95</v>
      </c>
      <c r="B458" s="4" t="n">
        <v>22</v>
      </c>
      <c r="C458" s="11" t="n">
        <f aca="false">IF(COUNTIF('Scenario inputs'!$A$4:$A$213,Controls!$B$3&amp;"|"&amp;A458)&gt;0,1,0)</f>
        <v>1</v>
      </c>
      <c r="D458" s="11" t="n">
        <f aca="false">IF(AND(C458=1,B458&lt;Controls!$B$12),1,0)</f>
        <v>1</v>
      </c>
      <c r="E458" s="11" t="n">
        <f aca="false">IF(D458=1,SUMPRODUCT((Costs!$B$4:$B$903=A458)*(Costs!$D$4:$D$903="planned")*(Costs!$J$4:$J$903&lt;=B458)*(Costs!$K$4:$K$903&gt;B458)*Costs!$E$4:$E$903),0)</f>
        <v>0</v>
      </c>
      <c r="F458" s="11" t="n">
        <f aca="false">IF(D458=1,SUMIFS(Benefits!$S$4:$S$703,Benefits!$B$4:$B$703,A458,Benefits!$F$4:$F$703,B458,Benefits!$R$4:$R$703,"cash"),0)</f>
        <v>0</v>
      </c>
      <c r="G458" s="11" t="n">
        <f aca="false">IF(D458=1,SUMIFS(Benefits!$S$4:$S$703,Benefits!$B$4:$B$703,A458,Benefits!$F$4:$F$703,B458,Benefits!$R$4:$R$703,"revenue"),0)</f>
        <v>0</v>
      </c>
      <c r="H458" s="11" t="n">
        <f aca="false">IF(D458=1,SUMIFS(Benefits!$S$4:$S$703,Benefits!$B$4:$B$703,A458,Benefits!$F$4:$F$703,B458,Benefits!$R$4:$R$703,"avoided_cost_realised"),0)</f>
        <v>0</v>
      </c>
      <c r="I458" s="11" t="n">
        <f aca="false">IF(D458=1,SUMIFS(Benefits!$S$4:$S$703,Benefits!$B$4:$B$703,A458,Benefits!$F$4:$F$703,B458,Benefits!$R$4:$R$703,"capacity_converted"),0)</f>
        <v>0</v>
      </c>
      <c r="J458" s="11" t="n">
        <f aca="false">SUM(F458:I458)</f>
        <v>0</v>
      </c>
      <c r="K458" s="11" t="n">
        <f aca="false">J458-E458</f>
        <v>0</v>
      </c>
      <c r="L458" s="11" t="n">
        <f aca="false">IF(D458=1,L457+K458,0)</f>
        <v>572254.33404886</v>
      </c>
      <c r="M458" s="11" t="n">
        <f aca="false">IF(D458=1,1/(1+Controls!$B$11)^B458,0)</f>
        <v>0.868407170478222</v>
      </c>
      <c r="N458" s="11" t="n">
        <f aca="false">K458*M458</f>
        <v>0</v>
      </c>
      <c r="O458" s="11" t="n">
        <f aca="false">IF(D458=1,O457+N458,0)</f>
        <v>463582.296123725</v>
      </c>
      <c r="P458" s="11" t="n">
        <f aca="false">IF(AND(D458=1,L458&lt;0),1,0)</f>
        <v>0</v>
      </c>
      <c r="Q458" s="11" t="n">
        <f aca="false">IF(AND(D458=1,O458&lt;0),1,0)</f>
        <v>0</v>
      </c>
    </row>
    <row r="459" customFormat="false" ht="15" hidden="false" customHeight="false" outlineLevel="0" collapsed="false">
      <c r="A459" s="4" t="s">
        <v>95</v>
      </c>
      <c r="B459" s="4" t="n">
        <v>23</v>
      </c>
      <c r="C459" s="11" t="n">
        <f aca="false">IF(COUNTIF('Scenario inputs'!$A$4:$A$213,Controls!$B$3&amp;"|"&amp;A459)&gt;0,1,0)</f>
        <v>1</v>
      </c>
      <c r="D459" s="11" t="n">
        <f aca="false">IF(AND(C459=1,B459&lt;Controls!$B$12),1,0)</f>
        <v>1</v>
      </c>
      <c r="E459" s="11" t="n">
        <f aca="false">IF(D459=1,SUMPRODUCT((Costs!$B$4:$B$903=A459)*(Costs!$D$4:$D$903="planned")*(Costs!$J$4:$J$903&lt;=B459)*(Costs!$K$4:$K$903&gt;B459)*Costs!$E$4:$E$903),0)</f>
        <v>0</v>
      </c>
      <c r="F459" s="11" t="n">
        <f aca="false">IF(D459=1,SUMIFS(Benefits!$S$4:$S$703,Benefits!$B$4:$B$703,A459,Benefits!$F$4:$F$703,B459,Benefits!$R$4:$R$703,"cash"),0)</f>
        <v>0</v>
      </c>
      <c r="G459" s="11" t="n">
        <f aca="false">IF(D459=1,SUMIFS(Benefits!$S$4:$S$703,Benefits!$B$4:$B$703,A459,Benefits!$F$4:$F$703,B459,Benefits!$R$4:$R$703,"revenue"),0)</f>
        <v>0</v>
      </c>
      <c r="H459" s="11" t="n">
        <f aca="false">IF(D459=1,SUMIFS(Benefits!$S$4:$S$703,Benefits!$B$4:$B$703,A459,Benefits!$F$4:$F$703,B459,Benefits!$R$4:$R$703,"avoided_cost_realised"),0)</f>
        <v>0</v>
      </c>
      <c r="I459" s="11" t="n">
        <f aca="false">IF(D459=1,SUMIFS(Benefits!$S$4:$S$703,Benefits!$B$4:$B$703,A459,Benefits!$F$4:$F$703,B459,Benefits!$R$4:$R$703,"capacity_converted"),0)</f>
        <v>0</v>
      </c>
      <c r="J459" s="11" t="n">
        <f aca="false">SUM(F459:I459)</f>
        <v>0</v>
      </c>
      <c r="K459" s="11" t="n">
        <f aca="false">J459-E459</f>
        <v>0</v>
      </c>
      <c r="L459" s="11" t="n">
        <f aca="false">IF(D459=1,L458+K459,0)</f>
        <v>572254.33404886</v>
      </c>
      <c r="M459" s="11" t="n">
        <f aca="false">IF(D459=1,1/(1+Controls!$B$11)^B459,0)</f>
        <v>0.862855557819213</v>
      </c>
      <c r="N459" s="11" t="n">
        <f aca="false">K459*M459</f>
        <v>0</v>
      </c>
      <c r="O459" s="11" t="n">
        <f aca="false">IF(D459=1,O458+N459,0)</f>
        <v>463582.296123725</v>
      </c>
      <c r="P459" s="11" t="n">
        <f aca="false">IF(AND(D459=1,L459&lt;0),1,0)</f>
        <v>0</v>
      </c>
      <c r="Q459" s="11" t="n">
        <f aca="false">IF(AND(D459=1,O459&lt;0),1,0)</f>
        <v>0</v>
      </c>
    </row>
    <row r="460" customFormat="false" ht="15" hidden="false" customHeight="false" outlineLevel="0" collapsed="false">
      <c r="A460" s="4" t="s">
        <v>95</v>
      </c>
      <c r="B460" s="4" t="n">
        <v>24</v>
      </c>
      <c r="C460" s="11" t="n">
        <f aca="false">IF(COUNTIF('Scenario inputs'!$A$4:$A$213,Controls!$B$3&amp;"|"&amp;A460)&gt;0,1,0)</f>
        <v>1</v>
      </c>
      <c r="D460" s="11" t="n">
        <f aca="false">IF(AND(C460=1,B460&lt;Controls!$B$12),1,0)</f>
        <v>1</v>
      </c>
      <c r="E460" s="11" t="n">
        <f aca="false">IF(D460=1,SUMPRODUCT((Costs!$B$4:$B$903=A460)*(Costs!$D$4:$D$903="planned")*(Costs!$J$4:$J$903&lt;=B460)*(Costs!$K$4:$K$903&gt;B460)*Costs!$E$4:$E$903),0)</f>
        <v>0</v>
      </c>
      <c r="F460" s="11" t="n">
        <f aca="false">IF(D460=1,SUMIFS(Benefits!$S$4:$S$703,Benefits!$B$4:$B$703,A460,Benefits!$F$4:$F$703,B460,Benefits!$R$4:$R$703,"cash"),0)</f>
        <v>0</v>
      </c>
      <c r="G460" s="11" t="n">
        <f aca="false">IF(D460=1,SUMIFS(Benefits!$S$4:$S$703,Benefits!$B$4:$B$703,A460,Benefits!$F$4:$F$703,B460,Benefits!$R$4:$R$703,"revenue"),0)</f>
        <v>0</v>
      </c>
      <c r="H460" s="11" t="n">
        <f aca="false">IF(D460=1,SUMIFS(Benefits!$S$4:$S$703,Benefits!$B$4:$B$703,A460,Benefits!$F$4:$F$703,B460,Benefits!$R$4:$R$703,"avoided_cost_realised"),0)</f>
        <v>0</v>
      </c>
      <c r="I460" s="11" t="n">
        <f aca="false">IF(D460=1,SUMIFS(Benefits!$S$4:$S$703,Benefits!$B$4:$B$703,A460,Benefits!$F$4:$F$703,B460,Benefits!$R$4:$R$703,"capacity_converted"),0)</f>
        <v>0</v>
      </c>
      <c r="J460" s="11" t="n">
        <f aca="false">SUM(F460:I460)</f>
        <v>0</v>
      </c>
      <c r="K460" s="11" t="n">
        <f aca="false">J460-E460</f>
        <v>0</v>
      </c>
      <c r="L460" s="11" t="n">
        <f aca="false">IF(D460=1,L459+K460,0)</f>
        <v>572254.33404886</v>
      </c>
      <c r="M460" s="11" t="n">
        <f aca="false">IF(D460=1,1/(1+Controls!$B$11)^B460,0)</f>
        <v>0.857339435888705</v>
      </c>
      <c r="N460" s="11" t="n">
        <f aca="false">K460*M460</f>
        <v>0</v>
      </c>
      <c r="O460" s="11" t="n">
        <f aca="false">IF(D460=1,O459+N460,0)</f>
        <v>463582.296123725</v>
      </c>
      <c r="P460" s="11" t="n">
        <f aca="false">IF(AND(D460=1,L460&lt;0),1,0)</f>
        <v>0</v>
      </c>
      <c r="Q460" s="11" t="n">
        <f aca="false">IF(AND(D460=1,O460&lt;0),1,0)</f>
        <v>0</v>
      </c>
    </row>
    <row r="461" customFormat="false" ht="15" hidden="false" customHeight="false" outlineLevel="0" collapsed="false">
      <c r="A461" s="4" t="s">
        <v>95</v>
      </c>
      <c r="B461" s="4" t="n">
        <v>25</v>
      </c>
      <c r="C461" s="11" t="n">
        <f aca="false">IF(COUNTIF('Scenario inputs'!$A$4:$A$213,Controls!$B$3&amp;"|"&amp;A461)&gt;0,1,0)</f>
        <v>1</v>
      </c>
      <c r="D461" s="11" t="n">
        <f aca="false">IF(AND(C461=1,B461&lt;Controls!$B$12),1,0)</f>
        <v>1</v>
      </c>
      <c r="E461" s="11" t="n">
        <f aca="false">IF(D461=1,SUMPRODUCT((Costs!$B$4:$B$903=A461)*(Costs!$D$4:$D$903="planned")*(Costs!$J$4:$J$903&lt;=B461)*(Costs!$K$4:$K$903&gt;B461)*Costs!$E$4:$E$903),0)</f>
        <v>0</v>
      </c>
      <c r="F461" s="11" t="n">
        <f aca="false">IF(D461=1,SUMIFS(Benefits!$S$4:$S$703,Benefits!$B$4:$B$703,A461,Benefits!$F$4:$F$703,B461,Benefits!$R$4:$R$703,"cash"),0)</f>
        <v>0</v>
      </c>
      <c r="G461" s="11" t="n">
        <f aca="false">IF(D461=1,SUMIFS(Benefits!$S$4:$S$703,Benefits!$B$4:$B$703,A461,Benefits!$F$4:$F$703,B461,Benefits!$R$4:$R$703,"revenue"),0)</f>
        <v>0</v>
      </c>
      <c r="H461" s="11" t="n">
        <f aca="false">IF(D461=1,SUMIFS(Benefits!$S$4:$S$703,Benefits!$B$4:$B$703,A461,Benefits!$F$4:$F$703,B461,Benefits!$R$4:$R$703,"avoided_cost_realised"),0)</f>
        <v>0</v>
      </c>
      <c r="I461" s="11" t="n">
        <f aca="false">IF(D461=1,SUMIFS(Benefits!$S$4:$S$703,Benefits!$B$4:$B$703,A461,Benefits!$F$4:$F$703,B461,Benefits!$R$4:$R$703,"capacity_converted"),0)</f>
        <v>0</v>
      </c>
      <c r="J461" s="11" t="n">
        <f aca="false">SUM(F461:I461)</f>
        <v>0</v>
      </c>
      <c r="K461" s="11" t="n">
        <f aca="false">J461-E461</f>
        <v>0</v>
      </c>
      <c r="L461" s="11" t="n">
        <f aca="false">IF(D461=1,L460+K461,0)</f>
        <v>572254.33404886</v>
      </c>
      <c r="M461" s="11" t="n">
        <f aca="false">IF(D461=1,1/(1+Controls!$B$11)^B461,0)</f>
        <v>0.851858577799146</v>
      </c>
      <c r="N461" s="11" t="n">
        <f aca="false">K461*M461</f>
        <v>0</v>
      </c>
      <c r="O461" s="11" t="n">
        <f aca="false">IF(D461=1,O460+N461,0)</f>
        <v>463582.296123725</v>
      </c>
      <c r="P461" s="11" t="n">
        <f aca="false">IF(AND(D461=1,L461&lt;0),1,0)</f>
        <v>0</v>
      </c>
      <c r="Q461" s="11" t="n">
        <f aca="false">IF(AND(D461=1,O461&lt;0),1,0)</f>
        <v>0</v>
      </c>
    </row>
    <row r="462" customFormat="false" ht="15" hidden="false" customHeight="false" outlineLevel="0" collapsed="false">
      <c r="A462" s="4" t="s">
        <v>95</v>
      </c>
      <c r="B462" s="4" t="n">
        <v>26</v>
      </c>
      <c r="C462" s="11" t="n">
        <f aca="false">IF(COUNTIF('Scenario inputs'!$A$4:$A$213,Controls!$B$3&amp;"|"&amp;A462)&gt;0,1,0)</f>
        <v>1</v>
      </c>
      <c r="D462" s="11" t="n">
        <f aca="false">IF(AND(C462=1,B462&lt;Controls!$B$12),1,0)</f>
        <v>1</v>
      </c>
      <c r="E462" s="11" t="n">
        <f aca="false">IF(D462=1,SUMPRODUCT((Costs!$B$4:$B$903=A462)*(Costs!$D$4:$D$903="planned")*(Costs!$J$4:$J$903&lt;=B462)*(Costs!$K$4:$K$903&gt;B462)*Costs!$E$4:$E$903),0)</f>
        <v>0</v>
      </c>
      <c r="F462" s="11" t="n">
        <f aca="false">IF(D462=1,SUMIFS(Benefits!$S$4:$S$703,Benefits!$B$4:$B$703,A462,Benefits!$F$4:$F$703,B462,Benefits!$R$4:$R$703,"cash"),0)</f>
        <v>0</v>
      </c>
      <c r="G462" s="11" t="n">
        <f aca="false">IF(D462=1,SUMIFS(Benefits!$S$4:$S$703,Benefits!$B$4:$B$703,A462,Benefits!$F$4:$F$703,B462,Benefits!$R$4:$R$703,"revenue"),0)</f>
        <v>0</v>
      </c>
      <c r="H462" s="11" t="n">
        <f aca="false">IF(D462=1,SUMIFS(Benefits!$S$4:$S$703,Benefits!$B$4:$B$703,A462,Benefits!$F$4:$F$703,B462,Benefits!$R$4:$R$703,"avoided_cost_realised"),0)</f>
        <v>0</v>
      </c>
      <c r="I462" s="11" t="n">
        <f aca="false">IF(D462=1,SUMIFS(Benefits!$S$4:$S$703,Benefits!$B$4:$B$703,A462,Benefits!$F$4:$F$703,B462,Benefits!$R$4:$R$703,"capacity_converted"),0)</f>
        <v>0</v>
      </c>
      <c r="J462" s="11" t="n">
        <f aca="false">SUM(F462:I462)</f>
        <v>0</v>
      </c>
      <c r="K462" s="11" t="n">
        <f aca="false">J462-E462</f>
        <v>0</v>
      </c>
      <c r="L462" s="11" t="n">
        <f aca="false">IF(D462=1,L461+K462,0)</f>
        <v>572254.33404886</v>
      </c>
      <c r="M462" s="11" t="n">
        <f aca="false">IF(D462=1,1/(1+Controls!$B$11)^B462,0)</f>
        <v>0.846412758113444</v>
      </c>
      <c r="N462" s="11" t="n">
        <f aca="false">K462*M462</f>
        <v>0</v>
      </c>
      <c r="O462" s="11" t="n">
        <f aca="false">IF(D462=1,O461+N462,0)</f>
        <v>463582.296123725</v>
      </c>
      <c r="P462" s="11" t="n">
        <f aca="false">IF(AND(D462=1,L462&lt;0),1,0)</f>
        <v>0</v>
      </c>
      <c r="Q462" s="11" t="n">
        <f aca="false">IF(AND(D462=1,O462&lt;0),1,0)</f>
        <v>0</v>
      </c>
    </row>
    <row r="463" customFormat="false" ht="15" hidden="false" customHeight="false" outlineLevel="0" collapsed="false">
      <c r="A463" s="4" t="s">
        <v>95</v>
      </c>
      <c r="B463" s="4" t="n">
        <v>27</v>
      </c>
      <c r="C463" s="11" t="n">
        <f aca="false">IF(COUNTIF('Scenario inputs'!$A$4:$A$213,Controls!$B$3&amp;"|"&amp;A463)&gt;0,1,0)</f>
        <v>1</v>
      </c>
      <c r="D463" s="11" t="n">
        <f aca="false">IF(AND(C463=1,B463&lt;Controls!$B$12),1,0)</f>
        <v>1</v>
      </c>
      <c r="E463" s="11" t="n">
        <f aca="false">IF(D463=1,SUMPRODUCT((Costs!$B$4:$B$903=A463)*(Costs!$D$4:$D$903="planned")*(Costs!$J$4:$J$903&lt;=B463)*(Costs!$K$4:$K$903&gt;B463)*Costs!$E$4:$E$903),0)</f>
        <v>0</v>
      </c>
      <c r="F463" s="11" t="n">
        <f aca="false">IF(D463=1,SUMIFS(Benefits!$S$4:$S$703,Benefits!$B$4:$B$703,A463,Benefits!$F$4:$F$703,B463,Benefits!$R$4:$R$703,"cash"),0)</f>
        <v>0</v>
      </c>
      <c r="G463" s="11" t="n">
        <f aca="false">IF(D463=1,SUMIFS(Benefits!$S$4:$S$703,Benefits!$B$4:$B$703,A463,Benefits!$F$4:$F$703,B463,Benefits!$R$4:$R$703,"revenue"),0)</f>
        <v>0</v>
      </c>
      <c r="H463" s="11" t="n">
        <f aca="false">IF(D463=1,SUMIFS(Benefits!$S$4:$S$703,Benefits!$B$4:$B$703,A463,Benefits!$F$4:$F$703,B463,Benefits!$R$4:$R$703,"avoided_cost_realised"),0)</f>
        <v>0</v>
      </c>
      <c r="I463" s="11" t="n">
        <f aca="false">IF(D463=1,SUMIFS(Benefits!$S$4:$S$703,Benefits!$B$4:$B$703,A463,Benefits!$F$4:$F$703,B463,Benefits!$R$4:$R$703,"capacity_converted"),0)</f>
        <v>0</v>
      </c>
      <c r="J463" s="11" t="n">
        <f aca="false">SUM(F463:I463)</f>
        <v>0</v>
      </c>
      <c r="K463" s="11" t="n">
        <f aca="false">J463-E463</f>
        <v>0</v>
      </c>
      <c r="L463" s="11" t="n">
        <f aca="false">IF(D463=1,L462+K463,0)</f>
        <v>572254.33404886</v>
      </c>
      <c r="M463" s="11" t="n">
        <f aca="false">IF(D463=1,1/(1+Controls!$B$11)^B463,0)</f>
        <v>0.841001752835699</v>
      </c>
      <c r="N463" s="11" t="n">
        <f aca="false">K463*M463</f>
        <v>0</v>
      </c>
      <c r="O463" s="11" t="n">
        <f aca="false">IF(D463=1,O462+N463,0)</f>
        <v>463582.296123725</v>
      </c>
      <c r="P463" s="11" t="n">
        <f aca="false">IF(AND(D463=1,L463&lt;0),1,0)</f>
        <v>0</v>
      </c>
      <c r="Q463" s="11" t="n">
        <f aca="false">IF(AND(D463=1,O463&lt;0),1,0)</f>
        <v>0</v>
      </c>
    </row>
    <row r="464" customFormat="false" ht="15" hidden="false" customHeight="false" outlineLevel="0" collapsed="false">
      <c r="A464" s="4" t="s">
        <v>95</v>
      </c>
      <c r="B464" s="4" t="n">
        <v>28</v>
      </c>
      <c r="C464" s="11" t="n">
        <f aca="false">IF(COUNTIF('Scenario inputs'!$A$4:$A$213,Controls!$B$3&amp;"|"&amp;A464)&gt;0,1,0)</f>
        <v>1</v>
      </c>
      <c r="D464" s="11" t="n">
        <f aca="false">IF(AND(C464=1,B464&lt;Controls!$B$12),1,0)</f>
        <v>1</v>
      </c>
      <c r="E464" s="11" t="n">
        <f aca="false">IF(D464=1,SUMPRODUCT((Costs!$B$4:$B$903=A464)*(Costs!$D$4:$D$903="planned")*(Costs!$J$4:$J$903&lt;=B464)*(Costs!$K$4:$K$903&gt;B464)*Costs!$E$4:$E$903),0)</f>
        <v>0</v>
      </c>
      <c r="F464" s="11" t="n">
        <f aca="false">IF(D464=1,SUMIFS(Benefits!$S$4:$S$703,Benefits!$B$4:$B$703,A464,Benefits!$F$4:$F$703,B464,Benefits!$R$4:$R$703,"cash"),0)</f>
        <v>0</v>
      </c>
      <c r="G464" s="11" t="n">
        <f aca="false">IF(D464=1,SUMIFS(Benefits!$S$4:$S$703,Benefits!$B$4:$B$703,A464,Benefits!$F$4:$F$703,B464,Benefits!$R$4:$R$703,"revenue"),0)</f>
        <v>0</v>
      </c>
      <c r="H464" s="11" t="n">
        <f aca="false">IF(D464=1,SUMIFS(Benefits!$S$4:$S$703,Benefits!$B$4:$B$703,A464,Benefits!$F$4:$F$703,B464,Benefits!$R$4:$R$703,"avoided_cost_realised"),0)</f>
        <v>0</v>
      </c>
      <c r="I464" s="11" t="n">
        <f aca="false">IF(D464=1,SUMIFS(Benefits!$S$4:$S$703,Benefits!$B$4:$B$703,A464,Benefits!$F$4:$F$703,B464,Benefits!$R$4:$R$703,"capacity_converted"),0)</f>
        <v>0</v>
      </c>
      <c r="J464" s="11" t="n">
        <f aca="false">SUM(F464:I464)</f>
        <v>0</v>
      </c>
      <c r="K464" s="11" t="n">
        <f aca="false">J464-E464</f>
        <v>0</v>
      </c>
      <c r="L464" s="11" t="n">
        <f aca="false">IF(D464=1,L463+K464,0)</f>
        <v>572254.33404886</v>
      </c>
      <c r="M464" s="11" t="n">
        <f aca="false">IF(D464=1,1/(1+Controls!$B$11)^B464,0)</f>
        <v>0.835625339401986</v>
      </c>
      <c r="N464" s="11" t="n">
        <f aca="false">K464*M464</f>
        <v>0</v>
      </c>
      <c r="O464" s="11" t="n">
        <f aca="false">IF(D464=1,O463+N464,0)</f>
        <v>463582.296123725</v>
      </c>
      <c r="P464" s="11" t="n">
        <f aca="false">IF(AND(D464=1,L464&lt;0),1,0)</f>
        <v>0</v>
      </c>
      <c r="Q464" s="11" t="n">
        <f aca="false">IF(AND(D464=1,O464&lt;0),1,0)</f>
        <v>0</v>
      </c>
    </row>
    <row r="465" customFormat="false" ht="15" hidden="false" customHeight="false" outlineLevel="0" collapsed="false">
      <c r="A465" s="4" t="s">
        <v>95</v>
      </c>
      <c r="B465" s="4" t="n">
        <v>29</v>
      </c>
      <c r="C465" s="11" t="n">
        <f aca="false">IF(COUNTIF('Scenario inputs'!$A$4:$A$213,Controls!$B$3&amp;"|"&amp;A465)&gt;0,1,0)</f>
        <v>1</v>
      </c>
      <c r="D465" s="11" t="n">
        <f aca="false">IF(AND(C465=1,B465&lt;Controls!$B$12),1,0)</f>
        <v>1</v>
      </c>
      <c r="E465" s="11" t="n">
        <f aca="false">IF(D465=1,SUMPRODUCT((Costs!$B$4:$B$903=A465)*(Costs!$D$4:$D$903="planned")*(Costs!$J$4:$J$903&lt;=B465)*(Costs!$K$4:$K$903&gt;B465)*Costs!$E$4:$E$903),0)</f>
        <v>0</v>
      </c>
      <c r="F465" s="11" t="n">
        <f aca="false">IF(D465=1,SUMIFS(Benefits!$S$4:$S$703,Benefits!$B$4:$B$703,A465,Benefits!$F$4:$F$703,B465,Benefits!$R$4:$R$703,"cash"),0)</f>
        <v>0</v>
      </c>
      <c r="G465" s="11" t="n">
        <f aca="false">IF(D465=1,SUMIFS(Benefits!$S$4:$S$703,Benefits!$B$4:$B$703,A465,Benefits!$F$4:$F$703,B465,Benefits!$R$4:$R$703,"revenue"),0)</f>
        <v>0</v>
      </c>
      <c r="H465" s="11" t="n">
        <f aca="false">IF(D465=1,SUMIFS(Benefits!$S$4:$S$703,Benefits!$B$4:$B$703,A465,Benefits!$F$4:$F$703,B465,Benefits!$R$4:$R$703,"avoided_cost_realised"),0)</f>
        <v>0</v>
      </c>
      <c r="I465" s="11" t="n">
        <f aca="false">IF(D465=1,SUMIFS(Benefits!$S$4:$S$703,Benefits!$B$4:$B$703,A465,Benefits!$F$4:$F$703,B465,Benefits!$R$4:$R$703,"capacity_converted"),0)</f>
        <v>0</v>
      </c>
      <c r="J465" s="11" t="n">
        <f aca="false">SUM(F465:I465)</f>
        <v>0</v>
      </c>
      <c r="K465" s="11" t="n">
        <f aca="false">J465-E465</f>
        <v>0</v>
      </c>
      <c r="L465" s="11" t="n">
        <f aca="false">IF(D465=1,L464+K465,0)</f>
        <v>572254.33404886</v>
      </c>
      <c r="M465" s="11" t="n">
        <f aca="false">IF(D465=1,1/(1+Controls!$B$11)^B465,0)</f>
        <v>0.830283296671204</v>
      </c>
      <c r="N465" s="11" t="n">
        <f aca="false">K465*M465</f>
        <v>0</v>
      </c>
      <c r="O465" s="11" t="n">
        <f aca="false">IF(D465=1,O464+N465,0)</f>
        <v>463582.296123725</v>
      </c>
      <c r="P465" s="11" t="n">
        <f aca="false">IF(AND(D465=1,L465&lt;0),1,0)</f>
        <v>0</v>
      </c>
      <c r="Q465" s="11" t="n">
        <f aca="false">IF(AND(D465=1,O465&lt;0),1,0)</f>
        <v>0</v>
      </c>
    </row>
    <row r="466" customFormat="false" ht="15" hidden="false" customHeight="false" outlineLevel="0" collapsed="false">
      <c r="A466" s="4" t="s">
        <v>95</v>
      </c>
      <c r="B466" s="4" t="n">
        <v>30</v>
      </c>
      <c r="C466" s="11" t="n">
        <f aca="false">IF(COUNTIF('Scenario inputs'!$A$4:$A$213,Controls!$B$3&amp;"|"&amp;A466)&gt;0,1,0)</f>
        <v>1</v>
      </c>
      <c r="D466" s="11" t="n">
        <f aca="false">IF(AND(C466=1,B466&lt;Controls!$B$12),1,0)</f>
        <v>1</v>
      </c>
      <c r="E466" s="11" t="n">
        <f aca="false">IF(D466=1,SUMPRODUCT((Costs!$B$4:$B$903=A466)*(Costs!$D$4:$D$903="planned")*(Costs!$J$4:$J$903&lt;=B466)*(Costs!$K$4:$K$903&gt;B466)*Costs!$E$4:$E$903),0)</f>
        <v>0</v>
      </c>
      <c r="F466" s="11" t="n">
        <f aca="false">IF(D466=1,SUMIFS(Benefits!$S$4:$S$703,Benefits!$B$4:$B$703,A466,Benefits!$F$4:$F$703,B466,Benefits!$R$4:$R$703,"cash"),0)</f>
        <v>0</v>
      </c>
      <c r="G466" s="11" t="n">
        <f aca="false">IF(D466=1,SUMIFS(Benefits!$S$4:$S$703,Benefits!$B$4:$B$703,A466,Benefits!$F$4:$F$703,B466,Benefits!$R$4:$R$703,"revenue"),0)</f>
        <v>0</v>
      </c>
      <c r="H466" s="11" t="n">
        <f aca="false">IF(D466=1,SUMIFS(Benefits!$S$4:$S$703,Benefits!$B$4:$B$703,A466,Benefits!$F$4:$F$703,B466,Benefits!$R$4:$R$703,"avoided_cost_realised"),0)</f>
        <v>0</v>
      </c>
      <c r="I466" s="11" t="n">
        <f aca="false">IF(D466=1,SUMIFS(Benefits!$S$4:$S$703,Benefits!$B$4:$B$703,A466,Benefits!$F$4:$F$703,B466,Benefits!$R$4:$R$703,"capacity_converted"),0)</f>
        <v>0</v>
      </c>
      <c r="J466" s="11" t="n">
        <f aca="false">SUM(F466:I466)</f>
        <v>0</v>
      </c>
      <c r="K466" s="11" t="n">
        <f aca="false">J466-E466</f>
        <v>0</v>
      </c>
      <c r="L466" s="11" t="n">
        <f aca="false">IF(D466=1,L465+K466,0)</f>
        <v>572254.33404886</v>
      </c>
      <c r="M466" s="11" t="n">
        <f aca="false">IF(D466=1,1/(1+Controls!$B$11)^B466,0)</f>
        <v>0.824975404915974</v>
      </c>
      <c r="N466" s="11" t="n">
        <f aca="false">K466*M466</f>
        <v>0</v>
      </c>
      <c r="O466" s="11" t="n">
        <f aca="false">IF(D466=1,O465+N466,0)</f>
        <v>463582.296123725</v>
      </c>
      <c r="P466" s="11" t="n">
        <f aca="false">IF(AND(D466=1,L466&lt;0),1,0)</f>
        <v>0</v>
      </c>
      <c r="Q466" s="11" t="n">
        <f aca="false">IF(AND(D466=1,O466&lt;0),1,0)</f>
        <v>0</v>
      </c>
    </row>
    <row r="467" customFormat="false" ht="15" hidden="false" customHeight="false" outlineLevel="0" collapsed="false">
      <c r="A467" s="4" t="s">
        <v>95</v>
      </c>
      <c r="B467" s="4" t="n">
        <v>31</v>
      </c>
      <c r="C467" s="11" t="n">
        <f aca="false">IF(COUNTIF('Scenario inputs'!$A$4:$A$213,Controls!$B$3&amp;"|"&amp;A467)&gt;0,1,0)</f>
        <v>1</v>
      </c>
      <c r="D467" s="11" t="n">
        <f aca="false">IF(AND(C467=1,B467&lt;Controls!$B$12),1,0)</f>
        <v>1</v>
      </c>
      <c r="E467" s="11" t="n">
        <f aca="false">IF(D467=1,SUMPRODUCT((Costs!$B$4:$B$903=A467)*(Costs!$D$4:$D$903="planned")*(Costs!$J$4:$J$903&lt;=B467)*(Costs!$K$4:$K$903&gt;B467)*Costs!$E$4:$E$903),0)</f>
        <v>0</v>
      </c>
      <c r="F467" s="11" t="n">
        <f aca="false">IF(D467=1,SUMIFS(Benefits!$S$4:$S$703,Benefits!$B$4:$B$703,A467,Benefits!$F$4:$F$703,B467,Benefits!$R$4:$R$703,"cash"),0)</f>
        <v>0</v>
      </c>
      <c r="G467" s="11" t="n">
        <f aca="false">IF(D467=1,SUMIFS(Benefits!$S$4:$S$703,Benefits!$B$4:$B$703,A467,Benefits!$F$4:$F$703,B467,Benefits!$R$4:$R$703,"revenue"),0)</f>
        <v>0</v>
      </c>
      <c r="H467" s="11" t="n">
        <f aca="false">IF(D467=1,SUMIFS(Benefits!$S$4:$S$703,Benefits!$B$4:$B$703,A467,Benefits!$F$4:$F$703,B467,Benefits!$R$4:$R$703,"avoided_cost_realised"),0)</f>
        <v>0</v>
      </c>
      <c r="I467" s="11" t="n">
        <f aca="false">IF(D467=1,SUMIFS(Benefits!$S$4:$S$703,Benefits!$B$4:$B$703,A467,Benefits!$F$4:$F$703,B467,Benefits!$R$4:$R$703,"capacity_converted"),0)</f>
        <v>0</v>
      </c>
      <c r="J467" s="11" t="n">
        <f aca="false">SUM(F467:I467)</f>
        <v>0</v>
      </c>
      <c r="K467" s="11" t="n">
        <f aca="false">J467-E467</f>
        <v>0</v>
      </c>
      <c r="L467" s="11" t="n">
        <f aca="false">IF(D467=1,L466+K467,0)</f>
        <v>572254.33404886</v>
      </c>
      <c r="M467" s="11" t="n">
        <f aca="false">IF(D467=1,1/(1+Controls!$B$11)^B467,0)</f>
        <v>0.81970144581361</v>
      </c>
      <c r="N467" s="11" t="n">
        <f aca="false">K467*M467</f>
        <v>0</v>
      </c>
      <c r="O467" s="11" t="n">
        <f aca="false">IF(D467=1,O466+N467,0)</f>
        <v>463582.296123725</v>
      </c>
      <c r="P467" s="11" t="n">
        <f aca="false">IF(AND(D467=1,L467&lt;0),1,0)</f>
        <v>0</v>
      </c>
      <c r="Q467" s="11" t="n">
        <f aca="false">IF(AND(D467=1,O467&lt;0),1,0)</f>
        <v>0</v>
      </c>
    </row>
    <row r="468" customFormat="false" ht="15" hidden="false" customHeight="false" outlineLevel="0" collapsed="false">
      <c r="A468" s="4" t="s">
        <v>95</v>
      </c>
      <c r="B468" s="4" t="n">
        <v>32</v>
      </c>
      <c r="C468" s="11" t="n">
        <f aca="false">IF(COUNTIF('Scenario inputs'!$A$4:$A$213,Controls!$B$3&amp;"|"&amp;A468)&gt;0,1,0)</f>
        <v>1</v>
      </c>
      <c r="D468" s="11" t="n">
        <f aca="false">IF(AND(C468=1,B468&lt;Controls!$B$12),1,0)</f>
        <v>1</v>
      </c>
      <c r="E468" s="11" t="n">
        <f aca="false">IF(D468=1,SUMPRODUCT((Costs!$B$4:$B$903=A468)*(Costs!$D$4:$D$903="planned")*(Costs!$J$4:$J$903&lt;=B468)*(Costs!$K$4:$K$903&gt;B468)*Costs!$E$4:$E$903),0)</f>
        <v>0</v>
      </c>
      <c r="F468" s="11" t="n">
        <f aca="false">IF(D468=1,SUMIFS(Benefits!$S$4:$S$703,Benefits!$B$4:$B$703,A468,Benefits!$F$4:$F$703,B468,Benefits!$R$4:$R$703,"cash"),0)</f>
        <v>0</v>
      </c>
      <c r="G468" s="11" t="n">
        <f aca="false">IF(D468=1,SUMIFS(Benefits!$S$4:$S$703,Benefits!$B$4:$B$703,A468,Benefits!$F$4:$F$703,B468,Benefits!$R$4:$R$703,"revenue"),0)</f>
        <v>0</v>
      </c>
      <c r="H468" s="11" t="n">
        <f aca="false">IF(D468=1,SUMIFS(Benefits!$S$4:$S$703,Benefits!$B$4:$B$703,A468,Benefits!$F$4:$F$703,B468,Benefits!$R$4:$R$703,"avoided_cost_realised"),0)</f>
        <v>0</v>
      </c>
      <c r="I468" s="11" t="n">
        <f aca="false">IF(D468=1,SUMIFS(Benefits!$S$4:$S$703,Benefits!$B$4:$B$703,A468,Benefits!$F$4:$F$703,B468,Benefits!$R$4:$R$703,"capacity_converted"),0)</f>
        <v>0</v>
      </c>
      <c r="J468" s="11" t="n">
        <f aca="false">SUM(F468:I468)</f>
        <v>0</v>
      </c>
      <c r="K468" s="11" t="n">
        <f aca="false">J468-E468</f>
        <v>0</v>
      </c>
      <c r="L468" s="11" t="n">
        <f aca="false">IF(D468=1,L467+K468,0)</f>
        <v>572254.33404886</v>
      </c>
      <c r="M468" s="11" t="n">
        <f aca="false">IF(D468=1,1/(1+Controls!$B$11)^B468,0)</f>
        <v>0.814461202437129</v>
      </c>
      <c r="N468" s="11" t="n">
        <f aca="false">K468*M468</f>
        <v>0</v>
      </c>
      <c r="O468" s="11" t="n">
        <f aca="false">IF(D468=1,O467+N468,0)</f>
        <v>463582.296123725</v>
      </c>
      <c r="P468" s="11" t="n">
        <f aca="false">IF(AND(D468=1,L468&lt;0),1,0)</f>
        <v>0</v>
      </c>
      <c r="Q468" s="11" t="n">
        <f aca="false">IF(AND(D468=1,O468&lt;0),1,0)</f>
        <v>0</v>
      </c>
    </row>
    <row r="469" customFormat="false" ht="15" hidden="false" customHeight="false" outlineLevel="0" collapsed="false">
      <c r="A469" s="4" t="s">
        <v>95</v>
      </c>
      <c r="B469" s="4" t="n">
        <v>33</v>
      </c>
      <c r="C469" s="11" t="n">
        <f aca="false">IF(COUNTIF('Scenario inputs'!$A$4:$A$213,Controls!$B$3&amp;"|"&amp;A469)&gt;0,1,0)</f>
        <v>1</v>
      </c>
      <c r="D469" s="11" t="n">
        <f aca="false">IF(AND(C469=1,B469&lt;Controls!$B$12),1,0)</f>
        <v>1</v>
      </c>
      <c r="E469" s="11" t="n">
        <f aca="false">IF(D469=1,SUMPRODUCT((Costs!$B$4:$B$903=A469)*(Costs!$D$4:$D$903="planned")*(Costs!$J$4:$J$903&lt;=B469)*(Costs!$K$4:$K$903&gt;B469)*Costs!$E$4:$E$903),0)</f>
        <v>0</v>
      </c>
      <c r="F469" s="11" t="n">
        <f aca="false">IF(D469=1,SUMIFS(Benefits!$S$4:$S$703,Benefits!$B$4:$B$703,A469,Benefits!$F$4:$F$703,B469,Benefits!$R$4:$R$703,"cash"),0)</f>
        <v>0</v>
      </c>
      <c r="G469" s="11" t="n">
        <f aca="false">IF(D469=1,SUMIFS(Benefits!$S$4:$S$703,Benefits!$B$4:$B$703,A469,Benefits!$F$4:$F$703,B469,Benefits!$R$4:$R$703,"revenue"),0)</f>
        <v>0</v>
      </c>
      <c r="H469" s="11" t="n">
        <f aca="false">IF(D469=1,SUMIFS(Benefits!$S$4:$S$703,Benefits!$B$4:$B$703,A469,Benefits!$F$4:$F$703,B469,Benefits!$R$4:$R$703,"avoided_cost_realised"),0)</f>
        <v>0</v>
      </c>
      <c r="I469" s="11" t="n">
        <f aca="false">IF(D469=1,SUMIFS(Benefits!$S$4:$S$703,Benefits!$B$4:$B$703,A469,Benefits!$F$4:$F$703,B469,Benefits!$R$4:$R$703,"capacity_converted"),0)</f>
        <v>0</v>
      </c>
      <c r="J469" s="11" t="n">
        <f aca="false">SUM(F469:I469)</f>
        <v>0</v>
      </c>
      <c r="K469" s="11" t="n">
        <f aca="false">J469-E469</f>
        <v>0</v>
      </c>
      <c r="L469" s="11" t="n">
        <f aca="false">IF(D469=1,L468+K469,0)</f>
        <v>572254.33404886</v>
      </c>
      <c r="M469" s="11" t="n">
        <f aca="false">IF(D469=1,1/(1+Controls!$B$11)^B469,0)</f>
        <v>0.809254459246338</v>
      </c>
      <c r="N469" s="11" t="n">
        <f aca="false">K469*M469</f>
        <v>0</v>
      </c>
      <c r="O469" s="11" t="n">
        <f aca="false">IF(D469=1,O468+N469,0)</f>
        <v>463582.296123725</v>
      </c>
      <c r="P469" s="11" t="n">
        <f aca="false">IF(AND(D469=1,L469&lt;0),1,0)</f>
        <v>0</v>
      </c>
      <c r="Q469" s="11" t="n">
        <f aca="false">IF(AND(D469=1,O469&lt;0),1,0)</f>
        <v>0</v>
      </c>
    </row>
    <row r="470" customFormat="false" ht="15" hidden="false" customHeight="false" outlineLevel="0" collapsed="false">
      <c r="A470" s="4" t="s">
        <v>95</v>
      </c>
      <c r="B470" s="4" t="n">
        <v>34</v>
      </c>
      <c r="C470" s="11" t="n">
        <f aca="false">IF(COUNTIF('Scenario inputs'!$A$4:$A$213,Controls!$B$3&amp;"|"&amp;A470)&gt;0,1,0)</f>
        <v>1</v>
      </c>
      <c r="D470" s="11" t="n">
        <f aca="false">IF(AND(C470=1,B470&lt;Controls!$B$12),1,0)</f>
        <v>1</v>
      </c>
      <c r="E470" s="11" t="n">
        <f aca="false">IF(D470=1,SUMPRODUCT((Costs!$B$4:$B$903=A470)*(Costs!$D$4:$D$903="planned")*(Costs!$J$4:$J$903&lt;=B470)*(Costs!$K$4:$K$903&gt;B470)*Costs!$E$4:$E$903),0)</f>
        <v>0</v>
      </c>
      <c r="F470" s="11" t="n">
        <f aca="false">IF(D470=1,SUMIFS(Benefits!$S$4:$S$703,Benefits!$B$4:$B$703,A470,Benefits!$F$4:$F$703,B470,Benefits!$R$4:$R$703,"cash"),0)</f>
        <v>0</v>
      </c>
      <c r="G470" s="11" t="n">
        <f aca="false">IF(D470=1,SUMIFS(Benefits!$S$4:$S$703,Benefits!$B$4:$B$703,A470,Benefits!$F$4:$F$703,B470,Benefits!$R$4:$R$703,"revenue"),0)</f>
        <v>0</v>
      </c>
      <c r="H470" s="11" t="n">
        <f aca="false">IF(D470=1,SUMIFS(Benefits!$S$4:$S$703,Benefits!$B$4:$B$703,A470,Benefits!$F$4:$F$703,B470,Benefits!$R$4:$R$703,"avoided_cost_realised"),0)</f>
        <v>0</v>
      </c>
      <c r="I470" s="11" t="n">
        <f aca="false">IF(D470=1,SUMIFS(Benefits!$S$4:$S$703,Benefits!$B$4:$B$703,A470,Benefits!$F$4:$F$703,B470,Benefits!$R$4:$R$703,"capacity_converted"),0)</f>
        <v>0</v>
      </c>
      <c r="J470" s="11" t="n">
        <f aca="false">SUM(F470:I470)</f>
        <v>0</v>
      </c>
      <c r="K470" s="11" t="n">
        <f aca="false">J470-E470</f>
        <v>0</v>
      </c>
      <c r="L470" s="11" t="n">
        <f aca="false">IF(D470=1,L469+K470,0)</f>
        <v>572254.33404886</v>
      </c>
      <c r="M470" s="11" t="n">
        <f aca="false">IF(D470=1,1/(1+Controls!$B$11)^B470,0)</f>
        <v>0.804081002078962</v>
      </c>
      <c r="N470" s="11" t="n">
        <f aca="false">K470*M470</f>
        <v>0</v>
      </c>
      <c r="O470" s="11" t="n">
        <f aca="false">IF(D470=1,O469+N470,0)</f>
        <v>463582.296123725</v>
      </c>
      <c r="P470" s="11" t="n">
        <f aca="false">IF(AND(D470=1,L470&lt;0),1,0)</f>
        <v>0</v>
      </c>
      <c r="Q470" s="11" t="n">
        <f aca="false">IF(AND(D470=1,O470&lt;0),1,0)</f>
        <v>0</v>
      </c>
    </row>
    <row r="471" customFormat="false" ht="15" hidden="false" customHeight="false" outlineLevel="0" collapsed="false">
      <c r="A471" s="4" t="s">
        <v>95</v>
      </c>
      <c r="B471" s="4" t="n">
        <v>35</v>
      </c>
      <c r="C471" s="11" t="n">
        <f aca="false">IF(COUNTIF('Scenario inputs'!$A$4:$A$213,Controls!$B$3&amp;"|"&amp;A471)&gt;0,1,0)</f>
        <v>1</v>
      </c>
      <c r="D471" s="11" t="n">
        <f aca="false">IF(AND(C471=1,B471&lt;Controls!$B$12),1,0)</f>
        <v>1</v>
      </c>
      <c r="E471" s="11" t="n">
        <f aca="false">IF(D471=1,SUMPRODUCT((Costs!$B$4:$B$903=A471)*(Costs!$D$4:$D$903="planned")*(Costs!$J$4:$J$903&lt;=B471)*(Costs!$K$4:$K$903&gt;B471)*Costs!$E$4:$E$903),0)</f>
        <v>0</v>
      </c>
      <c r="F471" s="11" t="n">
        <f aca="false">IF(D471=1,SUMIFS(Benefits!$S$4:$S$703,Benefits!$B$4:$B$703,A471,Benefits!$F$4:$F$703,B471,Benefits!$R$4:$R$703,"cash"),0)</f>
        <v>0</v>
      </c>
      <c r="G471" s="11" t="n">
        <f aca="false">IF(D471=1,SUMIFS(Benefits!$S$4:$S$703,Benefits!$B$4:$B$703,A471,Benefits!$F$4:$F$703,B471,Benefits!$R$4:$R$703,"revenue"),0)</f>
        <v>0</v>
      </c>
      <c r="H471" s="11" t="n">
        <f aca="false">IF(D471=1,SUMIFS(Benefits!$S$4:$S$703,Benefits!$B$4:$B$703,A471,Benefits!$F$4:$F$703,B471,Benefits!$R$4:$R$703,"avoided_cost_realised"),0)</f>
        <v>0</v>
      </c>
      <c r="I471" s="11" t="n">
        <f aca="false">IF(D471=1,SUMIFS(Benefits!$S$4:$S$703,Benefits!$B$4:$B$703,A471,Benefits!$F$4:$F$703,B471,Benefits!$R$4:$R$703,"capacity_converted"),0)</f>
        <v>0</v>
      </c>
      <c r="J471" s="11" t="n">
        <f aca="false">SUM(F471:I471)</f>
        <v>0</v>
      </c>
      <c r="K471" s="11" t="n">
        <f aca="false">J471-E471</f>
        <v>0</v>
      </c>
      <c r="L471" s="11" t="n">
        <f aca="false">IF(D471=1,L470+K471,0)</f>
        <v>572254.33404886</v>
      </c>
      <c r="M471" s="11" t="n">
        <f aca="false">IF(D471=1,1/(1+Controls!$B$11)^B471,0)</f>
        <v>0.798940618141837</v>
      </c>
      <c r="N471" s="11" t="n">
        <f aca="false">K471*M471</f>
        <v>0</v>
      </c>
      <c r="O471" s="11" t="n">
        <f aca="false">IF(D471=1,O470+N471,0)</f>
        <v>463582.296123725</v>
      </c>
      <c r="P471" s="11" t="n">
        <f aca="false">IF(AND(D471=1,L471&lt;0),1,0)</f>
        <v>0</v>
      </c>
      <c r="Q471" s="11" t="n">
        <f aca="false">IF(AND(D471=1,O471&lt;0),1,0)</f>
        <v>0</v>
      </c>
    </row>
    <row r="472" customFormat="false" ht="15" hidden="false" customHeight="false" outlineLevel="0" collapsed="false">
      <c r="A472" s="4" t="s">
        <v>96</v>
      </c>
      <c r="B472" s="4" t="n">
        <v>0</v>
      </c>
      <c r="C472" s="11" t="n">
        <f aca="false">IF(COUNTIF('Scenario inputs'!$A$4:$A$213,Controls!$B$3&amp;"|"&amp;A472)&gt;0,1,0)</f>
        <v>1</v>
      </c>
      <c r="D472" s="11" t="n">
        <f aca="false">IF(AND(C472=1,B472&lt;Controls!$B$12),1,0)</f>
        <v>1</v>
      </c>
      <c r="E472" s="11" t="n">
        <f aca="false">IF(D472=1,SUMPRODUCT((Costs!$B$4:$B$903=A472)*(Costs!$D$4:$D$903="planned")*(Costs!$J$4:$J$903&lt;=B472)*(Costs!$K$4:$K$903&gt;B472)*Costs!$E$4:$E$903),0)</f>
        <v>19000</v>
      </c>
      <c r="F472" s="11" t="n">
        <f aca="false">IF(D472=1,SUMIFS(Benefits!$S$4:$S$703,Benefits!$B$4:$B$703,A472,Benefits!$F$4:$F$703,B472,Benefits!$R$4:$R$703,"cash"),0)</f>
        <v>0</v>
      </c>
      <c r="G472" s="11" t="n">
        <f aca="false">IF(D472=1,SUMIFS(Benefits!$S$4:$S$703,Benefits!$B$4:$B$703,A472,Benefits!$F$4:$F$703,B472,Benefits!$R$4:$R$703,"revenue"),0)</f>
        <v>0</v>
      </c>
      <c r="H472" s="11" t="n">
        <f aca="false">IF(D472=1,SUMIFS(Benefits!$S$4:$S$703,Benefits!$B$4:$B$703,A472,Benefits!$F$4:$F$703,B472,Benefits!$R$4:$R$703,"avoided_cost_realised"),0)</f>
        <v>0</v>
      </c>
      <c r="I472" s="11" t="n">
        <f aca="false">IF(D472=1,SUMIFS(Benefits!$S$4:$S$703,Benefits!$B$4:$B$703,A472,Benefits!$F$4:$F$703,B472,Benefits!$R$4:$R$703,"capacity_converted"),0)</f>
        <v>0</v>
      </c>
      <c r="J472" s="11" t="n">
        <f aca="false">SUM(F472:I472)</f>
        <v>0</v>
      </c>
      <c r="K472" s="11" t="n">
        <f aca="false">J472-E472</f>
        <v>-19000</v>
      </c>
      <c r="L472" s="11" t="n">
        <f aca="false">IF(D472=1,K472,0)</f>
        <v>-19000</v>
      </c>
      <c r="M472" s="11" t="n">
        <f aca="false">IF(D472=1,1/(1+Controls!$B$11)^B472,0)</f>
        <v>1</v>
      </c>
      <c r="N472" s="11" t="n">
        <f aca="false">K472*M472</f>
        <v>-19000</v>
      </c>
      <c r="O472" s="11" t="n">
        <f aca="false">IF(D472=1,N472,0)</f>
        <v>-19000</v>
      </c>
      <c r="P472" s="11" t="n">
        <f aca="false">IF(AND(D472=1,L472&lt;0),1,0)</f>
        <v>1</v>
      </c>
      <c r="Q472" s="11" t="n">
        <f aca="false">IF(AND(D472=1,O472&lt;0),1,0)</f>
        <v>1</v>
      </c>
    </row>
    <row r="473" customFormat="false" ht="15" hidden="false" customHeight="false" outlineLevel="0" collapsed="false">
      <c r="A473" s="4" t="s">
        <v>96</v>
      </c>
      <c r="B473" s="4" t="n">
        <v>1</v>
      </c>
      <c r="C473" s="11" t="n">
        <f aca="false">IF(COUNTIF('Scenario inputs'!$A$4:$A$213,Controls!$B$3&amp;"|"&amp;A473)&gt;0,1,0)</f>
        <v>1</v>
      </c>
      <c r="D473" s="11" t="n">
        <f aca="false">IF(AND(C473=1,B473&lt;Controls!$B$12),1,0)</f>
        <v>1</v>
      </c>
      <c r="E473" s="11" t="n">
        <f aca="false">IF(D473=1,SUMPRODUCT((Costs!$B$4:$B$903=A473)*(Costs!$D$4:$D$903="planned")*(Costs!$J$4:$J$903&lt;=B473)*(Costs!$K$4:$K$903&gt;B473)*Costs!$E$4:$E$903),0)</f>
        <v>0</v>
      </c>
      <c r="F473" s="11" t="n">
        <f aca="false">IF(D473=1,SUMIFS(Benefits!$S$4:$S$703,Benefits!$B$4:$B$703,A473,Benefits!$F$4:$F$703,B473,Benefits!$R$4:$R$703,"cash"),0)</f>
        <v>0</v>
      </c>
      <c r="G473" s="11" t="n">
        <f aca="false">IF(D473=1,SUMIFS(Benefits!$S$4:$S$703,Benefits!$B$4:$B$703,A473,Benefits!$F$4:$F$703,B473,Benefits!$R$4:$R$703,"revenue"),0)</f>
        <v>0</v>
      </c>
      <c r="H473" s="11" t="n">
        <f aca="false">IF(D473=1,SUMIFS(Benefits!$S$4:$S$703,Benefits!$B$4:$B$703,A473,Benefits!$F$4:$F$703,B473,Benefits!$R$4:$R$703,"avoided_cost_realised"),0)</f>
        <v>0</v>
      </c>
      <c r="I473" s="11" t="n">
        <f aca="false">IF(D473=1,SUMIFS(Benefits!$S$4:$S$703,Benefits!$B$4:$B$703,A473,Benefits!$F$4:$F$703,B473,Benefits!$R$4:$R$703,"capacity_converted"),0)</f>
        <v>0</v>
      </c>
      <c r="J473" s="11" t="n">
        <f aca="false">SUM(F473:I473)</f>
        <v>0</v>
      </c>
      <c r="K473" s="11" t="n">
        <f aca="false">J473-E473</f>
        <v>0</v>
      </c>
      <c r="L473" s="11" t="n">
        <f aca="false">IF(D473=1,L472+K473,0)</f>
        <v>-19000</v>
      </c>
      <c r="M473" s="11" t="n">
        <f aca="false">IF(D473=1,1/(1+Controls!$B$11)^B473,0)</f>
        <v>0.993607131714549</v>
      </c>
      <c r="N473" s="11" t="n">
        <f aca="false">K473*M473</f>
        <v>0</v>
      </c>
      <c r="O473" s="11" t="n">
        <f aca="false">IF(D473=1,O472+N473,0)</f>
        <v>-19000</v>
      </c>
      <c r="P473" s="11" t="n">
        <f aca="false">IF(AND(D473=1,L473&lt;0),1,0)</f>
        <v>1</v>
      </c>
      <c r="Q473" s="11" t="n">
        <f aca="false">IF(AND(D473=1,O473&lt;0),1,0)</f>
        <v>1</v>
      </c>
    </row>
    <row r="474" customFormat="false" ht="15" hidden="false" customHeight="false" outlineLevel="0" collapsed="false">
      <c r="A474" s="4" t="s">
        <v>96</v>
      </c>
      <c r="B474" s="4" t="n">
        <v>2</v>
      </c>
      <c r="C474" s="11" t="n">
        <f aca="false">IF(COUNTIF('Scenario inputs'!$A$4:$A$213,Controls!$B$3&amp;"|"&amp;A474)&gt;0,1,0)</f>
        <v>1</v>
      </c>
      <c r="D474" s="11" t="n">
        <f aca="false">IF(AND(C474=1,B474&lt;Controls!$B$12),1,0)</f>
        <v>1</v>
      </c>
      <c r="E474" s="11" t="n">
        <f aca="false">IF(D474=1,SUMPRODUCT((Costs!$B$4:$B$903=A474)*(Costs!$D$4:$D$903="planned")*(Costs!$J$4:$J$903&lt;=B474)*(Costs!$K$4:$K$903&gt;B474)*Costs!$E$4:$E$903),0)</f>
        <v>0</v>
      </c>
      <c r="F474" s="11" t="n">
        <f aca="false">IF(D474=1,SUMIFS(Benefits!$S$4:$S$703,Benefits!$B$4:$B$703,A474,Benefits!$F$4:$F$703,B474,Benefits!$R$4:$R$703,"cash"),0)</f>
        <v>0</v>
      </c>
      <c r="G474" s="11" t="n">
        <f aca="false">IF(D474=1,SUMIFS(Benefits!$S$4:$S$703,Benefits!$B$4:$B$703,A474,Benefits!$F$4:$F$703,B474,Benefits!$R$4:$R$703,"revenue"),0)</f>
        <v>0</v>
      </c>
      <c r="H474" s="11" t="n">
        <f aca="false">IF(D474=1,SUMIFS(Benefits!$S$4:$S$703,Benefits!$B$4:$B$703,A474,Benefits!$F$4:$F$703,B474,Benefits!$R$4:$R$703,"avoided_cost_realised"),0)</f>
        <v>0</v>
      </c>
      <c r="I474" s="11" t="n">
        <f aca="false">IF(D474=1,SUMIFS(Benefits!$S$4:$S$703,Benefits!$B$4:$B$703,A474,Benefits!$F$4:$F$703,B474,Benefits!$R$4:$R$703,"capacity_converted"),0)</f>
        <v>0</v>
      </c>
      <c r="J474" s="11" t="n">
        <f aca="false">SUM(F474:I474)</f>
        <v>0</v>
      </c>
      <c r="K474" s="11" t="n">
        <f aca="false">J474-E474</f>
        <v>0</v>
      </c>
      <c r="L474" s="11" t="n">
        <f aca="false">IF(D474=1,L473+K474,0)</f>
        <v>-19000</v>
      </c>
      <c r="M474" s="11" t="n">
        <f aca="false">IF(D474=1,1/(1+Controls!$B$11)^B474,0)</f>
        <v>0.987255132194012</v>
      </c>
      <c r="N474" s="11" t="n">
        <f aca="false">K474*M474</f>
        <v>0</v>
      </c>
      <c r="O474" s="11" t="n">
        <f aca="false">IF(D474=1,O473+N474,0)</f>
        <v>-19000</v>
      </c>
      <c r="P474" s="11" t="n">
        <f aca="false">IF(AND(D474=1,L474&lt;0),1,0)</f>
        <v>1</v>
      </c>
      <c r="Q474" s="11" t="n">
        <f aca="false">IF(AND(D474=1,O474&lt;0),1,0)</f>
        <v>1</v>
      </c>
    </row>
    <row r="475" customFormat="false" ht="15" hidden="false" customHeight="false" outlineLevel="0" collapsed="false">
      <c r="A475" s="4" t="s">
        <v>96</v>
      </c>
      <c r="B475" s="4" t="n">
        <v>3</v>
      </c>
      <c r="C475" s="11" t="n">
        <f aca="false">IF(COUNTIF('Scenario inputs'!$A$4:$A$213,Controls!$B$3&amp;"|"&amp;A475)&gt;0,1,0)</f>
        <v>1</v>
      </c>
      <c r="D475" s="11" t="n">
        <f aca="false">IF(AND(C475=1,B475&lt;Controls!$B$12),1,0)</f>
        <v>1</v>
      </c>
      <c r="E475" s="11" t="n">
        <f aca="false">IF(D475=1,SUMPRODUCT((Costs!$B$4:$B$903=A475)*(Costs!$D$4:$D$903="planned")*(Costs!$J$4:$J$903&lt;=B475)*(Costs!$K$4:$K$903&gt;B475)*Costs!$E$4:$E$903),0)</f>
        <v>487350</v>
      </c>
      <c r="F475" s="11" t="n">
        <f aca="false">IF(D475=1,SUMIFS(Benefits!$S$4:$S$703,Benefits!$B$4:$B$703,A475,Benefits!$F$4:$F$703,B475,Benefits!$R$4:$R$703,"cash"),0)</f>
        <v>0</v>
      </c>
      <c r="G475" s="11" t="n">
        <f aca="false">IF(D475=1,SUMIFS(Benefits!$S$4:$S$703,Benefits!$B$4:$B$703,A475,Benefits!$F$4:$F$703,B475,Benefits!$R$4:$R$703,"revenue"),0)</f>
        <v>0</v>
      </c>
      <c r="H475" s="11" t="n">
        <f aca="false">IF(D475=1,SUMIFS(Benefits!$S$4:$S$703,Benefits!$B$4:$B$703,A475,Benefits!$F$4:$F$703,B475,Benefits!$R$4:$R$703,"avoided_cost_realised"),0)</f>
        <v>0</v>
      </c>
      <c r="I475" s="11" t="n">
        <f aca="false">IF(D475=1,SUMIFS(Benefits!$S$4:$S$703,Benefits!$B$4:$B$703,A475,Benefits!$F$4:$F$703,B475,Benefits!$R$4:$R$703,"capacity_converted"),0)</f>
        <v>0</v>
      </c>
      <c r="J475" s="11" t="n">
        <f aca="false">SUM(F475:I475)</f>
        <v>0</v>
      </c>
      <c r="K475" s="11" t="n">
        <f aca="false">J475-E475</f>
        <v>-487350</v>
      </c>
      <c r="L475" s="11" t="n">
        <f aca="false">IF(D475=1,L474+K475,0)</f>
        <v>-506350</v>
      </c>
      <c r="M475" s="11" t="n">
        <f aca="false">IF(D475=1,1/(1+Controls!$B$11)^B475,0)</f>
        <v>0.98094374016976</v>
      </c>
      <c r="N475" s="11" t="n">
        <f aca="false">K475*M475</f>
        <v>-478062.931771733</v>
      </c>
      <c r="O475" s="11" t="n">
        <f aca="false">IF(D475=1,O474+N475,0)</f>
        <v>-497062.931771733</v>
      </c>
      <c r="P475" s="11" t="n">
        <f aca="false">IF(AND(D475=1,L475&lt;0),1,0)</f>
        <v>1</v>
      </c>
      <c r="Q475" s="11" t="n">
        <f aca="false">IF(AND(D475=1,O475&lt;0),1,0)</f>
        <v>1</v>
      </c>
    </row>
    <row r="476" customFormat="false" ht="15" hidden="false" customHeight="false" outlineLevel="0" collapsed="false">
      <c r="A476" s="4" t="s">
        <v>96</v>
      </c>
      <c r="B476" s="4" t="n">
        <v>4</v>
      </c>
      <c r="C476" s="11" t="n">
        <f aca="false">IF(COUNTIF('Scenario inputs'!$A$4:$A$213,Controls!$B$3&amp;"|"&amp;A476)&gt;0,1,0)</f>
        <v>1</v>
      </c>
      <c r="D476" s="11" t="n">
        <f aca="false">IF(AND(C476=1,B476&lt;Controls!$B$12),1,0)</f>
        <v>1</v>
      </c>
      <c r="E476" s="11" t="n">
        <f aca="false">IF(D476=1,SUMPRODUCT((Costs!$B$4:$B$903=A476)*(Costs!$D$4:$D$903="planned")*(Costs!$J$4:$J$903&lt;=B476)*(Costs!$K$4:$K$903&gt;B476)*Costs!$E$4:$E$903),0)</f>
        <v>360500</v>
      </c>
      <c r="F476" s="11" t="n">
        <f aca="false">IF(D476=1,SUMIFS(Benefits!$S$4:$S$703,Benefits!$B$4:$B$703,A476,Benefits!$F$4:$F$703,B476,Benefits!$R$4:$R$703,"cash"),0)</f>
        <v>0</v>
      </c>
      <c r="G476" s="11" t="n">
        <f aca="false">IF(D476=1,SUMIFS(Benefits!$S$4:$S$703,Benefits!$B$4:$B$703,A476,Benefits!$F$4:$F$703,B476,Benefits!$R$4:$R$703,"revenue"),0)</f>
        <v>0</v>
      </c>
      <c r="H476" s="11" t="n">
        <f aca="false">IF(D476=1,SUMIFS(Benefits!$S$4:$S$703,Benefits!$B$4:$B$703,A476,Benefits!$F$4:$F$703,B476,Benefits!$R$4:$R$703,"avoided_cost_realised"),0)</f>
        <v>0</v>
      </c>
      <c r="I476" s="11" t="n">
        <f aca="false">IF(D476=1,SUMIFS(Benefits!$S$4:$S$703,Benefits!$B$4:$B$703,A476,Benefits!$F$4:$F$703,B476,Benefits!$R$4:$R$703,"capacity_converted"),0)</f>
        <v>0</v>
      </c>
      <c r="J476" s="11" t="n">
        <f aca="false">SUM(F476:I476)</f>
        <v>0</v>
      </c>
      <c r="K476" s="11" t="n">
        <f aca="false">J476-E476</f>
        <v>-360500</v>
      </c>
      <c r="L476" s="11" t="n">
        <f aca="false">IF(D476=1,L475+K476,0)</f>
        <v>-866850</v>
      </c>
      <c r="M476" s="11" t="n">
        <f aca="false">IF(D476=1,1/(1+Controls!$B$11)^B476,0)</f>
        <v>0.974672696043417</v>
      </c>
      <c r="N476" s="11" t="n">
        <f aca="false">K476*M476</f>
        <v>-351369.506923652</v>
      </c>
      <c r="O476" s="11" t="n">
        <f aca="false">IF(D476=1,O475+N476,0)</f>
        <v>-848432.438695384</v>
      </c>
      <c r="P476" s="11" t="n">
        <f aca="false">IF(AND(D476=1,L476&lt;0),1,0)</f>
        <v>1</v>
      </c>
      <c r="Q476" s="11" t="n">
        <f aca="false">IF(AND(D476=1,O476&lt;0),1,0)</f>
        <v>1</v>
      </c>
    </row>
    <row r="477" customFormat="false" ht="15" hidden="false" customHeight="false" outlineLevel="0" collapsed="false">
      <c r="A477" s="4" t="s">
        <v>96</v>
      </c>
      <c r="B477" s="4" t="n">
        <v>5</v>
      </c>
      <c r="C477" s="11" t="n">
        <f aca="false">IF(COUNTIF('Scenario inputs'!$A$4:$A$213,Controls!$B$3&amp;"|"&amp;A477)&gt;0,1,0)</f>
        <v>1</v>
      </c>
      <c r="D477" s="11" t="n">
        <f aca="false">IF(AND(C477=1,B477&lt;Controls!$B$12),1,0)</f>
        <v>1</v>
      </c>
      <c r="E477" s="11" t="n">
        <f aca="false">IF(D477=1,SUMPRODUCT((Costs!$B$4:$B$903=A477)*(Costs!$D$4:$D$903="planned")*(Costs!$J$4:$J$903&lt;=B477)*(Costs!$K$4:$K$903&gt;B477)*Costs!$E$4:$E$903),0)</f>
        <v>149650</v>
      </c>
      <c r="F477" s="11" t="n">
        <f aca="false">IF(D477=1,SUMIFS(Benefits!$S$4:$S$703,Benefits!$B$4:$B$703,A477,Benefits!$F$4:$F$703,B477,Benefits!$R$4:$R$703,"cash"),0)</f>
        <v>6207.0932</v>
      </c>
      <c r="G477" s="11" t="n">
        <f aca="false">IF(D477=1,SUMIFS(Benefits!$S$4:$S$703,Benefits!$B$4:$B$703,A477,Benefits!$F$4:$F$703,B477,Benefits!$R$4:$R$703,"revenue"),0)</f>
        <v>0</v>
      </c>
      <c r="H477" s="11" t="n">
        <f aca="false">IF(D477=1,SUMIFS(Benefits!$S$4:$S$703,Benefits!$B$4:$B$703,A477,Benefits!$F$4:$F$703,B477,Benefits!$R$4:$R$703,"avoided_cost_realised"),0)</f>
        <v>0</v>
      </c>
      <c r="I477" s="11" t="n">
        <f aca="false">IF(D477=1,SUMIFS(Benefits!$S$4:$S$703,Benefits!$B$4:$B$703,A477,Benefits!$F$4:$F$703,B477,Benefits!$R$4:$R$703,"capacity_converted"),0)</f>
        <v>0</v>
      </c>
      <c r="J477" s="11" t="n">
        <f aca="false">SUM(F477:I477)</f>
        <v>6207.0932</v>
      </c>
      <c r="K477" s="11" t="n">
        <f aca="false">J477-E477</f>
        <v>-143442.9068</v>
      </c>
      <c r="L477" s="11" t="n">
        <f aca="false">IF(D477=1,L476+K477,0)</f>
        <v>-1010292.9068</v>
      </c>
      <c r="M477" s="11" t="n">
        <f aca="false">IF(D477=1,1/(1+Controls!$B$11)^B477,0)</f>
        <v>0.968441741876185</v>
      </c>
      <c r="N477" s="11" t="n">
        <f aca="false">K477*M477</f>
        <v>-138916.098521175</v>
      </c>
      <c r="O477" s="11" t="n">
        <f aca="false">IF(D477=1,O476+N477,0)</f>
        <v>-987348.53721656</v>
      </c>
      <c r="P477" s="11" t="n">
        <f aca="false">IF(AND(D477=1,L477&lt;0),1,0)</f>
        <v>1</v>
      </c>
      <c r="Q477" s="11" t="n">
        <f aca="false">IF(AND(D477=1,O477&lt;0),1,0)</f>
        <v>1</v>
      </c>
    </row>
    <row r="478" customFormat="false" ht="15" hidden="false" customHeight="false" outlineLevel="0" collapsed="false">
      <c r="A478" s="4" t="s">
        <v>96</v>
      </c>
      <c r="B478" s="4" t="n">
        <v>6</v>
      </c>
      <c r="C478" s="11" t="n">
        <f aca="false">IF(COUNTIF('Scenario inputs'!$A$4:$A$213,Controls!$B$3&amp;"|"&amp;A478)&gt;0,1,0)</f>
        <v>1</v>
      </c>
      <c r="D478" s="11" t="n">
        <f aca="false">IF(AND(C478=1,B478&lt;Controls!$B$12),1,0)</f>
        <v>1</v>
      </c>
      <c r="E478" s="11" t="n">
        <f aca="false">IF(D478=1,SUMPRODUCT((Costs!$B$4:$B$903=A478)*(Costs!$D$4:$D$903="planned")*(Costs!$J$4:$J$903&lt;=B478)*(Costs!$K$4:$K$903&gt;B478)*Costs!$E$4:$E$903),0)</f>
        <v>19000</v>
      </c>
      <c r="F478" s="11" t="n">
        <f aca="false">IF(D478=1,SUMIFS(Benefits!$S$4:$S$703,Benefits!$B$4:$B$703,A478,Benefits!$F$4:$F$703,B478,Benefits!$R$4:$R$703,"cash"),0)</f>
        <v>18621.4534</v>
      </c>
      <c r="G478" s="11" t="n">
        <f aca="false">IF(D478=1,SUMIFS(Benefits!$S$4:$S$703,Benefits!$B$4:$B$703,A478,Benefits!$F$4:$F$703,B478,Benefits!$R$4:$R$703,"revenue"),0)</f>
        <v>0</v>
      </c>
      <c r="H478" s="11" t="n">
        <f aca="false">IF(D478=1,SUMIFS(Benefits!$S$4:$S$703,Benefits!$B$4:$B$703,A478,Benefits!$F$4:$F$703,B478,Benefits!$R$4:$R$703,"avoided_cost_realised"),0)</f>
        <v>0</v>
      </c>
      <c r="I478" s="11" t="n">
        <f aca="false">IF(D478=1,SUMIFS(Benefits!$S$4:$S$703,Benefits!$B$4:$B$703,A478,Benefits!$F$4:$F$703,B478,Benefits!$R$4:$R$703,"capacity_converted"),0)</f>
        <v>0</v>
      </c>
      <c r="J478" s="11" t="n">
        <f aca="false">SUM(F478:I478)</f>
        <v>18621.4534</v>
      </c>
      <c r="K478" s="11" t="n">
        <f aca="false">J478-E478</f>
        <v>-378.546599999998</v>
      </c>
      <c r="L478" s="11" t="n">
        <f aca="false">IF(D478=1,L477+K478,0)</f>
        <v>-1010671.4534</v>
      </c>
      <c r="M478" s="11" t="n">
        <f aca="false">IF(D478=1,1/(1+Controls!$B$11)^B478,0)</f>
        <v>0.962250621378238</v>
      </c>
      <c r="N478" s="11" t="n">
        <f aca="false">K478*M478</f>
        <v>-364.256701070617</v>
      </c>
      <c r="O478" s="11" t="n">
        <f aca="false">IF(D478=1,O477+N478,0)</f>
        <v>-987712.79391763</v>
      </c>
      <c r="P478" s="11" t="n">
        <f aca="false">IF(AND(D478=1,L478&lt;0),1,0)</f>
        <v>1</v>
      </c>
      <c r="Q478" s="11" t="n">
        <f aca="false">IF(AND(D478=1,O478&lt;0),1,0)</f>
        <v>1</v>
      </c>
    </row>
    <row r="479" customFormat="false" ht="15" hidden="false" customHeight="false" outlineLevel="0" collapsed="false">
      <c r="A479" s="4" t="s">
        <v>96</v>
      </c>
      <c r="B479" s="4" t="n">
        <v>7</v>
      </c>
      <c r="C479" s="11" t="n">
        <f aca="false">IF(COUNTIF('Scenario inputs'!$A$4:$A$213,Controls!$B$3&amp;"|"&amp;A479)&gt;0,1,0)</f>
        <v>1</v>
      </c>
      <c r="D479" s="11" t="n">
        <f aca="false">IF(AND(C479=1,B479&lt;Controls!$B$12),1,0)</f>
        <v>1</v>
      </c>
      <c r="E479" s="11" t="n">
        <f aca="false">IF(D479=1,SUMPRODUCT((Costs!$B$4:$B$903=A479)*(Costs!$D$4:$D$903="planned")*(Costs!$J$4:$J$903&lt;=B479)*(Costs!$K$4:$K$903&gt;B479)*Costs!$E$4:$E$903),0)</f>
        <v>19000</v>
      </c>
      <c r="F479" s="11" t="n">
        <f aca="false">IF(D479=1,SUMIFS(Benefits!$S$4:$S$703,Benefits!$B$4:$B$703,A479,Benefits!$F$4:$F$703,B479,Benefits!$R$4:$R$703,"cash"),0)</f>
        <v>37242.9068</v>
      </c>
      <c r="G479" s="11" t="n">
        <f aca="false">IF(D479=1,SUMIFS(Benefits!$S$4:$S$703,Benefits!$B$4:$B$703,A479,Benefits!$F$4:$F$703,B479,Benefits!$R$4:$R$703,"revenue"),0)</f>
        <v>0</v>
      </c>
      <c r="H479" s="11" t="n">
        <f aca="false">IF(D479=1,SUMIFS(Benefits!$S$4:$S$703,Benefits!$B$4:$B$703,A479,Benefits!$F$4:$F$703,B479,Benefits!$R$4:$R$703,"avoided_cost_realised"),0)</f>
        <v>0</v>
      </c>
      <c r="I479" s="11" t="n">
        <f aca="false">IF(D479=1,SUMIFS(Benefits!$S$4:$S$703,Benefits!$B$4:$B$703,A479,Benefits!$F$4:$F$703,B479,Benefits!$R$4:$R$703,"capacity_converted"),0)</f>
        <v>0</v>
      </c>
      <c r="J479" s="11" t="n">
        <f aca="false">SUM(F479:I479)</f>
        <v>37242.9068</v>
      </c>
      <c r="K479" s="11" t="n">
        <f aca="false">J479-E479</f>
        <v>18242.9068</v>
      </c>
      <c r="L479" s="11" t="n">
        <f aca="false">IF(D479=1,L478+K479,0)</f>
        <v>-992428.5466</v>
      </c>
      <c r="M479" s="11" t="n">
        <f aca="false">IF(D479=1,1/(1+Controls!$B$11)^B479,0)</f>
        <v>0.956099079898173</v>
      </c>
      <c r="N479" s="11" t="n">
        <f aca="false">K479*M479</f>
        <v>17442.0264061481</v>
      </c>
      <c r="O479" s="11" t="n">
        <f aca="false">IF(D479=1,O478+N479,0)</f>
        <v>-970270.767511482</v>
      </c>
      <c r="P479" s="11" t="n">
        <f aca="false">IF(AND(D479=1,L479&lt;0),1,0)</f>
        <v>1</v>
      </c>
      <c r="Q479" s="11" t="n">
        <f aca="false">IF(AND(D479=1,O479&lt;0),1,0)</f>
        <v>1</v>
      </c>
    </row>
    <row r="480" customFormat="false" ht="15" hidden="false" customHeight="false" outlineLevel="0" collapsed="false">
      <c r="A480" s="4" t="s">
        <v>96</v>
      </c>
      <c r="B480" s="4" t="n">
        <v>8</v>
      </c>
      <c r="C480" s="11" t="n">
        <f aca="false">IF(COUNTIF('Scenario inputs'!$A$4:$A$213,Controls!$B$3&amp;"|"&amp;A480)&gt;0,1,0)</f>
        <v>1</v>
      </c>
      <c r="D480" s="11" t="n">
        <f aca="false">IF(AND(C480=1,B480&lt;Controls!$B$12),1,0)</f>
        <v>1</v>
      </c>
      <c r="E480" s="11" t="n">
        <f aca="false">IF(D480=1,SUMPRODUCT((Costs!$B$4:$B$903=A480)*(Costs!$D$4:$D$903="planned")*(Costs!$J$4:$J$903&lt;=B480)*(Costs!$K$4:$K$903&gt;B480)*Costs!$E$4:$E$903),0)</f>
        <v>19000</v>
      </c>
      <c r="F480" s="11" t="n">
        <f aca="false">IF(D480=1,SUMIFS(Benefits!$S$4:$S$703,Benefits!$B$4:$B$703,A480,Benefits!$F$4:$F$703,B480,Benefits!$R$4:$R$703,"cash"),0)</f>
        <v>62071.4534</v>
      </c>
      <c r="G480" s="11" t="n">
        <f aca="false">IF(D480=1,SUMIFS(Benefits!$S$4:$S$703,Benefits!$B$4:$B$703,A480,Benefits!$F$4:$F$703,B480,Benefits!$R$4:$R$703,"revenue"),0)</f>
        <v>0</v>
      </c>
      <c r="H480" s="11" t="n">
        <f aca="false">IF(D480=1,SUMIFS(Benefits!$S$4:$S$703,Benefits!$B$4:$B$703,A480,Benefits!$F$4:$F$703,B480,Benefits!$R$4:$R$703,"avoided_cost_realised"),0)</f>
        <v>0</v>
      </c>
      <c r="I480" s="11" t="n">
        <f aca="false">IF(D480=1,SUMIFS(Benefits!$S$4:$S$703,Benefits!$B$4:$B$703,A480,Benefits!$F$4:$F$703,B480,Benefits!$R$4:$R$703,"capacity_converted"),0)</f>
        <v>0</v>
      </c>
      <c r="J480" s="11" t="n">
        <f aca="false">SUM(F480:I480)</f>
        <v>62071.4534</v>
      </c>
      <c r="K480" s="11" t="n">
        <f aca="false">J480-E480</f>
        <v>43071.4534</v>
      </c>
      <c r="L480" s="11" t="n">
        <f aca="false">IF(D480=1,L479+K480,0)</f>
        <v>-949357.0932</v>
      </c>
      <c r="M480" s="11" t="n">
        <f aca="false">IF(D480=1,1/(1+Controls!$B$11)^B480,0)</f>
        <v>0.949986864412542</v>
      </c>
      <c r="N480" s="11" t="n">
        <f aca="false">K480*M480</f>
        <v>40917.3149611569</v>
      </c>
      <c r="O480" s="11" t="n">
        <f aca="false">IF(D480=1,O479+N480,0)</f>
        <v>-929353.452550325</v>
      </c>
      <c r="P480" s="11" t="n">
        <f aca="false">IF(AND(D480=1,L480&lt;0),1,0)</f>
        <v>1</v>
      </c>
      <c r="Q480" s="11" t="n">
        <f aca="false">IF(AND(D480=1,O480&lt;0),1,0)</f>
        <v>1</v>
      </c>
    </row>
    <row r="481" customFormat="false" ht="15" hidden="false" customHeight="false" outlineLevel="0" collapsed="false">
      <c r="A481" s="4" t="s">
        <v>96</v>
      </c>
      <c r="B481" s="4" t="n">
        <v>9</v>
      </c>
      <c r="C481" s="11" t="n">
        <f aca="false">IF(COUNTIF('Scenario inputs'!$A$4:$A$213,Controls!$B$3&amp;"|"&amp;A481)&gt;0,1,0)</f>
        <v>1</v>
      </c>
      <c r="D481" s="11" t="n">
        <f aca="false">IF(AND(C481=1,B481&lt;Controls!$B$12),1,0)</f>
        <v>1</v>
      </c>
      <c r="E481" s="11" t="n">
        <f aca="false">IF(D481=1,SUMPRODUCT((Costs!$B$4:$B$903=A481)*(Costs!$D$4:$D$903="planned")*(Costs!$J$4:$J$903&lt;=B481)*(Costs!$K$4:$K$903&gt;B481)*Costs!$E$4:$E$903),0)</f>
        <v>19000</v>
      </c>
      <c r="F481" s="11" t="n">
        <f aca="false">IF(D481=1,SUMIFS(Benefits!$S$4:$S$703,Benefits!$B$4:$B$703,A481,Benefits!$F$4:$F$703,B481,Benefits!$R$4:$R$703,"cash"),0)</f>
        <v>93107.0932</v>
      </c>
      <c r="G481" s="11" t="n">
        <f aca="false">IF(D481=1,SUMIFS(Benefits!$S$4:$S$703,Benefits!$B$4:$B$703,A481,Benefits!$F$4:$F$703,B481,Benefits!$R$4:$R$703,"revenue"),0)</f>
        <v>0</v>
      </c>
      <c r="H481" s="11" t="n">
        <f aca="false">IF(D481=1,SUMIFS(Benefits!$S$4:$S$703,Benefits!$B$4:$B$703,A481,Benefits!$F$4:$F$703,B481,Benefits!$R$4:$R$703,"avoided_cost_realised"),0)</f>
        <v>0</v>
      </c>
      <c r="I481" s="11" t="n">
        <f aca="false">IF(D481=1,SUMIFS(Benefits!$S$4:$S$703,Benefits!$B$4:$B$703,A481,Benefits!$F$4:$F$703,B481,Benefits!$R$4:$R$703,"capacity_converted"),0)</f>
        <v>0</v>
      </c>
      <c r="J481" s="11" t="n">
        <f aca="false">SUM(F481:I481)</f>
        <v>93107.0932</v>
      </c>
      <c r="K481" s="11" t="n">
        <f aca="false">J481-E481</f>
        <v>74107.0932</v>
      </c>
      <c r="L481" s="11" t="n">
        <f aca="false">IF(D481=1,L480+K481,0)</f>
        <v>-875250</v>
      </c>
      <c r="M481" s="11" t="n">
        <f aca="false">IF(D481=1,1/(1+Controls!$B$11)^B481,0)</f>
        <v>0.943913723515444</v>
      </c>
      <c r="N481" s="11" t="n">
        <f aca="false">K481*M481</f>
        <v>69950.702281318</v>
      </c>
      <c r="O481" s="11" t="n">
        <f aca="false">IF(D481=1,O480+N481,0)</f>
        <v>-859402.750269007</v>
      </c>
      <c r="P481" s="11" t="n">
        <f aca="false">IF(AND(D481=1,L481&lt;0),1,0)</f>
        <v>1</v>
      </c>
      <c r="Q481" s="11" t="n">
        <f aca="false">IF(AND(D481=1,O481&lt;0),1,0)</f>
        <v>1</v>
      </c>
    </row>
    <row r="482" customFormat="false" ht="15" hidden="false" customHeight="false" outlineLevel="0" collapsed="false">
      <c r="A482" s="4" t="s">
        <v>96</v>
      </c>
      <c r="B482" s="4" t="n">
        <v>10</v>
      </c>
      <c r="C482" s="11" t="n">
        <f aca="false">IF(COUNTIF('Scenario inputs'!$A$4:$A$213,Controls!$B$3&amp;"|"&amp;A482)&gt;0,1,0)</f>
        <v>1</v>
      </c>
      <c r="D482" s="11" t="n">
        <f aca="false">IF(AND(C482=1,B482&lt;Controls!$B$12),1,0)</f>
        <v>1</v>
      </c>
      <c r="E482" s="11" t="n">
        <f aca="false">IF(D482=1,SUMPRODUCT((Costs!$B$4:$B$903=A482)*(Costs!$D$4:$D$903="planned")*(Costs!$J$4:$J$903&lt;=B482)*(Costs!$K$4:$K$903&gt;B482)*Costs!$E$4:$E$903),0)</f>
        <v>19000</v>
      </c>
      <c r="F482" s="11" t="n">
        <f aca="false">IF(D482=1,SUMIFS(Benefits!$S$4:$S$703,Benefits!$B$4:$B$703,A482,Benefits!$F$4:$F$703,B482,Benefits!$R$4:$R$703,"cash"),0)</f>
        <v>130350</v>
      </c>
      <c r="G482" s="11" t="n">
        <f aca="false">IF(D482=1,SUMIFS(Benefits!$S$4:$S$703,Benefits!$B$4:$B$703,A482,Benefits!$F$4:$F$703,B482,Benefits!$R$4:$R$703,"revenue"),0)</f>
        <v>0</v>
      </c>
      <c r="H482" s="11" t="n">
        <f aca="false">IF(D482=1,SUMIFS(Benefits!$S$4:$S$703,Benefits!$B$4:$B$703,A482,Benefits!$F$4:$F$703,B482,Benefits!$R$4:$R$703,"avoided_cost_realised"),0)</f>
        <v>0</v>
      </c>
      <c r="I482" s="11" t="n">
        <f aca="false">IF(D482=1,SUMIFS(Benefits!$S$4:$S$703,Benefits!$B$4:$B$703,A482,Benefits!$F$4:$F$703,B482,Benefits!$R$4:$R$703,"capacity_converted"),0)</f>
        <v>0</v>
      </c>
      <c r="J482" s="11" t="n">
        <f aca="false">SUM(F482:I482)</f>
        <v>130350</v>
      </c>
      <c r="K482" s="11" t="n">
        <f aca="false">J482-E482</f>
        <v>111350</v>
      </c>
      <c r="L482" s="11" t="n">
        <f aca="false">IF(D482=1,L481+K482,0)</f>
        <v>-763900</v>
      </c>
      <c r="M482" s="11" t="n">
        <f aca="false">IF(D482=1,1/(1+Controls!$B$11)^B482,0)</f>
        <v>0.93787940740818</v>
      </c>
      <c r="N482" s="11" t="n">
        <f aca="false">K482*M482</f>
        <v>104432.872014901</v>
      </c>
      <c r="O482" s="11" t="n">
        <f aca="false">IF(D482=1,O481+N482,0)</f>
        <v>-754969.878254106</v>
      </c>
      <c r="P482" s="11" t="n">
        <f aca="false">IF(AND(D482=1,L482&lt;0),1,0)</f>
        <v>1</v>
      </c>
      <c r="Q482" s="11" t="n">
        <f aca="false">IF(AND(D482=1,O482&lt;0),1,0)</f>
        <v>1</v>
      </c>
    </row>
    <row r="483" customFormat="false" ht="15" hidden="false" customHeight="false" outlineLevel="0" collapsed="false">
      <c r="A483" s="4" t="s">
        <v>96</v>
      </c>
      <c r="B483" s="4" t="n">
        <v>11</v>
      </c>
      <c r="C483" s="11" t="n">
        <f aca="false">IF(COUNTIF('Scenario inputs'!$A$4:$A$213,Controls!$B$3&amp;"|"&amp;A483)&gt;0,1,0)</f>
        <v>1</v>
      </c>
      <c r="D483" s="11" t="n">
        <f aca="false">IF(AND(C483=1,B483&lt;Controls!$B$12),1,0)</f>
        <v>1</v>
      </c>
      <c r="E483" s="11" t="n">
        <f aca="false">IF(D483=1,SUMPRODUCT((Costs!$B$4:$B$903=A483)*(Costs!$D$4:$D$903="planned")*(Costs!$J$4:$J$903&lt;=B483)*(Costs!$K$4:$K$903&gt;B483)*Costs!$E$4:$E$903),0)</f>
        <v>19450</v>
      </c>
      <c r="F483" s="11" t="n">
        <f aca="false">IF(D483=1,SUMIFS(Benefits!$S$4:$S$703,Benefits!$B$4:$B$703,A483,Benefits!$F$4:$F$703,B483,Benefits!$R$4:$R$703,"cash"),0)</f>
        <v>173800</v>
      </c>
      <c r="G483" s="11" t="n">
        <f aca="false">IF(D483=1,SUMIFS(Benefits!$S$4:$S$703,Benefits!$B$4:$B$703,A483,Benefits!$F$4:$F$703,B483,Benefits!$R$4:$R$703,"revenue"),0)</f>
        <v>0</v>
      </c>
      <c r="H483" s="11" t="n">
        <f aca="false">IF(D483=1,SUMIFS(Benefits!$S$4:$S$703,Benefits!$B$4:$B$703,A483,Benefits!$F$4:$F$703,B483,Benefits!$R$4:$R$703,"avoided_cost_realised"),0)</f>
        <v>0</v>
      </c>
      <c r="I483" s="11" t="n">
        <f aca="false">IF(D483=1,SUMIFS(Benefits!$S$4:$S$703,Benefits!$B$4:$B$703,A483,Benefits!$F$4:$F$703,B483,Benefits!$R$4:$R$703,"capacity_converted"),0)</f>
        <v>0</v>
      </c>
      <c r="J483" s="11" t="n">
        <f aca="false">SUM(F483:I483)</f>
        <v>173800</v>
      </c>
      <c r="K483" s="11" t="n">
        <f aca="false">J483-E483</f>
        <v>154350</v>
      </c>
      <c r="L483" s="11" t="n">
        <f aca="false">IF(D483=1,L482+K483,0)</f>
        <v>-609550</v>
      </c>
      <c r="M483" s="11" t="n">
        <f aca="false">IF(D483=1,1/(1+Controls!$B$11)^B483,0)</f>
        <v>0.931883667888982</v>
      </c>
      <c r="N483" s="11" t="n">
        <f aca="false">K483*M483</f>
        <v>143836.244138664</v>
      </c>
      <c r="O483" s="11" t="n">
        <f aca="false">IF(D483=1,O482+N483,0)</f>
        <v>-611133.634115442</v>
      </c>
      <c r="P483" s="11" t="n">
        <f aca="false">IF(AND(D483=1,L483&lt;0),1,0)</f>
        <v>1</v>
      </c>
      <c r="Q483" s="11" t="n">
        <f aca="false">IF(AND(D483=1,O483&lt;0),1,0)</f>
        <v>1</v>
      </c>
    </row>
    <row r="484" customFormat="false" ht="15" hidden="false" customHeight="false" outlineLevel="0" collapsed="false">
      <c r="A484" s="4" t="s">
        <v>96</v>
      </c>
      <c r="B484" s="4" t="n">
        <v>12</v>
      </c>
      <c r="C484" s="11" t="n">
        <f aca="false">IF(COUNTIF('Scenario inputs'!$A$4:$A$213,Controls!$B$3&amp;"|"&amp;A484)&gt;0,1,0)</f>
        <v>1</v>
      </c>
      <c r="D484" s="11" t="n">
        <f aca="false">IF(AND(C484=1,B484&lt;Controls!$B$12),1,0)</f>
        <v>1</v>
      </c>
      <c r="E484" s="11" t="n">
        <f aca="false">IF(D484=1,SUMPRODUCT((Costs!$B$4:$B$903=A484)*(Costs!$D$4:$D$903="planned")*(Costs!$J$4:$J$903&lt;=B484)*(Costs!$K$4:$K$903&gt;B484)*Costs!$E$4:$E$903),0)</f>
        <v>19450</v>
      </c>
      <c r="F484" s="11" t="n">
        <f aca="false">IF(D484=1,SUMIFS(Benefits!$S$4:$S$703,Benefits!$B$4:$B$703,A484,Benefits!$F$4:$F$703,B484,Benefits!$R$4:$R$703,"cash"),0)</f>
        <v>173800</v>
      </c>
      <c r="G484" s="11" t="n">
        <f aca="false">IF(D484=1,SUMIFS(Benefits!$S$4:$S$703,Benefits!$B$4:$B$703,A484,Benefits!$F$4:$F$703,B484,Benefits!$R$4:$R$703,"revenue"),0)</f>
        <v>0</v>
      </c>
      <c r="H484" s="11" t="n">
        <f aca="false">IF(D484=1,SUMIFS(Benefits!$S$4:$S$703,Benefits!$B$4:$B$703,A484,Benefits!$F$4:$F$703,B484,Benefits!$R$4:$R$703,"avoided_cost_realised"),0)</f>
        <v>0</v>
      </c>
      <c r="I484" s="11" t="n">
        <f aca="false">IF(D484=1,SUMIFS(Benefits!$S$4:$S$703,Benefits!$B$4:$B$703,A484,Benefits!$F$4:$F$703,B484,Benefits!$R$4:$R$703,"capacity_converted"),0)</f>
        <v>0</v>
      </c>
      <c r="J484" s="11" t="n">
        <f aca="false">SUM(F484:I484)</f>
        <v>173800</v>
      </c>
      <c r="K484" s="11" t="n">
        <f aca="false">J484-E484</f>
        <v>154350</v>
      </c>
      <c r="L484" s="11" t="n">
        <f aca="false">IF(D484=1,L483+K484,0)</f>
        <v>-455200</v>
      </c>
      <c r="M484" s="11" t="n">
        <f aca="false">IF(D484=1,1/(1+Controls!$B$11)^B484,0)</f>
        <v>0.925926258342804</v>
      </c>
      <c r="N484" s="11" t="n">
        <f aca="false">K484*M484</f>
        <v>142916.717975212</v>
      </c>
      <c r="O484" s="11" t="n">
        <f aca="false">IF(D484=1,O483+N484,0)</f>
        <v>-468216.91614023</v>
      </c>
      <c r="P484" s="11" t="n">
        <f aca="false">IF(AND(D484=1,L484&lt;0),1,0)</f>
        <v>1</v>
      </c>
      <c r="Q484" s="11" t="n">
        <f aca="false">IF(AND(D484=1,O484&lt;0),1,0)</f>
        <v>1</v>
      </c>
    </row>
    <row r="485" customFormat="false" ht="15" hidden="false" customHeight="false" outlineLevel="0" collapsed="false">
      <c r="A485" s="4" t="s">
        <v>96</v>
      </c>
      <c r="B485" s="4" t="n">
        <v>13</v>
      </c>
      <c r="C485" s="11" t="n">
        <f aca="false">IF(COUNTIF('Scenario inputs'!$A$4:$A$213,Controls!$B$3&amp;"|"&amp;A485)&gt;0,1,0)</f>
        <v>1</v>
      </c>
      <c r="D485" s="11" t="n">
        <f aca="false">IF(AND(C485=1,B485&lt;Controls!$B$12),1,0)</f>
        <v>1</v>
      </c>
      <c r="E485" s="11" t="n">
        <f aca="false">IF(D485=1,SUMPRODUCT((Costs!$B$4:$B$903=A485)*(Costs!$D$4:$D$903="planned")*(Costs!$J$4:$J$903&lt;=B485)*(Costs!$K$4:$K$903&gt;B485)*Costs!$E$4:$E$903),0)</f>
        <v>19450</v>
      </c>
      <c r="F485" s="11" t="n">
        <f aca="false">IF(D485=1,SUMIFS(Benefits!$S$4:$S$703,Benefits!$B$4:$B$703,A485,Benefits!$F$4:$F$703,B485,Benefits!$R$4:$R$703,"cash"),0)</f>
        <v>173800</v>
      </c>
      <c r="G485" s="11" t="n">
        <f aca="false">IF(D485=1,SUMIFS(Benefits!$S$4:$S$703,Benefits!$B$4:$B$703,A485,Benefits!$F$4:$F$703,B485,Benefits!$R$4:$R$703,"revenue"),0)</f>
        <v>0</v>
      </c>
      <c r="H485" s="11" t="n">
        <f aca="false">IF(D485=1,SUMIFS(Benefits!$S$4:$S$703,Benefits!$B$4:$B$703,A485,Benefits!$F$4:$F$703,B485,Benefits!$R$4:$R$703,"avoided_cost_realised"),0)</f>
        <v>0</v>
      </c>
      <c r="I485" s="11" t="n">
        <f aca="false">IF(D485=1,SUMIFS(Benefits!$S$4:$S$703,Benefits!$B$4:$B$703,A485,Benefits!$F$4:$F$703,B485,Benefits!$R$4:$R$703,"capacity_converted"),0)</f>
        <v>0</v>
      </c>
      <c r="J485" s="11" t="n">
        <f aca="false">SUM(F485:I485)</f>
        <v>173800</v>
      </c>
      <c r="K485" s="11" t="n">
        <f aca="false">J485-E485</f>
        <v>154350</v>
      </c>
      <c r="L485" s="11" t="n">
        <f aca="false">IF(D485=1,L484+K485,0)</f>
        <v>-300850</v>
      </c>
      <c r="M485" s="11" t="n">
        <f aca="false">IF(D485=1,1/(1+Controls!$B$11)^B485,0)</f>
        <v>0.920006933731178</v>
      </c>
      <c r="N485" s="11" t="n">
        <f aca="false">K485*M485</f>
        <v>142003.070221407</v>
      </c>
      <c r="O485" s="11" t="n">
        <f aca="false">IF(D485=1,O484+N485,0)</f>
        <v>-326213.845918823</v>
      </c>
      <c r="P485" s="11" t="n">
        <f aca="false">IF(AND(D485=1,L485&lt;0),1,0)</f>
        <v>1</v>
      </c>
      <c r="Q485" s="11" t="n">
        <f aca="false">IF(AND(D485=1,O485&lt;0),1,0)</f>
        <v>1</v>
      </c>
    </row>
    <row r="486" customFormat="false" ht="15" hidden="false" customHeight="false" outlineLevel="0" collapsed="false">
      <c r="A486" s="4" t="s">
        <v>96</v>
      </c>
      <c r="B486" s="4" t="n">
        <v>14</v>
      </c>
      <c r="C486" s="11" t="n">
        <f aca="false">IF(COUNTIF('Scenario inputs'!$A$4:$A$213,Controls!$B$3&amp;"|"&amp;A486)&gt;0,1,0)</f>
        <v>1</v>
      </c>
      <c r="D486" s="11" t="n">
        <f aca="false">IF(AND(C486=1,B486&lt;Controls!$B$12),1,0)</f>
        <v>1</v>
      </c>
      <c r="E486" s="11" t="n">
        <f aca="false">IF(D486=1,SUMPRODUCT((Costs!$B$4:$B$903=A486)*(Costs!$D$4:$D$903="planned")*(Costs!$J$4:$J$903&lt;=B486)*(Costs!$K$4:$K$903&gt;B486)*Costs!$E$4:$E$903),0)</f>
        <v>19450</v>
      </c>
      <c r="F486" s="11" t="n">
        <f aca="false">IF(D486=1,SUMIFS(Benefits!$S$4:$S$703,Benefits!$B$4:$B$703,A486,Benefits!$F$4:$F$703,B486,Benefits!$R$4:$R$703,"cash"),0)</f>
        <v>173800</v>
      </c>
      <c r="G486" s="11" t="n">
        <f aca="false">IF(D486=1,SUMIFS(Benefits!$S$4:$S$703,Benefits!$B$4:$B$703,A486,Benefits!$F$4:$F$703,B486,Benefits!$R$4:$R$703,"revenue"),0)</f>
        <v>0</v>
      </c>
      <c r="H486" s="11" t="n">
        <f aca="false">IF(D486=1,SUMIFS(Benefits!$S$4:$S$703,Benefits!$B$4:$B$703,A486,Benefits!$F$4:$F$703,B486,Benefits!$R$4:$R$703,"avoided_cost_realised"),0)</f>
        <v>0</v>
      </c>
      <c r="I486" s="11" t="n">
        <f aca="false">IF(D486=1,SUMIFS(Benefits!$S$4:$S$703,Benefits!$B$4:$B$703,A486,Benefits!$F$4:$F$703,B486,Benefits!$R$4:$R$703,"capacity_converted"),0)</f>
        <v>0</v>
      </c>
      <c r="J486" s="11" t="n">
        <f aca="false">SUM(F486:I486)</f>
        <v>173800</v>
      </c>
      <c r="K486" s="11" t="n">
        <f aca="false">J486-E486</f>
        <v>154350</v>
      </c>
      <c r="L486" s="11" t="n">
        <f aca="false">IF(D486=1,L485+K486,0)</f>
        <v>-146500</v>
      </c>
      <c r="M486" s="11" t="n">
        <f aca="false">IF(D486=1,1/(1+Controls!$B$11)^B486,0)</f>
        <v>0.914125450582132</v>
      </c>
      <c r="N486" s="11" t="n">
        <f aca="false">K486*M486</f>
        <v>141095.263297352</v>
      </c>
      <c r="O486" s="11" t="n">
        <f aca="false">IF(D486=1,O485+N486,0)</f>
        <v>-185118.582621471</v>
      </c>
      <c r="P486" s="11" t="n">
        <f aca="false">IF(AND(D486=1,L486&lt;0),1,0)</f>
        <v>1</v>
      </c>
      <c r="Q486" s="11" t="n">
        <f aca="false">IF(AND(D486=1,O486&lt;0),1,0)</f>
        <v>1</v>
      </c>
    </row>
    <row r="487" customFormat="false" ht="15" hidden="false" customHeight="false" outlineLevel="0" collapsed="false">
      <c r="A487" s="4" t="s">
        <v>96</v>
      </c>
      <c r="B487" s="4" t="n">
        <v>15</v>
      </c>
      <c r="C487" s="11" t="n">
        <f aca="false">IF(COUNTIF('Scenario inputs'!$A$4:$A$213,Controls!$B$3&amp;"|"&amp;A487)&gt;0,1,0)</f>
        <v>1</v>
      </c>
      <c r="D487" s="11" t="n">
        <f aca="false">IF(AND(C487=1,B487&lt;Controls!$B$12),1,0)</f>
        <v>1</v>
      </c>
      <c r="E487" s="11" t="n">
        <f aca="false">IF(D487=1,SUMPRODUCT((Costs!$B$4:$B$903=A487)*(Costs!$D$4:$D$903="planned")*(Costs!$J$4:$J$903&lt;=B487)*(Costs!$K$4:$K$903&gt;B487)*Costs!$E$4:$E$903),0)</f>
        <v>19450</v>
      </c>
      <c r="F487" s="11" t="n">
        <f aca="false">IF(D487=1,SUMIFS(Benefits!$S$4:$S$703,Benefits!$B$4:$B$703,A487,Benefits!$F$4:$F$703,B487,Benefits!$R$4:$R$703,"cash"),0)</f>
        <v>173800</v>
      </c>
      <c r="G487" s="11" t="n">
        <f aca="false">IF(D487=1,SUMIFS(Benefits!$S$4:$S$703,Benefits!$B$4:$B$703,A487,Benefits!$F$4:$F$703,B487,Benefits!$R$4:$R$703,"revenue"),0)</f>
        <v>0</v>
      </c>
      <c r="H487" s="11" t="n">
        <f aca="false">IF(D487=1,SUMIFS(Benefits!$S$4:$S$703,Benefits!$B$4:$B$703,A487,Benefits!$F$4:$F$703,B487,Benefits!$R$4:$R$703,"avoided_cost_realised"),0)</f>
        <v>0</v>
      </c>
      <c r="I487" s="11" t="n">
        <f aca="false">IF(D487=1,SUMIFS(Benefits!$S$4:$S$703,Benefits!$B$4:$B$703,A487,Benefits!$F$4:$F$703,B487,Benefits!$R$4:$R$703,"capacity_converted"),0)</f>
        <v>0</v>
      </c>
      <c r="J487" s="11" t="n">
        <f aca="false">SUM(F487:I487)</f>
        <v>173800</v>
      </c>
      <c r="K487" s="11" t="n">
        <f aca="false">J487-E487</f>
        <v>154350</v>
      </c>
      <c r="L487" s="11" t="n">
        <f aca="false">IF(D487=1,L486+K487,0)</f>
        <v>7850</v>
      </c>
      <c r="M487" s="11" t="n">
        <f aca="false">IF(D487=1,1/(1+Controls!$B$11)^B487,0)</f>
        <v>0.908281566980182</v>
      </c>
      <c r="N487" s="11" t="n">
        <f aca="false">K487*M487</f>
        <v>140193.259863391</v>
      </c>
      <c r="O487" s="11" t="n">
        <f aca="false">IF(D487=1,O486+N487,0)</f>
        <v>-44925.3227580797</v>
      </c>
      <c r="P487" s="11" t="n">
        <f aca="false">IF(AND(D487=1,L487&lt;0),1,0)</f>
        <v>0</v>
      </c>
      <c r="Q487" s="11" t="n">
        <f aca="false">IF(AND(D487=1,O487&lt;0),1,0)</f>
        <v>1</v>
      </c>
    </row>
    <row r="488" customFormat="false" ht="15" hidden="false" customHeight="false" outlineLevel="0" collapsed="false">
      <c r="A488" s="4" t="s">
        <v>96</v>
      </c>
      <c r="B488" s="4" t="n">
        <v>16</v>
      </c>
      <c r="C488" s="11" t="n">
        <f aca="false">IF(COUNTIF('Scenario inputs'!$A$4:$A$213,Controls!$B$3&amp;"|"&amp;A488)&gt;0,1,0)</f>
        <v>1</v>
      </c>
      <c r="D488" s="11" t="n">
        <f aca="false">IF(AND(C488=1,B488&lt;Controls!$B$12),1,0)</f>
        <v>1</v>
      </c>
      <c r="E488" s="11" t="n">
        <f aca="false">IF(D488=1,SUMPRODUCT((Costs!$B$4:$B$903=A488)*(Costs!$D$4:$D$903="planned")*(Costs!$J$4:$J$903&lt;=B488)*(Costs!$K$4:$K$903&gt;B488)*Costs!$E$4:$E$903),0)</f>
        <v>19450</v>
      </c>
      <c r="F488" s="11" t="n">
        <f aca="false">IF(D488=1,SUMIFS(Benefits!$S$4:$S$703,Benefits!$B$4:$B$703,A488,Benefits!$F$4:$F$703,B488,Benefits!$R$4:$R$703,"cash"),0)</f>
        <v>173800</v>
      </c>
      <c r="G488" s="11" t="n">
        <f aca="false">IF(D488=1,SUMIFS(Benefits!$S$4:$S$703,Benefits!$B$4:$B$703,A488,Benefits!$F$4:$F$703,B488,Benefits!$R$4:$R$703,"revenue"),0)</f>
        <v>0</v>
      </c>
      <c r="H488" s="11" t="n">
        <f aca="false">IF(D488=1,SUMIFS(Benefits!$S$4:$S$703,Benefits!$B$4:$B$703,A488,Benefits!$F$4:$F$703,B488,Benefits!$R$4:$R$703,"avoided_cost_realised"),0)</f>
        <v>0</v>
      </c>
      <c r="I488" s="11" t="n">
        <f aca="false">IF(D488=1,SUMIFS(Benefits!$S$4:$S$703,Benefits!$B$4:$B$703,A488,Benefits!$F$4:$F$703,B488,Benefits!$R$4:$R$703,"capacity_converted"),0)</f>
        <v>0</v>
      </c>
      <c r="J488" s="11" t="n">
        <f aca="false">SUM(F488:I488)</f>
        <v>173800</v>
      </c>
      <c r="K488" s="11" t="n">
        <f aca="false">J488-E488</f>
        <v>154350</v>
      </c>
      <c r="L488" s="11" t="n">
        <f aca="false">IF(D488=1,L487+K488,0)</f>
        <v>162200</v>
      </c>
      <c r="M488" s="11" t="n">
        <f aca="false">IF(D488=1,1/(1+Controls!$B$11)^B488,0)</f>
        <v>0.902475042556374</v>
      </c>
      <c r="N488" s="11" t="n">
        <f aca="false">K488*M488</f>
        <v>139297.022818576</v>
      </c>
      <c r="O488" s="11" t="n">
        <f aca="false">IF(D488=1,O487+N488,0)</f>
        <v>94371.7000604966</v>
      </c>
      <c r="P488" s="11" t="n">
        <f aca="false">IF(AND(D488=1,L488&lt;0),1,0)</f>
        <v>0</v>
      </c>
      <c r="Q488" s="11" t="n">
        <f aca="false">IF(AND(D488=1,O488&lt;0),1,0)</f>
        <v>0</v>
      </c>
    </row>
    <row r="489" customFormat="false" ht="15" hidden="false" customHeight="false" outlineLevel="0" collapsed="false">
      <c r="A489" s="4" t="s">
        <v>96</v>
      </c>
      <c r="B489" s="4" t="n">
        <v>17</v>
      </c>
      <c r="C489" s="11" t="n">
        <f aca="false">IF(COUNTIF('Scenario inputs'!$A$4:$A$213,Controls!$B$3&amp;"|"&amp;A489)&gt;0,1,0)</f>
        <v>1</v>
      </c>
      <c r="D489" s="11" t="n">
        <f aca="false">IF(AND(C489=1,B489&lt;Controls!$B$12),1,0)</f>
        <v>1</v>
      </c>
      <c r="E489" s="11" t="n">
        <f aca="false">IF(D489=1,SUMPRODUCT((Costs!$B$4:$B$903=A489)*(Costs!$D$4:$D$903="planned")*(Costs!$J$4:$J$903&lt;=B489)*(Costs!$K$4:$K$903&gt;B489)*Costs!$E$4:$E$903),0)</f>
        <v>19450</v>
      </c>
      <c r="F489" s="11" t="n">
        <f aca="false">IF(D489=1,SUMIFS(Benefits!$S$4:$S$703,Benefits!$B$4:$B$703,A489,Benefits!$F$4:$F$703,B489,Benefits!$R$4:$R$703,"cash"),0)</f>
        <v>0</v>
      </c>
      <c r="G489" s="11" t="n">
        <f aca="false">IF(D489=1,SUMIFS(Benefits!$S$4:$S$703,Benefits!$B$4:$B$703,A489,Benefits!$F$4:$F$703,B489,Benefits!$R$4:$R$703,"revenue"),0)</f>
        <v>0</v>
      </c>
      <c r="H489" s="11" t="n">
        <f aca="false">IF(D489=1,SUMIFS(Benefits!$S$4:$S$703,Benefits!$B$4:$B$703,A489,Benefits!$F$4:$F$703,B489,Benefits!$R$4:$R$703,"avoided_cost_realised"),0)</f>
        <v>0</v>
      </c>
      <c r="I489" s="11" t="n">
        <f aca="false">IF(D489=1,SUMIFS(Benefits!$S$4:$S$703,Benefits!$B$4:$B$703,A489,Benefits!$F$4:$F$703,B489,Benefits!$R$4:$R$703,"capacity_converted"),0)</f>
        <v>0</v>
      </c>
      <c r="J489" s="11" t="n">
        <f aca="false">SUM(F489:I489)</f>
        <v>0</v>
      </c>
      <c r="K489" s="11" t="n">
        <f aca="false">J489-E489</f>
        <v>-19450</v>
      </c>
      <c r="L489" s="11" t="n">
        <f aca="false">IF(D489=1,L488+K489,0)</f>
        <v>142750</v>
      </c>
      <c r="M489" s="11" t="n">
        <f aca="false">IF(D489=1,1/(1+Controls!$B$11)^B489,0)</f>
        <v>0.896705638478404</v>
      </c>
      <c r="N489" s="11" t="n">
        <f aca="false">K489*M489</f>
        <v>-17440.924668405</v>
      </c>
      <c r="O489" s="11" t="n">
        <f aca="false">IF(D489=1,O488+N489,0)</f>
        <v>76930.7753920917</v>
      </c>
      <c r="P489" s="11" t="n">
        <f aca="false">IF(AND(D489=1,L489&lt;0),1,0)</f>
        <v>0</v>
      </c>
      <c r="Q489" s="11" t="n">
        <f aca="false">IF(AND(D489=1,O489&lt;0),1,0)</f>
        <v>0</v>
      </c>
    </row>
    <row r="490" customFormat="false" ht="15" hidden="false" customHeight="false" outlineLevel="0" collapsed="false">
      <c r="A490" s="4" t="s">
        <v>96</v>
      </c>
      <c r="B490" s="4" t="n">
        <v>18</v>
      </c>
      <c r="C490" s="11" t="n">
        <f aca="false">IF(COUNTIF('Scenario inputs'!$A$4:$A$213,Controls!$B$3&amp;"|"&amp;A490)&gt;0,1,0)</f>
        <v>1</v>
      </c>
      <c r="D490" s="11" t="n">
        <f aca="false">IF(AND(C490=1,B490&lt;Controls!$B$12),1,0)</f>
        <v>1</v>
      </c>
      <c r="E490" s="11" t="n">
        <f aca="false">IF(D490=1,SUMPRODUCT((Costs!$B$4:$B$903=A490)*(Costs!$D$4:$D$903="planned")*(Costs!$J$4:$J$903&lt;=B490)*(Costs!$K$4:$K$903&gt;B490)*Costs!$E$4:$E$903),0)</f>
        <v>0</v>
      </c>
      <c r="F490" s="11" t="n">
        <f aca="false">IF(D490=1,SUMIFS(Benefits!$S$4:$S$703,Benefits!$B$4:$B$703,A490,Benefits!$F$4:$F$703,B490,Benefits!$R$4:$R$703,"cash"),0)</f>
        <v>0</v>
      </c>
      <c r="G490" s="11" t="n">
        <f aca="false">IF(D490=1,SUMIFS(Benefits!$S$4:$S$703,Benefits!$B$4:$B$703,A490,Benefits!$F$4:$F$703,B490,Benefits!$R$4:$R$703,"revenue"),0)</f>
        <v>0</v>
      </c>
      <c r="H490" s="11" t="n">
        <f aca="false">IF(D490=1,SUMIFS(Benefits!$S$4:$S$703,Benefits!$B$4:$B$703,A490,Benefits!$F$4:$F$703,B490,Benefits!$R$4:$R$703,"avoided_cost_realised"),0)</f>
        <v>0</v>
      </c>
      <c r="I490" s="11" t="n">
        <f aca="false">IF(D490=1,SUMIFS(Benefits!$S$4:$S$703,Benefits!$B$4:$B$703,A490,Benefits!$F$4:$F$703,B490,Benefits!$R$4:$R$703,"capacity_converted"),0)</f>
        <v>0</v>
      </c>
      <c r="J490" s="11" t="n">
        <f aca="false">SUM(F490:I490)</f>
        <v>0</v>
      </c>
      <c r="K490" s="11" t="n">
        <f aca="false">J490-E490</f>
        <v>0</v>
      </c>
      <c r="L490" s="11" t="n">
        <f aca="false">IF(D490=1,L489+K490,0)</f>
        <v>142750</v>
      </c>
      <c r="M490" s="11" t="n">
        <f aca="false">IF(D490=1,1/(1+Controls!$B$11)^B490,0)</f>
        <v>0.89097311744079</v>
      </c>
      <c r="N490" s="11" t="n">
        <f aca="false">K490*M490</f>
        <v>0</v>
      </c>
      <c r="O490" s="11" t="n">
        <f aca="false">IF(D490=1,O489+N490,0)</f>
        <v>76930.7753920917</v>
      </c>
      <c r="P490" s="11" t="n">
        <f aca="false">IF(AND(D490=1,L490&lt;0),1,0)</f>
        <v>0</v>
      </c>
      <c r="Q490" s="11" t="n">
        <f aca="false">IF(AND(D490=1,O490&lt;0),1,0)</f>
        <v>0</v>
      </c>
    </row>
    <row r="491" customFormat="false" ht="15" hidden="false" customHeight="false" outlineLevel="0" collapsed="false">
      <c r="A491" s="4" t="s">
        <v>96</v>
      </c>
      <c r="B491" s="4" t="n">
        <v>19</v>
      </c>
      <c r="C491" s="11" t="n">
        <f aca="false">IF(COUNTIF('Scenario inputs'!$A$4:$A$213,Controls!$B$3&amp;"|"&amp;A491)&gt;0,1,0)</f>
        <v>1</v>
      </c>
      <c r="D491" s="11" t="n">
        <f aca="false">IF(AND(C491=1,B491&lt;Controls!$B$12),1,0)</f>
        <v>1</v>
      </c>
      <c r="E491" s="11" t="n">
        <f aca="false">IF(D491=1,SUMPRODUCT((Costs!$B$4:$B$903=A491)*(Costs!$D$4:$D$903="planned")*(Costs!$J$4:$J$903&lt;=B491)*(Costs!$K$4:$K$903&gt;B491)*Costs!$E$4:$E$903),0)</f>
        <v>0</v>
      </c>
      <c r="F491" s="11" t="n">
        <f aca="false">IF(D491=1,SUMIFS(Benefits!$S$4:$S$703,Benefits!$B$4:$B$703,A491,Benefits!$F$4:$F$703,B491,Benefits!$R$4:$R$703,"cash"),0)</f>
        <v>0</v>
      </c>
      <c r="G491" s="11" t="n">
        <f aca="false">IF(D491=1,SUMIFS(Benefits!$S$4:$S$703,Benefits!$B$4:$B$703,A491,Benefits!$F$4:$F$703,B491,Benefits!$R$4:$R$703,"revenue"),0)</f>
        <v>0</v>
      </c>
      <c r="H491" s="11" t="n">
        <f aca="false">IF(D491=1,SUMIFS(Benefits!$S$4:$S$703,Benefits!$B$4:$B$703,A491,Benefits!$F$4:$F$703,B491,Benefits!$R$4:$R$703,"avoided_cost_realised"),0)</f>
        <v>0</v>
      </c>
      <c r="I491" s="11" t="n">
        <f aca="false">IF(D491=1,SUMIFS(Benefits!$S$4:$S$703,Benefits!$B$4:$B$703,A491,Benefits!$F$4:$F$703,B491,Benefits!$R$4:$R$703,"capacity_converted"),0)</f>
        <v>0</v>
      </c>
      <c r="J491" s="11" t="n">
        <f aca="false">SUM(F491:I491)</f>
        <v>0</v>
      </c>
      <c r="K491" s="11" t="n">
        <f aca="false">J491-E491</f>
        <v>0</v>
      </c>
      <c r="L491" s="11" t="n">
        <f aca="false">IF(D491=1,L490+K491,0)</f>
        <v>142750</v>
      </c>
      <c r="M491" s="11" t="n">
        <f aca="false">IF(D491=1,1/(1+Controls!$B$11)^B491,0)</f>
        <v>0.885277243655113</v>
      </c>
      <c r="N491" s="11" t="n">
        <f aca="false">K491*M491</f>
        <v>0</v>
      </c>
      <c r="O491" s="11" t="n">
        <f aca="false">IF(D491=1,O490+N491,0)</f>
        <v>76930.7753920917</v>
      </c>
      <c r="P491" s="11" t="n">
        <f aca="false">IF(AND(D491=1,L491&lt;0),1,0)</f>
        <v>0</v>
      </c>
      <c r="Q491" s="11" t="n">
        <f aca="false">IF(AND(D491=1,O491&lt;0),1,0)</f>
        <v>0</v>
      </c>
    </row>
    <row r="492" customFormat="false" ht="15" hidden="false" customHeight="false" outlineLevel="0" collapsed="false">
      <c r="A492" s="4" t="s">
        <v>96</v>
      </c>
      <c r="B492" s="4" t="n">
        <v>20</v>
      </c>
      <c r="C492" s="11" t="n">
        <f aca="false">IF(COUNTIF('Scenario inputs'!$A$4:$A$213,Controls!$B$3&amp;"|"&amp;A492)&gt;0,1,0)</f>
        <v>1</v>
      </c>
      <c r="D492" s="11" t="n">
        <f aca="false">IF(AND(C492=1,B492&lt;Controls!$B$12),1,0)</f>
        <v>1</v>
      </c>
      <c r="E492" s="11" t="n">
        <f aca="false">IF(D492=1,SUMPRODUCT((Costs!$B$4:$B$903=A492)*(Costs!$D$4:$D$903="planned")*(Costs!$J$4:$J$903&lt;=B492)*(Costs!$K$4:$K$903&gt;B492)*Costs!$E$4:$E$903),0)</f>
        <v>0</v>
      </c>
      <c r="F492" s="11" t="n">
        <f aca="false">IF(D492=1,SUMIFS(Benefits!$S$4:$S$703,Benefits!$B$4:$B$703,A492,Benefits!$F$4:$F$703,B492,Benefits!$R$4:$R$703,"cash"),0)</f>
        <v>0</v>
      </c>
      <c r="G492" s="11" t="n">
        <f aca="false">IF(D492=1,SUMIFS(Benefits!$S$4:$S$703,Benefits!$B$4:$B$703,A492,Benefits!$F$4:$F$703,B492,Benefits!$R$4:$R$703,"revenue"),0)</f>
        <v>0</v>
      </c>
      <c r="H492" s="11" t="n">
        <f aca="false">IF(D492=1,SUMIFS(Benefits!$S$4:$S$703,Benefits!$B$4:$B$703,A492,Benefits!$F$4:$F$703,B492,Benefits!$R$4:$R$703,"avoided_cost_realised"),0)</f>
        <v>0</v>
      </c>
      <c r="I492" s="11" t="n">
        <f aca="false">IF(D492=1,SUMIFS(Benefits!$S$4:$S$703,Benefits!$B$4:$B$703,A492,Benefits!$F$4:$F$703,B492,Benefits!$R$4:$R$703,"capacity_converted"),0)</f>
        <v>0</v>
      </c>
      <c r="J492" s="11" t="n">
        <f aca="false">SUM(F492:I492)</f>
        <v>0</v>
      </c>
      <c r="K492" s="11" t="n">
        <f aca="false">J492-E492</f>
        <v>0</v>
      </c>
      <c r="L492" s="11" t="n">
        <f aca="false">IF(D492=1,L491+K492,0)</f>
        <v>142750</v>
      </c>
      <c r="M492" s="11" t="n">
        <f aca="false">IF(D492=1,1/(1+Controls!$B$11)^B492,0)</f>
        <v>0.879617782840318</v>
      </c>
      <c r="N492" s="11" t="n">
        <f aca="false">K492*M492</f>
        <v>0</v>
      </c>
      <c r="O492" s="11" t="n">
        <f aca="false">IF(D492=1,O491+N492,0)</f>
        <v>76930.7753920917</v>
      </c>
      <c r="P492" s="11" t="n">
        <f aca="false">IF(AND(D492=1,L492&lt;0),1,0)</f>
        <v>0</v>
      </c>
      <c r="Q492" s="11" t="n">
        <f aca="false">IF(AND(D492=1,O492&lt;0),1,0)</f>
        <v>0</v>
      </c>
    </row>
    <row r="493" customFormat="false" ht="15" hidden="false" customHeight="false" outlineLevel="0" collapsed="false">
      <c r="A493" s="4" t="s">
        <v>96</v>
      </c>
      <c r="B493" s="4" t="n">
        <v>21</v>
      </c>
      <c r="C493" s="11" t="n">
        <f aca="false">IF(COUNTIF('Scenario inputs'!$A$4:$A$213,Controls!$B$3&amp;"|"&amp;A493)&gt;0,1,0)</f>
        <v>1</v>
      </c>
      <c r="D493" s="11" t="n">
        <f aca="false">IF(AND(C493=1,B493&lt;Controls!$B$12),1,0)</f>
        <v>1</v>
      </c>
      <c r="E493" s="11" t="n">
        <f aca="false">IF(D493=1,SUMPRODUCT((Costs!$B$4:$B$903=A493)*(Costs!$D$4:$D$903="planned")*(Costs!$J$4:$J$903&lt;=B493)*(Costs!$K$4:$K$903&gt;B493)*Costs!$E$4:$E$903),0)</f>
        <v>0</v>
      </c>
      <c r="F493" s="11" t="n">
        <f aca="false">IF(D493=1,SUMIFS(Benefits!$S$4:$S$703,Benefits!$B$4:$B$703,A493,Benefits!$F$4:$F$703,B493,Benefits!$R$4:$R$703,"cash"),0)</f>
        <v>0</v>
      </c>
      <c r="G493" s="11" t="n">
        <f aca="false">IF(D493=1,SUMIFS(Benefits!$S$4:$S$703,Benefits!$B$4:$B$703,A493,Benefits!$F$4:$F$703,B493,Benefits!$R$4:$R$703,"revenue"),0)</f>
        <v>0</v>
      </c>
      <c r="H493" s="11" t="n">
        <f aca="false">IF(D493=1,SUMIFS(Benefits!$S$4:$S$703,Benefits!$B$4:$B$703,A493,Benefits!$F$4:$F$703,B493,Benefits!$R$4:$R$703,"avoided_cost_realised"),0)</f>
        <v>0</v>
      </c>
      <c r="I493" s="11" t="n">
        <f aca="false">IF(D493=1,SUMIFS(Benefits!$S$4:$S$703,Benefits!$B$4:$B$703,A493,Benefits!$F$4:$F$703,B493,Benefits!$R$4:$R$703,"capacity_converted"),0)</f>
        <v>0</v>
      </c>
      <c r="J493" s="11" t="n">
        <f aca="false">SUM(F493:I493)</f>
        <v>0</v>
      </c>
      <c r="K493" s="11" t="n">
        <f aca="false">J493-E493</f>
        <v>0</v>
      </c>
      <c r="L493" s="11" t="n">
        <f aca="false">IF(D493=1,L492+K493,0)</f>
        <v>142750</v>
      </c>
      <c r="M493" s="11" t="n">
        <f aca="false">IF(D493=1,1/(1+Controls!$B$11)^B493,0)</f>
        <v>0.873994502213079</v>
      </c>
      <c r="N493" s="11" t="n">
        <f aca="false">K493*M493</f>
        <v>0</v>
      </c>
      <c r="O493" s="11" t="n">
        <f aca="false">IF(D493=1,O492+N493,0)</f>
        <v>76930.7753920917</v>
      </c>
      <c r="P493" s="11" t="n">
        <f aca="false">IF(AND(D493=1,L493&lt;0),1,0)</f>
        <v>0</v>
      </c>
      <c r="Q493" s="11" t="n">
        <f aca="false">IF(AND(D493=1,O493&lt;0),1,0)</f>
        <v>0</v>
      </c>
    </row>
    <row r="494" customFormat="false" ht="15" hidden="false" customHeight="false" outlineLevel="0" collapsed="false">
      <c r="A494" s="4" t="s">
        <v>96</v>
      </c>
      <c r="B494" s="4" t="n">
        <v>22</v>
      </c>
      <c r="C494" s="11" t="n">
        <f aca="false">IF(COUNTIF('Scenario inputs'!$A$4:$A$213,Controls!$B$3&amp;"|"&amp;A494)&gt;0,1,0)</f>
        <v>1</v>
      </c>
      <c r="D494" s="11" t="n">
        <f aca="false">IF(AND(C494=1,B494&lt;Controls!$B$12),1,0)</f>
        <v>1</v>
      </c>
      <c r="E494" s="11" t="n">
        <f aca="false">IF(D494=1,SUMPRODUCT((Costs!$B$4:$B$903=A494)*(Costs!$D$4:$D$903="planned")*(Costs!$J$4:$J$903&lt;=B494)*(Costs!$K$4:$K$903&gt;B494)*Costs!$E$4:$E$903),0)</f>
        <v>0</v>
      </c>
      <c r="F494" s="11" t="n">
        <f aca="false">IF(D494=1,SUMIFS(Benefits!$S$4:$S$703,Benefits!$B$4:$B$703,A494,Benefits!$F$4:$F$703,B494,Benefits!$R$4:$R$703,"cash"),0)</f>
        <v>0</v>
      </c>
      <c r="G494" s="11" t="n">
        <f aca="false">IF(D494=1,SUMIFS(Benefits!$S$4:$S$703,Benefits!$B$4:$B$703,A494,Benefits!$F$4:$F$703,B494,Benefits!$R$4:$R$703,"revenue"),0)</f>
        <v>0</v>
      </c>
      <c r="H494" s="11" t="n">
        <f aca="false">IF(D494=1,SUMIFS(Benefits!$S$4:$S$703,Benefits!$B$4:$B$703,A494,Benefits!$F$4:$F$703,B494,Benefits!$R$4:$R$703,"avoided_cost_realised"),0)</f>
        <v>0</v>
      </c>
      <c r="I494" s="11" t="n">
        <f aca="false">IF(D494=1,SUMIFS(Benefits!$S$4:$S$703,Benefits!$B$4:$B$703,A494,Benefits!$F$4:$F$703,B494,Benefits!$R$4:$R$703,"capacity_converted"),0)</f>
        <v>0</v>
      </c>
      <c r="J494" s="11" t="n">
        <f aca="false">SUM(F494:I494)</f>
        <v>0</v>
      </c>
      <c r="K494" s="11" t="n">
        <f aca="false">J494-E494</f>
        <v>0</v>
      </c>
      <c r="L494" s="11" t="n">
        <f aca="false">IF(D494=1,L493+K494,0)</f>
        <v>142750</v>
      </c>
      <c r="M494" s="11" t="n">
        <f aca="false">IF(D494=1,1/(1+Controls!$B$11)^B494,0)</f>
        <v>0.868407170478222</v>
      </c>
      <c r="N494" s="11" t="n">
        <f aca="false">K494*M494</f>
        <v>0</v>
      </c>
      <c r="O494" s="11" t="n">
        <f aca="false">IF(D494=1,O493+N494,0)</f>
        <v>76930.7753920917</v>
      </c>
      <c r="P494" s="11" t="n">
        <f aca="false">IF(AND(D494=1,L494&lt;0),1,0)</f>
        <v>0</v>
      </c>
      <c r="Q494" s="11" t="n">
        <f aca="false">IF(AND(D494=1,O494&lt;0),1,0)</f>
        <v>0</v>
      </c>
    </row>
    <row r="495" customFormat="false" ht="15" hidden="false" customHeight="false" outlineLevel="0" collapsed="false">
      <c r="A495" s="4" t="s">
        <v>96</v>
      </c>
      <c r="B495" s="4" t="n">
        <v>23</v>
      </c>
      <c r="C495" s="11" t="n">
        <f aca="false">IF(COUNTIF('Scenario inputs'!$A$4:$A$213,Controls!$B$3&amp;"|"&amp;A495)&gt;0,1,0)</f>
        <v>1</v>
      </c>
      <c r="D495" s="11" t="n">
        <f aca="false">IF(AND(C495=1,B495&lt;Controls!$B$12),1,0)</f>
        <v>1</v>
      </c>
      <c r="E495" s="11" t="n">
        <f aca="false">IF(D495=1,SUMPRODUCT((Costs!$B$4:$B$903=A495)*(Costs!$D$4:$D$903="planned")*(Costs!$J$4:$J$903&lt;=B495)*(Costs!$K$4:$K$903&gt;B495)*Costs!$E$4:$E$903),0)</f>
        <v>0</v>
      </c>
      <c r="F495" s="11" t="n">
        <f aca="false">IF(D495=1,SUMIFS(Benefits!$S$4:$S$703,Benefits!$B$4:$B$703,A495,Benefits!$F$4:$F$703,B495,Benefits!$R$4:$R$703,"cash"),0)</f>
        <v>0</v>
      </c>
      <c r="G495" s="11" t="n">
        <f aca="false">IF(D495=1,SUMIFS(Benefits!$S$4:$S$703,Benefits!$B$4:$B$703,A495,Benefits!$F$4:$F$703,B495,Benefits!$R$4:$R$703,"revenue"),0)</f>
        <v>0</v>
      </c>
      <c r="H495" s="11" t="n">
        <f aca="false">IF(D495=1,SUMIFS(Benefits!$S$4:$S$703,Benefits!$B$4:$B$703,A495,Benefits!$F$4:$F$703,B495,Benefits!$R$4:$R$703,"avoided_cost_realised"),0)</f>
        <v>0</v>
      </c>
      <c r="I495" s="11" t="n">
        <f aca="false">IF(D495=1,SUMIFS(Benefits!$S$4:$S$703,Benefits!$B$4:$B$703,A495,Benefits!$F$4:$F$703,B495,Benefits!$R$4:$R$703,"capacity_converted"),0)</f>
        <v>0</v>
      </c>
      <c r="J495" s="11" t="n">
        <f aca="false">SUM(F495:I495)</f>
        <v>0</v>
      </c>
      <c r="K495" s="11" t="n">
        <f aca="false">J495-E495</f>
        <v>0</v>
      </c>
      <c r="L495" s="11" t="n">
        <f aca="false">IF(D495=1,L494+K495,0)</f>
        <v>142750</v>
      </c>
      <c r="M495" s="11" t="n">
        <f aca="false">IF(D495=1,1/(1+Controls!$B$11)^B495,0)</f>
        <v>0.862855557819213</v>
      </c>
      <c r="N495" s="11" t="n">
        <f aca="false">K495*M495</f>
        <v>0</v>
      </c>
      <c r="O495" s="11" t="n">
        <f aca="false">IF(D495=1,O494+N495,0)</f>
        <v>76930.7753920917</v>
      </c>
      <c r="P495" s="11" t="n">
        <f aca="false">IF(AND(D495=1,L495&lt;0),1,0)</f>
        <v>0</v>
      </c>
      <c r="Q495" s="11" t="n">
        <f aca="false">IF(AND(D495=1,O495&lt;0),1,0)</f>
        <v>0</v>
      </c>
    </row>
    <row r="496" customFormat="false" ht="15" hidden="false" customHeight="false" outlineLevel="0" collapsed="false">
      <c r="A496" s="4" t="s">
        <v>96</v>
      </c>
      <c r="B496" s="4" t="n">
        <v>24</v>
      </c>
      <c r="C496" s="11" t="n">
        <f aca="false">IF(COUNTIF('Scenario inputs'!$A$4:$A$213,Controls!$B$3&amp;"|"&amp;A496)&gt;0,1,0)</f>
        <v>1</v>
      </c>
      <c r="D496" s="11" t="n">
        <f aca="false">IF(AND(C496=1,B496&lt;Controls!$B$12),1,0)</f>
        <v>1</v>
      </c>
      <c r="E496" s="11" t="n">
        <f aca="false">IF(D496=1,SUMPRODUCT((Costs!$B$4:$B$903=A496)*(Costs!$D$4:$D$903="planned")*(Costs!$J$4:$J$903&lt;=B496)*(Costs!$K$4:$K$903&gt;B496)*Costs!$E$4:$E$903),0)</f>
        <v>0</v>
      </c>
      <c r="F496" s="11" t="n">
        <f aca="false">IF(D496=1,SUMIFS(Benefits!$S$4:$S$703,Benefits!$B$4:$B$703,A496,Benefits!$F$4:$F$703,B496,Benefits!$R$4:$R$703,"cash"),0)</f>
        <v>0</v>
      </c>
      <c r="G496" s="11" t="n">
        <f aca="false">IF(D496=1,SUMIFS(Benefits!$S$4:$S$703,Benefits!$B$4:$B$703,A496,Benefits!$F$4:$F$703,B496,Benefits!$R$4:$R$703,"revenue"),0)</f>
        <v>0</v>
      </c>
      <c r="H496" s="11" t="n">
        <f aca="false">IF(D496=1,SUMIFS(Benefits!$S$4:$S$703,Benefits!$B$4:$B$703,A496,Benefits!$F$4:$F$703,B496,Benefits!$R$4:$R$703,"avoided_cost_realised"),0)</f>
        <v>0</v>
      </c>
      <c r="I496" s="11" t="n">
        <f aca="false">IF(D496=1,SUMIFS(Benefits!$S$4:$S$703,Benefits!$B$4:$B$703,A496,Benefits!$F$4:$F$703,B496,Benefits!$R$4:$R$703,"capacity_converted"),0)</f>
        <v>0</v>
      </c>
      <c r="J496" s="11" t="n">
        <f aca="false">SUM(F496:I496)</f>
        <v>0</v>
      </c>
      <c r="K496" s="11" t="n">
        <f aca="false">J496-E496</f>
        <v>0</v>
      </c>
      <c r="L496" s="11" t="n">
        <f aca="false">IF(D496=1,L495+K496,0)</f>
        <v>142750</v>
      </c>
      <c r="M496" s="11" t="n">
        <f aca="false">IF(D496=1,1/(1+Controls!$B$11)^B496,0)</f>
        <v>0.857339435888705</v>
      </c>
      <c r="N496" s="11" t="n">
        <f aca="false">K496*M496</f>
        <v>0</v>
      </c>
      <c r="O496" s="11" t="n">
        <f aca="false">IF(D496=1,O495+N496,0)</f>
        <v>76930.7753920917</v>
      </c>
      <c r="P496" s="11" t="n">
        <f aca="false">IF(AND(D496=1,L496&lt;0),1,0)</f>
        <v>0</v>
      </c>
      <c r="Q496" s="11" t="n">
        <f aca="false">IF(AND(D496=1,O496&lt;0),1,0)</f>
        <v>0</v>
      </c>
    </row>
    <row r="497" customFormat="false" ht="15" hidden="false" customHeight="false" outlineLevel="0" collapsed="false">
      <c r="A497" s="4" t="s">
        <v>96</v>
      </c>
      <c r="B497" s="4" t="n">
        <v>25</v>
      </c>
      <c r="C497" s="11" t="n">
        <f aca="false">IF(COUNTIF('Scenario inputs'!$A$4:$A$213,Controls!$B$3&amp;"|"&amp;A497)&gt;0,1,0)</f>
        <v>1</v>
      </c>
      <c r="D497" s="11" t="n">
        <f aca="false">IF(AND(C497=1,B497&lt;Controls!$B$12),1,0)</f>
        <v>1</v>
      </c>
      <c r="E497" s="11" t="n">
        <f aca="false">IF(D497=1,SUMPRODUCT((Costs!$B$4:$B$903=A497)*(Costs!$D$4:$D$903="planned")*(Costs!$J$4:$J$903&lt;=B497)*(Costs!$K$4:$K$903&gt;B497)*Costs!$E$4:$E$903),0)</f>
        <v>0</v>
      </c>
      <c r="F497" s="11" t="n">
        <f aca="false">IF(D497=1,SUMIFS(Benefits!$S$4:$S$703,Benefits!$B$4:$B$703,A497,Benefits!$F$4:$F$703,B497,Benefits!$R$4:$R$703,"cash"),0)</f>
        <v>0</v>
      </c>
      <c r="G497" s="11" t="n">
        <f aca="false">IF(D497=1,SUMIFS(Benefits!$S$4:$S$703,Benefits!$B$4:$B$703,A497,Benefits!$F$4:$F$703,B497,Benefits!$R$4:$R$703,"revenue"),0)</f>
        <v>0</v>
      </c>
      <c r="H497" s="11" t="n">
        <f aca="false">IF(D497=1,SUMIFS(Benefits!$S$4:$S$703,Benefits!$B$4:$B$703,A497,Benefits!$F$4:$F$703,B497,Benefits!$R$4:$R$703,"avoided_cost_realised"),0)</f>
        <v>0</v>
      </c>
      <c r="I497" s="11" t="n">
        <f aca="false">IF(D497=1,SUMIFS(Benefits!$S$4:$S$703,Benefits!$B$4:$B$703,A497,Benefits!$F$4:$F$703,B497,Benefits!$R$4:$R$703,"capacity_converted"),0)</f>
        <v>0</v>
      </c>
      <c r="J497" s="11" t="n">
        <f aca="false">SUM(F497:I497)</f>
        <v>0</v>
      </c>
      <c r="K497" s="11" t="n">
        <f aca="false">J497-E497</f>
        <v>0</v>
      </c>
      <c r="L497" s="11" t="n">
        <f aca="false">IF(D497=1,L496+K497,0)</f>
        <v>142750</v>
      </c>
      <c r="M497" s="11" t="n">
        <f aca="false">IF(D497=1,1/(1+Controls!$B$11)^B497,0)</f>
        <v>0.851858577799146</v>
      </c>
      <c r="N497" s="11" t="n">
        <f aca="false">K497*M497</f>
        <v>0</v>
      </c>
      <c r="O497" s="11" t="n">
        <f aca="false">IF(D497=1,O496+N497,0)</f>
        <v>76930.7753920917</v>
      </c>
      <c r="P497" s="11" t="n">
        <f aca="false">IF(AND(D497=1,L497&lt;0),1,0)</f>
        <v>0</v>
      </c>
      <c r="Q497" s="11" t="n">
        <f aca="false">IF(AND(D497=1,O497&lt;0),1,0)</f>
        <v>0</v>
      </c>
    </row>
    <row r="498" customFormat="false" ht="15" hidden="false" customHeight="false" outlineLevel="0" collapsed="false">
      <c r="A498" s="4" t="s">
        <v>96</v>
      </c>
      <c r="B498" s="4" t="n">
        <v>26</v>
      </c>
      <c r="C498" s="11" t="n">
        <f aca="false">IF(COUNTIF('Scenario inputs'!$A$4:$A$213,Controls!$B$3&amp;"|"&amp;A498)&gt;0,1,0)</f>
        <v>1</v>
      </c>
      <c r="D498" s="11" t="n">
        <f aca="false">IF(AND(C498=1,B498&lt;Controls!$B$12),1,0)</f>
        <v>1</v>
      </c>
      <c r="E498" s="11" t="n">
        <f aca="false">IF(D498=1,SUMPRODUCT((Costs!$B$4:$B$903=A498)*(Costs!$D$4:$D$903="planned")*(Costs!$J$4:$J$903&lt;=B498)*(Costs!$K$4:$K$903&gt;B498)*Costs!$E$4:$E$903),0)</f>
        <v>0</v>
      </c>
      <c r="F498" s="11" t="n">
        <f aca="false">IF(D498=1,SUMIFS(Benefits!$S$4:$S$703,Benefits!$B$4:$B$703,A498,Benefits!$F$4:$F$703,B498,Benefits!$R$4:$R$703,"cash"),0)</f>
        <v>0</v>
      </c>
      <c r="G498" s="11" t="n">
        <f aca="false">IF(D498=1,SUMIFS(Benefits!$S$4:$S$703,Benefits!$B$4:$B$703,A498,Benefits!$F$4:$F$703,B498,Benefits!$R$4:$R$703,"revenue"),0)</f>
        <v>0</v>
      </c>
      <c r="H498" s="11" t="n">
        <f aca="false">IF(D498=1,SUMIFS(Benefits!$S$4:$S$703,Benefits!$B$4:$B$703,A498,Benefits!$F$4:$F$703,B498,Benefits!$R$4:$R$703,"avoided_cost_realised"),0)</f>
        <v>0</v>
      </c>
      <c r="I498" s="11" t="n">
        <f aca="false">IF(D498=1,SUMIFS(Benefits!$S$4:$S$703,Benefits!$B$4:$B$703,A498,Benefits!$F$4:$F$703,B498,Benefits!$R$4:$R$703,"capacity_converted"),0)</f>
        <v>0</v>
      </c>
      <c r="J498" s="11" t="n">
        <f aca="false">SUM(F498:I498)</f>
        <v>0</v>
      </c>
      <c r="K498" s="11" t="n">
        <f aca="false">J498-E498</f>
        <v>0</v>
      </c>
      <c r="L498" s="11" t="n">
        <f aca="false">IF(D498=1,L497+K498,0)</f>
        <v>142750</v>
      </c>
      <c r="M498" s="11" t="n">
        <f aca="false">IF(D498=1,1/(1+Controls!$B$11)^B498,0)</f>
        <v>0.846412758113444</v>
      </c>
      <c r="N498" s="11" t="n">
        <f aca="false">K498*M498</f>
        <v>0</v>
      </c>
      <c r="O498" s="11" t="n">
        <f aca="false">IF(D498=1,O497+N498,0)</f>
        <v>76930.7753920917</v>
      </c>
      <c r="P498" s="11" t="n">
        <f aca="false">IF(AND(D498=1,L498&lt;0),1,0)</f>
        <v>0</v>
      </c>
      <c r="Q498" s="11" t="n">
        <f aca="false">IF(AND(D498=1,O498&lt;0),1,0)</f>
        <v>0</v>
      </c>
    </row>
    <row r="499" customFormat="false" ht="15" hidden="false" customHeight="false" outlineLevel="0" collapsed="false">
      <c r="A499" s="4" t="s">
        <v>96</v>
      </c>
      <c r="B499" s="4" t="n">
        <v>27</v>
      </c>
      <c r="C499" s="11" t="n">
        <f aca="false">IF(COUNTIF('Scenario inputs'!$A$4:$A$213,Controls!$B$3&amp;"|"&amp;A499)&gt;0,1,0)</f>
        <v>1</v>
      </c>
      <c r="D499" s="11" t="n">
        <f aca="false">IF(AND(C499=1,B499&lt;Controls!$B$12),1,0)</f>
        <v>1</v>
      </c>
      <c r="E499" s="11" t="n">
        <f aca="false">IF(D499=1,SUMPRODUCT((Costs!$B$4:$B$903=A499)*(Costs!$D$4:$D$903="planned")*(Costs!$J$4:$J$903&lt;=B499)*(Costs!$K$4:$K$903&gt;B499)*Costs!$E$4:$E$903),0)</f>
        <v>0</v>
      </c>
      <c r="F499" s="11" t="n">
        <f aca="false">IF(D499=1,SUMIFS(Benefits!$S$4:$S$703,Benefits!$B$4:$B$703,A499,Benefits!$F$4:$F$703,B499,Benefits!$R$4:$R$703,"cash"),0)</f>
        <v>0</v>
      </c>
      <c r="G499" s="11" t="n">
        <f aca="false">IF(D499=1,SUMIFS(Benefits!$S$4:$S$703,Benefits!$B$4:$B$703,A499,Benefits!$F$4:$F$703,B499,Benefits!$R$4:$R$703,"revenue"),0)</f>
        <v>0</v>
      </c>
      <c r="H499" s="11" t="n">
        <f aca="false">IF(D499=1,SUMIFS(Benefits!$S$4:$S$703,Benefits!$B$4:$B$703,A499,Benefits!$F$4:$F$703,B499,Benefits!$R$4:$R$703,"avoided_cost_realised"),0)</f>
        <v>0</v>
      </c>
      <c r="I499" s="11" t="n">
        <f aca="false">IF(D499=1,SUMIFS(Benefits!$S$4:$S$703,Benefits!$B$4:$B$703,A499,Benefits!$F$4:$F$703,B499,Benefits!$R$4:$R$703,"capacity_converted"),0)</f>
        <v>0</v>
      </c>
      <c r="J499" s="11" t="n">
        <f aca="false">SUM(F499:I499)</f>
        <v>0</v>
      </c>
      <c r="K499" s="11" t="n">
        <f aca="false">J499-E499</f>
        <v>0</v>
      </c>
      <c r="L499" s="11" t="n">
        <f aca="false">IF(D499=1,L498+K499,0)</f>
        <v>142750</v>
      </c>
      <c r="M499" s="11" t="n">
        <f aca="false">IF(D499=1,1/(1+Controls!$B$11)^B499,0)</f>
        <v>0.841001752835699</v>
      </c>
      <c r="N499" s="11" t="n">
        <f aca="false">K499*M499</f>
        <v>0</v>
      </c>
      <c r="O499" s="11" t="n">
        <f aca="false">IF(D499=1,O498+N499,0)</f>
        <v>76930.7753920917</v>
      </c>
      <c r="P499" s="11" t="n">
        <f aca="false">IF(AND(D499=1,L499&lt;0),1,0)</f>
        <v>0</v>
      </c>
      <c r="Q499" s="11" t="n">
        <f aca="false">IF(AND(D499=1,O499&lt;0),1,0)</f>
        <v>0</v>
      </c>
    </row>
    <row r="500" customFormat="false" ht="15" hidden="false" customHeight="false" outlineLevel="0" collapsed="false">
      <c r="A500" s="4" t="s">
        <v>96</v>
      </c>
      <c r="B500" s="4" t="n">
        <v>28</v>
      </c>
      <c r="C500" s="11" t="n">
        <f aca="false">IF(COUNTIF('Scenario inputs'!$A$4:$A$213,Controls!$B$3&amp;"|"&amp;A500)&gt;0,1,0)</f>
        <v>1</v>
      </c>
      <c r="D500" s="11" t="n">
        <f aca="false">IF(AND(C500=1,B500&lt;Controls!$B$12),1,0)</f>
        <v>1</v>
      </c>
      <c r="E500" s="11" t="n">
        <f aca="false">IF(D500=1,SUMPRODUCT((Costs!$B$4:$B$903=A500)*(Costs!$D$4:$D$903="planned")*(Costs!$J$4:$J$903&lt;=B500)*(Costs!$K$4:$K$903&gt;B500)*Costs!$E$4:$E$903),0)</f>
        <v>0</v>
      </c>
      <c r="F500" s="11" t="n">
        <f aca="false">IF(D500=1,SUMIFS(Benefits!$S$4:$S$703,Benefits!$B$4:$B$703,A500,Benefits!$F$4:$F$703,B500,Benefits!$R$4:$R$703,"cash"),0)</f>
        <v>0</v>
      </c>
      <c r="G500" s="11" t="n">
        <f aca="false">IF(D500=1,SUMIFS(Benefits!$S$4:$S$703,Benefits!$B$4:$B$703,A500,Benefits!$F$4:$F$703,B500,Benefits!$R$4:$R$703,"revenue"),0)</f>
        <v>0</v>
      </c>
      <c r="H500" s="11" t="n">
        <f aca="false">IF(D500=1,SUMIFS(Benefits!$S$4:$S$703,Benefits!$B$4:$B$703,A500,Benefits!$F$4:$F$703,B500,Benefits!$R$4:$R$703,"avoided_cost_realised"),0)</f>
        <v>0</v>
      </c>
      <c r="I500" s="11" t="n">
        <f aca="false">IF(D500=1,SUMIFS(Benefits!$S$4:$S$703,Benefits!$B$4:$B$703,A500,Benefits!$F$4:$F$703,B500,Benefits!$R$4:$R$703,"capacity_converted"),0)</f>
        <v>0</v>
      </c>
      <c r="J500" s="11" t="n">
        <f aca="false">SUM(F500:I500)</f>
        <v>0</v>
      </c>
      <c r="K500" s="11" t="n">
        <f aca="false">J500-E500</f>
        <v>0</v>
      </c>
      <c r="L500" s="11" t="n">
        <f aca="false">IF(D500=1,L499+K500,0)</f>
        <v>142750</v>
      </c>
      <c r="M500" s="11" t="n">
        <f aca="false">IF(D500=1,1/(1+Controls!$B$11)^B500,0)</f>
        <v>0.835625339401986</v>
      </c>
      <c r="N500" s="11" t="n">
        <f aca="false">K500*M500</f>
        <v>0</v>
      </c>
      <c r="O500" s="11" t="n">
        <f aca="false">IF(D500=1,O499+N500,0)</f>
        <v>76930.7753920917</v>
      </c>
      <c r="P500" s="11" t="n">
        <f aca="false">IF(AND(D500=1,L500&lt;0),1,0)</f>
        <v>0</v>
      </c>
      <c r="Q500" s="11" t="n">
        <f aca="false">IF(AND(D500=1,O500&lt;0),1,0)</f>
        <v>0</v>
      </c>
    </row>
    <row r="501" customFormat="false" ht="15" hidden="false" customHeight="false" outlineLevel="0" collapsed="false">
      <c r="A501" s="4" t="s">
        <v>96</v>
      </c>
      <c r="B501" s="4" t="n">
        <v>29</v>
      </c>
      <c r="C501" s="11" t="n">
        <f aca="false">IF(COUNTIF('Scenario inputs'!$A$4:$A$213,Controls!$B$3&amp;"|"&amp;A501)&gt;0,1,0)</f>
        <v>1</v>
      </c>
      <c r="D501" s="11" t="n">
        <f aca="false">IF(AND(C501=1,B501&lt;Controls!$B$12),1,0)</f>
        <v>1</v>
      </c>
      <c r="E501" s="11" t="n">
        <f aca="false">IF(D501=1,SUMPRODUCT((Costs!$B$4:$B$903=A501)*(Costs!$D$4:$D$903="planned")*(Costs!$J$4:$J$903&lt;=B501)*(Costs!$K$4:$K$903&gt;B501)*Costs!$E$4:$E$903),0)</f>
        <v>0</v>
      </c>
      <c r="F501" s="11" t="n">
        <f aca="false">IF(D501=1,SUMIFS(Benefits!$S$4:$S$703,Benefits!$B$4:$B$703,A501,Benefits!$F$4:$F$703,B501,Benefits!$R$4:$R$703,"cash"),0)</f>
        <v>0</v>
      </c>
      <c r="G501" s="11" t="n">
        <f aca="false">IF(D501=1,SUMIFS(Benefits!$S$4:$S$703,Benefits!$B$4:$B$703,A501,Benefits!$F$4:$F$703,B501,Benefits!$R$4:$R$703,"revenue"),0)</f>
        <v>0</v>
      </c>
      <c r="H501" s="11" t="n">
        <f aca="false">IF(D501=1,SUMIFS(Benefits!$S$4:$S$703,Benefits!$B$4:$B$703,A501,Benefits!$F$4:$F$703,B501,Benefits!$R$4:$R$703,"avoided_cost_realised"),0)</f>
        <v>0</v>
      </c>
      <c r="I501" s="11" t="n">
        <f aca="false">IF(D501=1,SUMIFS(Benefits!$S$4:$S$703,Benefits!$B$4:$B$703,A501,Benefits!$F$4:$F$703,B501,Benefits!$R$4:$R$703,"capacity_converted"),0)</f>
        <v>0</v>
      </c>
      <c r="J501" s="11" t="n">
        <f aca="false">SUM(F501:I501)</f>
        <v>0</v>
      </c>
      <c r="K501" s="11" t="n">
        <f aca="false">J501-E501</f>
        <v>0</v>
      </c>
      <c r="L501" s="11" t="n">
        <f aca="false">IF(D501=1,L500+K501,0)</f>
        <v>142750</v>
      </c>
      <c r="M501" s="11" t="n">
        <f aca="false">IF(D501=1,1/(1+Controls!$B$11)^B501,0)</f>
        <v>0.830283296671204</v>
      </c>
      <c r="N501" s="11" t="n">
        <f aca="false">K501*M501</f>
        <v>0</v>
      </c>
      <c r="O501" s="11" t="n">
        <f aca="false">IF(D501=1,O500+N501,0)</f>
        <v>76930.7753920917</v>
      </c>
      <c r="P501" s="11" t="n">
        <f aca="false">IF(AND(D501=1,L501&lt;0),1,0)</f>
        <v>0</v>
      </c>
      <c r="Q501" s="11" t="n">
        <f aca="false">IF(AND(D501=1,O501&lt;0),1,0)</f>
        <v>0</v>
      </c>
    </row>
    <row r="502" customFormat="false" ht="15" hidden="false" customHeight="false" outlineLevel="0" collapsed="false">
      <c r="A502" s="4" t="s">
        <v>96</v>
      </c>
      <c r="B502" s="4" t="n">
        <v>30</v>
      </c>
      <c r="C502" s="11" t="n">
        <f aca="false">IF(COUNTIF('Scenario inputs'!$A$4:$A$213,Controls!$B$3&amp;"|"&amp;A502)&gt;0,1,0)</f>
        <v>1</v>
      </c>
      <c r="D502" s="11" t="n">
        <f aca="false">IF(AND(C502=1,B502&lt;Controls!$B$12),1,0)</f>
        <v>1</v>
      </c>
      <c r="E502" s="11" t="n">
        <f aca="false">IF(D502=1,SUMPRODUCT((Costs!$B$4:$B$903=A502)*(Costs!$D$4:$D$903="planned")*(Costs!$J$4:$J$903&lt;=B502)*(Costs!$K$4:$K$903&gt;B502)*Costs!$E$4:$E$903),0)</f>
        <v>0</v>
      </c>
      <c r="F502" s="11" t="n">
        <f aca="false">IF(D502=1,SUMIFS(Benefits!$S$4:$S$703,Benefits!$B$4:$B$703,A502,Benefits!$F$4:$F$703,B502,Benefits!$R$4:$R$703,"cash"),0)</f>
        <v>0</v>
      </c>
      <c r="G502" s="11" t="n">
        <f aca="false">IF(D502=1,SUMIFS(Benefits!$S$4:$S$703,Benefits!$B$4:$B$703,A502,Benefits!$F$4:$F$703,B502,Benefits!$R$4:$R$703,"revenue"),0)</f>
        <v>0</v>
      </c>
      <c r="H502" s="11" t="n">
        <f aca="false">IF(D502=1,SUMIFS(Benefits!$S$4:$S$703,Benefits!$B$4:$B$703,A502,Benefits!$F$4:$F$703,B502,Benefits!$R$4:$R$703,"avoided_cost_realised"),0)</f>
        <v>0</v>
      </c>
      <c r="I502" s="11" t="n">
        <f aca="false">IF(D502=1,SUMIFS(Benefits!$S$4:$S$703,Benefits!$B$4:$B$703,A502,Benefits!$F$4:$F$703,B502,Benefits!$R$4:$R$703,"capacity_converted"),0)</f>
        <v>0</v>
      </c>
      <c r="J502" s="11" t="n">
        <f aca="false">SUM(F502:I502)</f>
        <v>0</v>
      </c>
      <c r="K502" s="11" t="n">
        <f aca="false">J502-E502</f>
        <v>0</v>
      </c>
      <c r="L502" s="11" t="n">
        <f aca="false">IF(D502=1,L501+K502,0)</f>
        <v>142750</v>
      </c>
      <c r="M502" s="11" t="n">
        <f aca="false">IF(D502=1,1/(1+Controls!$B$11)^B502,0)</f>
        <v>0.824975404915974</v>
      </c>
      <c r="N502" s="11" t="n">
        <f aca="false">K502*M502</f>
        <v>0</v>
      </c>
      <c r="O502" s="11" t="n">
        <f aca="false">IF(D502=1,O501+N502,0)</f>
        <v>76930.7753920917</v>
      </c>
      <c r="P502" s="11" t="n">
        <f aca="false">IF(AND(D502=1,L502&lt;0),1,0)</f>
        <v>0</v>
      </c>
      <c r="Q502" s="11" t="n">
        <f aca="false">IF(AND(D502=1,O502&lt;0),1,0)</f>
        <v>0</v>
      </c>
    </row>
    <row r="503" customFormat="false" ht="15" hidden="false" customHeight="false" outlineLevel="0" collapsed="false">
      <c r="A503" s="4" t="s">
        <v>96</v>
      </c>
      <c r="B503" s="4" t="n">
        <v>31</v>
      </c>
      <c r="C503" s="11" t="n">
        <f aca="false">IF(COUNTIF('Scenario inputs'!$A$4:$A$213,Controls!$B$3&amp;"|"&amp;A503)&gt;0,1,0)</f>
        <v>1</v>
      </c>
      <c r="D503" s="11" t="n">
        <f aca="false">IF(AND(C503=1,B503&lt;Controls!$B$12),1,0)</f>
        <v>1</v>
      </c>
      <c r="E503" s="11" t="n">
        <f aca="false">IF(D503=1,SUMPRODUCT((Costs!$B$4:$B$903=A503)*(Costs!$D$4:$D$903="planned")*(Costs!$J$4:$J$903&lt;=B503)*(Costs!$K$4:$K$903&gt;B503)*Costs!$E$4:$E$903),0)</f>
        <v>0</v>
      </c>
      <c r="F503" s="11" t="n">
        <f aca="false">IF(D503=1,SUMIFS(Benefits!$S$4:$S$703,Benefits!$B$4:$B$703,A503,Benefits!$F$4:$F$703,B503,Benefits!$R$4:$R$703,"cash"),0)</f>
        <v>0</v>
      </c>
      <c r="G503" s="11" t="n">
        <f aca="false">IF(D503=1,SUMIFS(Benefits!$S$4:$S$703,Benefits!$B$4:$B$703,A503,Benefits!$F$4:$F$703,B503,Benefits!$R$4:$R$703,"revenue"),0)</f>
        <v>0</v>
      </c>
      <c r="H503" s="11" t="n">
        <f aca="false">IF(D503=1,SUMIFS(Benefits!$S$4:$S$703,Benefits!$B$4:$B$703,A503,Benefits!$F$4:$F$703,B503,Benefits!$R$4:$R$703,"avoided_cost_realised"),0)</f>
        <v>0</v>
      </c>
      <c r="I503" s="11" t="n">
        <f aca="false">IF(D503=1,SUMIFS(Benefits!$S$4:$S$703,Benefits!$B$4:$B$703,A503,Benefits!$F$4:$F$703,B503,Benefits!$R$4:$R$703,"capacity_converted"),0)</f>
        <v>0</v>
      </c>
      <c r="J503" s="11" t="n">
        <f aca="false">SUM(F503:I503)</f>
        <v>0</v>
      </c>
      <c r="K503" s="11" t="n">
        <f aca="false">J503-E503</f>
        <v>0</v>
      </c>
      <c r="L503" s="11" t="n">
        <f aca="false">IF(D503=1,L502+K503,0)</f>
        <v>142750</v>
      </c>
      <c r="M503" s="11" t="n">
        <f aca="false">IF(D503=1,1/(1+Controls!$B$11)^B503,0)</f>
        <v>0.81970144581361</v>
      </c>
      <c r="N503" s="11" t="n">
        <f aca="false">K503*M503</f>
        <v>0</v>
      </c>
      <c r="O503" s="11" t="n">
        <f aca="false">IF(D503=1,O502+N503,0)</f>
        <v>76930.7753920917</v>
      </c>
      <c r="P503" s="11" t="n">
        <f aca="false">IF(AND(D503=1,L503&lt;0),1,0)</f>
        <v>0</v>
      </c>
      <c r="Q503" s="11" t="n">
        <f aca="false">IF(AND(D503=1,O503&lt;0),1,0)</f>
        <v>0</v>
      </c>
    </row>
    <row r="504" customFormat="false" ht="15" hidden="false" customHeight="false" outlineLevel="0" collapsed="false">
      <c r="A504" s="4" t="s">
        <v>96</v>
      </c>
      <c r="B504" s="4" t="n">
        <v>32</v>
      </c>
      <c r="C504" s="11" t="n">
        <f aca="false">IF(COUNTIF('Scenario inputs'!$A$4:$A$213,Controls!$B$3&amp;"|"&amp;A504)&gt;0,1,0)</f>
        <v>1</v>
      </c>
      <c r="D504" s="11" t="n">
        <f aca="false">IF(AND(C504=1,B504&lt;Controls!$B$12),1,0)</f>
        <v>1</v>
      </c>
      <c r="E504" s="11" t="n">
        <f aca="false">IF(D504=1,SUMPRODUCT((Costs!$B$4:$B$903=A504)*(Costs!$D$4:$D$903="planned")*(Costs!$J$4:$J$903&lt;=B504)*(Costs!$K$4:$K$903&gt;B504)*Costs!$E$4:$E$903),0)</f>
        <v>0</v>
      </c>
      <c r="F504" s="11" t="n">
        <f aca="false">IF(D504=1,SUMIFS(Benefits!$S$4:$S$703,Benefits!$B$4:$B$703,A504,Benefits!$F$4:$F$703,B504,Benefits!$R$4:$R$703,"cash"),0)</f>
        <v>0</v>
      </c>
      <c r="G504" s="11" t="n">
        <f aca="false">IF(D504=1,SUMIFS(Benefits!$S$4:$S$703,Benefits!$B$4:$B$703,A504,Benefits!$F$4:$F$703,B504,Benefits!$R$4:$R$703,"revenue"),0)</f>
        <v>0</v>
      </c>
      <c r="H504" s="11" t="n">
        <f aca="false">IF(D504=1,SUMIFS(Benefits!$S$4:$S$703,Benefits!$B$4:$B$703,A504,Benefits!$F$4:$F$703,B504,Benefits!$R$4:$R$703,"avoided_cost_realised"),0)</f>
        <v>0</v>
      </c>
      <c r="I504" s="11" t="n">
        <f aca="false">IF(D504=1,SUMIFS(Benefits!$S$4:$S$703,Benefits!$B$4:$B$703,A504,Benefits!$F$4:$F$703,B504,Benefits!$R$4:$R$703,"capacity_converted"),0)</f>
        <v>0</v>
      </c>
      <c r="J504" s="11" t="n">
        <f aca="false">SUM(F504:I504)</f>
        <v>0</v>
      </c>
      <c r="K504" s="11" t="n">
        <f aca="false">J504-E504</f>
        <v>0</v>
      </c>
      <c r="L504" s="11" t="n">
        <f aca="false">IF(D504=1,L503+K504,0)</f>
        <v>142750</v>
      </c>
      <c r="M504" s="11" t="n">
        <f aca="false">IF(D504=1,1/(1+Controls!$B$11)^B504,0)</f>
        <v>0.814461202437129</v>
      </c>
      <c r="N504" s="11" t="n">
        <f aca="false">K504*M504</f>
        <v>0</v>
      </c>
      <c r="O504" s="11" t="n">
        <f aca="false">IF(D504=1,O503+N504,0)</f>
        <v>76930.7753920917</v>
      </c>
      <c r="P504" s="11" t="n">
        <f aca="false">IF(AND(D504=1,L504&lt;0),1,0)</f>
        <v>0</v>
      </c>
      <c r="Q504" s="11" t="n">
        <f aca="false">IF(AND(D504=1,O504&lt;0),1,0)</f>
        <v>0</v>
      </c>
    </row>
    <row r="505" customFormat="false" ht="15" hidden="false" customHeight="false" outlineLevel="0" collapsed="false">
      <c r="A505" s="4" t="s">
        <v>96</v>
      </c>
      <c r="B505" s="4" t="n">
        <v>33</v>
      </c>
      <c r="C505" s="11" t="n">
        <f aca="false">IF(COUNTIF('Scenario inputs'!$A$4:$A$213,Controls!$B$3&amp;"|"&amp;A505)&gt;0,1,0)</f>
        <v>1</v>
      </c>
      <c r="D505" s="11" t="n">
        <f aca="false">IF(AND(C505=1,B505&lt;Controls!$B$12),1,0)</f>
        <v>1</v>
      </c>
      <c r="E505" s="11" t="n">
        <f aca="false">IF(D505=1,SUMPRODUCT((Costs!$B$4:$B$903=A505)*(Costs!$D$4:$D$903="planned")*(Costs!$J$4:$J$903&lt;=B505)*(Costs!$K$4:$K$903&gt;B505)*Costs!$E$4:$E$903),0)</f>
        <v>0</v>
      </c>
      <c r="F505" s="11" t="n">
        <f aca="false">IF(D505=1,SUMIFS(Benefits!$S$4:$S$703,Benefits!$B$4:$B$703,A505,Benefits!$F$4:$F$703,B505,Benefits!$R$4:$R$703,"cash"),0)</f>
        <v>0</v>
      </c>
      <c r="G505" s="11" t="n">
        <f aca="false">IF(D505=1,SUMIFS(Benefits!$S$4:$S$703,Benefits!$B$4:$B$703,A505,Benefits!$F$4:$F$703,B505,Benefits!$R$4:$R$703,"revenue"),0)</f>
        <v>0</v>
      </c>
      <c r="H505" s="11" t="n">
        <f aca="false">IF(D505=1,SUMIFS(Benefits!$S$4:$S$703,Benefits!$B$4:$B$703,A505,Benefits!$F$4:$F$703,B505,Benefits!$R$4:$R$703,"avoided_cost_realised"),0)</f>
        <v>0</v>
      </c>
      <c r="I505" s="11" t="n">
        <f aca="false">IF(D505=1,SUMIFS(Benefits!$S$4:$S$703,Benefits!$B$4:$B$703,A505,Benefits!$F$4:$F$703,B505,Benefits!$R$4:$R$703,"capacity_converted"),0)</f>
        <v>0</v>
      </c>
      <c r="J505" s="11" t="n">
        <f aca="false">SUM(F505:I505)</f>
        <v>0</v>
      </c>
      <c r="K505" s="11" t="n">
        <f aca="false">J505-E505</f>
        <v>0</v>
      </c>
      <c r="L505" s="11" t="n">
        <f aca="false">IF(D505=1,L504+K505,0)</f>
        <v>142750</v>
      </c>
      <c r="M505" s="11" t="n">
        <f aca="false">IF(D505=1,1/(1+Controls!$B$11)^B505,0)</f>
        <v>0.809254459246338</v>
      </c>
      <c r="N505" s="11" t="n">
        <f aca="false">K505*M505</f>
        <v>0</v>
      </c>
      <c r="O505" s="11" t="n">
        <f aca="false">IF(D505=1,O504+N505,0)</f>
        <v>76930.7753920917</v>
      </c>
      <c r="P505" s="11" t="n">
        <f aca="false">IF(AND(D505=1,L505&lt;0),1,0)</f>
        <v>0</v>
      </c>
      <c r="Q505" s="11" t="n">
        <f aca="false">IF(AND(D505=1,O505&lt;0),1,0)</f>
        <v>0</v>
      </c>
    </row>
    <row r="506" customFormat="false" ht="15" hidden="false" customHeight="false" outlineLevel="0" collapsed="false">
      <c r="A506" s="4" t="s">
        <v>96</v>
      </c>
      <c r="B506" s="4" t="n">
        <v>34</v>
      </c>
      <c r="C506" s="11" t="n">
        <f aca="false">IF(COUNTIF('Scenario inputs'!$A$4:$A$213,Controls!$B$3&amp;"|"&amp;A506)&gt;0,1,0)</f>
        <v>1</v>
      </c>
      <c r="D506" s="11" t="n">
        <f aca="false">IF(AND(C506=1,B506&lt;Controls!$B$12),1,0)</f>
        <v>1</v>
      </c>
      <c r="E506" s="11" t="n">
        <f aca="false">IF(D506=1,SUMPRODUCT((Costs!$B$4:$B$903=A506)*(Costs!$D$4:$D$903="planned")*(Costs!$J$4:$J$903&lt;=B506)*(Costs!$K$4:$K$903&gt;B506)*Costs!$E$4:$E$903),0)</f>
        <v>0</v>
      </c>
      <c r="F506" s="11" t="n">
        <f aca="false">IF(D506=1,SUMIFS(Benefits!$S$4:$S$703,Benefits!$B$4:$B$703,A506,Benefits!$F$4:$F$703,B506,Benefits!$R$4:$R$703,"cash"),0)</f>
        <v>0</v>
      </c>
      <c r="G506" s="11" t="n">
        <f aca="false">IF(D506=1,SUMIFS(Benefits!$S$4:$S$703,Benefits!$B$4:$B$703,A506,Benefits!$F$4:$F$703,B506,Benefits!$R$4:$R$703,"revenue"),0)</f>
        <v>0</v>
      </c>
      <c r="H506" s="11" t="n">
        <f aca="false">IF(D506=1,SUMIFS(Benefits!$S$4:$S$703,Benefits!$B$4:$B$703,A506,Benefits!$F$4:$F$703,B506,Benefits!$R$4:$R$703,"avoided_cost_realised"),0)</f>
        <v>0</v>
      </c>
      <c r="I506" s="11" t="n">
        <f aca="false">IF(D506=1,SUMIFS(Benefits!$S$4:$S$703,Benefits!$B$4:$B$703,A506,Benefits!$F$4:$F$703,B506,Benefits!$R$4:$R$703,"capacity_converted"),0)</f>
        <v>0</v>
      </c>
      <c r="J506" s="11" t="n">
        <f aca="false">SUM(F506:I506)</f>
        <v>0</v>
      </c>
      <c r="K506" s="11" t="n">
        <f aca="false">J506-E506</f>
        <v>0</v>
      </c>
      <c r="L506" s="11" t="n">
        <f aca="false">IF(D506=1,L505+K506,0)</f>
        <v>142750</v>
      </c>
      <c r="M506" s="11" t="n">
        <f aca="false">IF(D506=1,1/(1+Controls!$B$11)^B506,0)</f>
        <v>0.804081002078962</v>
      </c>
      <c r="N506" s="11" t="n">
        <f aca="false">K506*M506</f>
        <v>0</v>
      </c>
      <c r="O506" s="11" t="n">
        <f aca="false">IF(D506=1,O505+N506,0)</f>
        <v>76930.7753920917</v>
      </c>
      <c r="P506" s="11" t="n">
        <f aca="false">IF(AND(D506=1,L506&lt;0),1,0)</f>
        <v>0</v>
      </c>
      <c r="Q506" s="11" t="n">
        <f aca="false">IF(AND(D506=1,O506&lt;0),1,0)</f>
        <v>0</v>
      </c>
    </row>
    <row r="507" customFormat="false" ht="15" hidden="false" customHeight="false" outlineLevel="0" collapsed="false">
      <c r="A507" s="4" t="s">
        <v>96</v>
      </c>
      <c r="B507" s="4" t="n">
        <v>35</v>
      </c>
      <c r="C507" s="11" t="n">
        <f aca="false">IF(COUNTIF('Scenario inputs'!$A$4:$A$213,Controls!$B$3&amp;"|"&amp;A507)&gt;0,1,0)</f>
        <v>1</v>
      </c>
      <c r="D507" s="11" t="n">
        <f aca="false">IF(AND(C507=1,B507&lt;Controls!$B$12),1,0)</f>
        <v>1</v>
      </c>
      <c r="E507" s="11" t="n">
        <f aca="false">IF(D507=1,SUMPRODUCT((Costs!$B$4:$B$903=A507)*(Costs!$D$4:$D$903="planned")*(Costs!$J$4:$J$903&lt;=B507)*(Costs!$K$4:$K$903&gt;B507)*Costs!$E$4:$E$903),0)</f>
        <v>0</v>
      </c>
      <c r="F507" s="11" t="n">
        <f aca="false">IF(D507=1,SUMIFS(Benefits!$S$4:$S$703,Benefits!$B$4:$B$703,A507,Benefits!$F$4:$F$703,B507,Benefits!$R$4:$R$703,"cash"),0)</f>
        <v>0</v>
      </c>
      <c r="G507" s="11" t="n">
        <f aca="false">IF(D507=1,SUMIFS(Benefits!$S$4:$S$703,Benefits!$B$4:$B$703,A507,Benefits!$F$4:$F$703,B507,Benefits!$R$4:$R$703,"revenue"),0)</f>
        <v>0</v>
      </c>
      <c r="H507" s="11" t="n">
        <f aca="false">IF(D507=1,SUMIFS(Benefits!$S$4:$S$703,Benefits!$B$4:$B$703,A507,Benefits!$F$4:$F$703,B507,Benefits!$R$4:$R$703,"avoided_cost_realised"),0)</f>
        <v>0</v>
      </c>
      <c r="I507" s="11" t="n">
        <f aca="false">IF(D507=1,SUMIFS(Benefits!$S$4:$S$703,Benefits!$B$4:$B$703,A507,Benefits!$F$4:$F$703,B507,Benefits!$R$4:$R$703,"capacity_converted"),0)</f>
        <v>0</v>
      </c>
      <c r="J507" s="11" t="n">
        <f aca="false">SUM(F507:I507)</f>
        <v>0</v>
      </c>
      <c r="K507" s="11" t="n">
        <f aca="false">J507-E507</f>
        <v>0</v>
      </c>
      <c r="L507" s="11" t="n">
        <f aca="false">IF(D507=1,L506+K507,0)</f>
        <v>142750</v>
      </c>
      <c r="M507" s="11" t="n">
        <f aca="false">IF(D507=1,1/(1+Controls!$B$11)^B507,0)</f>
        <v>0.798940618141837</v>
      </c>
      <c r="N507" s="11" t="n">
        <f aca="false">K507*M507</f>
        <v>0</v>
      </c>
      <c r="O507" s="11" t="n">
        <f aca="false">IF(D507=1,O506+N507,0)</f>
        <v>76930.7753920917</v>
      </c>
      <c r="P507" s="11" t="n">
        <f aca="false">IF(AND(D507=1,L507&lt;0),1,0)</f>
        <v>0</v>
      </c>
      <c r="Q507" s="11" t="n">
        <f aca="false">IF(AND(D507=1,O507&lt;0),1,0)</f>
        <v>0</v>
      </c>
    </row>
    <row r="508" customFormat="false" ht="15" hidden="false" customHeight="false" outlineLevel="0" collapsed="false">
      <c r="A508" s="4" t="s">
        <v>97</v>
      </c>
      <c r="B508" s="4" t="n">
        <v>0</v>
      </c>
      <c r="C508" s="11" t="n">
        <f aca="false">IF(COUNTIF('Scenario inputs'!$A$4:$A$213,Controls!$B$3&amp;"|"&amp;A508)&gt;0,1,0)</f>
        <v>1</v>
      </c>
      <c r="D508" s="11" t="n">
        <f aca="false">IF(AND(C508=1,B508&lt;Controls!$B$12),1,0)</f>
        <v>1</v>
      </c>
      <c r="E508" s="11" t="n">
        <f aca="false">IF(D508=1,SUMPRODUCT((Costs!$B$4:$B$903=A508)*(Costs!$D$4:$D$903="planned")*(Costs!$J$4:$J$903&lt;=B508)*(Costs!$K$4:$K$903&gt;B508)*Costs!$E$4:$E$903),0)</f>
        <v>18000</v>
      </c>
      <c r="F508" s="11" t="n">
        <f aca="false">IF(D508=1,SUMIFS(Benefits!$S$4:$S$703,Benefits!$B$4:$B$703,A508,Benefits!$F$4:$F$703,B508,Benefits!$R$4:$R$703,"cash"),0)</f>
        <v>0</v>
      </c>
      <c r="G508" s="11" t="n">
        <f aca="false">IF(D508=1,SUMIFS(Benefits!$S$4:$S$703,Benefits!$B$4:$B$703,A508,Benefits!$F$4:$F$703,B508,Benefits!$R$4:$R$703,"revenue"),0)</f>
        <v>0</v>
      </c>
      <c r="H508" s="11" t="n">
        <f aca="false">IF(D508=1,SUMIFS(Benefits!$S$4:$S$703,Benefits!$B$4:$B$703,A508,Benefits!$F$4:$F$703,B508,Benefits!$R$4:$R$703,"avoided_cost_realised"),0)</f>
        <v>0</v>
      </c>
      <c r="I508" s="11" t="n">
        <f aca="false">IF(D508=1,SUMIFS(Benefits!$S$4:$S$703,Benefits!$B$4:$B$703,A508,Benefits!$F$4:$F$703,B508,Benefits!$R$4:$R$703,"capacity_converted"),0)</f>
        <v>0</v>
      </c>
      <c r="J508" s="11" t="n">
        <f aca="false">SUM(F508:I508)</f>
        <v>0</v>
      </c>
      <c r="K508" s="11" t="n">
        <f aca="false">J508-E508</f>
        <v>-18000</v>
      </c>
      <c r="L508" s="11" t="n">
        <f aca="false">IF(D508=1,K508,0)</f>
        <v>-18000</v>
      </c>
      <c r="M508" s="11" t="n">
        <f aca="false">IF(D508=1,1/(1+Controls!$B$11)^B508,0)</f>
        <v>1</v>
      </c>
      <c r="N508" s="11" t="n">
        <f aca="false">K508*M508</f>
        <v>-18000</v>
      </c>
      <c r="O508" s="11" t="n">
        <f aca="false">IF(D508=1,N508,0)</f>
        <v>-18000</v>
      </c>
      <c r="P508" s="11" t="n">
        <f aca="false">IF(AND(D508=1,L508&lt;0),1,0)</f>
        <v>1</v>
      </c>
      <c r="Q508" s="11" t="n">
        <f aca="false">IF(AND(D508=1,O508&lt;0),1,0)</f>
        <v>1</v>
      </c>
    </row>
    <row r="509" customFormat="false" ht="15" hidden="false" customHeight="false" outlineLevel="0" collapsed="false">
      <c r="A509" s="4" t="s">
        <v>97</v>
      </c>
      <c r="B509" s="4" t="n">
        <v>1</v>
      </c>
      <c r="C509" s="11" t="n">
        <f aca="false">IF(COUNTIF('Scenario inputs'!$A$4:$A$213,Controls!$B$3&amp;"|"&amp;A509)&gt;0,1,0)</f>
        <v>1</v>
      </c>
      <c r="D509" s="11" t="n">
        <f aca="false">IF(AND(C509=1,B509&lt;Controls!$B$12),1,0)</f>
        <v>1</v>
      </c>
      <c r="E509" s="11" t="n">
        <f aca="false">IF(D509=1,SUMPRODUCT((Costs!$B$4:$B$903=A509)*(Costs!$D$4:$D$903="planned")*(Costs!$J$4:$J$903&lt;=B509)*(Costs!$K$4:$K$903&gt;B509)*Costs!$E$4:$E$903),0)</f>
        <v>0</v>
      </c>
      <c r="F509" s="11" t="n">
        <f aca="false">IF(D509=1,SUMIFS(Benefits!$S$4:$S$703,Benefits!$B$4:$B$703,A509,Benefits!$F$4:$F$703,B509,Benefits!$R$4:$R$703,"cash"),0)</f>
        <v>0</v>
      </c>
      <c r="G509" s="11" t="n">
        <f aca="false">IF(D509=1,SUMIFS(Benefits!$S$4:$S$703,Benefits!$B$4:$B$703,A509,Benefits!$F$4:$F$703,B509,Benefits!$R$4:$R$703,"revenue"),0)</f>
        <v>0</v>
      </c>
      <c r="H509" s="11" t="n">
        <f aca="false">IF(D509=1,SUMIFS(Benefits!$S$4:$S$703,Benefits!$B$4:$B$703,A509,Benefits!$F$4:$F$703,B509,Benefits!$R$4:$R$703,"avoided_cost_realised"),0)</f>
        <v>0</v>
      </c>
      <c r="I509" s="11" t="n">
        <f aca="false">IF(D509=1,SUMIFS(Benefits!$S$4:$S$703,Benefits!$B$4:$B$703,A509,Benefits!$F$4:$F$703,B509,Benefits!$R$4:$R$703,"capacity_converted"),0)</f>
        <v>0</v>
      </c>
      <c r="J509" s="11" t="n">
        <f aca="false">SUM(F509:I509)</f>
        <v>0</v>
      </c>
      <c r="K509" s="11" t="n">
        <f aca="false">J509-E509</f>
        <v>0</v>
      </c>
      <c r="L509" s="11" t="n">
        <f aca="false">IF(D509=1,L508+K509,0)</f>
        <v>-18000</v>
      </c>
      <c r="M509" s="11" t="n">
        <f aca="false">IF(D509=1,1/(1+Controls!$B$11)^B509,0)</f>
        <v>0.993607131714549</v>
      </c>
      <c r="N509" s="11" t="n">
        <f aca="false">K509*M509</f>
        <v>0</v>
      </c>
      <c r="O509" s="11" t="n">
        <f aca="false">IF(D509=1,O508+N509,0)</f>
        <v>-18000</v>
      </c>
      <c r="P509" s="11" t="n">
        <f aca="false">IF(AND(D509=1,L509&lt;0),1,0)</f>
        <v>1</v>
      </c>
      <c r="Q509" s="11" t="n">
        <f aca="false">IF(AND(D509=1,O509&lt;0),1,0)</f>
        <v>1</v>
      </c>
    </row>
    <row r="510" customFormat="false" ht="15" hidden="false" customHeight="false" outlineLevel="0" collapsed="false">
      <c r="A510" s="4" t="s">
        <v>97</v>
      </c>
      <c r="B510" s="4" t="n">
        <v>2</v>
      </c>
      <c r="C510" s="11" t="n">
        <f aca="false">IF(COUNTIF('Scenario inputs'!$A$4:$A$213,Controls!$B$3&amp;"|"&amp;A510)&gt;0,1,0)</f>
        <v>1</v>
      </c>
      <c r="D510" s="11" t="n">
        <f aca="false">IF(AND(C510=1,B510&lt;Controls!$B$12),1,0)</f>
        <v>1</v>
      </c>
      <c r="E510" s="11" t="n">
        <f aca="false">IF(D510=1,SUMPRODUCT((Costs!$B$4:$B$903=A510)*(Costs!$D$4:$D$903="planned")*(Costs!$J$4:$J$903&lt;=B510)*(Costs!$K$4:$K$903&gt;B510)*Costs!$E$4:$E$903),0)</f>
        <v>565100</v>
      </c>
      <c r="F510" s="11" t="n">
        <f aca="false">IF(D510=1,SUMIFS(Benefits!$S$4:$S$703,Benefits!$B$4:$B$703,A510,Benefits!$F$4:$F$703,B510,Benefits!$R$4:$R$703,"cash"),0)</f>
        <v>0</v>
      </c>
      <c r="G510" s="11" t="n">
        <f aca="false">IF(D510=1,SUMIFS(Benefits!$S$4:$S$703,Benefits!$B$4:$B$703,A510,Benefits!$F$4:$F$703,B510,Benefits!$R$4:$R$703,"revenue"),0)</f>
        <v>0</v>
      </c>
      <c r="H510" s="11" t="n">
        <f aca="false">IF(D510=1,SUMIFS(Benefits!$S$4:$S$703,Benefits!$B$4:$B$703,A510,Benefits!$F$4:$F$703,B510,Benefits!$R$4:$R$703,"avoided_cost_realised"),0)</f>
        <v>0</v>
      </c>
      <c r="I510" s="11" t="n">
        <f aca="false">IF(D510=1,SUMIFS(Benefits!$S$4:$S$703,Benefits!$B$4:$B$703,A510,Benefits!$F$4:$F$703,B510,Benefits!$R$4:$R$703,"capacity_converted"),0)</f>
        <v>0</v>
      </c>
      <c r="J510" s="11" t="n">
        <f aca="false">SUM(F510:I510)</f>
        <v>0</v>
      </c>
      <c r="K510" s="11" t="n">
        <f aca="false">J510-E510</f>
        <v>-565100</v>
      </c>
      <c r="L510" s="11" t="n">
        <f aca="false">IF(D510=1,L509+K510,0)</f>
        <v>-583100</v>
      </c>
      <c r="M510" s="11" t="n">
        <f aca="false">IF(D510=1,1/(1+Controls!$B$11)^B510,0)</f>
        <v>0.987255132194012</v>
      </c>
      <c r="N510" s="11" t="n">
        <f aca="false">K510*M510</f>
        <v>-557897.875202836</v>
      </c>
      <c r="O510" s="11" t="n">
        <f aca="false">IF(D510=1,O509+N510,0)</f>
        <v>-575897.875202836</v>
      </c>
      <c r="P510" s="11" t="n">
        <f aca="false">IF(AND(D510=1,L510&lt;0),1,0)</f>
        <v>1</v>
      </c>
      <c r="Q510" s="11" t="n">
        <f aca="false">IF(AND(D510=1,O510&lt;0),1,0)</f>
        <v>1</v>
      </c>
    </row>
    <row r="511" customFormat="false" ht="15" hidden="false" customHeight="false" outlineLevel="0" collapsed="false">
      <c r="A511" s="4" t="s">
        <v>97</v>
      </c>
      <c r="B511" s="4" t="n">
        <v>3</v>
      </c>
      <c r="C511" s="11" t="n">
        <f aca="false">IF(COUNTIF('Scenario inputs'!$A$4:$A$213,Controls!$B$3&amp;"|"&amp;A511)&gt;0,1,0)</f>
        <v>1</v>
      </c>
      <c r="D511" s="11" t="n">
        <f aca="false">IF(AND(C511=1,B511&lt;Controls!$B$12),1,0)</f>
        <v>1</v>
      </c>
      <c r="E511" s="11" t="n">
        <f aca="false">IF(D511=1,SUMPRODUCT((Costs!$B$4:$B$903=A511)*(Costs!$D$4:$D$903="planned")*(Costs!$J$4:$J$903&lt;=B511)*(Costs!$K$4:$K$903&gt;B511)*Costs!$E$4:$E$903),0)</f>
        <v>119600</v>
      </c>
      <c r="F511" s="11" t="n">
        <f aca="false">IF(D511=1,SUMIFS(Benefits!$S$4:$S$703,Benefits!$B$4:$B$703,A511,Benefits!$F$4:$F$703,B511,Benefits!$R$4:$R$703,"cash"),0)</f>
        <v>0</v>
      </c>
      <c r="G511" s="11" t="n">
        <f aca="false">IF(D511=1,SUMIFS(Benefits!$S$4:$S$703,Benefits!$B$4:$B$703,A511,Benefits!$F$4:$F$703,B511,Benefits!$R$4:$R$703,"revenue"),0)</f>
        <v>0</v>
      </c>
      <c r="H511" s="11" t="n">
        <f aca="false">IF(D511=1,SUMIFS(Benefits!$S$4:$S$703,Benefits!$B$4:$B$703,A511,Benefits!$F$4:$F$703,B511,Benefits!$R$4:$R$703,"avoided_cost_realised"),0)</f>
        <v>0</v>
      </c>
      <c r="I511" s="11" t="n">
        <f aca="false">IF(D511=1,SUMIFS(Benefits!$S$4:$S$703,Benefits!$B$4:$B$703,A511,Benefits!$F$4:$F$703,B511,Benefits!$R$4:$R$703,"capacity_converted"),0)</f>
        <v>0</v>
      </c>
      <c r="J511" s="11" t="n">
        <f aca="false">SUM(F511:I511)</f>
        <v>0</v>
      </c>
      <c r="K511" s="11" t="n">
        <f aca="false">J511-E511</f>
        <v>-119600</v>
      </c>
      <c r="L511" s="11" t="n">
        <f aca="false">IF(D511=1,L510+K511,0)</f>
        <v>-702700</v>
      </c>
      <c r="M511" s="11" t="n">
        <f aca="false">IF(D511=1,1/(1+Controls!$B$11)^B511,0)</f>
        <v>0.98094374016976</v>
      </c>
      <c r="N511" s="11" t="n">
        <f aca="false">K511*M511</f>
        <v>-117320.871324303</v>
      </c>
      <c r="O511" s="11" t="n">
        <f aca="false">IF(D511=1,O510+N511,0)</f>
        <v>-693218.74652714</v>
      </c>
      <c r="P511" s="11" t="n">
        <f aca="false">IF(AND(D511=1,L511&lt;0),1,0)</f>
        <v>1</v>
      </c>
      <c r="Q511" s="11" t="n">
        <f aca="false">IF(AND(D511=1,O511&lt;0),1,0)</f>
        <v>1</v>
      </c>
    </row>
    <row r="512" customFormat="false" ht="15" hidden="false" customHeight="false" outlineLevel="0" collapsed="false">
      <c r="A512" s="4" t="s">
        <v>97</v>
      </c>
      <c r="B512" s="4" t="n">
        <v>4</v>
      </c>
      <c r="C512" s="11" t="n">
        <f aca="false">IF(COUNTIF('Scenario inputs'!$A$4:$A$213,Controls!$B$3&amp;"|"&amp;A512)&gt;0,1,0)</f>
        <v>1</v>
      </c>
      <c r="D512" s="11" t="n">
        <f aca="false">IF(AND(C512=1,B512&lt;Controls!$B$12),1,0)</f>
        <v>1</v>
      </c>
      <c r="E512" s="11" t="n">
        <f aca="false">IF(D512=1,SUMPRODUCT((Costs!$B$4:$B$903=A512)*(Costs!$D$4:$D$903="planned")*(Costs!$J$4:$J$903&lt;=B512)*(Costs!$K$4:$K$903&gt;B512)*Costs!$E$4:$E$903),0)</f>
        <v>252300</v>
      </c>
      <c r="F512" s="11" t="n">
        <f aca="false">IF(D512=1,SUMIFS(Benefits!$S$4:$S$703,Benefits!$B$4:$B$703,A512,Benefits!$F$4:$F$703,B512,Benefits!$R$4:$R$703,"cash"),0)</f>
        <v>3082.1182</v>
      </c>
      <c r="G512" s="11" t="n">
        <f aca="false">IF(D512=1,SUMIFS(Benefits!$S$4:$S$703,Benefits!$B$4:$B$703,A512,Benefits!$F$4:$F$703,B512,Benefits!$R$4:$R$703,"revenue"),0)</f>
        <v>0</v>
      </c>
      <c r="H512" s="11" t="n">
        <f aca="false">IF(D512=1,SUMIFS(Benefits!$S$4:$S$703,Benefits!$B$4:$B$703,A512,Benefits!$F$4:$F$703,B512,Benefits!$R$4:$R$703,"avoided_cost_realised"),0)</f>
        <v>0</v>
      </c>
      <c r="I512" s="11" t="n">
        <f aca="false">IF(D512=1,SUMIFS(Benefits!$S$4:$S$703,Benefits!$B$4:$B$703,A512,Benefits!$F$4:$F$703,B512,Benefits!$R$4:$R$703,"capacity_converted"),0)</f>
        <v>0</v>
      </c>
      <c r="J512" s="11" t="n">
        <f aca="false">SUM(F512:I512)</f>
        <v>3082.1182</v>
      </c>
      <c r="K512" s="11" t="n">
        <f aca="false">J512-E512</f>
        <v>-249217.8818</v>
      </c>
      <c r="L512" s="11" t="n">
        <f aca="false">IF(D512=1,L511+K512,0)</f>
        <v>-951917.8818</v>
      </c>
      <c r="M512" s="11" t="n">
        <f aca="false">IF(D512=1,1/(1+Controls!$B$11)^B512,0)</f>
        <v>0.974672696043417</v>
      </c>
      <c r="N512" s="11" t="n">
        <f aca="false">K512*M512</f>
        <v>-242905.864756236</v>
      </c>
      <c r="O512" s="11" t="n">
        <f aca="false">IF(D512=1,O511+N512,0)</f>
        <v>-936124.611283375</v>
      </c>
      <c r="P512" s="11" t="n">
        <f aca="false">IF(AND(D512=1,L512&lt;0),1,0)</f>
        <v>1</v>
      </c>
      <c r="Q512" s="11" t="n">
        <f aca="false">IF(AND(D512=1,O512&lt;0),1,0)</f>
        <v>1</v>
      </c>
    </row>
    <row r="513" customFormat="false" ht="15" hidden="false" customHeight="false" outlineLevel="0" collapsed="false">
      <c r="A513" s="4" t="s">
        <v>97</v>
      </c>
      <c r="B513" s="4" t="n">
        <v>5</v>
      </c>
      <c r="C513" s="11" t="n">
        <f aca="false">IF(COUNTIF('Scenario inputs'!$A$4:$A$213,Controls!$B$3&amp;"|"&amp;A513)&gt;0,1,0)</f>
        <v>1</v>
      </c>
      <c r="D513" s="11" t="n">
        <f aca="false">IF(AND(C513=1,B513&lt;Controls!$B$12),1,0)</f>
        <v>1</v>
      </c>
      <c r="E513" s="11" t="n">
        <f aca="false">IF(D513=1,SUMPRODUCT((Costs!$B$4:$B$903=A513)*(Costs!$D$4:$D$903="planned")*(Costs!$J$4:$J$903&lt;=B513)*(Costs!$K$4:$K$903&gt;B513)*Costs!$E$4:$E$903),0)</f>
        <v>28000</v>
      </c>
      <c r="F513" s="11" t="n">
        <f aca="false">IF(D513=1,SUMIFS(Benefits!$S$4:$S$703,Benefits!$B$4:$B$703,A513,Benefits!$F$4:$F$703,B513,Benefits!$R$4:$R$703,"cash"),0)</f>
        <v>9246.4409</v>
      </c>
      <c r="G513" s="11" t="n">
        <f aca="false">IF(D513=1,SUMIFS(Benefits!$S$4:$S$703,Benefits!$B$4:$B$703,A513,Benefits!$F$4:$F$703,B513,Benefits!$R$4:$R$703,"revenue"),0)</f>
        <v>0</v>
      </c>
      <c r="H513" s="11" t="n">
        <f aca="false">IF(D513=1,SUMIFS(Benefits!$S$4:$S$703,Benefits!$B$4:$B$703,A513,Benefits!$F$4:$F$703,B513,Benefits!$R$4:$R$703,"avoided_cost_realised"),0)</f>
        <v>0</v>
      </c>
      <c r="I513" s="11" t="n">
        <f aca="false">IF(D513=1,SUMIFS(Benefits!$S$4:$S$703,Benefits!$B$4:$B$703,A513,Benefits!$F$4:$F$703,B513,Benefits!$R$4:$R$703,"capacity_converted"),0)</f>
        <v>0</v>
      </c>
      <c r="J513" s="11" t="n">
        <f aca="false">SUM(F513:I513)</f>
        <v>9246.4409</v>
      </c>
      <c r="K513" s="11" t="n">
        <f aca="false">J513-E513</f>
        <v>-18753.5591</v>
      </c>
      <c r="L513" s="11" t="n">
        <f aca="false">IF(D513=1,L512+K513,0)</f>
        <v>-970671.4409</v>
      </c>
      <c r="M513" s="11" t="n">
        <f aca="false">IF(D513=1,1/(1+Controls!$B$11)^B513,0)</f>
        <v>0.968441741876185</v>
      </c>
      <c r="N513" s="11" t="n">
        <f aca="false">K513*M513</f>
        <v>-18161.729441182</v>
      </c>
      <c r="O513" s="11" t="n">
        <f aca="false">IF(D513=1,O512+N513,0)</f>
        <v>-954286.340724557</v>
      </c>
      <c r="P513" s="11" t="n">
        <f aca="false">IF(AND(D513=1,L513&lt;0),1,0)</f>
        <v>1</v>
      </c>
      <c r="Q513" s="11" t="n">
        <f aca="false">IF(AND(D513=1,O513&lt;0),1,0)</f>
        <v>1</v>
      </c>
    </row>
    <row r="514" customFormat="false" ht="15" hidden="false" customHeight="false" outlineLevel="0" collapsed="false">
      <c r="A514" s="4" t="s">
        <v>97</v>
      </c>
      <c r="B514" s="4" t="n">
        <v>6</v>
      </c>
      <c r="C514" s="11" t="n">
        <f aca="false">IF(COUNTIF('Scenario inputs'!$A$4:$A$213,Controls!$B$3&amp;"|"&amp;A514)&gt;0,1,0)</f>
        <v>1</v>
      </c>
      <c r="D514" s="11" t="n">
        <f aca="false">IF(AND(C514=1,B514&lt;Controls!$B$12),1,0)</f>
        <v>1</v>
      </c>
      <c r="E514" s="11" t="n">
        <f aca="false">IF(D514=1,SUMPRODUCT((Costs!$B$4:$B$903=A514)*(Costs!$D$4:$D$903="planned")*(Costs!$J$4:$J$903&lt;=B514)*(Costs!$K$4:$K$903&gt;B514)*Costs!$E$4:$E$903),0)</f>
        <v>28000</v>
      </c>
      <c r="F514" s="11" t="n">
        <f aca="false">IF(D514=1,SUMIFS(Benefits!$S$4:$S$703,Benefits!$B$4:$B$703,A514,Benefits!$F$4:$F$703,B514,Benefits!$R$4:$R$703,"cash"),0)</f>
        <v>18492.8818</v>
      </c>
      <c r="G514" s="11" t="n">
        <f aca="false">IF(D514=1,SUMIFS(Benefits!$S$4:$S$703,Benefits!$B$4:$B$703,A514,Benefits!$F$4:$F$703,B514,Benefits!$R$4:$R$703,"revenue"),0)</f>
        <v>0</v>
      </c>
      <c r="H514" s="11" t="n">
        <f aca="false">IF(D514=1,SUMIFS(Benefits!$S$4:$S$703,Benefits!$B$4:$B$703,A514,Benefits!$F$4:$F$703,B514,Benefits!$R$4:$R$703,"avoided_cost_realised"),0)</f>
        <v>0</v>
      </c>
      <c r="I514" s="11" t="n">
        <f aca="false">IF(D514=1,SUMIFS(Benefits!$S$4:$S$703,Benefits!$B$4:$B$703,A514,Benefits!$F$4:$F$703,B514,Benefits!$R$4:$R$703,"capacity_converted"),0)</f>
        <v>0</v>
      </c>
      <c r="J514" s="11" t="n">
        <f aca="false">SUM(F514:I514)</f>
        <v>18492.8818</v>
      </c>
      <c r="K514" s="11" t="n">
        <f aca="false">J514-E514</f>
        <v>-9507.1182</v>
      </c>
      <c r="L514" s="11" t="n">
        <f aca="false">IF(D514=1,L513+K514,0)</f>
        <v>-980178.5591</v>
      </c>
      <c r="M514" s="11" t="n">
        <f aca="false">IF(D514=1,1/(1+Controls!$B$11)^B514,0)</f>
        <v>0.962250621378238</v>
      </c>
      <c r="N514" s="11" t="n">
        <f aca="false">K514*M514</f>
        <v>-9148.23039546635</v>
      </c>
      <c r="O514" s="11" t="n">
        <f aca="false">IF(D514=1,O513+N514,0)</f>
        <v>-963434.571120024</v>
      </c>
      <c r="P514" s="11" t="n">
        <f aca="false">IF(AND(D514=1,L514&lt;0),1,0)</f>
        <v>1</v>
      </c>
      <c r="Q514" s="11" t="n">
        <f aca="false">IF(AND(D514=1,O514&lt;0),1,0)</f>
        <v>1</v>
      </c>
    </row>
    <row r="515" customFormat="false" ht="15" hidden="false" customHeight="false" outlineLevel="0" collapsed="false">
      <c r="A515" s="4" t="s">
        <v>97</v>
      </c>
      <c r="B515" s="4" t="n">
        <v>7</v>
      </c>
      <c r="C515" s="11" t="n">
        <f aca="false">IF(COUNTIF('Scenario inputs'!$A$4:$A$213,Controls!$B$3&amp;"|"&amp;A515)&gt;0,1,0)</f>
        <v>1</v>
      </c>
      <c r="D515" s="11" t="n">
        <f aca="false">IF(AND(C515=1,B515&lt;Controls!$B$12),1,0)</f>
        <v>1</v>
      </c>
      <c r="E515" s="11" t="n">
        <f aca="false">IF(D515=1,SUMPRODUCT((Costs!$B$4:$B$903=A515)*(Costs!$D$4:$D$903="planned")*(Costs!$J$4:$J$903&lt;=B515)*(Costs!$K$4:$K$903&gt;B515)*Costs!$E$4:$E$903),0)</f>
        <v>28000</v>
      </c>
      <c r="F515" s="11" t="n">
        <f aca="false">IF(D515=1,SUMIFS(Benefits!$S$4:$S$703,Benefits!$B$4:$B$703,A515,Benefits!$F$4:$F$703,B515,Benefits!$R$4:$R$703,"cash"),0)</f>
        <v>30821.4409</v>
      </c>
      <c r="G515" s="11" t="n">
        <f aca="false">IF(D515=1,SUMIFS(Benefits!$S$4:$S$703,Benefits!$B$4:$B$703,A515,Benefits!$F$4:$F$703,B515,Benefits!$R$4:$R$703,"revenue"),0)</f>
        <v>0</v>
      </c>
      <c r="H515" s="11" t="n">
        <f aca="false">IF(D515=1,SUMIFS(Benefits!$S$4:$S$703,Benefits!$B$4:$B$703,A515,Benefits!$F$4:$F$703,B515,Benefits!$R$4:$R$703,"avoided_cost_realised"),0)</f>
        <v>0</v>
      </c>
      <c r="I515" s="11" t="n">
        <f aca="false">IF(D515=1,SUMIFS(Benefits!$S$4:$S$703,Benefits!$B$4:$B$703,A515,Benefits!$F$4:$F$703,B515,Benefits!$R$4:$R$703,"capacity_converted"),0)</f>
        <v>0</v>
      </c>
      <c r="J515" s="11" t="n">
        <f aca="false">SUM(F515:I515)</f>
        <v>30821.4409</v>
      </c>
      <c r="K515" s="11" t="n">
        <f aca="false">J515-E515</f>
        <v>2821.4409</v>
      </c>
      <c r="L515" s="11" t="n">
        <f aca="false">IF(D515=1,L514+K515,0)</f>
        <v>-977357.1182</v>
      </c>
      <c r="M515" s="11" t="n">
        <f aca="false">IF(D515=1,1/(1+Controls!$B$11)^B515,0)</f>
        <v>0.956099079898173</v>
      </c>
      <c r="N515" s="11" t="n">
        <f aca="false">K515*M515</f>
        <v>2697.57704847707</v>
      </c>
      <c r="O515" s="11" t="n">
        <f aca="false">IF(D515=1,O514+N515,0)</f>
        <v>-960736.994071547</v>
      </c>
      <c r="P515" s="11" t="n">
        <f aca="false">IF(AND(D515=1,L515&lt;0),1,0)</f>
        <v>1</v>
      </c>
      <c r="Q515" s="11" t="n">
        <f aca="false">IF(AND(D515=1,O515&lt;0),1,0)</f>
        <v>1</v>
      </c>
    </row>
    <row r="516" customFormat="false" ht="15" hidden="false" customHeight="false" outlineLevel="0" collapsed="false">
      <c r="A516" s="4" t="s">
        <v>97</v>
      </c>
      <c r="B516" s="4" t="n">
        <v>8</v>
      </c>
      <c r="C516" s="11" t="n">
        <f aca="false">IF(COUNTIF('Scenario inputs'!$A$4:$A$213,Controls!$B$3&amp;"|"&amp;A516)&gt;0,1,0)</f>
        <v>1</v>
      </c>
      <c r="D516" s="11" t="n">
        <f aca="false">IF(AND(C516=1,B516&lt;Controls!$B$12),1,0)</f>
        <v>1</v>
      </c>
      <c r="E516" s="11" t="n">
        <f aca="false">IF(D516=1,SUMPRODUCT((Costs!$B$4:$B$903=A516)*(Costs!$D$4:$D$903="planned")*(Costs!$J$4:$J$903&lt;=B516)*(Costs!$K$4:$K$903&gt;B516)*Costs!$E$4:$E$903),0)</f>
        <v>28000</v>
      </c>
      <c r="F516" s="11" t="n">
        <f aca="false">IF(D516=1,SUMIFS(Benefits!$S$4:$S$703,Benefits!$B$4:$B$703,A516,Benefits!$F$4:$F$703,B516,Benefits!$R$4:$R$703,"cash"),0)</f>
        <v>46232.1182</v>
      </c>
      <c r="G516" s="11" t="n">
        <f aca="false">IF(D516=1,SUMIFS(Benefits!$S$4:$S$703,Benefits!$B$4:$B$703,A516,Benefits!$F$4:$F$703,B516,Benefits!$R$4:$R$703,"revenue"),0)</f>
        <v>0</v>
      </c>
      <c r="H516" s="11" t="n">
        <f aca="false">IF(D516=1,SUMIFS(Benefits!$S$4:$S$703,Benefits!$B$4:$B$703,A516,Benefits!$F$4:$F$703,B516,Benefits!$R$4:$R$703,"avoided_cost_realised"),0)</f>
        <v>0</v>
      </c>
      <c r="I516" s="11" t="n">
        <f aca="false">IF(D516=1,SUMIFS(Benefits!$S$4:$S$703,Benefits!$B$4:$B$703,A516,Benefits!$F$4:$F$703,B516,Benefits!$R$4:$R$703,"capacity_converted"),0)</f>
        <v>0</v>
      </c>
      <c r="J516" s="11" t="n">
        <f aca="false">SUM(F516:I516)</f>
        <v>46232.1182</v>
      </c>
      <c r="K516" s="11" t="n">
        <f aca="false">J516-E516</f>
        <v>18232.1182</v>
      </c>
      <c r="L516" s="11" t="n">
        <f aca="false">IF(D516=1,L515+K516,0)</f>
        <v>-959125</v>
      </c>
      <c r="M516" s="11" t="n">
        <f aca="false">IF(D516=1,1/(1+Controls!$B$11)^B516,0)</f>
        <v>0.949986864412542</v>
      </c>
      <c r="N516" s="11" t="n">
        <f aca="false">K516*M516</f>
        <v>17320.2728004169</v>
      </c>
      <c r="O516" s="11" t="n">
        <f aca="false">IF(D516=1,O515+N516,0)</f>
        <v>-943416.72127113</v>
      </c>
      <c r="P516" s="11" t="n">
        <f aca="false">IF(AND(D516=1,L516&lt;0),1,0)</f>
        <v>1</v>
      </c>
      <c r="Q516" s="11" t="n">
        <f aca="false">IF(AND(D516=1,O516&lt;0),1,0)</f>
        <v>1</v>
      </c>
    </row>
    <row r="517" customFormat="false" ht="15" hidden="false" customHeight="false" outlineLevel="0" collapsed="false">
      <c r="A517" s="4" t="s">
        <v>97</v>
      </c>
      <c r="B517" s="4" t="n">
        <v>9</v>
      </c>
      <c r="C517" s="11" t="n">
        <f aca="false">IF(COUNTIF('Scenario inputs'!$A$4:$A$213,Controls!$B$3&amp;"|"&amp;A517)&gt;0,1,0)</f>
        <v>1</v>
      </c>
      <c r="D517" s="11" t="n">
        <f aca="false">IF(AND(C517=1,B517&lt;Controls!$B$12),1,0)</f>
        <v>1</v>
      </c>
      <c r="E517" s="11" t="n">
        <f aca="false">IF(D517=1,SUMPRODUCT((Costs!$B$4:$B$903=A517)*(Costs!$D$4:$D$903="planned")*(Costs!$J$4:$J$903&lt;=B517)*(Costs!$K$4:$K$903&gt;B517)*Costs!$E$4:$E$903),0)</f>
        <v>28000</v>
      </c>
      <c r="F517" s="11" t="n">
        <f aca="false">IF(D517=1,SUMIFS(Benefits!$S$4:$S$703,Benefits!$B$4:$B$703,A517,Benefits!$F$4:$F$703,B517,Benefits!$R$4:$R$703,"cash"),0)</f>
        <v>64725</v>
      </c>
      <c r="G517" s="11" t="n">
        <f aca="false">IF(D517=1,SUMIFS(Benefits!$S$4:$S$703,Benefits!$B$4:$B$703,A517,Benefits!$F$4:$F$703,B517,Benefits!$R$4:$R$703,"revenue"),0)</f>
        <v>0</v>
      </c>
      <c r="H517" s="11" t="n">
        <f aca="false">IF(D517=1,SUMIFS(Benefits!$S$4:$S$703,Benefits!$B$4:$B$703,A517,Benefits!$F$4:$F$703,B517,Benefits!$R$4:$R$703,"avoided_cost_realised"),0)</f>
        <v>0</v>
      </c>
      <c r="I517" s="11" t="n">
        <f aca="false">IF(D517=1,SUMIFS(Benefits!$S$4:$S$703,Benefits!$B$4:$B$703,A517,Benefits!$F$4:$F$703,B517,Benefits!$R$4:$R$703,"capacity_converted"),0)</f>
        <v>0</v>
      </c>
      <c r="J517" s="11" t="n">
        <f aca="false">SUM(F517:I517)</f>
        <v>64725</v>
      </c>
      <c r="K517" s="11" t="n">
        <f aca="false">J517-E517</f>
        <v>36725</v>
      </c>
      <c r="L517" s="11" t="n">
        <f aca="false">IF(D517=1,L516+K517,0)</f>
        <v>-922400</v>
      </c>
      <c r="M517" s="11" t="n">
        <f aca="false">IF(D517=1,1/(1+Controls!$B$11)^B517,0)</f>
        <v>0.943913723515444</v>
      </c>
      <c r="N517" s="11" t="n">
        <f aca="false">K517*M517</f>
        <v>34665.2314961047</v>
      </c>
      <c r="O517" s="11" t="n">
        <f aca="false">IF(D517=1,O516+N517,0)</f>
        <v>-908751.489775025</v>
      </c>
      <c r="P517" s="11" t="n">
        <f aca="false">IF(AND(D517=1,L517&lt;0),1,0)</f>
        <v>1</v>
      </c>
      <c r="Q517" s="11" t="n">
        <f aca="false">IF(AND(D517=1,O517&lt;0),1,0)</f>
        <v>1</v>
      </c>
    </row>
    <row r="518" customFormat="false" ht="15" hidden="false" customHeight="false" outlineLevel="0" collapsed="false">
      <c r="A518" s="4" t="s">
        <v>97</v>
      </c>
      <c r="B518" s="4" t="n">
        <v>10</v>
      </c>
      <c r="C518" s="11" t="n">
        <f aca="false">IF(COUNTIF('Scenario inputs'!$A$4:$A$213,Controls!$B$3&amp;"|"&amp;A518)&gt;0,1,0)</f>
        <v>1</v>
      </c>
      <c r="D518" s="11" t="n">
        <f aca="false">IF(AND(C518=1,B518&lt;Controls!$B$12),1,0)</f>
        <v>1</v>
      </c>
      <c r="E518" s="11" t="n">
        <f aca="false">IF(D518=1,SUMPRODUCT((Costs!$B$4:$B$903=A518)*(Costs!$D$4:$D$903="planned")*(Costs!$J$4:$J$903&lt;=B518)*(Costs!$K$4:$K$903&gt;B518)*Costs!$E$4:$E$903),0)</f>
        <v>29150</v>
      </c>
      <c r="F518" s="11" t="n">
        <f aca="false">IF(D518=1,SUMIFS(Benefits!$S$4:$S$703,Benefits!$B$4:$B$703,A518,Benefits!$F$4:$F$703,B518,Benefits!$R$4:$R$703,"cash"),0)</f>
        <v>86300</v>
      </c>
      <c r="G518" s="11" t="n">
        <f aca="false">IF(D518=1,SUMIFS(Benefits!$S$4:$S$703,Benefits!$B$4:$B$703,A518,Benefits!$F$4:$F$703,B518,Benefits!$R$4:$R$703,"revenue"),0)</f>
        <v>0</v>
      </c>
      <c r="H518" s="11" t="n">
        <f aca="false">IF(D518=1,SUMIFS(Benefits!$S$4:$S$703,Benefits!$B$4:$B$703,A518,Benefits!$F$4:$F$703,B518,Benefits!$R$4:$R$703,"avoided_cost_realised"),0)</f>
        <v>0</v>
      </c>
      <c r="I518" s="11" t="n">
        <f aca="false">IF(D518=1,SUMIFS(Benefits!$S$4:$S$703,Benefits!$B$4:$B$703,A518,Benefits!$F$4:$F$703,B518,Benefits!$R$4:$R$703,"capacity_converted"),0)</f>
        <v>0</v>
      </c>
      <c r="J518" s="11" t="n">
        <f aca="false">SUM(F518:I518)</f>
        <v>86300</v>
      </c>
      <c r="K518" s="11" t="n">
        <f aca="false">J518-E518</f>
        <v>57150</v>
      </c>
      <c r="L518" s="11" t="n">
        <f aca="false">IF(D518=1,L517+K518,0)</f>
        <v>-865250</v>
      </c>
      <c r="M518" s="11" t="n">
        <f aca="false">IF(D518=1,1/(1+Controls!$B$11)^B518,0)</f>
        <v>0.93787940740818</v>
      </c>
      <c r="N518" s="11" t="n">
        <f aca="false">K518*M518</f>
        <v>53599.8081333775</v>
      </c>
      <c r="O518" s="11" t="n">
        <f aca="false">IF(D518=1,O517+N518,0)</f>
        <v>-855151.681641648</v>
      </c>
      <c r="P518" s="11" t="n">
        <f aca="false">IF(AND(D518=1,L518&lt;0),1,0)</f>
        <v>1</v>
      </c>
      <c r="Q518" s="11" t="n">
        <f aca="false">IF(AND(D518=1,O518&lt;0),1,0)</f>
        <v>1</v>
      </c>
    </row>
    <row r="519" customFormat="false" ht="15" hidden="false" customHeight="false" outlineLevel="0" collapsed="false">
      <c r="A519" s="4" t="s">
        <v>97</v>
      </c>
      <c r="B519" s="4" t="n">
        <v>11</v>
      </c>
      <c r="C519" s="11" t="n">
        <f aca="false">IF(COUNTIF('Scenario inputs'!$A$4:$A$213,Controls!$B$3&amp;"|"&amp;A519)&gt;0,1,0)</f>
        <v>1</v>
      </c>
      <c r="D519" s="11" t="n">
        <f aca="false">IF(AND(C519=1,B519&lt;Controls!$B$12),1,0)</f>
        <v>1</v>
      </c>
      <c r="E519" s="11" t="n">
        <f aca="false">IF(D519=1,SUMPRODUCT((Costs!$B$4:$B$903=A519)*(Costs!$D$4:$D$903="planned")*(Costs!$J$4:$J$903&lt;=B519)*(Costs!$K$4:$K$903&gt;B519)*Costs!$E$4:$E$903),0)</f>
        <v>29150</v>
      </c>
      <c r="F519" s="11" t="n">
        <f aca="false">IF(D519=1,SUMIFS(Benefits!$S$4:$S$703,Benefits!$B$4:$B$703,A519,Benefits!$F$4:$F$703,B519,Benefits!$R$4:$R$703,"cash"),0)</f>
        <v>86300</v>
      </c>
      <c r="G519" s="11" t="n">
        <f aca="false">IF(D519=1,SUMIFS(Benefits!$S$4:$S$703,Benefits!$B$4:$B$703,A519,Benefits!$F$4:$F$703,B519,Benefits!$R$4:$R$703,"revenue"),0)</f>
        <v>0</v>
      </c>
      <c r="H519" s="11" t="n">
        <f aca="false">IF(D519=1,SUMIFS(Benefits!$S$4:$S$703,Benefits!$B$4:$B$703,A519,Benefits!$F$4:$F$703,B519,Benefits!$R$4:$R$703,"avoided_cost_realised"),0)</f>
        <v>0</v>
      </c>
      <c r="I519" s="11" t="n">
        <f aca="false">IF(D519=1,SUMIFS(Benefits!$S$4:$S$703,Benefits!$B$4:$B$703,A519,Benefits!$F$4:$F$703,B519,Benefits!$R$4:$R$703,"capacity_converted"),0)</f>
        <v>0</v>
      </c>
      <c r="J519" s="11" t="n">
        <f aca="false">SUM(F519:I519)</f>
        <v>86300</v>
      </c>
      <c r="K519" s="11" t="n">
        <f aca="false">J519-E519</f>
        <v>57150</v>
      </c>
      <c r="L519" s="11" t="n">
        <f aca="false">IF(D519=1,L518+K519,0)</f>
        <v>-808100</v>
      </c>
      <c r="M519" s="11" t="n">
        <f aca="false">IF(D519=1,1/(1+Controls!$B$11)^B519,0)</f>
        <v>0.931883667888982</v>
      </c>
      <c r="N519" s="11" t="n">
        <f aca="false">K519*M519</f>
        <v>53257.1516198553</v>
      </c>
      <c r="O519" s="11" t="n">
        <f aca="false">IF(D519=1,O518+N519,0)</f>
        <v>-801894.530021792</v>
      </c>
      <c r="P519" s="11" t="n">
        <f aca="false">IF(AND(D519=1,L519&lt;0),1,0)</f>
        <v>1</v>
      </c>
      <c r="Q519" s="11" t="n">
        <f aca="false">IF(AND(D519=1,O519&lt;0),1,0)</f>
        <v>1</v>
      </c>
    </row>
    <row r="520" customFormat="false" ht="15" hidden="false" customHeight="false" outlineLevel="0" collapsed="false">
      <c r="A520" s="4" t="s">
        <v>97</v>
      </c>
      <c r="B520" s="4" t="n">
        <v>12</v>
      </c>
      <c r="C520" s="11" t="n">
        <f aca="false">IF(COUNTIF('Scenario inputs'!$A$4:$A$213,Controls!$B$3&amp;"|"&amp;A520)&gt;0,1,0)</f>
        <v>1</v>
      </c>
      <c r="D520" s="11" t="n">
        <f aca="false">IF(AND(C520=1,B520&lt;Controls!$B$12),1,0)</f>
        <v>1</v>
      </c>
      <c r="E520" s="11" t="n">
        <f aca="false">IF(D520=1,SUMPRODUCT((Costs!$B$4:$B$903=A520)*(Costs!$D$4:$D$903="planned")*(Costs!$J$4:$J$903&lt;=B520)*(Costs!$K$4:$K$903&gt;B520)*Costs!$E$4:$E$903),0)</f>
        <v>29150</v>
      </c>
      <c r="F520" s="11" t="n">
        <f aca="false">IF(D520=1,SUMIFS(Benefits!$S$4:$S$703,Benefits!$B$4:$B$703,A520,Benefits!$F$4:$F$703,B520,Benefits!$R$4:$R$703,"cash"),0)</f>
        <v>86300</v>
      </c>
      <c r="G520" s="11" t="n">
        <f aca="false">IF(D520=1,SUMIFS(Benefits!$S$4:$S$703,Benefits!$B$4:$B$703,A520,Benefits!$F$4:$F$703,B520,Benefits!$R$4:$R$703,"revenue"),0)</f>
        <v>0</v>
      </c>
      <c r="H520" s="11" t="n">
        <f aca="false">IF(D520=1,SUMIFS(Benefits!$S$4:$S$703,Benefits!$B$4:$B$703,A520,Benefits!$F$4:$F$703,B520,Benefits!$R$4:$R$703,"avoided_cost_realised"),0)</f>
        <v>0</v>
      </c>
      <c r="I520" s="11" t="n">
        <f aca="false">IF(D520=1,SUMIFS(Benefits!$S$4:$S$703,Benefits!$B$4:$B$703,A520,Benefits!$F$4:$F$703,B520,Benefits!$R$4:$R$703,"capacity_converted"),0)</f>
        <v>0</v>
      </c>
      <c r="J520" s="11" t="n">
        <f aca="false">SUM(F520:I520)</f>
        <v>86300</v>
      </c>
      <c r="K520" s="11" t="n">
        <f aca="false">J520-E520</f>
        <v>57150</v>
      </c>
      <c r="L520" s="11" t="n">
        <f aca="false">IF(D520=1,L519+K520,0)</f>
        <v>-750950</v>
      </c>
      <c r="M520" s="11" t="n">
        <f aca="false">IF(D520=1,1/(1+Controls!$B$11)^B520,0)</f>
        <v>0.925926258342804</v>
      </c>
      <c r="N520" s="11" t="n">
        <f aca="false">K520*M520</f>
        <v>52916.6856642913</v>
      </c>
      <c r="O520" s="11" t="n">
        <f aca="false">IF(D520=1,O519+N520,0)</f>
        <v>-748977.844357501</v>
      </c>
      <c r="P520" s="11" t="n">
        <f aca="false">IF(AND(D520=1,L520&lt;0),1,0)</f>
        <v>1</v>
      </c>
      <c r="Q520" s="11" t="n">
        <f aca="false">IF(AND(D520=1,O520&lt;0),1,0)</f>
        <v>1</v>
      </c>
    </row>
    <row r="521" customFormat="false" ht="15" hidden="false" customHeight="false" outlineLevel="0" collapsed="false">
      <c r="A521" s="4" t="s">
        <v>97</v>
      </c>
      <c r="B521" s="4" t="n">
        <v>13</v>
      </c>
      <c r="C521" s="11" t="n">
        <f aca="false">IF(COUNTIF('Scenario inputs'!$A$4:$A$213,Controls!$B$3&amp;"|"&amp;A521)&gt;0,1,0)</f>
        <v>1</v>
      </c>
      <c r="D521" s="11" t="n">
        <f aca="false">IF(AND(C521=1,B521&lt;Controls!$B$12),1,0)</f>
        <v>1</v>
      </c>
      <c r="E521" s="11" t="n">
        <f aca="false">IF(D521=1,SUMPRODUCT((Costs!$B$4:$B$903=A521)*(Costs!$D$4:$D$903="planned")*(Costs!$J$4:$J$903&lt;=B521)*(Costs!$K$4:$K$903&gt;B521)*Costs!$E$4:$E$903),0)</f>
        <v>29150</v>
      </c>
      <c r="F521" s="11" t="n">
        <f aca="false">IF(D521=1,SUMIFS(Benefits!$S$4:$S$703,Benefits!$B$4:$B$703,A521,Benefits!$F$4:$F$703,B521,Benefits!$R$4:$R$703,"cash"),0)</f>
        <v>86300</v>
      </c>
      <c r="G521" s="11" t="n">
        <f aca="false">IF(D521=1,SUMIFS(Benefits!$S$4:$S$703,Benefits!$B$4:$B$703,A521,Benefits!$F$4:$F$703,B521,Benefits!$R$4:$R$703,"revenue"),0)</f>
        <v>0</v>
      </c>
      <c r="H521" s="11" t="n">
        <f aca="false">IF(D521=1,SUMIFS(Benefits!$S$4:$S$703,Benefits!$B$4:$B$703,A521,Benefits!$F$4:$F$703,B521,Benefits!$R$4:$R$703,"avoided_cost_realised"),0)</f>
        <v>0</v>
      </c>
      <c r="I521" s="11" t="n">
        <f aca="false">IF(D521=1,SUMIFS(Benefits!$S$4:$S$703,Benefits!$B$4:$B$703,A521,Benefits!$F$4:$F$703,B521,Benefits!$R$4:$R$703,"capacity_converted"),0)</f>
        <v>0</v>
      </c>
      <c r="J521" s="11" t="n">
        <f aca="false">SUM(F521:I521)</f>
        <v>86300</v>
      </c>
      <c r="K521" s="11" t="n">
        <f aca="false">J521-E521</f>
        <v>57150</v>
      </c>
      <c r="L521" s="11" t="n">
        <f aca="false">IF(D521=1,L520+K521,0)</f>
        <v>-693800</v>
      </c>
      <c r="M521" s="11" t="n">
        <f aca="false">IF(D521=1,1/(1+Controls!$B$11)^B521,0)</f>
        <v>0.920006933731178</v>
      </c>
      <c r="N521" s="11" t="n">
        <f aca="false">K521*M521</f>
        <v>52578.3962627368</v>
      </c>
      <c r="O521" s="11" t="n">
        <f aca="false">IF(D521=1,O520+N521,0)</f>
        <v>-696399.448094764</v>
      </c>
      <c r="P521" s="11" t="n">
        <f aca="false">IF(AND(D521=1,L521&lt;0),1,0)</f>
        <v>1</v>
      </c>
      <c r="Q521" s="11" t="n">
        <f aca="false">IF(AND(D521=1,O521&lt;0),1,0)</f>
        <v>1</v>
      </c>
    </row>
    <row r="522" customFormat="false" ht="15" hidden="false" customHeight="false" outlineLevel="0" collapsed="false">
      <c r="A522" s="4" t="s">
        <v>97</v>
      </c>
      <c r="B522" s="4" t="n">
        <v>14</v>
      </c>
      <c r="C522" s="11" t="n">
        <f aca="false">IF(COUNTIF('Scenario inputs'!$A$4:$A$213,Controls!$B$3&amp;"|"&amp;A522)&gt;0,1,0)</f>
        <v>1</v>
      </c>
      <c r="D522" s="11" t="n">
        <f aca="false">IF(AND(C522=1,B522&lt;Controls!$B$12),1,0)</f>
        <v>1</v>
      </c>
      <c r="E522" s="11" t="n">
        <f aca="false">IF(D522=1,SUMPRODUCT((Costs!$B$4:$B$903=A522)*(Costs!$D$4:$D$903="planned")*(Costs!$J$4:$J$903&lt;=B522)*(Costs!$K$4:$K$903&gt;B522)*Costs!$E$4:$E$903),0)</f>
        <v>29150</v>
      </c>
      <c r="F522" s="11" t="n">
        <f aca="false">IF(D522=1,SUMIFS(Benefits!$S$4:$S$703,Benefits!$B$4:$B$703,A522,Benefits!$F$4:$F$703,B522,Benefits!$R$4:$R$703,"cash"),0)</f>
        <v>86300</v>
      </c>
      <c r="G522" s="11" t="n">
        <f aca="false">IF(D522=1,SUMIFS(Benefits!$S$4:$S$703,Benefits!$B$4:$B$703,A522,Benefits!$F$4:$F$703,B522,Benefits!$R$4:$R$703,"revenue"),0)</f>
        <v>0</v>
      </c>
      <c r="H522" s="11" t="n">
        <f aca="false">IF(D522=1,SUMIFS(Benefits!$S$4:$S$703,Benefits!$B$4:$B$703,A522,Benefits!$F$4:$F$703,B522,Benefits!$R$4:$R$703,"avoided_cost_realised"),0)</f>
        <v>0</v>
      </c>
      <c r="I522" s="11" t="n">
        <f aca="false">IF(D522=1,SUMIFS(Benefits!$S$4:$S$703,Benefits!$B$4:$B$703,A522,Benefits!$F$4:$F$703,B522,Benefits!$R$4:$R$703,"capacity_converted"),0)</f>
        <v>0</v>
      </c>
      <c r="J522" s="11" t="n">
        <f aca="false">SUM(F522:I522)</f>
        <v>86300</v>
      </c>
      <c r="K522" s="11" t="n">
        <f aca="false">J522-E522</f>
        <v>57150</v>
      </c>
      <c r="L522" s="11" t="n">
        <f aca="false">IF(D522=1,L521+K522,0)</f>
        <v>-636650</v>
      </c>
      <c r="M522" s="11" t="n">
        <f aca="false">IF(D522=1,1/(1+Controls!$B$11)^B522,0)</f>
        <v>0.914125450582132</v>
      </c>
      <c r="N522" s="11" t="n">
        <f aca="false">K522*M522</f>
        <v>52242.2695007689</v>
      </c>
      <c r="O522" s="11" t="n">
        <f aca="false">IF(D522=1,O521+N522,0)</f>
        <v>-644157.178593995</v>
      </c>
      <c r="P522" s="11" t="n">
        <f aca="false">IF(AND(D522=1,L522&lt;0),1,0)</f>
        <v>1</v>
      </c>
      <c r="Q522" s="11" t="n">
        <f aca="false">IF(AND(D522=1,O522&lt;0),1,0)</f>
        <v>1</v>
      </c>
    </row>
    <row r="523" customFormat="false" ht="15" hidden="false" customHeight="false" outlineLevel="0" collapsed="false">
      <c r="A523" s="4" t="s">
        <v>97</v>
      </c>
      <c r="B523" s="4" t="n">
        <v>15</v>
      </c>
      <c r="C523" s="11" t="n">
        <f aca="false">IF(COUNTIF('Scenario inputs'!$A$4:$A$213,Controls!$B$3&amp;"|"&amp;A523)&gt;0,1,0)</f>
        <v>1</v>
      </c>
      <c r="D523" s="11" t="n">
        <f aca="false">IF(AND(C523=1,B523&lt;Controls!$B$12),1,0)</f>
        <v>1</v>
      </c>
      <c r="E523" s="11" t="n">
        <f aca="false">IF(D523=1,SUMPRODUCT((Costs!$B$4:$B$903=A523)*(Costs!$D$4:$D$903="planned")*(Costs!$J$4:$J$903&lt;=B523)*(Costs!$K$4:$K$903&gt;B523)*Costs!$E$4:$E$903),0)</f>
        <v>29150</v>
      </c>
      <c r="F523" s="11" t="n">
        <f aca="false">IF(D523=1,SUMIFS(Benefits!$S$4:$S$703,Benefits!$B$4:$B$703,A523,Benefits!$F$4:$F$703,B523,Benefits!$R$4:$R$703,"cash"),0)</f>
        <v>86300</v>
      </c>
      <c r="G523" s="11" t="n">
        <f aca="false">IF(D523=1,SUMIFS(Benefits!$S$4:$S$703,Benefits!$B$4:$B$703,A523,Benefits!$F$4:$F$703,B523,Benefits!$R$4:$R$703,"revenue"),0)</f>
        <v>0</v>
      </c>
      <c r="H523" s="11" t="n">
        <f aca="false">IF(D523=1,SUMIFS(Benefits!$S$4:$S$703,Benefits!$B$4:$B$703,A523,Benefits!$F$4:$F$703,B523,Benefits!$R$4:$R$703,"avoided_cost_realised"),0)</f>
        <v>0</v>
      </c>
      <c r="I523" s="11" t="n">
        <f aca="false">IF(D523=1,SUMIFS(Benefits!$S$4:$S$703,Benefits!$B$4:$B$703,A523,Benefits!$F$4:$F$703,B523,Benefits!$R$4:$R$703,"capacity_converted"),0)</f>
        <v>0</v>
      </c>
      <c r="J523" s="11" t="n">
        <f aca="false">SUM(F523:I523)</f>
        <v>86300</v>
      </c>
      <c r="K523" s="11" t="n">
        <f aca="false">J523-E523</f>
        <v>57150</v>
      </c>
      <c r="L523" s="11" t="n">
        <f aca="false">IF(D523=1,L522+K523,0)</f>
        <v>-579500</v>
      </c>
      <c r="M523" s="11" t="n">
        <f aca="false">IF(D523=1,1/(1+Controls!$B$11)^B523,0)</f>
        <v>0.908281566980182</v>
      </c>
      <c r="N523" s="11" t="n">
        <f aca="false">K523*M523</f>
        <v>51908.2915529174</v>
      </c>
      <c r="O523" s="11" t="n">
        <f aca="false">IF(D523=1,O522+N523,0)</f>
        <v>-592248.887041078</v>
      </c>
      <c r="P523" s="11" t="n">
        <f aca="false">IF(AND(D523=1,L523&lt;0),1,0)</f>
        <v>1</v>
      </c>
      <c r="Q523" s="11" t="n">
        <f aca="false">IF(AND(D523=1,O523&lt;0),1,0)</f>
        <v>1</v>
      </c>
    </row>
    <row r="524" customFormat="false" ht="15" hidden="false" customHeight="false" outlineLevel="0" collapsed="false">
      <c r="A524" s="4" t="s">
        <v>97</v>
      </c>
      <c r="B524" s="4" t="n">
        <v>16</v>
      </c>
      <c r="C524" s="11" t="n">
        <f aca="false">IF(COUNTIF('Scenario inputs'!$A$4:$A$213,Controls!$B$3&amp;"|"&amp;A524)&gt;0,1,0)</f>
        <v>1</v>
      </c>
      <c r="D524" s="11" t="n">
        <f aca="false">IF(AND(C524=1,B524&lt;Controls!$B$12),1,0)</f>
        <v>1</v>
      </c>
      <c r="E524" s="11" t="n">
        <f aca="false">IF(D524=1,SUMPRODUCT((Costs!$B$4:$B$903=A524)*(Costs!$D$4:$D$903="planned")*(Costs!$J$4:$J$903&lt;=B524)*(Costs!$K$4:$K$903&gt;B524)*Costs!$E$4:$E$903),0)</f>
        <v>29150</v>
      </c>
      <c r="F524" s="11" t="n">
        <f aca="false">IF(D524=1,SUMIFS(Benefits!$S$4:$S$703,Benefits!$B$4:$B$703,A524,Benefits!$F$4:$F$703,B524,Benefits!$R$4:$R$703,"cash"),0)</f>
        <v>0</v>
      </c>
      <c r="G524" s="11" t="n">
        <f aca="false">IF(D524=1,SUMIFS(Benefits!$S$4:$S$703,Benefits!$B$4:$B$703,A524,Benefits!$F$4:$F$703,B524,Benefits!$R$4:$R$703,"revenue"),0)</f>
        <v>0</v>
      </c>
      <c r="H524" s="11" t="n">
        <f aca="false">IF(D524=1,SUMIFS(Benefits!$S$4:$S$703,Benefits!$B$4:$B$703,A524,Benefits!$F$4:$F$703,B524,Benefits!$R$4:$R$703,"avoided_cost_realised"),0)</f>
        <v>0</v>
      </c>
      <c r="I524" s="11" t="n">
        <f aca="false">IF(D524=1,SUMIFS(Benefits!$S$4:$S$703,Benefits!$B$4:$B$703,A524,Benefits!$F$4:$F$703,B524,Benefits!$R$4:$R$703,"capacity_converted"),0)</f>
        <v>0</v>
      </c>
      <c r="J524" s="11" t="n">
        <f aca="false">SUM(F524:I524)</f>
        <v>0</v>
      </c>
      <c r="K524" s="11" t="n">
        <f aca="false">J524-E524</f>
        <v>-29150</v>
      </c>
      <c r="L524" s="11" t="n">
        <f aca="false">IF(D524=1,L523+K524,0)</f>
        <v>-608650</v>
      </c>
      <c r="M524" s="11" t="n">
        <f aca="false">IF(D524=1,1/(1+Controls!$B$11)^B524,0)</f>
        <v>0.902475042556374</v>
      </c>
      <c r="N524" s="11" t="n">
        <f aca="false">K524*M524</f>
        <v>-26307.1474905183</v>
      </c>
      <c r="O524" s="11" t="n">
        <f aca="false">IF(D524=1,O523+N524,0)</f>
        <v>-618556.034531596</v>
      </c>
      <c r="P524" s="11" t="n">
        <f aca="false">IF(AND(D524=1,L524&lt;0),1,0)</f>
        <v>1</v>
      </c>
      <c r="Q524" s="11" t="n">
        <f aca="false">IF(AND(D524=1,O524&lt;0),1,0)</f>
        <v>1</v>
      </c>
    </row>
    <row r="525" customFormat="false" ht="15" hidden="false" customHeight="false" outlineLevel="0" collapsed="false">
      <c r="A525" s="4" t="s">
        <v>97</v>
      </c>
      <c r="B525" s="4" t="n">
        <v>17</v>
      </c>
      <c r="C525" s="11" t="n">
        <f aca="false">IF(COUNTIF('Scenario inputs'!$A$4:$A$213,Controls!$B$3&amp;"|"&amp;A525)&gt;0,1,0)</f>
        <v>1</v>
      </c>
      <c r="D525" s="11" t="n">
        <f aca="false">IF(AND(C525=1,B525&lt;Controls!$B$12),1,0)</f>
        <v>1</v>
      </c>
      <c r="E525" s="11" t="n">
        <f aca="false">IF(D525=1,SUMPRODUCT((Costs!$B$4:$B$903=A525)*(Costs!$D$4:$D$903="planned")*(Costs!$J$4:$J$903&lt;=B525)*(Costs!$K$4:$K$903&gt;B525)*Costs!$E$4:$E$903),0)</f>
        <v>0</v>
      </c>
      <c r="F525" s="11" t="n">
        <f aca="false">IF(D525=1,SUMIFS(Benefits!$S$4:$S$703,Benefits!$B$4:$B$703,A525,Benefits!$F$4:$F$703,B525,Benefits!$R$4:$R$703,"cash"),0)</f>
        <v>0</v>
      </c>
      <c r="G525" s="11" t="n">
        <f aca="false">IF(D525=1,SUMIFS(Benefits!$S$4:$S$703,Benefits!$B$4:$B$703,A525,Benefits!$F$4:$F$703,B525,Benefits!$R$4:$R$703,"revenue"),0)</f>
        <v>0</v>
      </c>
      <c r="H525" s="11" t="n">
        <f aca="false">IF(D525=1,SUMIFS(Benefits!$S$4:$S$703,Benefits!$B$4:$B$703,A525,Benefits!$F$4:$F$703,B525,Benefits!$R$4:$R$703,"avoided_cost_realised"),0)</f>
        <v>0</v>
      </c>
      <c r="I525" s="11" t="n">
        <f aca="false">IF(D525=1,SUMIFS(Benefits!$S$4:$S$703,Benefits!$B$4:$B$703,A525,Benefits!$F$4:$F$703,B525,Benefits!$R$4:$R$703,"capacity_converted"),0)</f>
        <v>0</v>
      </c>
      <c r="J525" s="11" t="n">
        <f aca="false">SUM(F525:I525)</f>
        <v>0</v>
      </c>
      <c r="K525" s="11" t="n">
        <f aca="false">J525-E525</f>
        <v>0</v>
      </c>
      <c r="L525" s="11" t="n">
        <f aca="false">IF(D525=1,L524+K525,0)</f>
        <v>-608650</v>
      </c>
      <c r="M525" s="11" t="n">
        <f aca="false">IF(D525=1,1/(1+Controls!$B$11)^B525,0)</f>
        <v>0.896705638478404</v>
      </c>
      <c r="N525" s="11" t="n">
        <f aca="false">K525*M525</f>
        <v>0</v>
      </c>
      <c r="O525" s="11" t="n">
        <f aca="false">IF(D525=1,O524+N525,0)</f>
        <v>-618556.034531596</v>
      </c>
      <c r="P525" s="11" t="n">
        <f aca="false">IF(AND(D525=1,L525&lt;0),1,0)</f>
        <v>1</v>
      </c>
      <c r="Q525" s="11" t="n">
        <f aca="false">IF(AND(D525=1,O525&lt;0),1,0)</f>
        <v>1</v>
      </c>
    </row>
    <row r="526" customFormat="false" ht="15" hidden="false" customHeight="false" outlineLevel="0" collapsed="false">
      <c r="A526" s="4" t="s">
        <v>97</v>
      </c>
      <c r="B526" s="4" t="n">
        <v>18</v>
      </c>
      <c r="C526" s="11" t="n">
        <f aca="false">IF(COUNTIF('Scenario inputs'!$A$4:$A$213,Controls!$B$3&amp;"|"&amp;A526)&gt;0,1,0)</f>
        <v>1</v>
      </c>
      <c r="D526" s="11" t="n">
        <f aca="false">IF(AND(C526=1,B526&lt;Controls!$B$12),1,0)</f>
        <v>1</v>
      </c>
      <c r="E526" s="11" t="n">
        <f aca="false">IF(D526=1,SUMPRODUCT((Costs!$B$4:$B$903=A526)*(Costs!$D$4:$D$903="planned")*(Costs!$J$4:$J$903&lt;=B526)*(Costs!$K$4:$K$903&gt;B526)*Costs!$E$4:$E$903),0)</f>
        <v>0</v>
      </c>
      <c r="F526" s="11" t="n">
        <f aca="false">IF(D526=1,SUMIFS(Benefits!$S$4:$S$703,Benefits!$B$4:$B$703,A526,Benefits!$F$4:$F$703,B526,Benefits!$R$4:$R$703,"cash"),0)</f>
        <v>0</v>
      </c>
      <c r="G526" s="11" t="n">
        <f aca="false">IF(D526=1,SUMIFS(Benefits!$S$4:$S$703,Benefits!$B$4:$B$703,A526,Benefits!$F$4:$F$703,B526,Benefits!$R$4:$R$703,"revenue"),0)</f>
        <v>0</v>
      </c>
      <c r="H526" s="11" t="n">
        <f aca="false">IF(D526=1,SUMIFS(Benefits!$S$4:$S$703,Benefits!$B$4:$B$703,A526,Benefits!$F$4:$F$703,B526,Benefits!$R$4:$R$703,"avoided_cost_realised"),0)</f>
        <v>0</v>
      </c>
      <c r="I526" s="11" t="n">
        <f aca="false">IF(D526=1,SUMIFS(Benefits!$S$4:$S$703,Benefits!$B$4:$B$703,A526,Benefits!$F$4:$F$703,B526,Benefits!$R$4:$R$703,"capacity_converted"),0)</f>
        <v>0</v>
      </c>
      <c r="J526" s="11" t="n">
        <f aca="false">SUM(F526:I526)</f>
        <v>0</v>
      </c>
      <c r="K526" s="11" t="n">
        <f aca="false">J526-E526</f>
        <v>0</v>
      </c>
      <c r="L526" s="11" t="n">
        <f aca="false">IF(D526=1,L525+K526,0)</f>
        <v>-608650</v>
      </c>
      <c r="M526" s="11" t="n">
        <f aca="false">IF(D526=1,1/(1+Controls!$B$11)^B526,0)</f>
        <v>0.89097311744079</v>
      </c>
      <c r="N526" s="11" t="n">
        <f aca="false">K526*M526</f>
        <v>0</v>
      </c>
      <c r="O526" s="11" t="n">
        <f aca="false">IF(D526=1,O525+N526,0)</f>
        <v>-618556.034531596</v>
      </c>
      <c r="P526" s="11" t="n">
        <f aca="false">IF(AND(D526=1,L526&lt;0),1,0)</f>
        <v>1</v>
      </c>
      <c r="Q526" s="11" t="n">
        <f aca="false">IF(AND(D526=1,O526&lt;0),1,0)</f>
        <v>1</v>
      </c>
    </row>
    <row r="527" customFormat="false" ht="15" hidden="false" customHeight="false" outlineLevel="0" collapsed="false">
      <c r="A527" s="4" t="s">
        <v>97</v>
      </c>
      <c r="B527" s="4" t="n">
        <v>19</v>
      </c>
      <c r="C527" s="11" t="n">
        <f aca="false">IF(COUNTIF('Scenario inputs'!$A$4:$A$213,Controls!$B$3&amp;"|"&amp;A527)&gt;0,1,0)</f>
        <v>1</v>
      </c>
      <c r="D527" s="11" t="n">
        <f aca="false">IF(AND(C527=1,B527&lt;Controls!$B$12),1,0)</f>
        <v>1</v>
      </c>
      <c r="E527" s="11" t="n">
        <f aca="false">IF(D527=1,SUMPRODUCT((Costs!$B$4:$B$903=A527)*(Costs!$D$4:$D$903="planned")*(Costs!$J$4:$J$903&lt;=B527)*(Costs!$K$4:$K$903&gt;B527)*Costs!$E$4:$E$903),0)</f>
        <v>0</v>
      </c>
      <c r="F527" s="11" t="n">
        <f aca="false">IF(D527=1,SUMIFS(Benefits!$S$4:$S$703,Benefits!$B$4:$B$703,A527,Benefits!$F$4:$F$703,B527,Benefits!$R$4:$R$703,"cash"),0)</f>
        <v>0</v>
      </c>
      <c r="G527" s="11" t="n">
        <f aca="false">IF(D527=1,SUMIFS(Benefits!$S$4:$S$703,Benefits!$B$4:$B$703,A527,Benefits!$F$4:$F$703,B527,Benefits!$R$4:$R$703,"revenue"),0)</f>
        <v>0</v>
      </c>
      <c r="H527" s="11" t="n">
        <f aca="false">IF(D527=1,SUMIFS(Benefits!$S$4:$S$703,Benefits!$B$4:$B$703,A527,Benefits!$F$4:$F$703,B527,Benefits!$R$4:$R$703,"avoided_cost_realised"),0)</f>
        <v>0</v>
      </c>
      <c r="I527" s="11" t="n">
        <f aca="false">IF(D527=1,SUMIFS(Benefits!$S$4:$S$703,Benefits!$B$4:$B$703,A527,Benefits!$F$4:$F$703,B527,Benefits!$R$4:$R$703,"capacity_converted"),0)</f>
        <v>0</v>
      </c>
      <c r="J527" s="11" t="n">
        <f aca="false">SUM(F527:I527)</f>
        <v>0</v>
      </c>
      <c r="K527" s="11" t="n">
        <f aca="false">J527-E527</f>
        <v>0</v>
      </c>
      <c r="L527" s="11" t="n">
        <f aca="false">IF(D527=1,L526+K527,0)</f>
        <v>-608650</v>
      </c>
      <c r="M527" s="11" t="n">
        <f aca="false">IF(D527=1,1/(1+Controls!$B$11)^B527,0)</f>
        <v>0.885277243655113</v>
      </c>
      <c r="N527" s="11" t="n">
        <f aca="false">K527*M527</f>
        <v>0</v>
      </c>
      <c r="O527" s="11" t="n">
        <f aca="false">IF(D527=1,O526+N527,0)</f>
        <v>-618556.034531596</v>
      </c>
      <c r="P527" s="11" t="n">
        <f aca="false">IF(AND(D527=1,L527&lt;0),1,0)</f>
        <v>1</v>
      </c>
      <c r="Q527" s="11" t="n">
        <f aca="false">IF(AND(D527=1,O527&lt;0),1,0)</f>
        <v>1</v>
      </c>
    </row>
    <row r="528" customFormat="false" ht="15" hidden="false" customHeight="false" outlineLevel="0" collapsed="false">
      <c r="A528" s="4" t="s">
        <v>97</v>
      </c>
      <c r="B528" s="4" t="n">
        <v>20</v>
      </c>
      <c r="C528" s="11" t="n">
        <f aca="false">IF(COUNTIF('Scenario inputs'!$A$4:$A$213,Controls!$B$3&amp;"|"&amp;A528)&gt;0,1,0)</f>
        <v>1</v>
      </c>
      <c r="D528" s="11" t="n">
        <f aca="false">IF(AND(C528=1,B528&lt;Controls!$B$12),1,0)</f>
        <v>1</v>
      </c>
      <c r="E528" s="11" t="n">
        <f aca="false">IF(D528=1,SUMPRODUCT((Costs!$B$4:$B$903=A528)*(Costs!$D$4:$D$903="planned")*(Costs!$J$4:$J$903&lt;=B528)*(Costs!$K$4:$K$903&gt;B528)*Costs!$E$4:$E$903),0)</f>
        <v>0</v>
      </c>
      <c r="F528" s="11" t="n">
        <f aca="false">IF(D528=1,SUMIFS(Benefits!$S$4:$S$703,Benefits!$B$4:$B$703,A528,Benefits!$F$4:$F$703,B528,Benefits!$R$4:$R$703,"cash"),0)</f>
        <v>0</v>
      </c>
      <c r="G528" s="11" t="n">
        <f aca="false">IF(D528=1,SUMIFS(Benefits!$S$4:$S$703,Benefits!$B$4:$B$703,A528,Benefits!$F$4:$F$703,B528,Benefits!$R$4:$R$703,"revenue"),0)</f>
        <v>0</v>
      </c>
      <c r="H528" s="11" t="n">
        <f aca="false">IF(D528=1,SUMIFS(Benefits!$S$4:$S$703,Benefits!$B$4:$B$703,A528,Benefits!$F$4:$F$703,B528,Benefits!$R$4:$R$703,"avoided_cost_realised"),0)</f>
        <v>0</v>
      </c>
      <c r="I528" s="11" t="n">
        <f aca="false">IF(D528=1,SUMIFS(Benefits!$S$4:$S$703,Benefits!$B$4:$B$703,A528,Benefits!$F$4:$F$703,B528,Benefits!$R$4:$R$703,"capacity_converted"),0)</f>
        <v>0</v>
      </c>
      <c r="J528" s="11" t="n">
        <f aca="false">SUM(F528:I528)</f>
        <v>0</v>
      </c>
      <c r="K528" s="11" t="n">
        <f aca="false">J528-E528</f>
        <v>0</v>
      </c>
      <c r="L528" s="11" t="n">
        <f aca="false">IF(D528=1,L527+K528,0)</f>
        <v>-608650</v>
      </c>
      <c r="M528" s="11" t="n">
        <f aca="false">IF(D528=1,1/(1+Controls!$B$11)^B528,0)</f>
        <v>0.879617782840318</v>
      </c>
      <c r="N528" s="11" t="n">
        <f aca="false">K528*M528</f>
        <v>0</v>
      </c>
      <c r="O528" s="11" t="n">
        <f aca="false">IF(D528=1,O527+N528,0)</f>
        <v>-618556.034531596</v>
      </c>
      <c r="P528" s="11" t="n">
        <f aca="false">IF(AND(D528=1,L528&lt;0),1,0)</f>
        <v>1</v>
      </c>
      <c r="Q528" s="11" t="n">
        <f aca="false">IF(AND(D528=1,O528&lt;0),1,0)</f>
        <v>1</v>
      </c>
    </row>
    <row r="529" customFormat="false" ht="15" hidden="false" customHeight="false" outlineLevel="0" collapsed="false">
      <c r="A529" s="4" t="s">
        <v>97</v>
      </c>
      <c r="B529" s="4" t="n">
        <v>21</v>
      </c>
      <c r="C529" s="11" t="n">
        <f aca="false">IF(COUNTIF('Scenario inputs'!$A$4:$A$213,Controls!$B$3&amp;"|"&amp;A529)&gt;0,1,0)</f>
        <v>1</v>
      </c>
      <c r="D529" s="11" t="n">
        <f aca="false">IF(AND(C529=1,B529&lt;Controls!$B$12),1,0)</f>
        <v>1</v>
      </c>
      <c r="E529" s="11" t="n">
        <f aca="false">IF(D529=1,SUMPRODUCT((Costs!$B$4:$B$903=A529)*(Costs!$D$4:$D$903="planned")*(Costs!$J$4:$J$903&lt;=B529)*(Costs!$K$4:$K$903&gt;B529)*Costs!$E$4:$E$903),0)</f>
        <v>0</v>
      </c>
      <c r="F529" s="11" t="n">
        <f aca="false">IF(D529=1,SUMIFS(Benefits!$S$4:$S$703,Benefits!$B$4:$B$703,A529,Benefits!$F$4:$F$703,B529,Benefits!$R$4:$R$703,"cash"),0)</f>
        <v>0</v>
      </c>
      <c r="G529" s="11" t="n">
        <f aca="false">IF(D529=1,SUMIFS(Benefits!$S$4:$S$703,Benefits!$B$4:$B$703,A529,Benefits!$F$4:$F$703,B529,Benefits!$R$4:$R$703,"revenue"),0)</f>
        <v>0</v>
      </c>
      <c r="H529" s="11" t="n">
        <f aca="false">IF(D529=1,SUMIFS(Benefits!$S$4:$S$703,Benefits!$B$4:$B$703,A529,Benefits!$F$4:$F$703,B529,Benefits!$R$4:$R$703,"avoided_cost_realised"),0)</f>
        <v>0</v>
      </c>
      <c r="I529" s="11" t="n">
        <f aca="false">IF(D529=1,SUMIFS(Benefits!$S$4:$S$703,Benefits!$B$4:$B$703,A529,Benefits!$F$4:$F$703,B529,Benefits!$R$4:$R$703,"capacity_converted"),0)</f>
        <v>0</v>
      </c>
      <c r="J529" s="11" t="n">
        <f aca="false">SUM(F529:I529)</f>
        <v>0</v>
      </c>
      <c r="K529" s="11" t="n">
        <f aca="false">J529-E529</f>
        <v>0</v>
      </c>
      <c r="L529" s="11" t="n">
        <f aca="false">IF(D529=1,L528+K529,0)</f>
        <v>-608650</v>
      </c>
      <c r="M529" s="11" t="n">
        <f aca="false">IF(D529=1,1/(1+Controls!$B$11)^B529,0)</f>
        <v>0.873994502213079</v>
      </c>
      <c r="N529" s="11" t="n">
        <f aca="false">K529*M529</f>
        <v>0</v>
      </c>
      <c r="O529" s="11" t="n">
        <f aca="false">IF(D529=1,O528+N529,0)</f>
        <v>-618556.034531596</v>
      </c>
      <c r="P529" s="11" t="n">
        <f aca="false">IF(AND(D529=1,L529&lt;0),1,0)</f>
        <v>1</v>
      </c>
      <c r="Q529" s="11" t="n">
        <f aca="false">IF(AND(D529=1,O529&lt;0),1,0)</f>
        <v>1</v>
      </c>
    </row>
    <row r="530" customFormat="false" ht="15" hidden="false" customHeight="false" outlineLevel="0" collapsed="false">
      <c r="A530" s="4" t="s">
        <v>97</v>
      </c>
      <c r="B530" s="4" t="n">
        <v>22</v>
      </c>
      <c r="C530" s="11" t="n">
        <f aca="false">IF(COUNTIF('Scenario inputs'!$A$4:$A$213,Controls!$B$3&amp;"|"&amp;A530)&gt;0,1,0)</f>
        <v>1</v>
      </c>
      <c r="D530" s="11" t="n">
        <f aca="false">IF(AND(C530=1,B530&lt;Controls!$B$12),1,0)</f>
        <v>1</v>
      </c>
      <c r="E530" s="11" t="n">
        <f aca="false">IF(D530=1,SUMPRODUCT((Costs!$B$4:$B$903=A530)*(Costs!$D$4:$D$903="planned")*(Costs!$J$4:$J$903&lt;=B530)*(Costs!$K$4:$K$903&gt;B530)*Costs!$E$4:$E$903),0)</f>
        <v>0</v>
      </c>
      <c r="F530" s="11" t="n">
        <f aca="false">IF(D530=1,SUMIFS(Benefits!$S$4:$S$703,Benefits!$B$4:$B$703,A530,Benefits!$F$4:$F$703,B530,Benefits!$R$4:$R$703,"cash"),0)</f>
        <v>0</v>
      </c>
      <c r="G530" s="11" t="n">
        <f aca="false">IF(D530=1,SUMIFS(Benefits!$S$4:$S$703,Benefits!$B$4:$B$703,A530,Benefits!$F$4:$F$703,B530,Benefits!$R$4:$R$703,"revenue"),0)</f>
        <v>0</v>
      </c>
      <c r="H530" s="11" t="n">
        <f aca="false">IF(D530=1,SUMIFS(Benefits!$S$4:$S$703,Benefits!$B$4:$B$703,A530,Benefits!$F$4:$F$703,B530,Benefits!$R$4:$R$703,"avoided_cost_realised"),0)</f>
        <v>0</v>
      </c>
      <c r="I530" s="11" t="n">
        <f aca="false">IF(D530=1,SUMIFS(Benefits!$S$4:$S$703,Benefits!$B$4:$B$703,A530,Benefits!$F$4:$F$703,B530,Benefits!$R$4:$R$703,"capacity_converted"),0)</f>
        <v>0</v>
      </c>
      <c r="J530" s="11" t="n">
        <f aca="false">SUM(F530:I530)</f>
        <v>0</v>
      </c>
      <c r="K530" s="11" t="n">
        <f aca="false">J530-E530</f>
        <v>0</v>
      </c>
      <c r="L530" s="11" t="n">
        <f aca="false">IF(D530=1,L529+K530,0)</f>
        <v>-608650</v>
      </c>
      <c r="M530" s="11" t="n">
        <f aca="false">IF(D530=1,1/(1+Controls!$B$11)^B530,0)</f>
        <v>0.868407170478222</v>
      </c>
      <c r="N530" s="11" t="n">
        <f aca="false">K530*M530</f>
        <v>0</v>
      </c>
      <c r="O530" s="11" t="n">
        <f aca="false">IF(D530=1,O529+N530,0)</f>
        <v>-618556.034531596</v>
      </c>
      <c r="P530" s="11" t="n">
        <f aca="false">IF(AND(D530=1,L530&lt;0),1,0)</f>
        <v>1</v>
      </c>
      <c r="Q530" s="11" t="n">
        <f aca="false">IF(AND(D530=1,O530&lt;0),1,0)</f>
        <v>1</v>
      </c>
    </row>
    <row r="531" customFormat="false" ht="15" hidden="false" customHeight="false" outlineLevel="0" collapsed="false">
      <c r="A531" s="4" t="s">
        <v>97</v>
      </c>
      <c r="B531" s="4" t="n">
        <v>23</v>
      </c>
      <c r="C531" s="11" t="n">
        <f aca="false">IF(COUNTIF('Scenario inputs'!$A$4:$A$213,Controls!$B$3&amp;"|"&amp;A531)&gt;0,1,0)</f>
        <v>1</v>
      </c>
      <c r="D531" s="11" t="n">
        <f aca="false">IF(AND(C531=1,B531&lt;Controls!$B$12),1,0)</f>
        <v>1</v>
      </c>
      <c r="E531" s="11" t="n">
        <f aca="false">IF(D531=1,SUMPRODUCT((Costs!$B$4:$B$903=A531)*(Costs!$D$4:$D$903="planned")*(Costs!$J$4:$J$903&lt;=B531)*(Costs!$K$4:$K$903&gt;B531)*Costs!$E$4:$E$903),0)</f>
        <v>0</v>
      </c>
      <c r="F531" s="11" t="n">
        <f aca="false">IF(D531=1,SUMIFS(Benefits!$S$4:$S$703,Benefits!$B$4:$B$703,A531,Benefits!$F$4:$F$703,B531,Benefits!$R$4:$R$703,"cash"),0)</f>
        <v>0</v>
      </c>
      <c r="G531" s="11" t="n">
        <f aca="false">IF(D531=1,SUMIFS(Benefits!$S$4:$S$703,Benefits!$B$4:$B$703,A531,Benefits!$F$4:$F$703,B531,Benefits!$R$4:$R$703,"revenue"),0)</f>
        <v>0</v>
      </c>
      <c r="H531" s="11" t="n">
        <f aca="false">IF(D531=1,SUMIFS(Benefits!$S$4:$S$703,Benefits!$B$4:$B$703,A531,Benefits!$F$4:$F$703,B531,Benefits!$R$4:$R$703,"avoided_cost_realised"),0)</f>
        <v>0</v>
      </c>
      <c r="I531" s="11" t="n">
        <f aca="false">IF(D531=1,SUMIFS(Benefits!$S$4:$S$703,Benefits!$B$4:$B$703,A531,Benefits!$F$4:$F$703,B531,Benefits!$R$4:$R$703,"capacity_converted"),0)</f>
        <v>0</v>
      </c>
      <c r="J531" s="11" t="n">
        <f aca="false">SUM(F531:I531)</f>
        <v>0</v>
      </c>
      <c r="K531" s="11" t="n">
        <f aca="false">J531-E531</f>
        <v>0</v>
      </c>
      <c r="L531" s="11" t="n">
        <f aca="false">IF(D531=1,L530+K531,0)</f>
        <v>-608650</v>
      </c>
      <c r="M531" s="11" t="n">
        <f aca="false">IF(D531=1,1/(1+Controls!$B$11)^B531,0)</f>
        <v>0.862855557819213</v>
      </c>
      <c r="N531" s="11" t="n">
        <f aca="false">K531*M531</f>
        <v>0</v>
      </c>
      <c r="O531" s="11" t="n">
        <f aca="false">IF(D531=1,O530+N531,0)</f>
        <v>-618556.034531596</v>
      </c>
      <c r="P531" s="11" t="n">
        <f aca="false">IF(AND(D531=1,L531&lt;0),1,0)</f>
        <v>1</v>
      </c>
      <c r="Q531" s="11" t="n">
        <f aca="false">IF(AND(D531=1,O531&lt;0),1,0)</f>
        <v>1</v>
      </c>
    </row>
    <row r="532" customFormat="false" ht="15" hidden="false" customHeight="false" outlineLevel="0" collapsed="false">
      <c r="A532" s="4" t="s">
        <v>97</v>
      </c>
      <c r="B532" s="4" t="n">
        <v>24</v>
      </c>
      <c r="C532" s="11" t="n">
        <f aca="false">IF(COUNTIF('Scenario inputs'!$A$4:$A$213,Controls!$B$3&amp;"|"&amp;A532)&gt;0,1,0)</f>
        <v>1</v>
      </c>
      <c r="D532" s="11" t="n">
        <f aca="false">IF(AND(C532=1,B532&lt;Controls!$B$12),1,0)</f>
        <v>1</v>
      </c>
      <c r="E532" s="11" t="n">
        <f aca="false">IF(D532=1,SUMPRODUCT((Costs!$B$4:$B$903=A532)*(Costs!$D$4:$D$903="planned")*(Costs!$J$4:$J$903&lt;=B532)*(Costs!$K$4:$K$903&gt;B532)*Costs!$E$4:$E$903),0)</f>
        <v>0</v>
      </c>
      <c r="F532" s="11" t="n">
        <f aca="false">IF(D532=1,SUMIFS(Benefits!$S$4:$S$703,Benefits!$B$4:$B$703,A532,Benefits!$F$4:$F$703,B532,Benefits!$R$4:$R$703,"cash"),0)</f>
        <v>0</v>
      </c>
      <c r="G532" s="11" t="n">
        <f aca="false">IF(D532=1,SUMIFS(Benefits!$S$4:$S$703,Benefits!$B$4:$B$703,A532,Benefits!$F$4:$F$703,B532,Benefits!$R$4:$R$703,"revenue"),0)</f>
        <v>0</v>
      </c>
      <c r="H532" s="11" t="n">
        <f aca="false">IF(D532=1,SUMIFS(Benefits!$S$4:$S$703,Benefits!$B$4:$B$703,A532,Benefits!$F$4:$F$703,B532,Benefits!$R$4:$R$703,"avoided_cost_realised"),0)</f>
        <v>0</v>
      </c>
      <c r="I532" s="11" t="n">
        <f aca="false">IF(D532=1,SUMIFS(Benefits!$S$4:$S$703,Benefits!$B$4:$B$703,A532,Benefits!$F$4:$F$703,B532,Benefits!$R$4:$R$703,"capacity_converted"),0)</f>
        <v>0</v>
      </c>
      <c r="J532" s="11" t="n">
        <f aca="false">SUM(F532:I532)</f>
        <v>0</v>
      </c>
      <c r="K532" s="11" t="n">
        <f aca="false">J532-E532</f>
        <v>0</v>
      </c>
      <c r="L532" s="11" t="n">
        <f aca="false">IF(D532=1,L531+K532,0)</f>
        <v>-608650</v>
      </c>
      <c r="M532" s="11" t="n">
        <f aca="false">IF(D532=1,1/(1+Controls!$B$11)^B532,0)</f>
        <v>0.857339435888705</v>
      </c>
      <c r="N532" s="11" t="n">
        <f aca="false">K532*M532</f>
        <v>0</v>
      </c>
      <c r="O532" s="11" t="n">
        <f aca="false">IF(D532=1,O531+N532,0)</f>
        <v>-618556.034531596</v>
      </c>
      <c r="P532" s="11" t="n">
        <f aca="false">IF(AND(D532=1,L532&lt;0),1,0)</f>
        <v>1</v>
      </c>
      <c r="Q532" s="11" t="n">
        <f aca="false">IF(AND(D532=1,O532&lt;0),1,0)</f>
        <v>1</v>
      </c>
    </row>
    <row r="533" customFormat="false" ht="15" hidden="false" customHeight="false" outlineLevel="0" collapsed="false">
      <c r="A533" s="4" t="s">
        <v>97</v>
      </c>
      <c r="B533" s="4" t="n">
        <v>25</v>
      </c>
      <c r="C533" s="11" t="n">
        <f aca="false">IF(COUNTIF('Scenario inputs'!$A$4:$A$213,Controls!$B$3&amp;"|"&amp;A533)&gt;0,1,0)</f>
        <v>1</v>
      </c>
      <c r="D533" s="11" t="n">
        <f aca="false">IF(AND(C533=1,B533&lt;Controls!$B$12),1,0)</f>
        <v>1</v>
      </c>
      <c r="E533" s="11" t="n">
        <f aca="false">IF(D533=1,SUMPRODUCT((Costs!$B$4:$B$903=A533)*(Costs!$D$4:$D$903="planned")*(Costs!$J$4:$J$903&lt;=B533)*(Costs!$K$4:$K$903&gt;B533)*Costs!$E$4:$E$903),0)</f>
        <v>0</v>
      </c>
      <c r="F533" s="11" t="n">
        <f aca="false">IF(D533=1,SUMIFS(Benefits!$S$4:$S$703,Benefits!$B$4:$B$703,A533,Benefits!$F$4:$F$703,B533,Benefits!$R$4:$R$703,"cash"),0)</f>
        <v>0</v>
      </c>
      <c r="G533" s="11" t="n">
        <f aca="false">IF(D533=1,SUMIFS(Benefits!$S$4:$S$703,Benefits!$B$4:$B$703,A533,Benefits!$F$4:$F$703,B533,Benefits!$R$4:$R$703,"revenue"),0)</f>
        <v>0</v>
      </c>
      <c r="H533" s="11" t="n">
        <f aca="false">IF(D533=1,SUMIFS(Benefits!$S$4:$S$703,Benefits!$B$4:$B$703,A533,Benefits!$F$4:$F$703,B533,Benefits!$R$4:$R$703,"avoided_cost_realised"),0)</f>
        <v>0</v>
      </c>
      <c r="I533" s="11" t="n">
        <f aca="false">IF(D533=1,SUMIFS(Benefits!$S$4:$S$703,Benefits!$B$4:$B$703,A533,Benefits!$F$4:$F$703,B533,Benefits!$R$4:$R$703,"capacity_converted"),0)</f>
        <v>0</v>
      </c>
      <c r="J533" s="11" t="n">
        <f aca="false">SUM(F533:I533)</f>
        <v>0</v>
      </c>
      <c r="K533" s="11" t="n">
        <f aca="false">J533-E533</f>
        <v>0</v>
      </c>
      <c r="L533" s="11" t="n">
        <f aca="false">IF(D533=1,L532+K533,0)</f>
        <v>-608650</v>
      </c>
      <c r="M533" s="11" t="n">
        <f aca="false">IF(D533=1,1/(1+Controls!$B$11)^B533,0)</f>
        <v>0.851858577799146</v>
      </c>
      <c r="N533" s="11" t="n">
        <f aca="false">K533*M533</f>
        <v>0</v>
      </c>
      <c r="O533" s="11" t="n">
        <f aca="false">IF(D533=1,O532+N533,0)</f>
        <v>-618556.034531596</v>
      </c>
      <c r="P533" s="11" t="n">
        <f aca="false">IF(AND(D533=1,L533&lt;0),1,0)</f>
        <v>1</v>
      </c>
      <c r="Q533" s="11" t="n">
        <f aca="false">IF(AND(D533=1,O533&lt;0),1,0)</f>
        <v>1</v>
      </c>
    </row>
    <row r="534" customFormat="false" ht="15" hidden="false" customHeight="false" outlineLevel="0" collapsed="false">
      <c r="A534" s="4" t="s">
        <v>97</v>
      </c>
      <c r="B534" s="4" t="n">
        <v>26</v>
      </c>
      <c r="C534" s="11" t="n">
        <f aca="false">IF(COUNTIF('Scenario inputs'!$A$4:$A$213,Controls!$B$3&amp;"|"&amp;A534)&gt;0,1,0)</f>
        <v>1</v>
      </c>
      <c r="D534" s="11" t="n">
        <f aca="false">IF(AND(C534=1,B534&lt;Controls!$B$12),1,0)</f>
        <v>1</v>
      </c>
      <c r="E534" s="11" t="n">
        <f aca="false">IF(D534=1,SUMPRODUCT((Costs!$B$4:$B$903=A534)*(Costs!$D$4:$D$903="planned")*(Costs!$J$4:$J$903&lt;=B534)*(Costs!$K$4:$K$903&gt;B534)*Costs!$E$4:$E$903),0)</f>
        <v>0</v>
      </c>
      <c r="F534" s="11" t="n">
        <f aca="false">IF(D534=1,SUMIFS(Benefits!$S$4:$S$703,Benefits!$B$4:$B$703,A534,Benefits!$F$4:$F$703,B534,Benefits!$R$4:$R$703,"cash"),0)</f>
        <v>0</v>
      </c>
      <c r="G534" s="11" t="n">
        <f aca="false">IF(D534=1,SUMIFS(Benefits!$S$4:$S$703,Benefits!$B$4:$B$703,A534,Benefits!$F$4:$F$703,B534,Benefits!$R$4:$R$703,"revenue"),0)</f>
        <v>0</v>
      </c>
      <c r="H534" s="11" t="n">
        <f aca="false">IF(D534=1,SUMIFS(Benefits!$S$4:$S$703,Benefits!$B$4:$B$703,A534,Benefits!$F$4:$F$703,B534,Benefits!$R$4:$R$703,"avoided_cost_realised"),0)</f>
        <v>0</v>
      </c>
      <c r="I534" s="11" t="n">
        <f aca="false">IF(D534=1,SUMIFS(Benefits!$S$4:$S$703,Benefits!$B$4:$B$703,A534,Benefits!$F$4:$F$703,B534,Benefits!$R$4:$R$703,"capacity_converted"),0)</f>
        <v>0</v>
      </c>
      <c r="J534" s="11" t="n">
        <f aca="false">SUM(F534:I534)</f>
        <v>0</v>
      </c>
      <c r="K534" s="11" t="n">
        <f aca="false">J534-E534</f>
        <v>0</v>
      </c>
      <c r="L534" s="11" t="n">
        <f aca="false">IF(D534=1,L533+K534,0)</f>
        <v>-608650</v>
      </c>
      <c r="M534" s="11" t="n">
        <f aca="false">IF(D534=1,1/(1+Controls!$B$11)^B534,0)</f>
        <v>0.846412758113444</v>
      </c>
      <c r="N534" s="11" t="n">
        <f aca="false">K534*M534</f>
        <v>0</v>
      </c>
      <c r="O534" s="11" t="n">
        <f aca="false">IF(D534=1,O533+N534,0)</f>
        <v>-618556.034531596</v>
      </c>
      <c r="P534" s="11" t="n">
        <f aca="false">IF(AND(D534=1,L534&lt;0),1,0)</f>
        <v>1</v>
      </c>
      <c r="Q534" s="11" t="n">
        <f aca="false">IF(AND(D534=1,O534&lt;0),1,0)</f>
        <v>1</v>
      </c>
    </row>
    <row r="535" customFormat="false" ht="15" hidden="false" customHeight="false" outlineLevel="0" collapsed="false">
      <c r="A535" s="4" t="s">
        <v>97</v>
      </c>
      <c r="B535" s="4" t="n">
        <v>27</v>
      </c>
      <c r="C535" s="11" t="n">
        <f aca="false">IF(COUNTIF('Scenario inputs'!$A$4:$A$213,Controls!$B$3&amp;"|"&amp;A535)&gt;0,1,0)</f>
        <v>1</v>
      </c>
      <c r="D535" s="11" t="n">
        <f aca="false">IF(AND(C535=1,B535&lt;Controls!$B$12),1,0)</f>
        <v>1</v>
      </c>
      <c r="E535" s="11" t="n">
        <f aca="false">IF(D535=1,SUMPRODUCT((Costs!$B$4:$B$903=A535)*(Costs!$D$4:$D$903="planned")*(Costs!$J$4:$J$903&lt;=B535)*(Costs!$K$4:$K$903&gt;B535)*Costs!$E$4:$E$903),0)</f>
        <v>0</v>
      </c>
      <c r="F535" s="11" t="n">
        <f aca="false">IF(D535=1,SUMIFS(Benefits!$S$4:$S$703,Benefits!$B$4:$B$703,A535,Benefits!$F$4:$F$703,B535,Benefits!$R$4:$R$703,"cash"),0)</f>
        <v>0</v>
      </c>
      <c r="G535" s="11" t="n">
        <f aca="false">IF(D535=1,SUMIFS(Benefits!$S$4:$S$703,Benefits!$B$4:$B$703,A535,Benefits!$F$4:$F$703,B535,Benefits!$R$4:$R$703,"revenue"),0)</f>
        <v>0</v>
      </c>
      <c r="H535" s="11" t="n">
        <f aca="false">IF(D535=1,SUMIFS(Benefits!$S$4:$S$703,Benefits!$B$4:$B$703,A535,Benefits!$F$4:$F$703,B535,Benefits!$R$4:$R$703,"avoided_cost_realised"),0)</f>
        <v>0</v>
      </c>
      <c r="I535" s="11" t="n">
        <f aca="false">IF(D535=1,SUMIFS(Benefits!$S$4:$S$703,Benefits!$B$4:$B$703,A535,Benefits!$F$4:$F$703,B535,Benefits!$R$4:$R$703,"capacity_converted"),0)</f>
        <v>0</v>
      </c>
      <c r="J535" s="11" t="n">
        <f aca="false">SUM(F535:I535)</f>
        <v>0</v>
      </c>
      <c r="K535" s="11" t="n">
        <f aca="false">J535-E535</f>
        <v>0</v>
      </c>
      <c r="L535" s="11" t="n">
        <f aca="false">IF(D535=1,L534+K535,0)</f>
        <v>-608650</v>
      </c>
      <c r="M535" s="11" t="n">
        <f aca="false">IF(D535=1,1/(1+Controls!$B$11)^B535,0)</f>
        <v>0.841001752835699</v>
      </c>
      <c r="N535" s="11" t="n">
        <f aca="false">K535*M535</f>
        <v>0</v>
      </c>
      <c r="O535" s="11" t="n">
        <f aca="false">IF(D535=1,O534+N535,0)</f>
        <v>-618556.034531596</v>
      </c>
      <c r="P535" s="11" t="n">
        <f aca="false">IF(AND(D535=1,L535&lt;0),1,0)</f>
        <v>1</v>
      </c>
      <c r="Q535" s="11" t="n">
        <f aca="false">IF(AND(D535=1,O535&lt;0),1,0)</f>
        <v>1</v>
      </c>
    </row>
    <row r="536" customFormat="false" ht="15" hidden="false" customHeight="false" outlineLevel="0" collapsed="false">
      <c r="A536" s="4" t="s">
        <v>97</v>
      </c>
      <c r="B536" s="4" t="n">
        <v>28</v>
      </c>
      <c r="C536" s="11" t="n">
        <f aca="false">IF(COUNTIF('Scenario inputs'!$A$4:$A$213,Controls!$B$3&amp;"|"&amp;A536)&gt;0,1,0)</f>
        <v>1</v>
      </c>
      <c r="D536" s="11" t="n">
        <f aca="false">IF(AND(C536=1,B536&lt;Controls!$B$12),1,0)</f>
        <v>1</v>
      </c>
      <c r="E536" s="11" t="n">
        <f aca="false">IF(D536=1,SUMPRODUCT((Costs!$B$4:$B$903=A536)*(Costs!$D$4:$D$903="planned")*(Costs!$J$4:$J$903&lt;=B536)*(Costs!$K$4:$K$903&gt;B536)*Costs!$E$4:$E$903),0)</f>
        <v>0</v>
      </c>
      <c r="F536" s="11" t="n">
        <f aca="false">IF(D536=1,SUMIFS(Benefits!$S$4:$S$703,Benefits!$B$4:$B$703,A536,Benefits!$F$4:$F$703,B536,Benefits!$R$4:$R$703,"cash"),0)</f>
        <v>0</v>
      </c>
      <c r="G536" s="11" t="n">
        <f aca="false">IF(D536=1,SUMIFS(Benefits!$S$4:$S$703,Benefits!$B$4:$B$703,A536,Benefits!$F$4:$F$703,B536,Benefits!$R$4:$R$703,"revenue"),0)</f>
        <v>0</v>
      </c>
      <c r="H536" s="11" t="n">
        <f aca="false">IF(D536=1,SUMIFS(Benefits!$S$4:$S$703,Benefits!$B$4:$B$703,A536,Benefits!$F$4:$F$703,B536,Benefits!$R$4:$R$703,"avoided_cost_realised"),0)</f>
        <v>0</v>
      </c>
      <c r="I536" s="11" t="n">
        <f aca="false">IF(D536=1,SUMIFS(Benefits!$S$4:$S$703,Benefits!$B$4:$B$703,A536,Benefits!$F$4:$F$703,B536,Benefits!$R$4:$R$703,"capacity_converted"),0)</f>
        <v>0</v>
      </c>
      <c r="J536" s="11" t="n">
        <f aca="false">SUM(F536:I536)</f>
        <v>0</v>
      </c>
      <c r="K536" s="11" t="n">
        <f aca="false">J536-E536</f>
        <v>0</v>
      </c>
      <c r="L536" s="11" t="n">
        <f aca="false">IF(D536=1,L535+K536,0)</f>
        <v>-608650</v>
      </c>
      <c r="M536" s="11" t="n">
        <f aca="false">IF(D536=1,1/(1+Controls!$B$11)^B536,0)</f>
        <v>0.835625339401986</v>
      </c>
      <c r="N536" s="11" t="n">
        <f aca="false">K536*M536</f>
        <v>0</v>
      </c>
      <c r="O536" s="11" t="n">
        <f aca="false">IF(D536=1,O535+N536,0)</f>
        <v>-618556.034531596</v>
      </c>
      <c r="P536" s="11" t="n">
        <f aca="false">IF(AND(D536=1,L536&lt;0),1,0)</f>
        <v>1</v>
      </c>
      <c r="Q536" s="11" t="n">
        <f aca="false">IF(AND(D536=1,O536&lt;0),1,0)</f>
        <v>1</v>
      </c>
    </row>
    <row r="537" customFormat="false" ht="15" hidden="false" customHeight="false" outlineLevel="0" collapsed="false">
      <c r="A537" s="4" t="s">
        <v>97</v>
      </c>
      <c r="B537" s="4" t="n">
        <v>29</v>
      </c>
      <c r="C537" s="11" t="n">
        <f aca="false">IF(COUNTIF('Scenario inputs'!$A$4:$A$213,Controls!$B$3&amp;"|"&amp;A537)&gt;0,1,0)</f>
        <v>1</v>
      </c>
      <c r="D537" s="11" t="n">
        <f aca="false">IF(AND(C537=1,B537&lt;Controls!$B$12),1,0)</f>
        <v>1</v>
      </c>
      <c r="E537" s="11" t="n">
        <f aca="false">IF(D537=1,SUMPRODUCT((Costs!$B$4:$B$903=A537)*(Costs!$D$4:$D$903="planned")*(Costs!$J$4:$J$903&lt;=B537)*(Costs!$K$4:$K$903&gt;B537)*Costs!$E$4:$E$903),0)</f>
        <v>0</v>
      </c>
      <c r="F537" s="11" t="n">
        <f aca="false">IF(D537=1,SUMIFS(Benefits!$S$4:$S$703,Benefits!$B$4:$B$703,A537,Benefits!$F$4:$F$703,B537,Benefits!$R$4:$R$703,"cash"),0)</f>
        <v>0</v>
      </c>
      <c r="G537" s="11" t="n">
        <f aca="false">IF(D537=1,SUMIFS(Benefits!$S$4:$S$703,Benefits!$B$4:$B$703,A537,Benefits!$F$4:$F$703,B537,Benefits!$R$4:$R$703,"revenue"),0)</f>
        <v>0</v>
      </c>
      <c r="H537" s="11" t="n">
        <f aca="false">IF(D537=1,SUMIFS(Benefits!$S$4:$S$703,Benefits!$B$4:$B$703,A537,Benefits!$F$4:$F$703,B537,Benefits!$R$4:$R$703,"avoided_cost_realised"),0)</f>
        <v>0</v>
      </c>
      <c r="I537" s="11" t="n">
        <f aca="false">IF(D537=1,SUMIFS(Benefits!$S$4:$S$703,Benefits!$B$4:$B$703,A537,Benefits!$F$4:$F$703,B537,Benefits!$R$4:$R$703,"capacity_converted"),0)</f>
        <v>0</v>
      </c>
      <c r="J537" s="11" t="n">
        <f aca="false">SUM(F537:I537)</f>
        <v>0</v>
      </c>
      <c r="K537" s="11" t="n">
        <f aca="false">J537-E537</f>
        <v>0</v>
      </c>
      <c r="L537" s="11" t="n">
        <f aca="false">IF(D537=1,L536+K537,0)</f>
        <v>-608650</v>
      </c>
      <c r="M537" s="11" t="n">
        <f aca="false">IF(D537=1,1/(1+Controls!$B$11)^B537,0)</f>
        <v>0.830283296671204</v>
      </c>
      <c r="N537" s="11" t="n">
        <f aca="false">K537*M537</f>
        <v>0</v>
      </c>
      <c r="O537" s="11" t="n">
        <f aca="false">IF(D537=1,O536+N537,0)</f>
        <v>-618556.034531596</v>
      </c>
      <c r="P537" s="11" t="n">
        <f aca="false">IF(AND(D537=1,L537&lt;0),1,0)</f>
        <v>1</v>
      </c>
      <c r="Q537" s="11" t="n">
        <f aca="false">IF(AND(D537=1,O537&lt;0),1,0)</f>
        <v>1</v>
      </c>
    </row>
    <row r="538" customFormat="false" ht="15" hidden="false" customHeight="false" outlineLevel="0" collapsed="false">
      <c r="A538" s="4" t="s">
        <v>97</v>
      </c>
      <c r="B538" s="4" t="n">
        <v>30</v>
      </c>
      <c r="C538" s="11" t="n">
        <f aca="false">IF(COUNTIF('Scenario inputs'!$A$4:$A$213,Controls!$B$3&amp;"|"&amp;A538)&gt;0,1,0)</f>
        <v>1</v>
      </c>
      <c r="D538" s="11" t="n">
        <f aca="false">IF(AND(C538=1,B538&lt;Controls!$B$12),1,0)</f>
        <v>1</v>
      </c>
      <c r="E538" s="11" t="n">
        <f aca="false">IF(D538=1,SUMPRODUCT((Costs!$B$4:$B$903=A538)*(Costs!$D$4:$D$903="planned")*(Costs!$J$4:$J$903&lt;=B538)*(Costs!$K$4:$K$903&gt;B538)*Costs!$E$4:$E$903),0)</f>
        <v>0</v>
      </c>
      <c r="F538" s="11" t="n">
        <f aca="false">IF(D538=1,SUMIFS(Benefits!$S$4:$S$703,Benefits!$B$4:$B$703,A538,Benefits!$F$4:$F$703,B538,Benefits!$R$4:$R$703,"cash"),0)</f>
        <v>0</v>
      </c>
      <c r="G538" s="11" t="n">
        <f aca="false">IF(D538=1,SUMIFS(Benefits!$S$4:$S$703,Benefits!$B$4:$B$703,A538,Benefits!$F$4:$F$703,B538,Benefits!$R$4:$R$703,"revenue"),0)</f>
        <v>0</v>
      </c>
      <c r="H538" s="11" t="n">
        <f aca="false">IF(D538=1,SUMIFS(Benefits!$S$4:$S$703,Benefits!$B$4:$B$703,A538,Benefits!$F$4:$F$703,B538,Benefits!$R$4:$R$703,"avoided_cost_realised"),0)</f>
        <v>0</v>
      </c>
      <c r="I538" s="11" t="n">
        <f aca="false">IF(D538=1,SUMIFS(Benefits!$S$4:$S$703,Benefits!$B$4:$B$703,A538,Benefits!$F$4:$F$703,B538,Benefits!$R$4:$R$703,"capacity_converted"),0)</f>
        <v>0</v>
      </c>
      <c r="J538" s="11" t="n">
        <f aca="false">SUM(F538:I538)</f>
        <v>0</v>
      </c>
      <c r="K538" s="11" t="n">
        <f aca="false">J538-E538</f>
        <v>0</v>
      </c>
      <c r="L538" s="11" t="n">
        <f aca="false">IF(D538=1,L537+K538,0)</f>
        <v>-608650</v>
      </c>
      <c r="M538" s="11" t="n">
        <f aca="false">IF(D538=1,1/(1+Controls!$B$11)^B538,0)</f>
        <v>0.824975404915974</v>
      </c>
      <c r="N538" s="11" t="n">
        <f aca="false">K538*M538</f>
        <v>0</v>
      </c>
      <c r="O538" s="11" t="n">
        <f aca="false">IF(D538=1,O537+N538,0)</f>
        <v>-618556.034531596</v>
      </c>
      <c r="P538" s="11" t="n">
        <f aca="false">IF(AND(D538=1,L538&lt;0),1,0)</f>
        <v>1</v>
      </c>
      <c r="Q538" s="11" t="n">
        <f aca="false">IF(AND(D538=1,O538&lt;0),1,0)</f>
        <v>1</v>
      </c>
    </row>
    <row r="539" customFormat="false" ht="15" hidden="false" customHeight="false" outlineLevel="0" collapsed="false">
      <c r="A539" s="4" t="s">
        <v>97</v>
      </c>
      <c r="B539" s="4" t="n">
        <v>31</v>
      </c>
      <c r="C539" s="11" t="n">
        <f aca="false">IF(COUNTIF('Scenario inputs'!$A$4:$A$213,Controls!$B$3&amp;"|"&amp;A539)&gt;0,1,0)</f>
        <v>1</v>
      </c>
      <c r="D539" s="11" t="n">
        <f aca="false">IF(AND(C539=1,B539&lt;Controls!$B$12),1,0)</f>
        <v>1</v>
      </c>
      <c r="E539" s="11" t="n">
        <f aca="false">IF(D539=1,SUMPRODUCT((Costs!$B$4:$B$903=A539)*(Costs!$D$4:$D$903="planned")*(Costs!$J$4:$J$903&lt;=B539)*(Costs!$K$4:$K$903&gt;B539)*Costs!$E$4:$E$903),0)</f>
        <v>0</v>
      </c>
      <c r="F539" s="11" t="n">
        <f aca="false">IF(D539=1,SUMIFS(Benefits!$S$4:$S$703,Benefits!$B$4:$B$703,A539,Benefits!$F$4:$F$703,B539,Benefits!$R$4:$R$703,"cash"),0)</f>
        <v>0</v>
      </c>
      <c r="G539" s="11" t="n">
        <f aca="false">IF(D539=1,SUMIFS(Benefits!$S$4:$S$703,Benefits!$B$4:$B$703,A539,Benefits!$F$4:$F$703,B539,Benefits!$R$4:$R$703,"revenue"),0)</f>
        <v>0</v>
      </c>
      <c r="H539" s="11" t="n">
        <f aca="false">IF(D539=1,SUMIFS(Benefits!$S$4:$S$703,Benefits!$B$4:$B$703,A539,Benefits!$F$4:$F$703,B539,Benefits!$R$4:$R$703,"avoided_cost_realised"),0)</f>
        <v>0</v>
      </c>
      <c r="I539" s="11" t="n">
        <f aca="false">IF(D539=1,SUMIFS(Benefits!$S$4:$S$703,Benefits!$B$4:$B$703,A539,Benefits!$F$4:$F$703,B539,Benefits!$R$4:$R$703,"capacity_converted"),0)</f>
        <v>0</v>
      </c>
      <c r="J539" s="11" t="n">
        <f aca="false">SUM(F539:I539)</f>
        <v>0</v>
      </c>
      <c r="K539" s="11" t="n">
        <f aca="false">J539-E539</f>
        <v>0</v>
      </c>
      <c r="L539" s="11" t="n">
        <f aca="false">IF(D539=1,L538+K539,0)</f>
        <v>-608650</v>
      </c>
      <c r="M539" s="11" t="n">
        <f aca="false">IF(D539=1,1/(1+Controls!$B$11)^B539,0)</f>
        <v>0.81970144581361</v>
      </c>
      <c r="N539" s="11" t="n">
        <f aca="false">K539*M539</f>
        <v>0</v>
      </c>
      <c r="O539" s="11" t="n">
        <f aca="false">IF(D539=1,O538+N539,0)</f>
        <v>-618556.034531596</v>
      </c>
      <c r="P539" s="11" t="n">
        <f aca="false">IF(AND(D539=1,L539&lt;0),1,0)</f>
        <v>1</v>
      </c>
      <c r="Q539" s="11" t="n">
        <f aca="false">IF(AND(D539=1,O539&lt;0),1,0)</f>
        <v>1</v>
      </c>
    </row>
    <row r="540" customFormat="false" ht="15" hidden="false" customHeight="false" outlineLevel="0" collapsed="false">
      <c r="A540" s="4" t="s">
        <v>97</v>
      </c>
      <c r="B540" s="4" t="n">
        <v>32</v>
      </c>
      <c r="C540" s="11" t="n">
        <f aca="false">IF(COUNTIF('Scenario inputs'!$A$4:$A$213,Controls!$B$3&amp;"|"&amp;A540)&gt;0,1,0)</f>
        <v>1</v>
      </c>
      <c r="D540" s="11" t="n">
        <f aca="false">IF(AND(C540=1,B540&lt;Controls!$B$12),1,0)</f>
        <v>1</v>
      </c>
      <c r="E540" s="11" t="n">
        <f aca="false">IF(D540=1,SUMPRODUCT((Costs!$B$4:$B$903=A540)*(Costs!$D$4:$D$903="planned")*(Costs!$J$4:$J$903&lt;=B540)*(Costs!$K$4:$K$903&gt;B540)*Costs!$E$4:$E$903),0)</f>
        <v>0</v>
      </c>
      <c r="F540" s="11" t="n">
        <f aca="false">IF(D540=1,SUMIFS(Benefits!$S$4:$S$703,Benefits!$B$4:$B$703,A540,Benefits!$F$4:$F$703,B540,Benefits!$R$4:$R$703,"cash"),0)</f>
        <v>0</v>
      </c>
      <c r="G540" s="11" t="n">
        <f aca="false">IF(D540=1,SUMIFS(Benefits!$S$4:$S$703,Benefits!$B$4:$B$703,A540,Benefits!$F$4:$F$703,B540,Benefits!$R$4:$R$703,"revenue"),0)</f>
        <v>0</v>
      </c>
      <c r="H540" s="11" t="n">
        <f aca="false">IF(D540=1,SUMIFS(Benefits!$S$4:$S$703,Benefits!$B$4:$B$703,A540,Benefits!$F$4:$F$703,B540,Benefits!$R$4:$R$703,"avoided_cost_realised"),0)</f>
        <v>0</v>
      </c>
      <c r="I540" s="11" t="n">
        <f aca="false">IF(D540=1,SUMIFS(Benefits!$S$4:$S$703,Benefits!$B$4:$B$703,A540,Benefits!$F$4:$F$703,B540,Benefits!$R$4:$R$703,"capacity_converted"),0)</f>
        <v>0</v>
      </c>
      <c r="J540" s="11" t="n">
        <f aca="false">SUM(F540:I540)</f>
        <v>0</v>
      </c>
      <c r="K540" s="11" t="n">
        <f aca="false">J540-E540</f>
        <v>0</v>
      </c>
      <c r="L540" s="11" t="n">
        <f aca="false">IF(D540=1,L539+K540,0)</f>
        <v>-608650</v>
      </c>
      <c r="M540" s="11" t="n">
        <f aca="false">IF(D540=1,1/(1+Controls!$B$11)^B540,0)</f>
        <v>0.814461202437129</v>
      </c>
      <c r="N540" s="11" t="n">
        <f aca="false">K540*M540</f>
        <v>0</v>
      </c>
      <c r="O540" s="11" t="n">
        <f aca="false">IF(D540=1,O539+N540,0)</f>
        <v>-618556.034531596</v>
      </c>
      <c r="P540" s="11" t="n">
        <f aca="false">IF(AND(D540=1,L540&lt;0),1,0)</f>
        <v>1</v>
      </c>
      <c r="Q540" s="11" t="n">
        <f aca="false">IF(AND(D540=1,O540&lt;0),1,0)</f>
        <v>1</v>
      </c>
    </row>
    <row r="541" customFormat="false" ht="15" hidden="false" customHeight="false" outlineLevel="0" collapsed="false">
      <c r="A541" s="4" t="s">
        <v>97</v>
      </c>
      <c r="B541" s="4" t="n">
        <v>33</v>
      </c>
      <c r="C541" s="11" t="n">
        <f aca="false">IF(COUNTIF('Scenario inputs'!$A$4:$A$213,Controls!$B$3&amp;"|"&amp;A541)&gt;0,1,0)</f>
        <v>1</v>
      </c>
      <c r="D541" s="11" t="n">
        <f aca="false">IF(AND(C541=1,B541&lt;Controls!$B$12),1,0)</f>
        <v>1</v>
      </c>
      <c r="E541" s="11" t="n">
        <f aca="false">IF(D541=1,SUMPRODUCT((Costs!$B$4:$B$903=A541)*(Costs!$D$4:$D$903="planned")*(Costs!$J$4:$J$903&lt;=B541)*(Costs!$K$4:$K$903&gt;B541)*Costs!$E$4:$E$903),0)</f>
        <v>0</v>
      </c>
      <c r="F541" s="11" t="n">
        <f aca="false">IF(D541=1,SUMIFS(Benefits!$S$4:$S$703,Benefits!$B$4:$B$703,A541,Benefits!$F$4:$F$703,B541,Benefits!$R$4:$R$703,"cash"),0)</f>
        <v>0</v>
      </c>
      <c r="G541" s="11" t="n">
        <f aca="false">IF(D541=1,SUMIFS(Benefits!$S$4:$S$703,Benefits!$B$4:$B$703,A541,Benefits!$F$4:$F$703,B541,Benefits!$R$4:$R$703,"revenue"),0)</f>
        <v>0</v>
      </c>
      <c r="H541" s="11" t="n">
        <f aca="false">IF(D541=1,SUMIFS(Benefits!$S$4:$S$703,Benefits!$B$4:$B$703,A541,Benefits!$F$4:$F$703,B541,Benefits!$R$4:$R$703,"avoided_cost_realised"),0)</f>
        <v>0</v>
      </c>
      <c r="I541" s="11" t="n">
        <f aca="false">IF(D541=1,SUMIFS(Benefits!$S$4:$S$703,Benefits!$B$4:$B$703,A541,Benefits!$F$4:$F$703,B541,Benefits!$R$4:$R$703,"capacity_converted"),0)</f>
        <v>0</v>
      </c>
      <c r="J541" s="11" t="n">
        <f aca="false">SUM(F541:I541)</f>
        <v>0</v>
      </c>
      <c r="K541" s="11" t="n">
        <f aca="false">J541-E541</f>
        <v>0</v>
      </c>
      <c r="L541" s="11" t="n">
        <f aca="false">IF(D541=1,L540+K541,0)</f>
        <v>-608650</v>
      </c>
      <c r="M541" s="11" t="n">
        <f aca="false">IF(D541=1,1/(1+Controls!$B$11)^B541,0)</f>
        <v>0.809254459246338</v>
      </c>
      <c r="N541" s="11" t="n">
        <f aca="false">K541*M541</f>
        <v>0</v>
      </c>
      <c r="O541" s="11" t="n">
        <f aca="false">IF(D541=1,O540+N541,0)</f>
        <v>-618556.034531596</v>
      </c>
      <c r="P541" s="11" t="n">
        <f aca="false">IF(AND(D541=1,L541&lt;0),1,0)</f>
        <v>1</v>
      </c>
      <c r="Q541" s="11" t="n">
        <f aca="false">IF(AND(D541=1,O541&lt;0),1,0)</f>
        <v>1</v>
      </c>
    </row>
    <row r="542" customFormat="false" ht="15" hidden="false" customHeight="false" outlineLevel="0" collapsed="false">
      <c r="A542" s="4" t="s">
        <v>97</v>
      </c>
      <c r="B542" s="4" t="n">
        <v>34</v>
      </c>
      <c r="C542" s="11" t="n">
        <f aca="false">IF(COUNTIF('Scenario inputs'!$A$4:$A$213,Controls!$B$3&amp;"|"&amp;A542)&gt;0,1,0)</f>
        <v>1</v>
      </c>
      <c r="D542" s="11" t="n">
        <f aca="false">IF(AND(C542=1,B542&lt;Controls!$B$12),1,0)</f>
        <v>1</v>
      </c>
      <c r="E542" s="11" t="n">
        <f aca="false">IF(D542=1,SUMPRODUCT((Costs!$B$4:$B$903=A542)*(Costs!$D$4:$D$903="planned")*(Costs!$J$4:$J$903&lt;=B542)*(Costs!$K$4:$K$903&gt;B542)*Costs!$E$4:$E$903),0)</f>
        <v>0</v>
      </c>
      <c r="F542" s="11" t="n">
        <f aca="false">IF(D542=1,SUMIFS(Benefits!$S$4:$S$703,Benefits!$B$4:$B$703,A542,Benefits!$F$4:$F$703,B542,Benefits!$R$4:$R$703,"cash"),0)</f>
        <v>0</v>
      </c>
      <c r="G542" s="11" t="n">
        <f aca="false">IF(D542=1,SUMIFS(Benefits!$S$4:$S$703,Benefits!$B$4:$B$703,A542,Benefits!$F$4:$F$703,B542,Benefits!$R$4:$R$703,"revenue"),0)</f>
        <v>0</v>
      </c>
      <c r="H542" s="11" t="n">
        <f aca="false">IF(D542=1,SUMIFS(Benefits!$S$4:$S$703,Benefits!$B$4:$B$703,A542,Benefits!$F$4:$F$703,B542,Benefits!$R$4:$R$703,"avoided_cost_realised"),0)</f>
        <v>0</v>
      </c>
      <c r="I542" s="11" t="n">
        <f aca="false">IF(D542=1,SUMIFS(Benefits!$S$4:$S$703,Benefits!$B$4:$B$703,A542,Benefits!$F$4:$F$703,B542,Benefits!$R$4:$R$703,"capacity_converted"),0)</f>
        <v>0</v>
      </c>
      <c r="J542" s="11" t="n">
        <f aca="false">SUM(F542:I542)</f>
        <v>0</v>
      </c>
      <c r="K542" s="11" t="n">
        <f aca="false">J542-E542</f>
        <v>0</v>
      </c>
      <c r="L542" s="11" t="n">
        <f aca="false">IF(D542=1,L541+K542,0)</f>
        <v>-608650</v>
      </c>
      <c r="M542" s="11" t="n">
        <f aca="false">IF(D542=1,1/(1+Controls!$B$11)^B542,0)</f>
        <v>0.804081002078962</v>
      </c>
      <c r="N542" s="11" t="n">
        <f aca="false">K542*M542</f>
        <v>0</v>
      </c>
      <c r="O542" s="11" t="n">
        <f aca="false">IF(D542=1,O541+N542,0)</f>
        <v>-618556.034531596</v>
      </c>
      <c r="P542" s="11" t="n">
        <f aca="false">IF(AND(D542=1,L542&lt;0),1,0)</f>
        <v>1</v>
      </c>
      <c r="Q542" s="11" t="n">
        <f aca="false">IF(AND(D542=1,O542&lt;0),1,0)</f>
        <v>1</v>
      </c>
    </row>
    <row r="543" customFormat="false" ht="15" hidden="false" customHeight="false" outlineLevel="0" collapsed="false">
      <c r="A543" s="4" t="s">
        <v>97</v>
      </c>
      <c r="B543" s="4" t="n">
        <v>35</v>
      </c>
      <c r="C543" s="11" t="n">
        <f aca="false">IF(COUNTIF('Scenario inputs'!$A$4:$A$213,Controls!$B$3&amp;"|"&amp;A543)&gt;0,1,0)</f>
        <v>1</v>
      </c>
      <c r="D543" s="11" t="n">
        <f aca="false">IF(AND(C543=1,B543&lt;Controls!$B$12),1,0)</f>
        <v>1</v>
      </c>
      <c r="E543" s="11" t="n">
        <f aca="false">IF(D543=1,SUMPRODUCT((Costs!$B$4:$B$903=A543)*(Costs!$D$4:$D$903="planned")*(Costs!$J$4:$J$903&lt;=B543)*(Costs!$K$4:$K$903&gt;B543)*Costs!$E$4:$E$903),0)</f>
        <v>0</v>
      </c>
      <c r="F543" s="11" t="n">
        <f aca="false">IF(D543=1,SUMIFS(Benefits!$S$4:$S$703,Benefits!$B$4:$B$703,A543,Benefits!$F$4:$F$703,B543,Benefits!$R$4:$R$703,"cash"),0)</f>
        <v>0</v>
      </c>
      <c r="G543" s="11" t="n">
        <f aca="false">IF(D543=1,SUMIFS(Benefits!$S$4:$S$703,Benefits!$B$4:$B$703,A543,Benefits!$F$4:$F$703,B543,Benefits!$R$4:$R$703,"revenue"),0)</f>
        <v>0</v>
      </c>
      <c r="H543" s="11" t="n">
        <f aca="false">IF(D543=1,SUMIFS(Benefits!$S$4:$S$703,Benefits!$B$4:$B$703,A543,Benefits!$F$4:$F$703,B543,Benefits!$R$4:$R$703,"avoided_cost_realised"),0)</f>
        <v>0</v>
      </c>
      <c r="I543" s="11" t="n">
        <f aca="false">IF(D543=1,SUMIFS(Benefits!$S$4:$S$703,Benefits!$B$4:$B$703,A543,Benefits!$F$4:$F$703,B543,Benefits!$R$4:$R$703,"capacity_converted"),0)</f>
        <v>0</v>
      </c>
      <c r="J543" s="11" t="n">
        <f aca="false">SUM(F543:I543)</f>
        <v>0</v>
      </c>
      <c r="K543" s="11" t="n">
        <f aca="false">J543-E543</f>
        <v>0</v>
      </c>
      <c r="L543" s="11" t="n">
        <f aca="false">IF(D543=1,L542+K543,0)</f>
        <v>-608650</v>
      </c>
      <c r="M543" s="11" t="n">
        <f aca="false">IF(D543=1,1/(1+Controls!$B$11)^B543,0)</f>
        <v>0.798940618141837</v>
      </c>
      <c r="N543" s="11" t="n">
        <f aca="false">K543*M543</f>
        <v>0</v>
      </c>
      <c r="O543" s="11" t="n">
        <f aca="false">IF(D543=1,O542+N543,0)</f>
        <v>-618556.034531596</v>
      </c>
      <c r="P543" s="11" t="n">
        <f aca="false">IF(AND(D543=1,L543&lt;0),1,0)</f>
        <v>1</v>
      </c>
      <c r="Q543" s="11" t="n">
        <f aca="false">IF(AND(D543=1,O543&lt;0),1,0)</f>
        <v>1</v>
      </c>
    </row>
    <row r="544" customFormat="false" ht="15" hidden="false" customHeight="false" outlineLevel="0" collapsed="false">
      <c r="A544" s="4" t="s">
        <v>98</v>
      </c>
      <c r="B544" s="4" t="n">
        <v>0</v>
      </c>
      <c r="C544" s="11" t="n">
        <f aca="false">IF(COUNTIF('Scenario inputs'!$A$4:$A$213,Controls!$B$3&amp;"|"&amp;A544)&gt;0,1,0)</f>
        <v>1</v>
      </c>
      <c r="D544" s="11" t="n">
        <f aca="false">IF(AND(C544=1,B544&lt;Controls!$B$12),1,0)</f>
        <v>1</v>
      </c>
      <c r="E544" s="11" t="n">
        <f aca="false">IF(D544=1,SUMPRODUCT((Costs!$B$4:$B$903=A544)*(Costs!$D$4:$D$903="planned")*(Costs!$J$4:$J$903&lt;=B544)*(Costs!$K$4:$K$903&gt;B544)*Costs!$E$4:$E$903),0)</f>
        <v>12000</v>
      </c>
      <c r="F544" s="11" t="n">
        <f aca="false">IF(D544=1,SUMIFS(Benefits!$S$4:$S$703,Benefits!$B$4:$B$703,A544,Benefits!$F$4:$F$703,B544,Benefits!$R$4:$R$703,"cash"),0)</f>
        <v>0</v>
      </c>
      <c r="G544" s="11" t="n">
        <f aca="false">IF(D544=1,SUMIFS(Benefits!$S$4:$S$703,Benefits!$B$4:$B$703,A544,Benefits!$F$4:$F$703,B544,Benefits!$R$4:$R$703,"revenue"),0)</f>
        <v>0</v>
      </c>
      <c r="H544" s="11" t="n">
        <f aca="false">IF(D544=1,SUMIFS(Benefits!$S$4:$S$703,Benefits!$B$4:$B$703,A544,Benefits!$F$4:$F$703,B544,Benefits!$R$4:$R$703,"avoided_cost_realised"),0)</f>
        <v>0</v>
      </c>
      <c r="I544" s="11" t="n">
        <f aca="false">IF(D544=1,SUMIFS(Benefits!$S$4:$S$703,Benefits!$B$4:$B$703,A544,Benefits!$F$4:$F$703,B544,Benefits!$R$4:$R$703,"capacity_converted"),0)</f>
        <v>0</v>
      </c>
      <c r="J544" s="11" t="n">
        <f aca="false">SUM(F544:I544)</f>
        <v>0</v>
      </c>
      <c r="K544" s="11" t="n">
        <f aca="false">J544-E544</f>
        <v>-12000</v>
      </c>
      <c r="L544" s="11" t="n">
        <f aca="false">IF(D544=1,K544,0)</f>
        <v>-12000</v>
      </c>
      <c r="M544" s="11" t="n">
        <f aca="false">IF(D544=1,1/(1+Controls!$B$11)^B544,0)</f>
        <v>1</v>
      </c>
      <c r="N544" s="11" t="n">
        <f aca="false">K544*M544</f>
        <v>-12000</v>
      </c>
      <c r="O544" s="11" t="n">
        <f aca="false">IF(D544=1,N544,0)</f>
        <v>-12000</v>
      </c>
      <c r="P544" s="11" t="n">
        <f aca="false">IF(AND(D544=1,L544&lt;0),1,0)</f>
        <v>1</v>
      </c>
      <c r="Q544" s="11" t="n">
        <f aca="false">IF(AND(D544=1,O544&lt;0),1,0)</f>
        <v>1</v>
      </c>
    </row>
    <row r="545" customFormat="false" ht="15" hidden="false" customHeight="false" outlineLevel="0" collapsed="false">
      <c r="A545" s="4" t="s">
        <v>98</v>
      </c>
      <c r="B545" s="4" t="n">
        <v>1</v>
      </c>
      <c r="C545" s="11" t="n">
        <f aca="false">IF(COUNTIF('Scenario inputs'!$A$4:$A$213,Controls!$B$3&amp;"|"&amp;A545)&gt;0,1,0)</f>
        <v>1</v>
      </c>
      <c r="D545" s="11" t="n">
        <f aca="false">IF(AND(C545=1,B545&lt;Controls!$B$12),1,0)</f>
        <v>1</v>
      </c>
      <c r="E545" s="11" t="n">
        <f aca="false">IF(D545=1,SUMPRODUCT((Costs!$B$4:$B$903=A545)*(Costs!$D$4:$D$903="planned")*(Costs!$J$4:$J$903&lt;=B545)*(Costs!$K$4:$K$903&gt;B545)*Costs!$E$4:$E$903),0)</f>
        <v>0</v>
      </c>
      <c r="F545" s="11" t="n">
        <f aca="false">IF(D545=1,SUMIFS(Benefits!$S$4:$S$703,Benefits!$B$4:$B$703,A545,Benefits!$F$4:$F$703,B545,Benefits!$R$4:$R$703,"cash"),0)</f>
        <v>0</v>
      </c>
      <c r="G545" s="11" t="n">
        <f aca="false">IF(D545=1,SUMIFS(Benefits!$S$4:$S$703,Benefits!$B$4:$B$703,A545,Benefits!$F$4:$F$703,B545,Benefits!$R$4:$R$703,"revenue"),0)</f>
        <v>0</v>
      </c>
      <c r="H545" s="11" t="n">
        <f aca="false">IF(D545=1,SUMIFS(Benefits!$S$4:$S$703,Benefits!$B$4:$B$703,A545,Benefits!$F$4:$F$703,B545,Benefits!$R$4:$R$703,"avoided_cost_realised"),0)</f>
        <v>0</v>
      </c>
      <c r="I545" s="11" t="n">
        <f aca="false">IF(D545=1,SUMIFS(Benefits!$S$4:$S$703,Benefits!$B$4:$B$703,A545,Benefits!$F$4:$F$703,B545,Benefits!$R$4:$R$703,"capacity_converted"),0)</f>
        <v>0</v>
      </c>
      <c r="J545" s="11" t="n">
        <f aca="false">SUM(F545:I545)</f>
        <v>0</v>
      </c>
      <c r="K545" s="11" t="n">
        <f aca="false">J545-E545</f>
        <v>0</v>
      </c>
      <c r="L545" s="11" t="n">
        <f aca="false">IF(D545=1,L544+K545,0)</f>
        <v>-12000</v>
      </c>
      <c r="M545" s="11" t="n">
        <f aca="false">IF(D545=1,1/(1+Controls!$B$11)^B545,0)</f>
        <v>0.993607131714549</v>
      </c>
      <c r="N545" s="11" t="n">
        <f aca="false">K545*M545</f>
        <v>0</v>
      </c>
      <c r="O545" s="11" t="n">
        <f aca="false">IF(D545=1,O544+N545,0)</f>
        <v>-12000</v>
      </c>
      <c r="P545" s="11" t="n">
        <f aca="false">IF(AND(D545=1,L545&lt;0),1,0)</f>
        <v>1</v>
      </c>
      <c r="Q545" s="11" t="n">
        <f aca="false">IF(AND(D545=1,O545&lt;0),1,0)</f>
        <v>1</v>
      </c>
    </row>
    <row r="546" customFormat="false" ht="15" hidden="false" customHeight="false" outlineLevel="0" collapsed="false">
      <c r="A546" s="4" t="s">
        <v>98</v>
      </c>
      <c r="B546" s="4" t="n">
        <v>2</v>
      </c>
      <c r="C546" s="11" t="n">
        <f aca="false">IF(COUNTIF('Scenario inputs'!$A$4:$A$213,Controls!$B$3&amp;"|"&amp;A546)&gt;0,1,0)</f>
        <v>1</v>
      </c>
      <c r="D546" s="11" t="n">
        <f aca="false">IF(AND(C546=1,B546&lt;Controls!$B$12),1,0)</f>
        <v>1</v>
      </c>
      <c r="E546" s="11" t="n">
        <f aca="false">IF(D546=1,SUMPRODUCT((Costs!$B$4:$B$903=A546)*(Costs!$D$4:$D$903="planned")*(Costs!$J$4:$J$903&lt;=B546)*(Costs!$K$4:$K$903&gt;B546)*Costs!$E$4:$E$903),0)</f>
        <v>0</v>
      </c>
      <c r="F546" s="11" t="n">
        <f aca="false">IF(D546=1,SUMIFS(Benefits!$S$4:$S$703,Benefits!$B$4:$B$703,A546,Benefits!$F$4:$F$703,B546,Benefits!$R$4:$R$703,"cash"),0)</f>
        <v>0</v>
      </c>
      <c r="G546" s="11" t="n">
        <f aca="false">IF(D546=1,SUMIFS(Benefits!$S$4:$S$703,Benefits!$B$4:$B$703,A546,Benefits!$F$4:$F$703,B546,Benefits!$R$4:$R$703,"revenue"),0)</f>
        <v>0</v>
      </c>
      <c r="H546" s="11" t="n">
        <f aca="false">IF(D546=1,SUMIFS(Benefits!$S$4:$S$703,Benefits!$B$4:$B$703,A546,Benefits!$F$4:$F$703,B546,Benefits!$R$4:$R$703,"avoided_cost_realised"),0)</f>
        <v>0</v>
      </c>
      <c r="I546" s="11" t="n">
        <f aca="false">IF(D546=1,SUMIFS(Benefits!$S$4:$S$703,Benefits!$B$4:$B$703,A546,Benefits!$F$4:$F$703,B546,Benefits!$R$4:$R$703,"capacity_converted"),0)</f>
        <v>0</v>
      </c>
      <c r="J546" s="11" t="n">
        <f aca="false">SUM(F546:I546)</f>
        <v>0</v>
      </c>
      <c r="K546" s="11" t="n">
        <f aca="false">J546-E546</f>
        <v>0</v>
      </c>
      <c r="L546" s="11" t="n">
        <f aca="false">IF(D546=1,L545+K546,0)</f>
        <v>-12000</v>
      </c>
      <c r="M546" s="11" t="n">
        <f aca="false">IF(D546=1,1/(1+Controls!$B$11)^B546,0)</f>
        <v>0.987255132194012</v>
      </c>
      <c r="N546" s="11" t="n">
        <f aca="false">K546*M546</f>
        <v>0</v>
      </c>
      <c r="O546" s="11" t="n">
        <f aca="false">IF(D546=1,O545+N546,0)</f>
        <v>-12000</v>
      </c>
      <c r="P546" s="11" t="n">
        <f aca="false">IF(AND(D546=1,L546&lt;0),1,0)</f>
        <v>1</v>
      </c>
      <c r="Q546" s="11" t="n">
        <f aca="false">IF(AND(D546=1,O546&lt;0),1,0)</f>
        <v>1</v>
      </c>
    </row>
    <row r="547" customFormat="false" ht="15" hidden="false" customHeight="false" outlineLevel="0" collapsed="false">
      <c r="A547" s="4" t="s">
        <v>98</v>
      </c>
      <c r="B547" s="4" t="n">
        <v>3</v>
      </c>
      <c r="C547" s="11" t="n">
        <f aca="false">IF(COUNTIF('Scenario inputs'!$A$4:$A$213,Controls!$B$3&amp;"|"&amp;A547)&gt;0,1,0)</f>
        <v>1</v>
      </c>
      <c r="D547" s="11" t="n">
        <f aca="false">IF(AND(C547=1,B547&lt;Controls!$B$12),1,0)</f>
        <v>1</v>
      </c>
      <c r="E547" s="11" t="n">
        <f aca="false">IF(D547=1,SUMPRODUCT((Costs!$B$4:$B$903=A547)*(Costs!$D$4:$D$903="planned")*(Costs!$J$4:$J$903&lt;=B547)*(Costs!$K$4:$K$903&gt;B547)*Costs!$E$4:$E$903),0)</f>
        <v>0</v>
      </c>
      <c r="F547" s="11" t="n">
        <f aca="false">IF(D547=1,SUMIFS(Benefits!$S$4:$S$703,Benefits!$B$4:$B$703,A547,Benefits!$F$4:$F$703,B547,Benefits!$R$4:$R$703,"cash"),0)</f>
        <v>0</v>
      </c>
      <c r="G547" s="11" t="n">
        <f aca="false">IF(D547=1,SUMIFS(Benefits!$S$4:$S$703,Benefits!$B$4:$B$703,A547,Benefits!$F$4:$F$703,B547,Benefits!$R$4:$R$703,"revenue"),0)</f>
        <v>0</v>
      </c>
      <c r="H547" s="11" t="n">
        <f aca="false">IF(D547=1,SUMIFS(Benefits!$S$4:$S$703,Benefits!$B$4:$B$703,A547,Benefits!$F$4:$F$703,B547,Benefits!$R$4:$R$703,"avoided_cost_realised"),0)</f>
        <v>0</v>
      </c>
      <c r="I547" s="11" t="n">
        <f aca="false">IF(D547=1,SUMIFS(Benefits!$S$4:$S$703,Benefits!$B$4:$B$703,A547,Benefits!$F$4:$F$703,B547,Benefits!$R$4:$R$703,"capacity_converted"),0)</f>
        <v>0</v>
      </c>
      <c r="J547" s="11" t="n">
        <f aca="false">SUM(F547:I547)</f>
        <v>0</v>
      </c>
      <c r="K547" s="11" t="n">
        <f aca="false">J547-E547</f>
        <v>0</v>
      </c>
      <c r="L547" s="11" t="n">
        <f aca="false">IF(D547=1,L546+K547,0)</f>
        <v>-12000</v>
      </c>
      <c r="M547" s="11" t="n">
        <f aca="false">IF(D547=1,1/(1+Controls!$B$11)^B547,0)</f>
        <v>0.98094374016976</v>
      </c>
      <c r="N547" s="11" t="n">
        <f aca="false">K547*M547</f>
        <v>0</v>
      </c>
      <c r="O547" s="11" t="n">
        <f aca="false">IF(D547=1,O546+N547,0)</f>
        <v>-12000</v>
      </c>
      <c r="P547" s="11" t="n">
        <f aca="false">IF(AND(D547=1,L547&lt;0),1,0)</f>
        <v>1</v>
      </c>
      <c r="Q547" s="11" t="n">
        <f aca="false">IF(AND(D547=1,O547&lt;0),1,0)</f>
        <v>1</v>
      </c>
    </row>
    <row r="548" customFormat="false" ht="15" hidden="false" customHeight="false" outlineLevel="0" collapsed="false">
      <c r="A548" s="4" t="s">
        <v>98</v>
      </c>
      <c r="B548" s="4" t="n">
        <v>4</v>
      </c>
      <c r="C548" s="11" t="n">
        <f aca="false">IF(COUNTIF('Scenario inputs'!$A$4:$A$213,Controls!$B$3&amp;"|"&amp;A548)&gt;0,1,0)</f>
        <v>1</v>
      </c>
      <c r="D548" s="11" t="n">
        <f aca="false">IF(AND(C548=1,B548&lt;Controls!$B$12),1,0)</f>
        <v>1</v>
      </c>
      <c r="E548" s="11" t="n">
        <f aca="false">IF(D548=1,SUMPRODUCT((Costs!$B$4:$B$903=A548)*(Costs!$D$4:$D$903="planned")*(Costs!$J$4:$J$903&lt;=B548)*(Costs!$K$4:$K$903&gt;B548)*Costs!$E$4:$E$903),0)</f>
        <v>250750</v>
      </c>
      <c r="F548" s="11" t="n">
        <f aca="false">IF(D548=1,SUMIFS(Benefits!$S$4:$S$703,Benefits!$B$4:$B$703,A548,Benefits!$F$4:$F$703,B548,Benefits!$R$4:$R$703,"cash"),0)</f>
        <v>0</v>
      </c>
      <c r="G548" s="11" t="n">
        <f aca="false">IF(D548=1,SUMIFS(Benefits!$S$4:$S$703,Benefits!$B$4:$B$703,A548,Benefits!$F$4:$F$703,B548,Benefits!$R$4:$R$703,"revenue"),0)</f>
        <v>0</v>
      </c>
      <c r="H548" s="11" t="n">
        <f aca="false">IF(D548=1,SUMIFS(Benefits!$S$4:$S$703,Benefits!$B$4:$B$703,A548,Benefits!$F$4:$F$703,B548,Benefits!$R$4:$R$703,"avoided_cost_realised"),0)</f>
        <v>0</v>
      </c>
      <c r="I548" s="11" t="n">
        <f aca="false">IF(D548=1,SUMIFS(Benefits!$S$4:$S$703,Benefits!$B$4:$B$703,A548,Benefits!$F$4:$F$703,B548,Benefits!$R$4:$R$703,"capacity_converted"),0)</f>
        <v>0</v>
      </c>
      <c r="J548" s="11" t="n">
        <f aca="false">SUM(F548:I548)</f>
        <v>0</v>
      </c>
      <c r="K548" s="11" t="n">
        <f aca="false">J548-E548</f>
        <v>-250750</v>
      </c>
      <c r="L548" s="11" t="n">
        <f aca="false">IF(D548=1,L547+K548,0)</f>
        <v>-262750</v>
      </c>
      <c r="M548" s="11" t="n">
        <f aca="false">IF(D548=1,1/(1+Controls!$B$11)^B548,0)</f>
        <v>0.974672696043417</v>
      </c>
      <c r="N548" s="11" t="n">
        <f aca="false">K548*M548</f>
        <v>-244399.178532887</v>
      </c>
      <c r="O548" s="11" t="n">
        <f aca="false">IF(D548=1,O547+N548,0)</f>
        <v>-256399.178532887</v>
      </c>
      <c r="P548" s="11" t="n">
        <f aca="false">IF(AND(D548=1,L548&lt;0),1,0)</f>
        <v>1</v>
      </c>
      <c r="Q548" s="11" t="n">
        <f aca="false">IF(AND(D548=1,O548&lt;0),1,0)</f>
        <v>1</v>
      </c>
    </row>
    <row r="549" customFormat="false" ht="15" hidden="false" customHeight="false" outlineLevel="0" collapsed="false">
      <c r="A549" s="4" t="s">
        <v>98</v>
      </c>
      <c r="B549" s="4" t="n">
        <v>5</v>
      </c>
      <c r="C549" s="11" t="n">
        <f aca="false">IF(COUNTIF('Scenario inputs'!$A$4:$A$213,Controls!$B$3&amp;"|"&amp;A549)&gt;0,1,0)</f>
        <v>1</v>
      </c>
      <c r="D549" s="11" t="n">
        <f aca="false">IF(AND(C549=1,B549&lt;Controls!$B$12),1,0)</f>
        <v>1</v>
      </c>
      <c r="E549" s="11" t="n">
        <f aca="false">IF(D549=1,SUMPRODUCT((Costs!$B$4:$B$903=A549)*(Costs!$D$4:$D$903="planned")*(Costs!$J$4:$J$903&lt;=B549)*(Costs!$K$4:$K$903&gt;B549)*Costs!$E$4:$E$903),0)</f>
        <v>165650</v>
      </c>
      <c r="F549" s="11" t="n">
        <f aca="false">IF(D549=1,SUMIFS(Benefits!$S$4:$S$703,Benefits!$B$4:$B$703,A549,Benefits!$F$4:$F$703,B549,Benefits!$R$4:$R$703,"cash"),0)</f>
        <v>0</v>
      </c>
      <c r="G549" s="11" t="n">
        <f aca="false">IF(D549=1,SUMIFS(Benefits!$S$4:$S$703,Benefits!$B$4:$B$703,A549,Benefits!$F$4:$F$703,B549,Benefits!$R$4:$R$703,"revenue"),0)</f>
        <v>0</v>
      </c>
      <c r="H549" s="11" t="n">
        <f aca="false">IF(D549=1,SUMIFS(Benefits!$S$4:$S$703,Benefits!$B$4:$B$703,A549,Benefits!$F$4:$F$703,B549,Benefits!$R$4:$R$703,"avoided_cost_realised"),0)</f>
        <v>0</v>
      </c>
      <c r="I549" s="11" t="n">
        <f aca="false">IF(D549=1,SUMIFS(Benefits!$S$4:$S$703,Benefits!$B$4:$B$703,A549,Benefits!$F$4:$F$703,B549,Benefits!$R$4:$R$703,"capacity_converted"),0)</f>
        <v>0</v>
      </c>
      <c r="J549" s="11" t="n">
        <f aca="false">SUM(F549:I549)</f>
        <v>0</v>
      </c>
      <c r="K549" s="11" t="n">
        <f aca="false">J549-E549</f>
        <v>-165650</v>
      </c>
      <c r="L549" s="11" t="n">
        <f aca="false">IF(D549=1,L548+K549,0)</f>
        <v>-428400</v>
      </c>
      <c r="M549" s="11" t="n">
        <f aca="false">IF(D549=1,1/(1+Controls!$B$11)^B549,0)</f>
        <v>0.968441741876185</v>
      </c>
      <c r="N549" s="11" t="n">
        <f aca="false">K549*M549</f>
        <v>-160422.37454179</v>
      </c>
      <c r="O549" s="11" t="n">
        <f aca="false">IF(D549=1,O548+N549,0)</f>
        <v>-416821.553074677</v>
      </c>
      <c r="P549" s="11" t="n">
        <f aca="false">IF(AND(D549=1,L549&lt;0),1,0)</f>
        <v>1</v>
      </c>
      <c r="Q549" s="11" t="n">
        <f aca="false">IF(AND(D549=1,O549&lt;0),1,0)</f>
        <v>1</v>
      </c>
    </row>
    <row r="550" customFormat="false" ht="15" hidden="false" customHeight="false" outlineLevel="0" collapsed="false">
      <c r="A550" s="4" t="s">
        <v>98</v>
      </c>
      <c r="B550" s="4" t="n">
        <v>6</v>
      </c>
      <c r="C550" s="11" t="n">
        <f aca="false">IF(COUNTIF('Scenario inputs'!$A$4:$A$213,Controls!$B$3&amp;"|"&amp;A550)&gt;0,1,0)</f>
        <v>1</v>
      </c>
      <c r="D550" s="11" t="n">
        <f aca="false">IF(AND(C550=1,B550&lt;Controls!$B$12),1,0)</f>
        <v>1</v>
      </c>
      <c r="E550" s="11" t="n">
        <f aca="false">IF(D550=1,SUMPRODUCT((Costs!$B$4:$B$903=A550)*(Costs!$D$4:$D$903="planned")*(Costs!$J$4:$J$903&lt;=B550)*(Costs!$K$4:$K$903&gt;B550)*Costs!$E$4:$E$903),0)</f>
        <v>207600</v>
      </c>
      <c r="F550" s="11" t="n">
        <f aca="false">IF(D550=1,SUMIFS(Benefits!$S$4:$S$703,Benefits!$B$4:$B$703,A550,Benefits!$F$4:$F$703,B550,Benefits!$R$4:$R$703,"cash"),0)</f>
        <v>2139.2686</v>
      </c>
      <c r="G550" s="11" t="n">
        <f aca="false">IF(D550=1,SUMIFS(Benefits!$S$4:$S$703,Benefits!$B$4:$B$703,A550,Benefits!$F$4:$F$703,B550,Benefits!$R$4:$R$703,"revenue"),0)</f>
        <v>0</v>
      </c>
      <c r="H550" s="11" t="n">
        <f aca="false">IF(D550=1,SUMIFS(Benefits!$S$4:$S$703,Benefits!$B$4:$B$703,A550,Benefits!$F$4:$F$703,B550,Benefits!$R$4:$R$703,"avoided_cost_realised"),0)</f>
        <v>0</v>
      </c>
      <c r="I550" s="11" t="n">
        <f aca="false">IF(D550=1,SUMIFS(Benefits!$S$4:$S$703,Benefits!$B$4:$B$703,A550,Benefits!$F$4:$F$703,B550,Benefits!$R$4:$R$703,"capacity_converted"),0)</f>
        <v>0</v>
      </c>
      <c r="J550" s="11" t="n">
        <f aca="false">SUM(F550:I550)</f>
        <v>2139.2686</v>
      </c>
      <c r="K550" s="11" t="n">
        <f aca="false">J550-E550</f>
        <v>-205460.7314</v>
      </c>
      <c r="L550" s="11" t="n">
        <f aca="false">IF(D550=1,L549+K550,0)</f>
        <v>-633860.7314</v>
      </c>
      <c r="M550" s="11" t="n">
        <f aca="false">IF(D550=1,1/(1+Controls!$B$11)^B550,0)</f>
        <v>0.962250621378238</v>
      </c>
      <c r="N550" s="11" t="n">
        <f aca="false">K550*M550</f>
        <v>-197704.716458477</v>
      </c>
      <c r="O550" s="11" t="n">
        <f aca="false">IF(D550=1,O549+N550,0)</f>
        <v>-614526.269533154</v>
      </c>
      <c r="P550" s="11" t="n">
        <f aca="false">IF(AND(D550=1,L550&lt;0),1,0)</f>
        <v>1</v>
      </c>
      <c r="Q550" s="11" t="n">
        <f aca="false">IF(AND(D550=1,O550&lt;0),1,0)</f>
        <v>1</v>
      </c>
    </row>
    <row r="551" customFormat="false" ht="15" hidden="false" customHeight="false" outlineLevel="0" collapsed="false">
      <c r="A551" s="4" t="s">
        <v>98</v>
      </c>
      <c r="B551" s="4" t="n">
        <v>7</v>
      </c>
      <c r="C551" s="11" t="n">
        <f aca="false">IF(COUNTIF('Scenario inputs'!$A$4:$A$213,Controls!$B$3&amp;"|"&amp;A551)&gt;0,1,0)</f>
        <v>1</v>
      </c>
      <c r="D551" s="11" t="n">
        <f aca="false">IF(AND(C551=1,B551&lt;Controls!$B$12),1,0)</f>
        <v>1</v>
      </c>
      <c r="E551" s="11" t="n">
        <f aca="false">IF(D551=1,SUMPRODUCT((Costs!$B$4:$B$903=A551)*(Costs!$D$4:$D$903="planned")*(Costs!$J$4:$J$903&lt;=B551)*(Costs!$K$4:$K$903&gt;B551)*Costs!$E$4:$E$903),0)</f>
        <v>12000</v>
      </c>
      <c r="F551" s="11" t="n">
        <f aca="false">IF(D551=1,SUMIFS(Benefits!$S$4:$S$703,Benefits!$B$4:$B$703,A551,Benefits!$F$4:$F$703,B551,Benefits!$R$4:$R$703,"cash"),0)</f>
        <v>6417.8657</v>
      </c>
      <c r="G551" s="11" t="n">
        <f aca="false">IF(D551=1,SUMIFS(Benefits!$S$4:$S$703,Benefits!$B$4:$B$703,A551,Benefits!$F$4:$F$703,B551,Benefits!$R$4:$R$703,"revenue"),0)</f>
        <v>0</v>
      </c>
      <c r="H551" s="11" t="n">
        <f aca="false">IF(D551=1,SUMIFS(Benefits!$S$4:$S$703,Benefits!$B$4:$B$703,A551,Benefits!$F$4:$F$703,B551,Benefits!$R$4:$R$703,"avoided_cost_realised"),0)</f>
        <v>1749.986</v>
      </c>
      <c r="I551" s="11" t="n">
        <f aca="false">IF(D551=1,SUMIFS(Benefits!$S$4:$S$703,Benefits!$B$4:$B$703,A551,Benefits!$F$4:$F$703,B551,Benefits!$R$4:$R$703,"capacity_converted"),0)</f>
        <v>0</v>
      </c>
      <c r="J551" s="11" t="n">
        <f aca="false">SUM(F551:I551)</f>
        <v>8167.8517</v>
      </c>
      <c r="K551" s="11" t="n">
        <f aca="false">J551-E551</f>
        <v>-3832.1483</v>
      </c>
      <c r="L551" s="11" t="n">
        <f aca="false">IF(D551=1,L550+K551,0)</f>
        <v>-637692.8797</v>
      </c>
      <c r="M551" s="11" t="n">
        <f aca="false">IF(D551=1,1/(1+Controls!$B$11)^B551,0)</f>
        <v>0.956099079898173</v>
      </c>
      <c r="N551" s="11" t="n">
        <f aca="false">K551*M551</f>
        <v>-3663.91346366335</v>
      </c>
      <c r="O551" s="11" t="n">
        <f aca="false">IF(D551=1,O550+N551,0)</f>
        <v>-618190.182996817</v>
      </c>
      <c r="P551" s="11" t="n">
        <f aca="false">IF(AND(D551=1,L551&lt;0),1,0)</f>
        <v>1</v>
      </c>
      <c r="Q551" s="11" t="n">
        <f aca="false">IF(AND(D551=1,O551&lt;0),1,0)</f>
        <v>1</v>
      </c>
    </row>
    <row r="552" customFormat="false" ht="15" hidden="false" customHeight="false" outlineLevel="0" collapsed="false">
      <c r="A552" s="4" t="s">
        <v>98</v>
      </c>
      <c r="B552" s="4" t="n">
        <v>8</v>
      </c>
      <c r="C552" s="11" t="n">
        <f aca="false">IF(COUNTIF('Scenario inputs'!$A$4:$A$213,Controls!$B$3&amp;"|"&amp;A552)&gt;0,1,0)</f>
        <v>1</v>
      </c>
      <c r="D552" s="11" t="n">
        <f aca="false">IF(AND(C552=1,B552&lt;Controls!$B$12),1,0)</f>
        <v>1</v>
      </c>
      <c r="E552" s="11" t="n">
        <f aca="false">IF(D552=1,SUMPRODUCT((Costs!$B$4:$B$903=A552)*(Costs!$D$4:$D$903="planned")*(Costs!$J$4:$J$903&lt;=B552)*(Costs!$K$4:$K$903&gt;B552)*Costs!$E$4:$E$903),0)</f>
        <v>12000</v>
      </c>
      <c r="F552" s="11" t="n">
        <f aca="false">IF(D552=1,SUMIFS(Benefits!$S$4:$S$703,Benefits!$B$4:$B$703,A552,Benefits!$F$4:$F$703,B552,Benefits!$R$4:$R$703,"cash"),0)</f>
        <v>12835.7314</v>
      </c>
      <c r="G552" s="11" t="n">
        <f aca="false">IF(D552=1,SUMIFS(Benefits!$S$4:$S$703,Benefits!$B$4:$B$703,A552,Benefits!$F$4:$F$703,B552,Benefits!$R$4:$R$703,"revenue"),0)</f>
        <v>0</v>
      </c>
      <c r="H552" s="11" t="n">
        <f aca="false">IF(D552=1,SUMIFS(Benefits!$S$4:$S$703,Benefits!$B$4:$B$703,A552,Benefits!$F$4:$F$703,B552,Benefits!$R$4:$R$703,"avoided_cost_realised"),0)</f>
        <v>5250.007</v>
      </c>
      <c r="I552" s="11" t="n">
        <f aca="false">IF(D552=1,SUMIFS(Benefits!$S$4:$S$703,Benefits!$B$4:$B$703,A552,Benefits!$F$4:$F$703,B552,Benefits!$R$4:$R$703,"capacity_converted"),0)</f>
        <v>0</v>
      </c>
      <c r="J552" s="11" t="n">
        <f aca="false">SUM(F552:I552)</f>
        <v>18085.7384</v>
      </c>
      <c r="K552" s="11" t="n">
        <f aca="false">J552-E552</f>
        <v>6085.7384</v>
      </c>
      <c r="L552" s="11" t="n">
        <f aca="false">IF(D552=1,L551+K552,0)</f>
        <v>-631607.1413</v>
      </c>
      <c r="M552" s="11" t="n">
        <f aca="false">IF(D552=1,1/(1+Controls!$B$11)^B552,0)</f>
        <v>0.949986864412542</v>
      </c>
      <c r="N552" s="11" t="n">
        <f aca="false">K552*M552</f>
        <v>5781.371540251</v>
      </c>
      <c r="O552" s="11" t="n">
        <f aca="false">IF(D552=1,O551+N552,0)</f>
        <v>-612408.811456566</v>
      </c>
      <c r="P552" s="11" t="n">
        <f aca="false">IF(AND(D552=1,L552&lt;0),1,0)</f>
        <v>1</v>
      </c>
      <c r="Q552" s="11" t="n">
        <f aca="false">IF(AND(D552=1,O552&lt;0),1,0)</f>
        <v>1</v>
      </c>
    </row>
    <row r="553" customFormat="false" ht="15" hidden="false" customHeight="false" outlineLevel="0" collapsed="false">
      <c r="A553" s="4" t="s">
        <v>98</v>
      </c>
      <c r="B553" s="4" t="n">
        <v>9</v>
      </c>
      <c r="C553" s="11" t="n">
        <f aca="false">IF(COUNTIF('Scenario inputs'!$A$4:$A$213,Controls!$B$3&amp;"|"&amp;A553)&gt;0,1,0)</f>
        <v>1</v>
      </c>
      <c r="D553" s="11" t="n">
        <f aca="false">IF(AND(C553=1,B553&lt;Controls!$B$12),1,0)</f>
        <v>1</v>
      </c>
      <c r="E553" s="11" t="n">
        <f aca="false">IF(D553=1,SUMPRODUCT((Costs!$B$4:$B$903=A553)*(Costs!$D$4:$D$903="planned")*(Costs!$J$4:$J$903&lt;=B553)*(Costs!$K$4:$K$903&gt;B553)*Costs!$E$4:$E$903),0)</f>
        <v>12000</v>
      </c>
      <c r="F553" s="11" t="n">
        <f aca="false">IF(D553=1,SUMIFS(Benefits!$S$4:$S$703,Benefits!$B$4:$B$703,A553,Benefits!$F$4:$F$703,B553,Benefits!$R$4:$R$703,"cash"),0)</f>
        <v>21392.8657</v>
      </c>
      <c r="G553" s="11" t="n">
        <f aca="false">IF(D553=1,SUMIFS(Benefits!$S$4:$S$703,Benefits!$B$4:$B$703,A553,Benefits!$F$4:$F$703,B553,Benefits!$R$4:$R$703,"revenue"),0)</f>
        <v>0</v>
      </c>
      <c r="H553" s="11" t="n">
        <f aca="false">IF(D553=1,SUMIFS(Benefits!$S$4:$S$703,Benefits!$B$4:$B$703,A553,Benefits!$F$4:$F$703,B553,Benefits!$R$4:$R$703,"avoided_cost_realised"),0)</f>
        <v>10500.014</v>
      </c>
      <c r="I553" s="11" t="n">
        <f aca="false">IF(D553=1,SUMIFS(Benefits!$S$4:$S$703,Benefits!$B$4:$B$703,A553,Benefits!$F$4:$F$703,B553,Benefits!$R$4:$R$703,"capacity_converted"),0)</f>
        <v>0</v>
      </c>
      <c r="J553" s="11" t="n">
        <f aca="false">SUM(F553:I553)</f>
        <v>31892.8797</v>
      </c>
      <c r="K553" s="11" t="n">
        <f aca="false">J553-E553</f>
        <v>19892.8797</v>
      </c>
      <c r="L553" s="11" t="n">
        <f aca="false">IF(D553=1,L552+K553,0)</f>
        <v>-611714.2616</v>
      </c>
      <c r="M553" s="11" t="n">
        <f aca="false">IF(D553=1,1/(1+Controls!$B$11)^B553,0)</f>
        <v>0.943913723515444</v>
      </c>
      <c r="N553" s="11" t="n">
        <f aca="false">K553*M553</f>
        <v>18777.1621490718</v>
      </c>
      <c r="O553" s="11" t="n">
        <f aca="false">IF(D553=1,O552+N553,0)</f>
        <v>-593631.649307495</v>
      </c>
      <c r="P553" s="11" t="n">
        <f aca="false">IF(AND(D553=1,L553&lt;0),1,0)</f>
        <v>1</v>
      </c>
      <c r="Q553" s="11" t="n">
        <f aca="false">IF(AND(D553=1,O553&lt;0),1,0)</f>
        <v>1</v>
      </c>
    </row>
    <row r="554" customFormat="false" ht="15" hidden="false" customHeight="false" outlineLevel="0" collapsed="false">
      <c r="A554" s="4" t="s">
        <v>98</v>
      </c>
      <c r="B554" s="4" t="n">
        <v>10</v>
      </c>
      <c r="C554" s="11" t="n">
        <f aca="false">IF(COUNTIF('Scenario inputs'!$A$4:$A$213,Controls!$B$3&amp;"|"&amp;A554)&gt;0,1,0)</f>
        <v>1</v>
      </c>
      <c r="D554" s="11" t="n">
        <f aca="false">IF(AND(C554=1,B554&lt;Controls!$B$12),1,0)</f>
        <v>1</v>
      </c>
      <c r="E554" s="11" t="n">
        <f aca="false">IF(D554=1,SUMPRODUCT((Costs!$B$4:$B$903=A554)*(Costs!$D$4:$D$903="planned")*(Costs!$J$4:$J$903&lt;=B554)*(Costs!$K$4:$K$903&gt;B554)*Costs!$E$4:$E$903),0)</f>
        <v>12000</v>
      </c>
      <c r="F554" s="11" t="n">
        <f aca="false">IF(D554=1,SUMIFS(Benefits!$S$4:$S$703,Benefits!$B$4:$B$703,A554,Benefits!$F$4:$F$703,B554,Benefits!$R$4:$R$703,"cash"),0)</f>
        <v>32089.2686</v>
      </c>
      <c r="G554" s="11" t="n">
        <f aca="false">IF(D554=1,SUMIFS(Benefits!$S$4:$S$703,Benefits!$B$4:$B$703,A554,Benefits!$F$4:$F$703,B554,Benefits!$R$4:$R$703,"revenue"),0)</f>
        <v>0</v>
      </c>
      <c r="H554" s="11" t="n">
        <f aca="false">IF(D554=1,SUMIFS(Benefits!$S$4:$S$703,Benefits!$B$4:$B$703,A554,Benefits!$F$4:$F$703,B554,Benefits!$R$4:$R$703,"avoided_cost_realised"),0)</f>
        <v>17500.007</v>
      </c>
      <c r="I554" s="11" t="n">
        <f aca="false">IF(D554=1,SUMIFS(Benefits!$S$4:$S$703,Benefits!$B$4:$B$703,A554,Benefits!$F$4:$F$703,B554,Benefits!$R$4:$R$703,"capacity_converted"),0)</f>
        <v>0</v>
      </c>
      <c r="J554" s="11" t="n">
        <f aca="false">SUM(F554:I554)</f>
        <v>49589.2756</v>
      </c>
      <c r="K554" s="11" t="n">
        <f aca="false">J554-E554</f>
        <v>37589.2756</v>
      </c>
      <c r="L554" s="11" t="n">
        <f aca="false">IF(D554=1,L553+K554,0)</f>
        <v>-574124.986</v>
      </c>
      <c r="M554" s="11" t="n">
        <f aca="false">IF(D554=1,1/(1+Controls!$B$11)^B554,0)</f>
        <v>0.93787940740818</v>
      </c>
      <c r="N554" s="11" t="n">
        <f aca="false">K554*M554</f>
        <v>35254.2075246308</v>
      </c>
      <c r="O554" s="11" t="n">
        <f aca="false">IF(D554=1,O553+N554,0)</f>
        <v>-558377.441782864</v>
      </c>
      <c r="P554" s="11" t="n">
        <f aca="false">IF(AND(D554=1,L554&lt;0),1,0)</f>
        <v>1</v>
      </c>
      <c r="Q554" s="11" t="n">
        <f aca="false">IF(AND(D554=1,O554&lt;0),1,0)</f>
        <v>1</v>
      </c>
    </row>
    <row r="555" customFormat="false" ht="15" hidden="false" customHeight="false" outlineLevel="0" collapsed="false">
      <c r="A555" s="4" t="s">
        <v>98</v>
      </c>
      <c r="B555" s="4" t="n">
        <v>11</v>
      </c>
      <c r="C555" s="11" t="n">
        <f aca="false">IF(COUNTIF('Scenario inputs'!$A$4:$A$213,Controls!$B$3&amp;"|"&amp;A555)&gt;0,1,0)</f>
        <v>1</v>
      </c>
      <c r="D555" s="11" t="n">
        <f aca="false">IF(AND(C555=1,B555&lt;Controls!$B$12),1,0)</f>
        <v>1</v>
      </c>
      <c r="E555" s="11" t="n">
        <f aca="false">IF(D555=1,SUMPRODUCT((Costs!$B$4:$B$903=A555)*(Costs!$D$4:$D$903="planned")*(Costs!$J$4:$J$903&lt;=B555)*(Costs!$K$4:$K$903&gt;B555)*Costs!$E$4:$E$903),0)</f>
        <v>12000</v>
      </c>
      <c r="F555" s="11" t="n">
        <f aca="false">IF(D555=1,SUMIFS(Benefits!$S$4:$S$703,Benefits!$B$4:$B$703,A555,Benefits!$F$4:$F$703,B555,Benefits!$R$4:$R$703,"cash"),0)</f>
        <v>44925</v>
      </c>
      <c r="G555" s="11" t="n">
        <f aca="false">IF(D555=1,SUMIFS(Benefits!$S$4:$S$703,Benefits!$B$4:$B$703,A555,Benefits!$F$4:$F$703,B555,Benefits!$R$4:$R$703,"revenue"),0)</f>
        <v>0</v>
      </c>
      <c r="H555" s="11" t="n">
        <f aca="false">IF(D555=1,SUMIFS(Benefits!$S$4:$S$703,Benefits!$B$4:$B$703,A555,Benefits!$F$4:$F$703,B555,Benefits!$R$4:$R$703,"avoided_cost_realised"),0)</f>
        <v>26249.986</v>
      </c>
      <c r="I555" s="11" t="n">
        <f aca="false">IF(D555=1,SUMIFS(Benefits!$S$4:$S$703,Benefits!$B$4:$B$703,A555,Benefits!$F$4:$F$703,B555,Benefits!$R$4:$R$703,"capacity_converted"),0)</f>
        <v>0</v>
      </c>
      <c r="J555" s="11" t="n">
        <f aca="false">SUM(F555:I555)</f>
        <v>71174.986</v>
      </c>
      <c r="K555" s="11" t="n">
        <f aca="false">J555-E555</f>
        <v>59174.986</v>
      </c>
      <c r="L555" s="11" t="n">
        <f aca="false">IF(D555=1,L554+K555,0)</f>
        <v>-514950</v>
      </c>
      <c r="M555" s="11" t="n">
        <f aca="false">IF(D555=1,1/(1+Controls!$B$11)^B555,0)</f>
        <v>0.931883667888982</v>
      </c>
      <c r="N555" s="11" t="n">
        <f aca="false">K555*M555</f>
        <v>55144.2030009592</v>
      </c>
      <c r="O555" s="11" t="n">
        <f aca="false">IF(D555=1,O554+N555,0)</f>
        <v>-503233.238781905</v>
      </c>
      <c r="P555" s="11" t="n">
        <f aca="false">IF(AND(D555=1,L555&lt;0),1,0)</f>
        <v>1</v>
      </c>
      <c r="Q555" s="11" t="n">
        <f aca="false">IF(AND(D555=1,O555&lt;0),1,0)</f>
        <v>1</v>
      </c>
    </row>
    <row r="556" customFormat="false" ht="15" hidden="false" customHeight="false" outlineLevel="0" collapsed="false">
      <c r="A556" s="4" t="s">
        <v>98</v>
      </c>
      <c r="B556" s="4" t="n">
        <v>12</v>
      </c>
      <c r="C556" s="11" t="n">
        <f aca="false">IF(COUNTIF('Scenario inputs'!$A$4:$A$213,Controls!$B$3&amp;"|"&amp;A556)&gt;0,1,0)</f>
        <v>1</v>
      </c>
      <c r="D556" s="11" t="n">
        <f aca="false">IF(AND(C556=1,B556&lt;Controls!$B$12),1,0)</f>
        <v>1</v>
      </c>
      <c r="E556" s="11" t="n">
        <f aca="false">IF(D556=1,SUMPRODUCT((Costs!$B$4:$B$903=A556)*(Costs!$D$4:$D$903="planned")*(Costs!$J$4:$J$903&lt;=B556)*(Costs!$K$4:$K$903&gt;B556)*Costs!$E$4:$E$903),0)</f>
        <v>12300</v>
      </c>
      <c r="F556" s="11" t="n">
        <f aca="false">IF(D556=1,SUMIFS(Benefits!$S$4:$S$703,Benefits!$B$4:$B$703,A556,Benefits!$F$4:$F$703,B556,Benefits!$R$4:$R$703,"cash"),0)</f>
        <v>59900</v>
      </c>
      <c r="G556" s="11" t="n">
        <f aca="false">IF(D556=1,SUMIFS(Benefits!$S$4:$S$703,Benefits!$B$4:$B$703,A556,Benefits!$F$4:$F$703,B556,Benefits!$R$4:$R$703,"revenue"),0)</f>
        <v>0</v>
      </c>
      <c r="H556" s="11" t="n">
        <f aca="false">IF(D556=1,SUMIFS(Benefits!$S$4:$S$703,Benefits!$B$4:$B$703,A556,Benefits!$F$4:$F$703,B556,Benefits!$R$4:$R$703,"avoided_cost_realised"),0)</f>
        <v>36750</v>
      </c>
      <c r="I556" s="11" t="n">
        <f aca="false">IF(D556=1,SUMIFS(Benefits!$S$4:$S$703,Benefits!$B$4:$B$703,A556,Benefits!$F$4:$F$703,B556,Benefits!$R$4:$R$703,"capacity_converted"),0)</f>
        <v>0</v>
      </c>
      <c r="J556" s="11" t="n">
        <f aca="false">SUM(F556:I556)</f>
        <v>96650</v>
      </c>
      <c r="K556" s="11" t="n">
        <f aca="false">J556-E556</f>
        <v>84350</v>
      </c>
      <c r="L556" s="11" t="n">
        <f aca="false">IF(D556=1,L555+K556,0)</f>
        <v>-430600</v>
      </c>
      <c r="M556" s="11" t="n">
        <f aca="false">IF(D556=1,1/(1+Controls!$B$11)^B556,0)</f>
        <v>0.925926258342804</v>
      </c>
      <c r="N556" s="11" t="n">
        <f aca="false">K556*M556</f>
        <v>78101.8798912155</v>
      </c>
      <c r="O556" s="11" t="n">
        <f aca="false">IF(D556=1,O555+N556,0)</f>
        <v>-425131.358890689</v>
      </c>
      <c r="P556" s="11" t="n">
        <f aca="false">IF(AND(D556=1,L556&lt;0),1,0)</f>
        <v>1</v>
      </c>
      <c r="Q556" s="11" t="n">
        <f aca="false">IF(AND(D556=1,O556&lt;0),1,0)</f>
        <v>1</v>
      </c>
    </row>
    <row r="557" customFormat="false" ht="15" hidden="false" customHeight="false" outlineLevel="0" collapsed="false">
      <c r="A557" s="4" t="s">
        <v>98</v>
      </c>
      <c r="B557" s="4" t="n">
        <v>13</v>
      </c>
      <c r="C557" s="11" t="n">
        <f aca="false">IF(COUNTIF('Scenario inputs'!$A$4:$A$213,Controls!$B$3&amp;"|"&amp;A557)&gt;0,1,0)</f>
        <v>1</v>
      </c>
      <c r="D557" s="11" t="n">
        <f aca="false">IF(AND(C557=1,B557&lt;Controls!$B$12),1,0)</f>
        <v>1</v>
      </c>
      <c r="E557" s="11" t="n">
        <f aca="false">IF(D557=1,SUMPRODUCT((Costs!$B$4:$B$903=A557)*(Costs!$D$4:$D$903="planned")*(Costs!$J$4:$J$903&lt;=B557)*(Costs!$K$4:$K$903&gt;B557)*Costs!$E$4:$E$903),0)</f>
        <v>12300</v>
      </c>
      <c r="F557" s="11" t="n">
        <f aca="false">IF(D557=1,SUMIFS(Benefits!$S$4:$S$703,Benefits!$B$4:$B$703,A557,Benefits!$F$4:$F$703,B557,Benefits!$R$4:$R$703,"cash"),0)</f>
        <v>59900</v>
      </c>
      <c r="G557" s="11" t="n">
        <f aca="false">IF(D557=1,SUMIFS(Benefits!$S$4:$S$703,Benefits!$B$4:$B$703,A557,Benefits!$F$4:$F$703,B557,Benefits!$R$4:$R$703,"revenue"),0)</f>
        <v>0</v>
      </c>
      <c r="H557" s="11" t="n">
        <f aca="false">IF(D557=1,SUMIFS(Benefits!$S$4:$S$703,Benefits!$B$4:$B$703,A557,Benefits!$F$4:$F$703,B557,Benefits!$R$4:$R$703,"avoided_cost_realised"),0)</f>
        <v>49000</v>
      </c>
      <c r="I557" s="11" t="n">
        <f aca="false">IF(D557=1,SUMIFS(Benefits!$S$4:$S$703,Benefits!$B$4:$B$703,A557,Benefits!$F$4:$F$703,B557,Benefits!$R$4:$R$703,"capacity_converted"),0)</f>
        <v>0</v>
      </c>
      <c r="J557" s="11" t="n">
        <f aca="false">SUM(F557:I557)</f>
        <v>108900</v>
      </c>
      <c r="K557" s="11" t="n">
        <f aca="false">J557-E557</f>
        <v>96600</v>
      </c>
      <c r="L557" s="11" t="n">
        <f aca="false">IF(D557=1,L556+K557,0)</f>
        <v>-334000</v>
      </c>
      <c r="M557" s="11" t="n">
        <f aca="false">IF(D557=1,1/(1+Controls!$B$11)^B557,0)</f>
        <v>0.920006933731178</v>
      </c>
      <c r="N557" s="11" t="n">
        <f aca="false">K557*M557</f>
        <v>88872.6697984318</v>
      </c>
      <c r="O557" s="11" t="n">
        <f aca="false">IF(D557=1,O556+N557,0)</f>
        <v>-336258.689092257</v>
      </c>
      <c r="P557" s="11" t="n">
        <f aca="false">IF(AND(D557=1,L557&lt;0),1,0)</f>
        <v>1</v>
      </c>
      <c r="Q557" s="11" t="n">
        <f aca="false">IF(AND(D557=1,O557&lt;0),1,0)</f>
        <v>1</v>
      </c>
    </row>
    <row r="558" customFormat="false" ht="15" hidden="false" customHeight="false" outlineLevel="0" collapsed="false">
      <c r="A558" s="4" t="s">
        <v>98</v>
      </c>
      <c r="B558" s="4" t="n">
        <v>14</v>
      </c>
      <c r="C558" s="11" t="n">
        <f aca="false">IF(COUNTIF('Scenario inputs'!$A$4:$A$213,Controls!$B$3&amp;"|"&amp;A558)&gt;0,1,0)</f>
        <v>1</v>
      </c>
      <c r="D558" s="11" t="n">
        <f aca="false">IF(AND(C558=1,B558&lt;Controls!$B$12),1,0)</f>
        <v>1</v>
      </c>
      <c r="E558" s="11" t="n">
        <f aca="false">IF(D558=1,SUMPRODUCT((Costs!$B$4:$B$903=A558)*(Costs!$D$4:$D$903="planned")*(Costs!$J$4:$J$903&lt;=B558)*(Costs!$K$4:$K$903&gt;B558)*Costs!$E$4:$E$903),0)</f>
        <v>12300</v>
      </c>
      <c r="F558" s="11" t="n">
        <f aca="false">IF(D558=1,SUMIFS(Benefits!$S$4:$S$703,Benefits!$B$4:$B$703,A558,Benefits!$F$4:$F$703,B558,Benefits!$R$4:$R$703,"cash"),0)</f>
        <v>59900</v>
      </c>
      <c r="G558" s="11" t="n">
        <f aca="false">IF(D558=1,SUMIFS(Benefits!$S$4:$S$703,Benefits!$B$4:$B$703,A558,Benefits!$F$4:$F$703,B558,Benefits!$R$4:$R$703,"revenue"),0)</f>
        <v>0</v>
      </c>
      <c r="H558" s="11" t="n">
        <f aca="false">IF(D558=1,SUMIFS(Benefits!$S$4:$S$703,Benefits!$B$4:$B$703,A558,Benefits!$F$4:$F$703,B558,Benefits!$R$4:$R$703,"avoided_cost_realised"),0)</f>
        <v>49000</v>
      </c>
      <c r="I558" s="11" t="n">
        <f aca="false">IF(D558=1,SUMIFS(Benefits!$S$4:$S$703,Benefits!$B$4:$B$703,A558,Benefits!$F$4:$F$703,B558,Benefits!$R$4:$R$703,"capacity_converted"),0)</f>
        <v>0</v>
      </c>
      <c r="J558" s="11" t="n">
        <f aca="false">SUM(F558:I558)</f>
        <v>108900</v>
      </c>
      <c r="K558" s="11" t="n">
        <f aca="false">J558-E558</f>
        <v>96600</v>
      </c>
      <c r="L558" s="11" t="n">
        <f aca="false">IF(D558=1,L557+K558,0)</f>
        <v>-237400</v>
      </c>
      <c r="M558" s="11" t="n">
        <f aca="false">IF(D558=1,1/(1+Controls!$B$11)^B558,0)</f>
        <v>0.914125450582132</v>
      </c>
      <c r="N558" s="11" t="n">
        <f aca="false">K558*M558</f>
        <v>88304.518526234</v>
      </c>
      <c r="O558" s="11" t="n">
        <f aca="false">IF(D558=1,O557+N558,0)</f>
        <v>-247954.170566023</v>
      </c>
      <c r="P558" s="11" t="n">
        <f aca="false">IF(AND(D558=1,L558&lt;0),1,0)</f>
        <v>1</v>
      </c>
      <c r="Q558" s="11" t="n">
        <f aca="false">IF(AND(D558=1,O558&lt;0),1,0)</f>
        <v>1</v>
      </c>
    </row>
    <row r="559" customFormat="false" ht="15" hidden="false" customHeight="false" outlineLevel="0" collapsed="false">
      <c r="A559" s="4" t="s">
        <v>98</v>
      </c>
      <c r="B559" s="4" t="n">
        <v>15</v>
      </c>
      <c r="C559" s="11" t="n">
        <f aca="false">IF(COUNTIF('Scenario inputs'!$A$4:$A$213,Controls!$B$3&amp;"|"&amp;A559)&gt;0,1,0)</f>
        <v>1</v>
      </c>
      <c r="D559" s="11" t="n">
        <f aca="false">IF(AND(C559=1,B559&lt;Controls!$B$12),1,0)</f>
        <v>1</v>
      </c>
      <c r="E559" s="11" t="n">
        <f aca="false">IF(D559=1,SUMPRODUCT((Costs!$B$4:$B$903=A559)*(Costs!$D$4:$D$903="planned")*(Costs!$J$4:$J$903&lt;=B559)*(Costs!$K$4:$K$903&gt;B559)*Costs!$E$4:$E$903),0)</f>
        <v>12300</v>
      </c>
      <c r="F559" s="11" t="n">
        <f aca="false">IF(D559=1,SUMIFS(Benefits!$S$4:$S$703,Benefits!$B$4:$B$703,A559,Benefits!$F$4:$F$703,B559,Benefits!$R$4:$R$703,"cash"),0)</f>
        <v>59900</v>
      </c>
      <c r="G559" s="11" t="n">
        <f aca="false">IF(D559=1,SUMIFS(Benefits!$S$4:$S$703,Benefits!$B$4:$B$703,A559,Benefits!$F$4:$F$703,B559,Benefits!$R$4:$R$703,"revenue"),0)</f>
        <v>0</v>
      </c>
      <c r="H559" s="11" t="n">
        <f aca="false">IF(D559=1,SUMIFS(Benefits!$S$4:$S$703,Benefits!$B$4:$B$703,A559,Benefits!$F$4:$F$703,B559,Benefits!$R$4:$R$703,"avoided_cost_realised"),0)</f>
        <v>49000</v>
      </c>
      <c r="I559" s="11" t="n">
        <f aca="false">IF(D559=1,SUMIFS(Benefits!$S$4:$S$703,Benefits!$B$4:$B$703,A559,Benefits!$F$4:$F$703,B559,Benefits!$R$4:$R$703,"capacity_converted"),0)</f>
        <v>0</v>
      </c>
      <c r="J559" s="11" t="n">
        <f aca="false">SUM(F559:I559)</f>
        <v>108900</v>
      </c>
      <c r="K559" s="11" t="n">
        <f aca="false">J559-E559</f>
        <v>96600</v>
      </c>
      <c r="L559" s="11" t="n">
        <f aca="false">IF(D559=1,L558+K559,0)</f>
        <v>-140800</v>
      </c>
      <c r="M559" s="11" t="n">
        <f aca="false">IF(D559=1,1/(1+Controls!$B$11)^B559,0)</f>
        <v>0.908281566980182</v>
      </c>
      <c r="N559" s="11" t="n">
        <f aca="false">K559*M559</f>
        <v>87739.9993702856</v>
      </c>
      <c r="O559" s="11" t="n">
        <f aca="false">IF(D559=1,O558+N559,0)</f>
        <v>-160214.171195738</v>
      </c>
      <c r="P559" s="11" t="n">
        <f aca="false">IF(AND(D559=1,L559&lt;0),1,0)</f>
        <v>1</v>
      </c>
      <c r="Q559" s="11" t="n">
        <f aca="false">IF(AND(D559=1,O559&lt;0),1,0)</f>
        <v>1</v>
      </c>
    </row>
    <row r="560" customFormat="false" ht="15" hidden="false" customHeight="false" outlineLevel="0" collapsed="false">
      <c r="A560" s="4" t="s">
        <v>98</v>
      </c>
      <c r="B560" s="4" t="n">
        <v>16</v>
      </c>
      <c r="C560" s="11" t="n">
        <f aca="false">IF(COUNTIF('Scenario inputs'!$A$4:$A$213,Controls!$B$3&amp;"|"&amp;A560)&gt;0,1,0)</f>
        <v>1</v>
      </c>
      <c r="D560" s="11" t="n">
        <f aca="false">IF(AND(C560=1,B560&lt;Controls!$B$12),1,0)</f>
        <v>1</v>
      </c>
      <c r="E560" s="11" t="n">
        <f aca="false">IF(D560=1,SUMPRODUCT((Costs!$B$4:$B$903=A560)*(Costs!$D$4:$D$903="planned")*(Costs!$J$4:$J$903&lt;=B560)*(Costs!$K$4:$K$903&gt;B560)*Costs!$E$4:$E$903),0)</f>
        <v>12300</v>
      </c>
      <c r="F560" s="11" t="n">
        <f aca="false">IF(D560=1,SUMIFS(Benefits!$S$4:$S$703,Benefits!$B$4:$B$703,A560,Benefits!$F$4:$F$703,B560,Benefits!$R$4:$R$703,"cash"),0)</f>
        <v>59900</v>
      </c>
      <c r="G560" s="11" t="n">
        <f aca="false">IF(D560=1,SUMIFS(Benefits!$S$4:$S$703,Benefits!$B$4:$B$703,A560,Benefits!$F$4:$F$703,B560,Benefits!$R$4:$R$703,"revenue"),0)</f>
        <v>0</v>
      </c>
      <c r="H560" s="11" t="n">
        <f aca="false">IF(D560=1,SUMIFS(Benefits!$S$4:$S$703,Benefits!$B$4:$B$703,A560,Benefits!$F$4:$F$703,B560,Benefits!$R$4:$R$703,"avoided_cost_realised"),0)</f>
        <v>49000</v>
      </c>
      <c r="I560" s="11" t="n">
        <f aca="false">IF(D560=1,SUMIFS(Benefits!$S$4:$S$703,Benefits!$B$4:$B$703,A560,Benefits!$F$4:$F$703,B560,Benefits!$R$4:$R$703,"capacity_converted"),0)</f>
        <v>0</v>
      </c>
      <c r="J560" s="11" t="n">
        <f aca="false">SUM(F560:I560)</f>
        <v>108900</v>
      </c>
      <c r="K560" s="11" t="n">
        <f aca="false">J560-E560</f>
        <v>96600</v>
      </c>
      <c r="L560" s="11" t="n">
        <f aca="false">IF(D560=1,L559+K560,0)</f>
        <v>-44199.9999999998</v>
      </c>
      <c r="M560" s="11" t="n">
        <f aca="false">IF(D560=1,1/(1+Controls!$B$11)^B560,0)</f>
        <v>0.902475042556374</v>
      </c>
      <c r="N560" s="11" t="n">
        <f aca="false">K560*M560</f>
        <v>87179.0891109457</v>
      </c>
      <c r="O560" s="11" t="n">
        <f aca="false">IF(D560=1,O559+N560,0)</f>
        <v>-73035.0820847922</v>
      </c>
      <c r="P560" s="11" t="n">
        <f aca="false">IF(AND(D560=1,L560&lt;0),1,0)</f>
        <v>1</v>
      </c>
      <c r="Q560" s="11" t="n">
        <f aca="false">IF(AND(D560=1,O560&lt;0),1,0)</f>
        <v>1</v>
      </c>
    </row>
    <row r="561" customFormat="false" ht="15" hidden="false" customHeight="false" outlineLevel="0" collapsed="false">
      <c r="A561" s="4" t="s">
        <v>98</v>
      </c>
      <c r="B561" s="4" t="n">
        <v>17</v>
      </c>
      <c r="C561" s="11" t="n">
        <f aca="false">IF(COUNTIF('Scenario inputs'!$A$4:$A$213,Controls!$B$3&amp;"|"&amp;A561)&gt;0,1,0)</f>
        <v>1</v>
      </c>
      <c r="D561" s="11" t="n">
        <f aca="false">IF(AND(C561=1,B561&lt;Controls!$B$12),1,0)</f>
        <v>1</v>
      </c>
      <c r="E561" s="11" t="n">
        <f aca="false">IF(D561=1,SUMPRODUCT((Costs!$B$4:$B$903=A561)*(Costs!$D$4:$D$903="planned")*(Costs!$J$4:$J$903&lt;=B561)*(Costs!$K$4:$K$903&gt;B561)*Costs!$E$4:$E$903),0)</f>
        <v>12300</v>
      </c>
      <c r="F561" s="11" t="n">
        <f aca="false">IF(D561=1,SUMIFS(Benefits!$S$4:$S$703,Benefits!$B$4:$B$703,A561,Benefits!$F$4:$F$703,B561,Benefits!$R$4:$R$703,"cash"),0)</f>
        <v>59900</v>
      </c>
      <c r="G561" s="11" t="n">
        <f aca="false">IF(D561=1,SUMIFS(Benefits!$S$4:$S$703,Benefits!$B$4:$B$703,A561,Benefits!$F$4:$F$703,B561,Benefits!$R$4:$R$703,"revenue"),0)</f>
        <v>0</v>
      </c>
      <c r="H561" s="11" t="n">
        <f aca="false">IF(D561=1,SUMIFS(Benefits!$S$4:$S$703,Benefits!$B$4:$B$703,A561,Benefits!$F$4:$F$703,B561,Benefits!$R$4:$R$703,"avoided_cost_realised"),0)</f>
        <v>49000</v>
      </c>
      <c r="I561" s="11" t="n">
        <f aca="false">IF(D561=1,SUMIFS(Benefits!$S$4:$S$703,Benefits!$B$4:$B$703,A561,Benefits!$F$4:$F$703,B561,Benefits!$R$4:$R$703,"capacity_converted"),0)</f>
        <v>0</v>
      </c>
      <c r="J561" s="11" t="n">
        <f aca="false">SUM(F561:I561)</f>
        <v>108900</v>
      </c>
      <c r="K561" s="11" t="n">
        <f aca="false">J561-E561</f>
        <v>96600</v>
      </c>
      <c r="L561" s="11" t="n">
        <f aca="false">IF(D561=1,L560+K561,0)</f>
        <v>52400.0000000002</v>
      </c>
      <c r="M561" s="11" t="n">
        <f aca="false">IF(D561=1,1/(1+Controls!$B$11)^B561,0)</f>
        <v>0.896705638478404</v>
      </c>
      <c r="N561" s="11" t="n">
        <f aca="false">K561*M561</f>
        <v>86621.7646770138</v>
      </c>
      <c r="O561" s="11" t="n">
        <f aca="false">IF(D561=1,O560+N561,0)</f>
        <v>13586.6825922216</v>
      </c>
      <c r="P561" s="11" t="n">
        <f aca="false">IF(AND(D561=1,L561&lt;0),1,0)</f>
        <v>0</v>
      </c>
      <c r="Q561" s="11" t="n">
        <f aca="false">IF(AND(D561=1,O561&lt;0),1,0)</f>
        <v>0</v>
      </c>
    </row>
    <row r="562" customFormat="false" ht="15" hidden="false" customHeight="false" outlineLevel="0" collapsed="false">
      <c r="A562" s="4" t="s">
        <v>98</v>
      </c>
      <c r="B562" s="4" t="n">
        <v>18</v>
      </c>
      <c r="C562" s="11" t="n">
        <f aca="false">IF(COUNTIF('Scenario inputs'!$A$4:$A$213,Controls!$B$3&amp;"|"&amp;A562)&gt;0,1,0)</f>
        <v>1</v>
      </c>
      <c r="D562" s="11" t="n">
        <f aca="false">IF(AND(C562=1,B562&lt;Controls!$B$12),1,0)</f>
        <v>1</v>
      </c>
      <c r="E562" s="11" t="n">
        <f aca="false">IF(D562=1,SUMPRODUCT((Costs!$B$4:$B$903=A562)*(Costs!$D$4:$D$903="planned")*(Costs!$J$4:$J$903&lt;=B562)*(Costs!$K$4:$K$903&gt;B562)*Costs!$E$4:$E$903),0)</f>
        <v>12300</v>
      </c>
      <c r="F562" s="11" t="n">
        <f aca="false">IF(D562=1,SUMIFS(Benefits!$S$4:$S$703,Benefits!$B$4:$B$703,A562,Benefits!$F$4:$F$703,B562,Benefits!$R$4:$R$703,"cash"),0)</f>
        <v>0</v>
      </c>
      <c r="G562" s="11" t="n">
        <f aca="false">IF(D562=1,SUMIFS(Benefits!$S$4:$S$703,Benefits!$B$4:$B$703,A562,Benefits!$F$4:$F$703,B562,Benefits!$R$4:$R$703,"revenue"),0)</f>
        <v>0</v>
      </c>
      <c r="H562" s="11" t="n">
        <f aca="false">IF(D562=1,SUMIFS(Benefits!$S$4:$S$703,Benefits!$B$4:$B$703,A562,Benefits!$F$4:$F$703,B562,Benefits!$R$4:$R$703,"avoided_cost_realised"),0)</f>
        <v>49000</v>
      </c>
      <c r="I562" s="11" t="n">
        <f aca="false">IF(D562=1,SUMIFS(Benefits!$S$4:$S$703,Benefits!$B$4:$B$703,A562,Benefits!$F$4:$F$703,B562,Benefits!$R$4:$R$703,"capacity_converted"),0)</f>
        <v>0</v>
      </c>
      <c r="J562" s="11" t="n">
        <f aca="false">SUM(F562:I562)</f>
        <v>49000</v>
      </c>
      <c r="K562" s="11" t="n">
        <f aca="false">J562-E562</f>
        <v>36700</v>
      </c>
      <c r="L562" s="11" t="n">
        <f aca="false">IF(D562=1,L561+K562,0)</f>
        <v>89100.0000000002</v>
      </c>
      <c r="M562" s="11" t="n">
        <f aca="false">IF(D562=1,1/(1+Controls!$B$11)^B562,0)</f>
        <v>0.89097311744079</v>
      </c>
      <c r="N562" s="11" t="n">
        <f aca="false">K562*M562</f>
        <v>32698.713410077</v>
      </c>
      <c r="O562" s="11" t="n">
        <f aca="false">IF(D562=1,O561+N562,0)</f>
        <v>46285.3960022986</v>
      </c>
      <c r="P562" s="11" t="n">
        <f aca="false">IF(AND(D562=1,L562&lt;0),1,0)</f>
        <v>0</v>
      </c>
      <c r="Q562" s="11" t="n">
        <f aca="false">IF(AND(D562=1,O562&lt;0),1,0)</f>
        <v>0</v>
      </c>
    </row>
    <row r="563" customFormat="false" ht="15" hidden="false" customHeight="false" outlineLevel="0" collapsed="false">
      <c r="A563" s="4" t="s">
        <v>98</v>
      </c>
      <c r="B563" s="4" t="n">
        <v>19</v>
      </c>
      <c r="C563" s="11" t="n">
        <f aca="false">IF(COUNTIF('Scenario inputs'!$A$4:$A$213,Controls!$B$3&amp;"|"&amp;A563)&gt;0,1,0)</f>
        <v>1</v>
      </c>
      <c r="D563" s="11" t="n">
        <f aca="false">IF(AND(C563=1,B563&lt;Controls!$B$12),1,0)</f>
        <v>1</v>
      </c>
      <c r="E563" s="11" t="n">
        <f aca="false">IF(D563=1,SUMPRODUCT((Costs!$B$4:$B$903=A563)*(Costs!$D$4:$D$903="planned")*(Costs!$J$4:$J$903&lt;=B563)*(Costs!$K$4:$K$903&gt;B563)*Costs!$E$4:$E$903),0)</f>
        <v>0</v>
      </c>
      <c r="F563" s="11" t="n">
        <f aca="false">IF(D563=1,SUMIFS(Benefits!$S$4:$S$703,Benefits!$B$4:$B$703,A563,Benefits!$F$4:$F$703,B563,Benefits!$R$4:$R$703,"cash"),0)</f>
        <v>0</v>
      </c>
      <c r="G563" s="11" t="n">
        <f aca="false">IF(D563=1,SUMIFS(Benefits!$S$4:$S$703,Benefits!$B$4:$B$703,A563,Benefits!$F$4:$F$703,B563,Benefits!$R$4:$R$703,"revenue"),0)</f>
        <v>0</v>
      </c>
      <c r="H563" s="11" t="n">
        <f aca="false">IF(D563=1,SUMIFS(Benefits!$S$4:$S$703,Benefits!$B$4:$B$703,A563,Benefits!$F$4:$F$703,B563,Benefits!$R$4:$R$703,"avoided_cost_realised"),0)</f>
        <v>0</v>
      </c>
      <c r="I563" s="11" t="n">
        <f aca="false">IF(D563=1,SUMIFS(Benefits!$S$4:$S$703,Benefits!$B$4:$B$703,A563,Benefits!$F$4:$F$703,B563,Benefits!$R$4:$R$703,"capacity_converted"),0)</f>
        <v>0</v>
      </c>
      <c r="J563" s="11" t="n">
        <f aca="false">SUM(F563:I563)</f>
        <v>0</v>
      </c>
      <c r="K563" s="11" t="n">
        <f aca="false">J563-E563</f>
        <v>0</v>
      </c>
      <c r="L563" s="11" t="n">
        <f aca="false">IF(D563=1,L562+K563,0)</f>
        <v>89100.0000000002</v>
      </c>
      <c r="M563" s="11" t="n">
        <f aca="false">IF(D563=1,1/(1+Controls!$B$11)^B563,0)</f>
        <v>0.885277243655113</v>
      </c>
      <c r="N563" s="11" t="n">
        <f aca="false">K563*M563</f>
        <v>0</v>
      </c>
      <c r="O563" s="11" t="n">
        <f aca="false">IF(D563=1,O562+N563,0)</f>
        <v>46285.3960022986</v>
      </c>
      <c r="P563" s="11" t="n">
        <f aca="false">IF(AND(D563=1,L563&lt;0),1,0)</f>
        <v>0</v>
      </c>
      <c r="Q563" s="11" t="n">
        <f aca="false">IF(AND(D563=1,O563&lt;0),1,0)</f>
        <v>0</v>
      </c>
    </row>
    <row r="564" customFormat="false" ht="15" hidden="false" customHeight="false" outlineLevel="0" collapsed="false">
      <c r="A564" s="4" t="s">
        <v>98</v>
      </c>
      <c r="B564" s="4" t="n">
        <v>20</v>
      </c>
      <c r="C564" s="11" t="n">
        <f aca="false">IF(COUNTIF('Scenario inputs'!$A$4:$A$213,Controls!$B$3&amp;"|"&amp;A564)&gt;0,1,0)</f>
        <v>1</v>
      </c>
      <c r="D564" s="11" t="n">
        <f aca="false">IF(AND(C564=1,B564&lt;Controls!$B$12),1,0)</f>
        <v>1</v>
      </c>
      <c r="E564" s="11" t="n">
        <f aca="false">IF(D564=1,SUMPRODUCT((Costs!$B$4:$B$903=A564)*(Costs!$D$4:$D$903="planned")*(Costs!$J$4:$J$903&lt;=B564)*(Costs!$K$4:$K$903&gt;B564)*Costs!$E$4:$E$903),0)</f>
        <v>0</v>
      </c>
      <c r="F564" s="11" t="n">
        <f aca="false">IF(D564=1,SUMIFS(Benefits!$S$4:$S$703,Benefits!$B$4:$B$703,A564,Benefits!$F$4:$F$703,B564,Benefits!$R$4:$R$703,"cash"),0)</f>
        <v>0</v>
      </c>
      <c r="G564" s="11" t="n">
        <f aca="false">IF(D564=1,SUMIFS(Benefits!$S$4:$S$703,Benefits!$B$4:$B$703,A564,Benefits!$F$4:$F$703,B564,Benefits!$R$4:$R$703,"revenue"),0)</f>
        <v>0</v>
      </c>
      <c r="H564" s="11" t="n">
        <f aca="false">IF(D564=1,SUMIFS(Benefits!$S$4:$S$703,Benefits!$B$4:$B$703,A564,Benefits!$F$4:$F$703,B564,Benefits!$R$4:$R$703,"avoided_cost_realised"),0)</f>
        <v>0</v>
      </c>
      <c r="I564" s="11" t="n">
        <f aca="false">IF(D564=1,SUMIFS(Benefits!$S$4:$S$703,Benefits!$B$4:$B$703,A564,Benefits!$F$4:$F$703,B564,Benefits!$R$4:$R$703,"capacity_converted"),0)</f>
        <v>0</v>
      </c>
      <c r="J564" s="11" t="n">
        <f aca="false">SUM(F564:I564)</f>
        <v>0</v>
      </c>
      <c r="K564" s="11" t="n">
        <f aca="false">J564-E564</f>
        <v>0</v>
      </c>
      <c r="L564" s="11" t="n">
        <f aca="false">IF(D564=1,L563+K564,0)</f>
        <v>89100.0000000002</v>
      </c>
      <c r="M564" s="11" t="n">
        <f aca="false">IF(D564=1,1/(1+Controls!$B$11)^B564,0)</f>
        <v>0.879617782840318</v>
      </c>
      <c r="N564" s="11" t="n">
        <f aca="false">K564*M564</f>
        <v>0</v>
      </c>
      <c r="O564" s="11" t="n">
        <f aca="false">IF(D564=1,O563+N564,0)</f>
        <v>46285.3960022986</v>
      </c>
      <c r="P564" s="11" t="n">
        <f aca="false">IF(AND(D564=1,L564&lt;0),1,0)</f>
        <v>0</v>
      </c>
      <c r="Q564" s="11" t="n">
        <f aca="false">IF(AND(D564=1,O564&lt;0),1,0)</f>
        <v>0</v>
      </c>
    </row>
    <row r="565" customFormat="false" ht="15" hidden="false" customHeight="false" outlineLevel="0" collapsed="false">
      <c r="A565" s="4" t="s">
        <v>98</v>
      </c>
      <c r="B565" s="4" t="n">
        <v>21</v>
      </c>
      <c r="C565" s="11" t="n">
        <f aca="false">IF(COUNTIF('Scenario inputs'!$A$4:$A$213,Controls!$B$3&amp;"|"&amp;A565)&gt;0,1,0)</f>
        <v>1</v>
      </c>
      <c r="D565" s="11" t="n">
        <f aca="false">IF(AND(C565=1,B565&lt;Controls!$B$12),1,0)</f>
        <v>1</v>
      </c>
      <c r="E565" s="11" t="n">
        <f aca="false">IF(D565=1,SUMPRODUCT((Costs!$B$4:$B$903=A565)*(Costs!$D$4:$D$903="planned")*(Costs!$J$4:$J$903&lt;=B565)*(Costs!$K$4:$K$903&gt;B565)*Costs!$E$4:$E$903),0)</f>
        <v>0</v>
      </c>
      <c r="F565" s="11" t="n">
        <f aca="false">IF(D565=1,SUMIFS(Benefits!$S$4:$S$703,Benefits!$B$4:$B$703,A565,Benefits!$F$4:$F$703,B565,Benefits!$R$4:$R$703,"cash"),0)</f>
        <v>0</v>
      </c>
      <c r="G565" s="11" t="n">
        <f aca="false">IF(D565=1,SUMIFS(Benefits!$S$4:$S$703,Benefits!$B$4:$B$703,A565,Benefits!$F$4:$F$703,B565,Benefits!$R$4:$R$703,"revenue"),0)</f>
        <v>0</v>
      </c>
      <c r="H565" s="11" t="n">
        <f aca="false">IF(D565=1,SUMIFS(Benefits!$S$4:$S$703,Benefits!$B$4:$B$703,A565,Benefits!$F$4:$F$703,B565,Benefits!$R$4:$R$703,"avoided_cost_realised"),0)</f>
        <v>0</v>
      </c>
      <c r="I565" s="11" t="n">
        <f aca="false">IF(D565=1,SUMIFS(Benefits!$S$4:$S$703,Benefits!$B$4:$B$703,A565,Benefits!$F$4:$F$703,B565,Benefits!$R$4:$R$703,"capacity_converted"),0)</f>
        <v>0</v>
      </c>
      <c r="J565" s="11" t="n">
        <f aca="false">SUM(F565:I565)</f>
        <v>0</v>
      </c>
      <c r="K565" s="11" t="n">
        <f aca="false">J565-E565</f>
        <v>0</v>
      </c>
      <c r="L565" s="11" t="n">
        <f aca="false">IF(D565=1,L564+K565,0)</f>
        <v>89100.0000000002</v>
      </c>
      <c r="M565" s="11" t="n">
        <f aca="false">IF(D565=1,1/(1+Controls!$B$11)^B565,0)</f>
        <v>0.873994502213079</v>
      </c>
      <c r="N565" s="11" t="n">
        <f aca="false">K565*M565</f>
        <v>0</v>
      </c>
      <c r="O565" s="11" t="n">
        <f aca="false">IF(D565=1,O564+N565,0)</f>
        <v>46285.3960022986</v>
      </c>
      <c r="P565" s="11" t="n">
        <f aca="false">IF(AND(D565=1,L565&lt;0),1,0)</f>
        <v>0</v>
      </c>
      <c r="Q565" s="11" t="n">
        <f aca="false">IF(AND(D565=1,O565&lt;0),1,0)</f>
        <v>0</v>
      </c>
    </row>
    <row r="566" customFormat="false" ht="15" hidden="false" customHeight="false" outlineLevel="0" collapsed="false">
      <c r="A566" s="4" t="s">
        <v>98</v>
      </c>
      <c r="B566" s="4" t="n">
        <v>22</v>
      </c>
      <c r="C566" s="11" t="n">
        <f aca="false">IF(COUNTIF('Scenario inputs'!$A$4:$A$213,Controls!$B$3&amp;"|"&amp;A566)&gt;0,1,0)</f>
        <v>1</v>
      </c>
      <c r="D566" s="11" t="n">
        <f aca="false">IF(AND(C566=1,B566&lt;Controls!$B$12),1,0)</f>
        <v>1</v>
      </c>
      <c r="E566" s="11" t="n">
        <f aca="false">IF(D566=1,SUMPRODUCT((Costs!$B$4:$B$903=A566)*(Costs!$D$4:$D$903="planned")*(Costs!$J$4:$J$903&lt;=B566)*(Costs!$K$4:$K$903&gt;B566)*Costs!$E$4:$E$903),0)</f>
        <v>0</v>
      </c>
      <c r="F566" s="11" t="n">
        <f aca="false">IF(D566=1,SUMIFS(Benefits!$S$4:$S$703,Benefits!$B$4:$B$703,A566,Benefits!$F$4:$F$703,B566,Benefits!$R$4:$R$703,"cash"),0)</f>
        <v>0</v>
      </c>
      <c r="G566" s="11" t="n">
        <f aca="false">IF(D566=1,SUMIFS(Benefits!$S$4:$S$703,Benefits!$B$4:$B$703,A566,Benefits!$F$4:$F$703,B566,Benefits!$R$4:$R$703,"revenue"),0)</f>
        <v>0</v>
      </c>
      <c r="H566" s="11" t="n">
        <f aca="false">IF(D566=1,SUMIFS(Benefits!$S$4:$S$703,Benefits!$B$4:$B$703,A566,Benefits!$F$4:$F$703,B566,Benefits!$R$4:$R$703,"avoided_cost_realised"),0)</f>
        <v>0</v>
      </c>
      <c r="I566" s="11" t="n">
        <f aca="false">IF(D566=1,SUMIFS(Benefits!$S$4:$S$703,Benefits!$B$4:$B$703,A566,Benefits!$F$4:$F$703,B566,Benefits!$R$4:$R$703,"capacity_converted"),0)</f>
        <v>0</v>
      </c>
      <c r="J566" s="11" t="n">
        <f aca="false">SUM(F566:I566)</f>
        <v>0</v>
      </c>
      <c r="K566" s="11" t="n">
        <f aca="false">J566-E566</f>
        <v>0</v>
      </c>
      <c r="L566" s="11" t="n">
        <f aca="false">IF(D566=1,L565+K566,0)</f>
        <v>89100.0000000002</v>
      </c>
      <c r="M566" s="11" t="n">
        <f aca="false">IF(D566=1,1/(1+Controls!$B$11)^B566,0)</f>
        <v>0.868407170478222</v>
      </c>
      <c r="N566" s="11" t="n">
        <f aca="false">K566*M566</f>
        <v>0</v>
      </c>
      <c r="O566" s="11" t="n">
        <f aca="false">IF(D566=1,O565+N566,0)</f>
        <v>46285.3960022986</v>
      </c>
      <c r="P566" s="11" t="n">
        <f aca="false">IF(AND(D566=1,L566&lt;0),1,0)</f>
        <v>0</v>
      </c>
      <c r="Q566" s="11" t="n">
        <f aca="false">IF(AND(D566=1,O566&lt;0),1,0)</f>
        <v>0</v>
      </c>
    </row>
    <row r="567" customFormat="false" ht="15" hidden="false" customHeight="false" outlineLevel="0" collapsed="false">
      <c r="A567" s="4" t="s">
        <v>98</v>
      </c>
      <c r="B567" s="4" t="n">
        <v>23</v>
      </c>
      <c r="C567" s="11" t="n">
        <f aca="false">IF(COUNTIF('Scenario inputs'!$A$4:$A$213,Controls!$B$3&amp;"|"&amp;A567)&gt;0,1,0)</f>
        <v>1</v>
      </c>
      <c r="D567" s="11" t="n">
        <f aca="false">IF(AND(C567=1,B567&lt;Controls!$B$12),1,0)</f>
        <v>1</v>
      </c>
      <c r="E567" s="11" t="n">
        <f aca="false">IF(D567=1,SUMPRODUCT((Costs!$B$4:$B$903=A567)*(Costs!$D$4:$D$903="planned")*(Costs!$J$4:$J$903&lt;=B567)*(Costs!$K$4:$K$903&gt;B567)*Costs!$E$4:$E$903),0)</f>
        <v>0</v>
      </c>
      <c r="F567" s="11" t="n">
        <f aca="false">IF(D567=1,SUMIFS(Benefits!$S$4:$S$703,Benefits!$B$4:$B$703,A567,Benefits!$F$4:$F$703,B567,Benefits!$R$4:$R$703,"cash"),0)</f>
        <v>0</v>
      </c>
      <c r="G567" s="11" t="n">
        <f aca="false">IF(D567=1,SUMIFS(Benefits!$S$4:$S$703,Benefits!$B$4:$B$703,A567,Benefits!$F$4:$F$703,B567,Benefits!$R$4:$R$703,"revenue"),0)</f>
        <v>0</v>
      </c>
      <c r="H567" s="11" t="n">
        <f aca="false">IF(D567=1,SUMIFS(Benefits!$S$4:$S$703,Benefits!$B$4:$B$703,A567,Benefits!$F$4:$F$703,B567,Benefits!$R$4:$R$703,"avoided_cost_realised"),0)</f>
        <v>0</v>
      </c>
      <c r="I567" s="11" t="n">
        <f aca="false">IF(D567=1,SUMIFS(Benefits!$S$4:$S$703,Benefits!$B$4:$B$703,A567,Benefits!$F$4:$F$703,B567,Benefits!$R$4:$R$703,"capacity_converted"),0)</f>
        <v>0</v>
      </c>
      <c r="J567" s="11" t="n">
        <f aca="false">SUM(F567:I567)</f>
        <v>0</v>
      </c>
      <c r="K567" s="11" t="n">
        <f aca="false">J567-E567</f>
        <v>0</v>
      </c>
      <c r="L567" s="11" t="n">
        <f aca="false">IF(D567=1,L566+K567,0)</f>
        <v>89100.0000000002</v>
      </c>
      <c r="M567" s="11" t="n">
        <f aca="false">IF(D567=1,1/(1+Controls!$B$11)^B567,0)</f>
        <v>0.862855557819213</v>
      </c>
      <c r="N567" s="11" t="n">
        <f aca="false">K567*M567</f>
        <v>0</v>
      </c>
      <c r="O567" s="11" t="n">
        <f aca="false">IF(D567=1,O566+N567,0)</f>
        <v>46285.3960022986</v>
      </c>
      <c r="P567" s="11" t="n">
        <f aca="false">IF(AND(D567=1,L567&lt;0),1,0)</f>
        <v>0</v>
      </c>
      <c r="Q567" s="11" t="n">
        <f aca="false">IF(AND(D567=1,O567&lt;0),1,0)</f>
        <v>0</v>
      </c>
    </row>
    <row r="568" customFormat="false" ht="15" hidden="false" customHeight="false" outlineLevel="0" collapsed="false">
      <c r="A568" s="4" t="s">
        <v>98</v>
      </c>
      <c r="B568" s="4" t="n">
        <v>24</v>
      </c>
      <c r="C568" s="11" t="n">
        <f aca="false">IF(COUNTIF('Scenario inputs'!$A$4:$A$213,Controls!$B$3&amp;"|"&amp;A568)&gt;0,1,0)</f>
        <v>1</v>
      </c>
      <c r="D568" s="11" t="n">
        <f aca="false">IF(AND(C568=1,B568&lt;Controls!$B$12),1,0)</f>
        <v>1</v>
      </c>
      <c r="E568" s="11" t="n">
        <f aca="false">IF(D568=1,SUMPRODUCT((Costs!$B$4:$B$903=A568)*(Costs!$D$4:$D$903="planned")*(Costs!$J$4:$J$903&lt;=B568)*(Costs!$K$4:$K$903&gt;B568)*Costs!$E$4:$E$903),0)</f>
        <v>0</v>
      </c>
      <c r="F568" s="11" t="n">
        <f aca="false">IF(D568=1,SUMIFS(Benefits!$S$4:$S$703,Benefits!$B$4:$B$703,A568,Benefits!$F$4:$F$703,B568,Benefits!$R$4:$R$703,"cash"),0)</f>
        <v>0</v>
      </c>
      <c r="G568" s="11" t="n">
        <f aca="false">IF(D568=1,SUMIFS(Benefits!$S$4:$S$703,Benefits!$B$4:$B$703,A568,Benefits!$F$4:$F$703,B568,Benefits!$R$4:$R$703,"revenue"),0)</f>
        <v>0</v>
      </c>
      <c r="H568" s="11" t="n">
        <f aca="false">IF(D568=1,SUMIFS(Benefits!$S$4:$S$703,Benefits!$B$4:$B$703,A568,Benefits!$F$4:$F$703,B568,Benefits!$R$4:$R$703,"avoided_cost_realised"),0)</f>
        <v>0</v>
      </c>
      <c r="I568" s="11" t="n">
        <f aca="false">IF(D568=1,SUMIFS(Benefits!$S$4:$S$703,Benefits!$B$4:$B$703,A568,Benefits!$F$4:$F$703,B568,Benefits!$R$4:$R$703,"capacity_converted"),0)</f>
        <v>0</v>
      </c>
      <c r="J568" s="11" t="n">
        <f aca="false">SUM(F568:I568)</f>
        <v>0</v>
      </c>
      <c r="K568" s="11" t="n">
        <f aca="false">J568-E568</f>
        <v>0</v>
      </c>
      <c r="L568" s="11" t="n">
        <f aca="false">IF(D568=1,L567+K568,0)</f>
        <v>89100.0000000002</v>
      </c>
      <c r="M568" s="11" t="n">
        <f aca="false">IF(D568=1,1/(1+Controls!$B$11)^B568,0)</f>
        <v>0.857339435888705</v>
      </c>
      <c r="N568" s="11" t="n">
        <f aca="false">K568*M568</f>
        <v>0</v>
      </c>
      <c r="O568" s="11" t="n">
        <f aca="false">IF(D568=1,O567+N568,0)</f>
        <v>46285.3960022986</v>
      </c>
      <c r="P568" s="11" t="n">
        <f aca="false">IF(AND(D568=1,L568&lt;0),1,0)</f>
        <v>0</v>
      </c>
      <c r="Q568" s="11" t="n">
        <f aca="false">IF(AND(D568=1,O568&lt;0),1,0)</f>
        <v>0</v>
      </c>
    </row>
    <row r="569" customFormat="false" ht="15" hidden="false" customHeight="false" outlineLevel="0" collapsed="false">
      <c r="A569" s="4" t="s">
        <v>98</v>
      </c>
      <c r="B569" s="4" t="n">
        <v>25</v>
      </c>
      <c r="C569" s="11" t="n">
        <f aca="false">IF(COUNTIF('Scenario inputs'!$A$4:$A$213,Controls!$B$3&amp;"|"&amp;A569)&gt;0,1,0)</f>
        <v>1</v>
      </c>
      <c r="D569" s="11" t="n">
        <f aca="false">IF(AND(C569=1,B569&lt;Controls!$B$12),1,0)</f>
        <v>1</v>
      </c>
      <c r="E569" s="11" t="n">
        <f aca="false">IF(D569=1,SUMPRODUCT((Costs!$B$4:$B$903=A569)*(Costs!$D$4:$D$903="planned")*(Costs!$J$4:$J$903&lt;=B569)*(Costs!$K$4:$K$903&gt;B569)*Costs!$E$4:$E$903),0)</f>
        <v>0</v>
      </c>
      <c r="F569" s="11" t="n">
        <f aca="false">IF(D569=1,SUMIFS(Benefits!$S$4:$S$703,Benefits!$B$4:$B$703,A569,Benefits!$F$4:$F$703,B569,Benefits!$R$4:$R$703,"cash"),0)</f>
        <v>0</v>
      </c>
      <c r="G569" s="11" t="n">
        <f aca="false">IF(D569=1,SUMIFS(Benefits!$S$4:$S$703,Benefits!$B$4:$B$703,A569,Benefits!$F$4:$F$703,B569,Benefits!$R$4:$R$703,"revenue"),0)</f>
        <v>0</v>
      </c>
      <c r="H569" s="11" t="n">
        <f aca="false">IF(D569=1,SUMIFS(Benefits!$S$4:$S$703,Benefits!$B$4:$B$703,A569,Benefits!$F$4:$F$703,B569,Benefits!$R$4:$R$703,"avoided_cost_realised"),0)</f>
        <v>0</v>
      </c>
      <c r="I569" s="11" t="n">
        <f aca="false">IF(D569=1,SUMIFS(Benefits!$S$4:$S$703,Benefits!$B$4:$B$703,A569,Benefits!$F$4:$F$703,B569,Benefits!$R$4:$R$703,"capacity_converted"),0)</f>
        <v>0</v>
      </c>
      <c r="J569" s="11" t="n">
        <f aca="false">SUM(F569:I569)</f>
        <v>0</v>
      </c>
      <c r="K569" s="11" t="n">
        <f aca="false">J569-E569</f>
        <v>0</v>
      </c>
      <c r="L569" s="11" t="n">
        <f aca="false">IF(D569=1,L568+K569,0)</f>
        <v>89100.0000000002</v>
      </c>
      <c r="M569" s="11" t="n">
        <f aca="false">IF(D569=1,1/(1+Controls!$B$11)^B569,0)</f>
        <v>0.851858577799146</v>
      </c>
      <c r="N569" s="11" t="n">
        <f aca="false">K569*M569</f>
        <v>0</v>
      </c>
      <c r="O569" s="11" t="n">
        <f aca="false">IF(D569=1,O568+N569,0)</f>
        <v>46285.3960022986</v>
      </c>
      <c r="P569" s="11" t="n">
        <f aca="false">IF(AND(D569=1,L569&lt;0),1,0)</f>
        <v>0</v>
      </c>
      <c r="Q569" s="11" t="n">
        <f aca="false">IF(AND(D569=1,O569&lt;0),1,0)</f>
        <v>0</v>
      </c>
    </row>
    <row r="570" customFormat="false" ht="15" hidden="false" customHeight="false" outlineLevel="0" collapsed="false">
      <c r="A570" s="4" t="s">
        <v>98</v>
      </c>
      <c r="B570" s="4" t="n">
        <v>26</v>
      </c>
      <c r="C570" s="11" t="n">
        <f aca="false">IF(COUNTIF('Scenario inputs'!$A$4:$A$213,Controls!$B$3&amp;"|"&amp;A570)&gt;0,1,0)</f>
        <v>1</v>
      </c>
      <c r="D570" s="11" t="n">
        <f aca="false">IF(AND(C570=1,B570&lt;Controls!$B$12),1,0)</f>
        <v>1</v>
      </c>
      <c r="E570" s="11" t="n">
        <f aca="false">IF(D570=1,SUMPRODUCT((Costs!$B$4:$B$903=A570)*(Costs!$D$4:$D$903="planned")*(Costs!$J$4:$J$903&lt;=B570)*(Costs!$K$4:$K$903&gt;B570)*Costs!$E$4:$E$903),0)</f>
        <v>0</v>
      </c>
      <c r="F570" s="11" t="n">
        <f aca="false">IF(D570=1,SUMIFS(Benefits!$S$4:$S$703,Benefits!$B$4:$B$703,A570,Benefits!$F$4:$F$703,B570,Benefits!$R$4:$R$703,"cash"),0)</f>
        <v>0</v>
      </c>
      <c r="G570" s="11" t="n">
        <f aca="false">IF(D570=1,SUMIFS(Benefits!$S$4:$S$703,Benefits!$B$4:$B$703,A570,Benefits!$F$4:$F$703,B570,Benefits!$R$4:$R$703,"revenue"),0)</f>
        <v>0</v>
      </c>
      <c r="H570" s="11" t="n">
        <f aca="false">IF(D570=1,SUMIFS(Benefits!$S$4:$S$703,Benefits!$B$4:$B$703,A570,Benefits!$F$4:$F$703,B570,Benefits!$R$4:$R$703,"avoided_cost_realised"),0)</f>
        <v>0</v>
      </c>
      <c r="I570" s="11" t="n">
        <f aca="false">IF(D570=1,SUMIFS(Benefits!$S$4:$S$703,Benefits!$B$4:$B$703,A570,Benefits!$F$4:$F$703,B570,Benefits!$R$4:$R$703,"capacity_converted"),0)</f>
        <v>0</v>
      </c>
      <c r="J570" s="11" t="n">
        <f aca="false">SUM(F570:I570)</f>
        <v>0</v>
      </c>
      <c r="K570" s="11" t="n">
        <f aca="false">J570-E570</f>
        <v>0</v>
      </c>
      <c r="L570" s="11" t="n">
        <f aca="false">IF(D570=1,L569+K570,0)</f>
        <v>89100.0000000002</v>
      </c>
      <c r="M570" s="11" t="n">
        <f aca="false">IF(D570=1,1/(1+Controls!$B$11)^B570,0)</f>
        <v>0.846412758113444</v>
      </c>
      <c r="N570" s="11" t="n">
        <f aca="false">K570*M570</f>
        <v>0</v>
      </c>
      <c r="O570" s="11" t="n">
        <f aca="false">IF(D570=1,O569+N570,0)</f>
        <v>46285.3960022986</v>
      </c>
      <c r="P570" s="11" t="n">
        <f aca="false">IF(AND(D570=1,L570&lt;0),1,0)</f>
        <v>0</v>
      </c>
      <c r="Q570" s="11" t="n">
        <f aca="false">IF(AND(D570=1,O570&lt;0),1,0)</f>
        <v>0</v>
      </c>
    </row>
    <row r="571" customFormat="false" ht="15" hidden="false" customHeight="false" outlineLevel="0" collapsed="false">
      <c r="A571" s="4" t="s">
        <v>98</v>
      </c>
      <c r="B571" s="4" t="n">
        <v>27</v>
      </c>
      <c r="C571" s="11" t="n">
        <f aca="false">IF(COUNTIF('Scenario inputs'!$A$4:$A$213,Controls!$B$3&amp;"|"&amp;A571)&gt;0,1,0)</f>
        <v>1</v>
      </c>
      <c r="D571" s="11" t="n">
        <f aca="false">IF(AND(C571=1,B571&lt;Controls!$B$12),1,0)</f>
        <v>1</v>
      </c>
      <c r="E571" s="11" t="n">
        <f aca="false">IF(D571=1,SUMPRODUCT((Costs!$B$4:$B$903=A571)*(Costs!$D$4:$D$903="planned")*(Costs!$J$4:$J$903&lt;=B571)*(Costs!$K$4:$K$903&gt;B571)*Costs!$E$4:$E$903),0)</f>
        <v>0</v>
      </c>
      <c r="F571" s="11" t="n">
        <f aca="false">IF(D571=1,SUMIFS(Benefits!$S$4:$S$703,Benefits!$B$4:$B$703,A571,Benefits!$F$4:$F$703,B571,Benefits!$R$4:$R$703,"cash"),0)</f>
        <v>0</v>
      </c>
      <c r="G571" s="11" t="n">
        <f aca="false">IF(D571=1,SUMIFS(Benefits!$S$4:$S$703,Benefits!$B$4:$B$703,A571,Benefits!$F$4:$F$703,B571,Benefits!$R$4:$R$703,"revenue"),0)</f>
        <v>0</v>
      </c>
      <c r="H571" s="11" t="n">
        <f aca="false">IF(D571=1,SUMIFS(Benefits!$S$4:$S$703,Benefits!$B$4:$B$703,A571,Benefits!$F$4:$F$703,B571,Benefits!$R$4:$R$703,"avoided_cost_realised"),0)</f>
        <v>0</v>
      </c>
      <c r="I571" s="11" t="n">
        <f aca="false">IF(D571=1,SUMIFS(Benefits!$S$4:$S$703,Benefits!$B$4:$B$703,A571,Benefits!$F$4:$F$703,B571,Benefits!$R$4:$R$703,"capacity_converted"),0)</f>
        <v>0</v>
      </c>
      <c r="J571" s="11" t="n">
        <f aca="false">SUM(F571:I571)</f>
        <v>0</v>
      </c>
      <c r="K571" s="11" t="n">
        <f aca="false">J571-E571</f>
        <v>0</v>
      </c>
      <c r="L571" s="11" t="n">
        <f aca="false">IF(D571=1,L570+K571,0)</f>
        <v>89100.0000000002</v>
      </c>
      <c r="M571" s="11" t="n">
        <f aca="false">IF(D571=1,1/(1+Controls!$B$11)^B571,0)</f>
        <v>0.841001752835699</v>
      </c>
      <c r="N571" s="11" t="n">
        <f aca="false">K571*M571</f>
        <v>0</v>
      </c>
      <c r="O571" s="11" t="n">
        <f aca="false">IF(D571=1,O570+N571,0)</f>
        <v>46285.3960022986</v>
      </c>
      <c r="P571" s="11" t="n">
        <f aca="false">IF(AND(D571=1,L571&lt;0),1,0)</f>
        <v>0</v>
      </c>
      <c r="Q571" s="11" t="n">
        <f aca="false">IF(AND(D571=1,O571&lt;0),1,0)</f>
        <v>0</v>
      </c>
    </row>
    <row r="572" customFormat="false" ht="15" hidden="false" customHeight="false" outlineLevel="0" collapsed="false">
      <c r="A572" s="4" t="s">
        <v>98</v>
      </c>
      <c r="B572" s="4" t="n">
        <v>28</v>
      </c>
      <c r="C572" s="11" t="n">
        <f aca="false">IF(COUNTIF('Scenario inputs'!$A$4:$A$213,Controls!$B$3&amp;"|"&amp;A572)&gt;0,1,0)</f>
        <v>1</v>
      </c>
      <c r="D572" s="11" t="n">
        <f aca="false">IF(AND(C572=1,B572&lt;Controls!$B$12),1,0)</f>
        <v>1</v>
      </c>
      <c r="E572" s="11" t="n">
        <f aca="false">IF(D572=1,SUMPRODUCT((Costs!$B$4:$B$903=A572)*(Costs!$D$4:$D$903="planned")*(Costs!$J$4:$J$903&lt;=B572)*(Costs!$K$4:$K$903&gt;B572)*Costs!$E$4:$E$903),0)</f>
        <v>0</v>
      </c>
      <c r="F572" s="11" t="n">
        <f aca="false">IF(D572=1,SUMIFS(Benefits!$S$4:$S$703,Benefits!$B$4:$B$703,A572,Benefits!$F$4:$F$703,B572,Benefits!$R$4:$R$703,"cash"),0)</f>
        <v>0</v>
      </c>
      <c r="G572" s="11" t="n">
        <f aca="false">IF(D572=1,SUMIFS(Benefits!$S$4:$S$703,Benefits!$B$4:$B$703,A572,Benefits!$F$4:$F$703,B572,Benefits!$R$4:$R$703,"revenue"),0)</f>
        <v>0</v>
      </c>
      <c r="H572" s="11" t="n">
        <f aca="false">IF(D572=1,SUMIFS(Benefits!$S$4:$S$703,Benefits!$B$4:$B$703,A572,Benefits!$F$4:$F$703,B572,Benefits!$R$4:$R$703,"avoided_cost_realised"),0)</f>
        <v>0</v>
      </c>
      <c r="I572" s="11" t="n">
        <f aca="false">IF(D572=1,SUMIFS(Benefits!$S$4:$S$703,Benefits!$B$4:$B$703,A572,Benefits!$F$4:$F$703,B572,Benefits!$R$4:$R$703,"capacity_converted"),0)</f>
        <v>0</v>
      </c>
      <c r="J572" s="11" t="n">
        <f aca="false">SUM(F572:I572)</f>
        <v>0</v>
      </c>
      <c r="K572" s="11" t="n">
        <f aca="false">J572-E572</f>
        <v>0</v>
      </c>
      <c r="L572" s="11" t="n">
        <f aca="false">IF(D572=1,L571+K572,0)</f>
        <v>89100.0000000002</v>
      </c>
      <c r="M572" s="11" t="n">
        <f aca="false">IF(D572=1,1/(1+Controls!$B$11)^B572,0)</f>
        <v>0.835625339401986</v>
      </c>
      <c r="N572" s="11" t="n">
        <f aca="false">K572*M572</f>
        <v>0</v>
      </c>
      <c r="O572" s="11" t="n">
        <f aca="false">IF(D572=1,O571+N572,0)</f>
        <v>46285.3960022986</v>
      </c>
      <c r="P572" s="11" t="n">
        <f aca="false">IF(AND(D572=1,L572&lt;0),1,0)</f>
        <v>0</v>
      </c>
      <c r="Q572" s="11" t="n">
        <f aca="false">IF(AND(D572=1,O572&lt;0),1,0)</f>
        <v>0</v>
      </c>
    </row>
    <row r="573" customFormat="false" ht="15" hidden="false" customHeight="false" outlineLevel="0" collapsed="false">
      <c r="A573" s="4" t="s">
        <v>98</v>
      </c>
      <c r="B573" s="4" t="n">
        <v>29</v>
      </c>
      <c r="C573" s="11" t="n">
        <f aca="false">IF(COUNTIF('Scenario inputs'!$A$4:$A$213,Controls!$B$3&amp;"|"&amp;A573)&gt;0,1,0)</f>
        <v>1</v>
      </c>
      <c r="D573" s="11" t="n">
        <f aca="false">IF(AND(C573=1,B573&lt;Controls!$B$12),1,0)</f>
        <v>1</v>
      </c>
      <c r="E573" s="11" t="n">
        <f aca="false">IF(D573=1,SUMPRODUCT((Costs!$B$4:$B$903=A573)*(Costs!$D$4:$D$903="planned")*(Costs!$J$4:$J$903&lt;=B573)*(Costs!$K$4:$K$903&gt;B573)*Costs!$E$4:$E$903),0)</f>
        <v>0</v>
      </c>
      <c r="F573" s="11" t="n">
        <f aca="false">IF(D573=1,SUMIFS(Benefits!$S$4:$S$703,Benefits!$B$4:$B$703,A573,Benefits!$F$4:$F$703,B573,Benefits!$R$4:$R$703,"cash"),0)</f>
        <v>0</v>
      </c>
      <c r="G573" s="11" t="n">
        <f aca="false">IF(D573=1,SUMIFS(Benefits!$S$4:$S$703,Benefits!$B$4:$B$703,A573,Benefits!$F$4:$F$703,B573,Benefits!$R$4:$R$703,"revenue"),0)</f>
        <v>0</v>
      </c>
      <c r="H573" s="11" t="n">
        <f aca="false">IF(D573=1,SUMIFS(Benefits!$S$4:$S$703,Benefits!$B$4:$B$703,A573,Benefits!$F$4:$F$703,B573,Benefits!$R$4:$R$703,"avoided_cost_realised"),0)</f>
        <v>0</v>
      </c>
      <c r="I573" s="11" t="n">
        <f aca="false">IF(D573=1,SUMIFS(Benefits!$S$4:$S$703,Benefits!$B$4:$B$703,A573,Benefits!$F$4:$F$703,B573,Benefits!$R$4:$R$703,"capacity_converted"),0)</f>
        <v>0</v>
      </c>
      <c r="J573" s="11" t="n">
        <f aca="false">SUM(F573:I573)</f>
        <v>0</v>
      </c>
      <c r="K573" s="11" t="n">
        <f aca="false">J573-E573</f>
        <v>0</v>
      </c>
      <c r="L573" s="11" t="n">
        <f aca="false">IF(D573=1,L572+K573,0)</f>
        <v>89100.0000000002</v>
      </c>
      <c r="M573" s="11" t="n">
        <f aca="false">IF(D573=1,1/(1+Controls!$B$11)^B573,0)</f>
        <v>0.830283296671204</v>
      </c>
      <c r="N573" s="11" t="n">
        <f aca="false">K573*M573</f>
        <v>0</v>
      </c>
      <c r="O573" s="11" t="n">
        <f aca="false">IF(D573=1,O572+N573,0)</f>
        <v>46285.3960022986</v>
      </c>
      <c r="P573" s="11" t="n">
        <f aca="false">IF(AND(D573=1,L573&lt;0),1,0)</f>
        <v>0</v>
      </c>
      <c r="Q573" s="11" t="n">
        <f aca="false">IF(AND(D573=1,O573&lt;0),1,0)</f>
        <v>0</v>
      </c>
    </row>
    <row r="574" customFormat="false" ht="15" hidden="false" customHeight="false" outlineLevel="0" collapsed="false">
      <c r="A574" s="4" t="s">
        <v>98</v>
      </c>
      <c r="B574" s="4" t="n">
        <v>30</v>
      </c>
      <c r="C574" s="11" t="n">
        <f aca="false">IF(COUNTIF('Scenario inputs'!$A$4:$A$213,Controls!$B$3&amp;"|"&amp;A574)&gt;0,1,0)</f>
        <v>1</v>
      </c>
      <c r="D574" s="11" t="n">
        <f aca="false">IF(AND(C574=1,B574&lt;Controls!$B$12),1,0)</f>
        <v>1</v>
      </c>
      <c r="E574" s="11" t="n">
        <f aca="false">IF(D574=1,SUMPRODUCT((Costs!$B$4:$B$903=A574)*(Costs!$D$4:$D$903="planned")*(Costs!$J$4:$J$903&lt;=B574)*(Costs!$K$4:$K$903&gt;B574)*Costs!$E$4:$E$903),0)</f>
        <v>0</v>
      </c>
      <c r="F574" s="11" t="n">
        <f aca="false">IF(D574=1,SUMIFS(Benefits!$S$4:$S$703,Benefits!$B$4:$B$703,A574,Benefits!$F$4:$F$703,B574,Benefits!$R$4:$R$703,"cash"),0)</f>
        <v>0</v>
      </c>
      <c r="G574" s="11" t="n">
        <f aca="false">IF(D574=1,SUMIFS(Benefits!$S$4:$S$703,Benefits!$B$4:$B$703,A574,Benefits!$F$4:$F$703,B574,Benefits!$R$4:$R$703,"revenue"),0)</f>
        <v>0</v>
      </c>
      <c r="H574" s="11" t="n">
        <f aca="false">IF(D574=1,SUMIFS(Benefits!$S$4:$S$703,Benefits!$B$4:$B$703,A574,Benefits!$F$4:$F$703,B574,Benefits!$R$4:$R$703,"avoided_cost_realised"),0)</f>
        <v>0</v>
      </c>
      <c r="I574" s="11" t="n">
        <f aca="false">IF(D574=1,SUMIFS(Benefits!$S$4:$S$703,Benefits!$B$4:$B$703,A574,Benefits!$F$4:$F$703,B574,Benefits!$R$4:$R$703,"capacity_converted"),0)</f>
        <v>0</v>
      </c>
      <c r="J574" s="11" t="n">
        <f aca="false">SUM(F574:I574)</f>
        <v>0</v>
      </c>
      <c r="K574" s="11" t="n">
        <f aca="false">J574-E574</f>
        <v>0</v>
      </c>
      <c r="L574" s="11" t="n">
        <f aca="false">IF(D574=1,L573+K574,0)</f>
        <v>89100.0000000002</v>
      </c>
      <c r="M574" s="11" t="n">
        <f aca="false">IF(D574=1,1/(1+Controls!$B$11)^B574,0)</f>
        <v>0.824975404915974</v>
      </c>
      <c r="N574" s="11" t="n">
        <f aca="false">K574*M574</f>
        <v>0</v>
      </c>
      <c r="O574" s="11" t="n">
        <f aca="false">IF(D574=1,O573+N574,0)</f>
        <v>46285.3960022986</v>
      </c>
      <c r="P574" s="11" t="n">
        <f aca="false">IF(AND(D574=1,L574&lt;0),1,0)</f>
        <v>0</v>
      </c>
      <c r="Q574" s="11" t="n">
        <f aca="false">IF(AND(D574=1,O574&lt;0),1,0)</f>
        <v>0</v>
      </c>
    </row>
    <row r="575" customFormat="false" ht="15" hidden="false" customHeight="false" outlineLevel="0" collapsed="false">
      <c r="A575" s="4" t="s">
        <v>98</v>
      </c>
      <c r="B575" s="4" t="n">
        <v>31</v>
      </c>
      <c r="C575" s="11" t="n">
        <f aca="false">IF(COUNTIF('Scenario inputs'!$A$4:$A$213,Controls!$B$3&amp;"|"&amp;A575)&gt;0,1,0)</f>
        <v>1</v>
      </c>
      <c r="D575" s="11" t="n">
        <f aca="false">IF(AND(C575=1,B575&lt;Controls!$B$12),1,0)</f>
        <v>1</v>
      </c>
      <c r="E575" s="11" t="n">
        <f aca="false">IF(D575=1,SUMPRODUCT((Costs!$B$4:$B$903=A575)*(Costs!$D$4:$D$903="planned")*(Costs!$J$4:$J$903&lt;=B575)*(Costs!$K$4:$K$903&gt;B575)*Costs!$E$4:$E$903),0)</f>
        <v>0</v>
      </c>
      <c r="F575" s="11" t="n">
        <f aca="false">IF(D575=1,SUMIFS(Benefits!$S$4:$S$703,Benefits!$B$4:$B$703,A575,Benefits!$F$4:$F$703,B575,Benefits!$R$4:$R$703,"cash"),0)</f>
        <v>0</v>
      </c>
      <c r="G575" s="11" t="n">
        <f aca="false">IF(D575=1,SUMIFS(Benefits!$S$4:$S$703,Benefits!$B$4:$B$703,A575,Benefits!$F$4:$F$703,B575,Benefits!$R$4:$R$703,"revenue"),0)</f>
        <v>0</v>
      </c>
      <c r="H575" s="11" t="n">
        <f aca="false">IF(D575=1,SUMIFS(Benefits!$S$4:$S$703,Benefits!$B$4:$B$703,A575,Benefits!$F$4:$F$703,B575,Benefits!$R$4:$R$703,"avoided_cost_realised"),0)</f>
        <v>0</v>
      </c>
      <c r="I575" s="11" t="n">
        <f aca="false">IF(D575=1,SUMIFS(Benefits!$S$4:$S$703,Benefits!$B$4:$B$703,A575,Benefits!$F$4:$F$703,B575,Benefits!$R$4:$R$703,"capacity_converted"),0)</f>
        <v>0</v>
      </c>
      <c r="J575" s="11" t="n">
        <f aca="false">SUM(F575:I575)</f>
        <v>0</v>
      </c>
      <c r="K575" s="11" t="n">
        <f aca="false">J575-E575</f>
        <v>0</v>
      </c>
      <c r="L575" s="11" t="n">
        <f aca="false">IF(D575=1,L574+K575,0)</f>
        <v>89100.0000000002</v>
      </c>
      <c r="M575" s="11" t="n">
        <f aca="false">IF(D575=1,1/(1+Controls!$B$11)^B575,0)</f>
        <v>0.81970144581361</v>
      </c>
      <c r="N575" s="11" t="n">
        <f aca="false">K575*M575</f>
        <v>0</v>
      </c>
      <c r="O575" s="11" t="n">
        <f aca="false">IF(D575=1,O574+N575,0)</f>
        <v>46285.3960022986</v>
      </c>
      <c r="P575" s="11" t="n">
        <f aca="false">IF(AND(D575=1,L575&lt;0),1,0)</f>
        <v>0</v>
      </c>
      <c r="Q575" s="11" t="n">
        <f aca="false">IF(AND(D575=1,O575&lt;0),1,0)</f>
        <v>0</v>
      </c>
    </row>
    <row r="576" customFormat="false" ht="15" hidden="false" customHeight="false" outlineLevel="0" collapsed="false">
      <c r="A576" s="4" t="s">
        <v>98</v>
      </c>
      <c r="B576" s="4" t="n">
        <v>32</v>
      </c>
      <c r="C576" s="11" t="n">
        <f aca="false">IF(COUNTIF('Scenario inputs'!$A$4:$A$213,Controls!$B$3&amp;"|"&amp;A576)&gt;0,1,0)</f>
        <v>1</v>
      </c>
      <c r="D576" s="11" t="n">
        <f aca="false">IF(AND(C576=1,B576&lt;Controls!$B$12),1,0)</f>
        <v>1</v>
      </c>
      <c r="E576" s="11" t="n">
        <f aca="false">IF(D576=1,SUMPRODUCT((Costs!$B$4:$B$903=A576)*(Costs!$D$4:$D$903="planned")*(Costs!$J$4:$J$903&lt;=B576)*(Costs!$K$4:$K$903&gt;B576)*Costs!$E$4:$E$903),0)</f>
        <v>0</v>
      </c>
      <c r="F576" s="11" t="n">
        <f aca="false">IF(D576=1,SUMIFS(Benefits!$S$4:$S$703,Benefits!$B$4:$B$703,A576,Benefits!$F$4:$F$703,B576,Benefits!$R$4:$R$703,"cash"),0)</f>
        <v>0</v>
      </c>
      <c r="G576" s="11" t="n">
        <f aca="false">IF(D576=1,SUMIFS(Benefits!$S$4:$S$703,Benefits!$B$4:$B$703,A576,Benefits!$F$4:$F$703,B576,Benefits!$R$4:$R$703,"revenue"),0)</f>
        <v>0</v>
      </c>
      <c r="H576" s="11" t="n">
        <f aca="false">IF(D576=1,SUMIFS(Benefits!$S$4:$S$703,Benefits!$B$4:$B$703,A576,Benefits!$F$4:$F$703,B576,Benefits!$R$4:$R$703,"avoided_cost_realised"),0)</f>
        <v>0</v>
      </c>
      <c r="I576" s="11" t="n">
        <f aca="false">IF(D576=1,SUMIFS(Benefits!$S$4:$S$703,Benefits!$B$4:$B$703,A576,Benefits!$F$4:$F$703,B576,Benefits!$R$4:$R$703,"capacity_converted"),0)</f>
        <v>0</v>
      </c>
      <c r="J576" s="11" t="n">
        <f aca="false">SUM(F576:I576)</f>
        <v>0</v>
      </c>
      <c r="K576" s="11" t="n">
        <f aca="false">J576-E576</f>
        <v>0</v>
      </c>
      <c r="L576" s="11" t="n">
        <f aca="false">IF(D576=1,L575+K576,0)</f>
        <v>89100.0000000002</v>
      </c>
      <c r="M576" s="11" t="n">
        <f aca="false">IF(D576=1,1/(1+Controls!$B$11)^B576,0)</f>
        <v>0.814461202437129</v>
      </c>
      <c r="N576" s="11" t="n">
        <f aca="false">K576*M576</f>
        <v>0</v>
      </c>
      <c r="O576" s="11" t="n">
        <f aca="false">IF(D576=1,O575+N576,0)</f>
        <v>46285.3960022986</v>
      </c>
      <c r="P576" s="11" t="n">
        <f aca="false">IF(AND(D576=1,L576&lt;0),1,0)</f>
        <v>0</v>
      </c>
      <c r="Q576" s="11" t="n">
        <f aca="false">IF(AND(D576=1,O576&lt;0),1,0)</f>
        <v>0</v>
      </c>
    </row>
    <row r="577" customFormat="false" ht="15" hidden="false" customHeight="false" outlineLevel="0" collapsed="false">
      <c r="A577" s="4" t="s">
        <v>98</v>
      </c>
      <c r="B577" s="4" t="n">
        <v>33</v>
      </c>
      <c r="C577" s="11" t="n">
        <f aca="false">IF(COUNTIF('Scenario inputs'!$A$4:$A$213,Controls!$B$3&amp;"|"&amp;A577)&gt;0,1,0)</f>
        <v>1</v>
      </c>
      <c r="D577" s="11" t="n">
        <f aca="false">IF(AND(C577=1,B577&lt;Controls!$B$12),1,0)</f>
        <v>1</v>
      </c>
      <c r="E577" s="11" t="n">
        <f aca="false">IF(D577=1,SUMPRODUCT((Costs!$B$4:$B$903=A577)*(Costs!$D$4:$D$903="planned")*(Costs!$J$4:$J$903&lt;=B577)*(Costs!$K$4:$K$903&gt;B577)*Costs!$E$4:$E$903),0)</f>
        <v>0</v>
      </c>
      <c r="F577" s="11" t="n">
        <f aca="false">IF(D577=1,SUMIFS(Benefits!$S$4:$S$703,Benefits!$B$4:$B$703,A577,Benefits!$F$4:$F$703,B577,Benefits!$R$4:$R$703,"cash"),0)</f>
        <v>0</v>
      </c>
      <c r="G577" s="11" t="n">
        <f aca="false">IF(D577=1,SUMIFS(Benefits!$S$4:$S$703,Benefits!$B$4:$B$703,A577,Benefits!$F$4:$F$703,B577,Benefits!$R$4:$R$703,"revenue"),0)</f>
        <v>0</v>
      </c>
      <c r="H577" s="11" t="n">
        <f aca="false">IF(D577=1,SUMIFS(Benefits!$S$4:$S$703,Benefits!$B$4:$B$703,A577,Benefits!$F$4:$F$703,B577,Benefits!$R$4:$R$703,"avoided_cost_realised"),0)</f>
        <v>0</v>
      </c>
      <c r="I577" s="11" t="n">
        <f aca="false">IF(D577=1,SUMIFS(Benefits!$S$4:$S$703,Benefits!$B$4:$B$703,A577,Benefits!$F$4:$F$703,B577,Benefits!$R$4:$R$703,"capacity_converted"),0)</f>
        <v>0</v>
      </c>
      <c r="J577" s="11" t="n">
        <f aca="false">SUM(F577:I577)</f>
        <v>0</v>
      </c>
      <c r="K577" s="11" t="n">
        <f aca="false">J577-E577</f>
        <v>0</v>
      </c>
      <c r="L577" s="11" t="n">
        <f aca="false">IF(D577=1,L576+K577,0)</f>
        <v>89100.0000000002</v>
      </c>
      <c r="M577" s="11" t="n">
        <f aca="false">IF(D577=1,1/(1+Controls!$B$11)^B577,0)</f>
        <v>0.809254459246338</v>
      </c>
      <c r="N577" s="11" t="n">
        <f aca="false">K577*M577</f>
        <v>0</v>
      </c>
      <c r="O577" s="11" t="n">
        <f aca="false">IF(D577=1,O576+N577,0)</f>
        <v>46285.3960022986</v>
      </c>
      <c r="P577" s="11" t="n">
        <f aca="false">IF(AND(D577=1,L577&lt;0),1,0)</f>
        <v>0</v>
      </c>
      <c r="Q577" s="11" t="n">
        <f aca="false">IF(AND(D577=1,O577&lt;0),1,0)</f>
        <v>0</v>
      </c>
    </row>
    <row r="578" customFormat="false" ht="15" hidden="false" customHeight="false" outlineLevel="0" collapsed="false">
      <c r="A578" s="4" t="s">
        <v>98</v>
      </c>
      <c r="B578" s="4" t="n">
        <v>34</v>
      </c>
      <c r="C578" s="11" t="n">
        <f aca="false">IF(COUNTIF('Scenario inputs'!$A$4:$A$213,Controls!$B$3&amp;"|"&amp;A578)&gt;0,1,0)</f>
        <v>1</v>
      </c>
      <c r="D578" s="11" t="n">
        <f aca="false">IF(AND(C578=1,B578&lt;Controls!$B$12),1,0)</f>
        <v>1</v>
      </c>
      <c r="E578" s="11" t="n">
        <f aca="false">IF(D578=1,SUMPRODUCT((Costs!$B$4:$B$903=A578)*(Costs!$D$4:$D$903="planned")*(Costs!$J$4:$J$903&lt;=B578)*(Costs!$K$4:$K$903&gt;B578)*Costs!$E$4:$E$903),0)</f>
        <v>0</v>
      </c>
      <c r="F578" s="11" t="n">
        <f aca="false">IF(D578=1,SUMIFS(Benefits!$S$4:$S$703,Benefits!$B$4:$B$703,A578,Benefits!$F$4:$F$703,B578,Benefits!$R$4:$R$703,"cash"),0)</f>
        <v>0</v>
      </c>
      <c r="G578" s="11" t="n">
        <f aca="false">IF(D578=1,SUMIFS(Benefits!$S$4:$S$703,Benefits!$B$4:$B$703,A578,Benefits!$F$4:$F$703,B578,Benefits!$R$4:$R$703,"revenue"),0)</f>
        <v>0</v>
      </c>
      <c r="H578" s="11" t="n">
        <f aca="false">IF(D578=1,SUMIFS(Benefits!$S$4:$S$703,Benefits!$B$4:$B$703,A578,Benefits!$F$4:$F$703,B578,Benefits!$R$4:$R$703,"avoided_cost_realised"),0)</f>
        <v>0</v>
      </c>
      <c r="I578" s="11" t="n">
        <f aca="false">IF(D578=1,SUMIFS(Benefits!$S$4:$S$703,Benefits!$B$4:$B$703,A578,Benefits!$F$4:$F$703,B578,Benefits!$R$4:$R$703,"capacity_converted"),0)</f>
        <v>0</v>
      </c>
      <c r="J578" s="11" t="n">
        <f aca="false">SUM(F578:I578)</f>
        <v>0</v>
      </c>
      <c r="K578" s="11" t="n">
        <f aca="false">J578-E578</f>
        <v>0</v>
      </c>
      <c r="L578" s="11" t="n">
        <f aca="false">IF(D578=1,L577+K578,0)</f>
        <v>89100.0000000002</v>
      </c>
      <c r="M578" s="11" t="n">
        <f aca="false">IF(D578=1,1/(1+Controls!$B$11)^B578,0)</f>
        <v>0.804081002078962</v>
      </c>
      <c r="N578" s="11" t="n">
        <f aca="false">K578*M578</f>
        <v>0</v>
      </c>
      <c r="O578" s="11" t="n">
        <f aca="false">IF(D578=1,O577+N578,0)</f>
        <v>46285.3960022986</v>
      </c>
      <c r="P578" s="11" t="n">
        <f aca="false">IF(AND(D578=1,L578&lt;0),1,0)</f>
        <v>0</v>
      </c>
      <c r="Q578" s="11" t="n">
        <f aca="false">IF(AND(D578=1,O578&lt;0),1,0)</f>
        <v>0</v>
      </c>
    </row>
    <row r="579" customFormat="false" ht="15" hidden="false" customHeight="false" outlineLevel="0" collapsed="false">
      <c r="A579" s="4" t="s">
        <v>98</v>
      </c>
      <c r="B579" s="4" t="n">
        <v>35</v>
      </c>
      <c r="C579" s="11" t="n">
        <f aca="false">IF(COUNTIF('Scenario inputs'!$A$4:$A$213,Controls!$B$3&amp;"|"&amp;A579)&gt;0,1,0)</f>
        <v>1</v>
      </c>
      <c r="D579" s="11" t="n">
        <f aca="false">IF(AND(C579=1,B579&lt;Controls!$B$12),1,0)</f>
        <v>1</v>
      </c>
      <c r="E579" s="11" t="n">
        <f aca="false">IF(D579=1,SUMPRODUCT((Costs!$B$4:$B$903=A579)*(Costs!$D$4:$D$903="planned")*(Costs!$J$4:$J$903&lt;=B579)*(Costs!$K$4:$K$903&gt;B579)*Costs!$E$4:$E$903),0)</f>
        <v>0</v>
      </c>
      <c r="F579" s="11" t="n">
        <f aca="false">IF(D579=1,SUMIFS(Benefits!$S$4:$S$703,Benefits!$B$4:$B$703,A579,Benefits!$F$4:$F$703,B579,Benefits!$R$4:$R$703,"cash"),0)</f>
        <v>0</v>
      </c>
      <c r="G579" s="11" t="n">
        <f aca="false">IF(D579=1,SUMIFS(Benefits!$S$4:$S$703,Benefits!$B$4:$B$703,A579,Benefits!$F$4:$F$703,B579,Benefits!$R$4:$R$703,"revenue"),0)</f>
        <v>0</v>
      </c>
      <c r="H579" s="11" t="n">
        <f aca="false">IF(D579=1,SUMIFS(Benefits!$S$4:$S$703,Benefits!$B$4:$B$703,A579,Benefits!$F$4:$F$703,B579,Benefits!$R$4:$R$703,"avoided_cost_realised"),0)</f>
        <v>0</v>
      </c>
      <c r="I579" s="11" t="n">
        <f aca="false">IF(D579=1,SUMIFS(Benefits!$S$4:$S$703,Benefits!$B$4:$B$703,A579,Benefits!$F$4:$F$703,B579,Benefits!$R$4:$R$703,"capacity_converted"),0)</f>
        <v>0</v>
      </c>
      <c r="J579" s="11" t="n">
        <f aca="false">SUM(F579:I579)</f>
        <v>0</v>
      </c>
      <c r="K579" s="11" t="n">
        <f aca="false">J579-E579</f>
        <v>0</v>
      </c>
      <c r="L579" s="11" t="n">
        <f aca="false">IF(D579=1,L578+K579,0)</f>
        <v>89100.0000000002</v>
      </c>
      <c r="M579" s="11" t="n">
        <f aca="false">IF(D579=1,1/(1+Controls!$B$11)^B579,0)</f>
        <v>0.798940618141837</v>
      </c>
      <c r="N579" s="11" t="n">
        <f aca="false">K579*M579</f>
        <v>0</v>
      </c>
      <c r="O579" s="11" t="n">
        <f aca="false">IF(D579=1,O578+N579,0)</f>
        <v>46285.3960022986</v>
      </c>
      <c r="P579" s="11" t="n">
        <f aca="false">IF(AND(D579=1,L579&lt;0),1,0)</f>
        <v>0</v>
      </c>
      <c r="Q579" s="11" t="n">
        <f aca="false">IF(AND(D579=1,O579&lt;0),1,0)</f>
        <v>0</v>
      </c>
    </row>
    <row r="580" customFormat="false" ht="15" hidden="false" customHeight="false" outlineLevel="0" collapsed="false">
      <c r="A580" s="4" t="s">
        <v>99</v>
      </c>
      <c r="B580" s="4" t="n">
        <v>0</v>
      </c>
      <c r="C580" s="11" t="n">
        <f aca="false">IF(COUNTIF('Scenario inputs'!$A$4:$A$213,Controls!$B$3&amp;"|"&amp;A580)&gt;0,1,0)</f>
        <v>1</v>
      </c>
      <c r="D580" s="11" t="n">
        <f aca="false">IF(AND(C580=1,B580&lt;Controls!$B$12),1,0)</f>
        <v>1</v>
      </c>
      <c r="E580" s="11" t="n">
        <f aca="false">IF(D580=1,SUMPRODUCT((Costs!$B$4:$B$903=A580)*(Costs!$D$4:$D$903="planned")*(Costs!$J$4:$J$903&lt;=B580)*(Costs!$K$4:$K$903&gt;B580)*Costs!$E$4:$E$903),0)</f>
        <v>8000</v>
      </c>
      <c r="F580" s="11" t="n">
        <f aca="false">IF(D580=1,SUMIFS(Benefits!$S$4:$S$703,Benefits!$B$4:$B$703,A580,Benefits!$F$4:$F$703,B580,Benefits!$R$4:$R$703,"cash"),0)</f>
        <v>0</v>
      </c>
      <c r="G580" s="11" t="n">
        <f aca="false">IF(D580=1,SUMIFS(Benefits!$S$4:$S$703,Benefits!$B$4:$B$703,A580,Benefits!$F$4:$F$703,B580,Benefits!$R$4:$R$703,"revenue"),0)</f>
        <v>0</v>
      </c>
      <c r="H580" s="11" t="n">
        <f aca="false">IF(D580=1,SUMIFS(Benefits!$S$4:$S$703,Benefits!$B$4:$B$703,A580,Benefits!$F$4:$F$703,B580,Benefits!$R$4:$R$703,"avoided_cost_realised"),0)</f>
        <v>0</v>
      </c>
      <c r="I580" s="11" t="n">
        <f aca="false">IF(D580=1,SUMIFS(Benefits!$S$4:$S$703,Benefits!$B$4:$B$703,A580,Benefits!$F$4:$F$703,B580,Benefits!$R$4:$R$703,"capacity_converted"),0)</f>
        <v>0</v>
      </c>
      <c r="J580" s="11" t="n">
        <f aca="false">SUM(F580:I580)</f>
        <v>0</v>
      </c>
      <c r="K580" s="11" t="n">
        <f aca="false">J580-E580</f>
        <v>-8000</v>
      </c>
      <c r="L580" s="11" t="n">
        <f aca="false">IF(D580=1,K580,0)</f>
        <v>-8000</v>
      </c>
      <c r="M580" s="11" t="n">
        <f aca="false">IF(D580=1,1/(1+Controls!$B$11)^B580,0)</f>
        <v>1</v>
      </c>
      <c r="N580" s="11" t="n">
        <f aca="false">K580*M580</f>
        <v>-8000</v>
      </c>
      <c r="O580" s="11" t="n">
        <f aca="false">IF(D580=1,N580,0)</f>
        <v>-8000</v>
      </c>
      <c r="P580" s="11" t="n">
        <f aca="false">IF(AND(D580=1,L580&lt;0),1,0)</f>
        <v>1</v>
      </c>
      <c r="Q580" s="11" t="n">
        <f aca="false">IF(AND(D580=1,O580&lt;0),1,0)</f>
        <v>1</v>
      </c>
    </row>
    <row r="581" customFormat="false" ht="15" hidden="false" customHeight="false" outlineLevel="0" collapsed="false">
      <c r="A581" s="4" t="s">
        <v>99</v>
      </c>
      <c r="B581" s="4" t="n">
        <v>1</v>
      </c>
      <c r="C581" s="11" t="n">
        <f aca="false">IF(COUNTIF('Scenario inputs'!$A$4:$A$213,Controls!$B$3&amp;"|"&amp;A581)&gt;0,1,0)</f>
        <v>1</v>
      </c>
      <c r="D581" s="11" t="n">
        <f aca="false">IF(AND(C581=1,B581&lt;Controls!$B$12),1,0)</f>
        <v>1</v>
      </c>
      <c r="E581" s="11" t="n">
        <f aca="false">IF(D581=1,SUMPRODUCT((Costs!$B$4:$B$903=A581)*(Costs!$D$4:$D$903="planned")*(Costs!$J$4:$J$903&lt;=B581)*(Costs!$K$4:$K$903&gt;B581)*Costs!$E$4:$E$903),0)</f>
        <v>0</v>
      </c>
      <c r="F581" s="11" t="n">
        <f aca="false">IF(D581=1,SUMIFS(Benefits!$S$4:$S$703,Benefits!$B$4:$B$703,A581,Benefits!$F$4:$F$703,B581,Benefits!$R$4:$R$703,"cash"),0)</f>
        <v>0</v>
      </c>
      <c r="G581" s="11" t="n">
        <f aca="false">IF(D581=1,SUMIFS(Benefits!$S$4:$S$703,Benefits!$B$4:$B$703,A581,Benefits!$F$4:$F$703,B581,Benefits!$R$4:$R$703,"revenue"),0)</f>
        <v>0</v>
      </c>
      <c r="H581" s="11" t="n">
        <f aca="false">IF(D581=1,SUMIFS(Benefits!$S$4:$S$703,Benefits!$B$4:$B$703,A581,Benefits!$F$4:$F$703,B581,Benefits!$R$4:$R$703,"avoided_cost_realised"),0)</f>
        <v>0</v>
      </c>
      <c r="I581" s="11" t="n">
        <f aca="false">IF(D581=1,SUMIFS(Benefits!$S$4:$S$703,Benefits!$B$4:$B$703,A581,Benefits!$F$4:$F$703,B581,Benefits!$R$4:$R$703,"capacity_converted"),0)</f>
        <v>0</v>
      </c>
      <c r="J581" s="11" t="n">
        <f aca="false">SUM(F581:I581)</f>
        <v>0</v>
      </c>
      <c r="K581" s="11" t="n">
        <f aca="false">J581-E581</f>
        <v>0</v>
      </c>
      <c r="L581" s="11" t="n">
        <f aca="false">IF(D581=1,L580+K581,0)</f>
        <v>-8000</v>
      </c>
      <c r="M581" s="11" t="n">
        <f aca="false">IF(D581=1,1/(1+Controls!$B$11)^B581,0)</f>
        <v>0.993607131714549</v>
      </c>
      <c r="N581" s="11" t="n">
        <f aca="false">K581*M581</f>
        <v>0</v>
      </c>
      <c r="O581" s="11" t="n">
        <f aca="false">IF(D581=1,O580+N581,0)</f>
        <v>-8000</v>
      </c>
      <c r="P581" s="11" t="n">
        <f aca="false">IF(AND(D581=1,L581&lt;0),1,0)</f>
        <v>1</v>
      </c>
      <c r="Q581" s="11" t="n">
        <f aca="false">IF(AND(D581=1,O581&lt;0),1,0)</f>
        <v>1</v>
      </c>
    </row>
    <row r="582" customFormat="false" ht="15" hidden="false" customHeight="false" outlineLevel="0" collapsed="false">
      <c r="A582" s="4" t="s">
        <v>99</v>
      </c>
      <c r="B582" s="4" t="n">
        <v>2</v>
      </c>
      <c r="C582" s="11" t="n">
        <f aca="false">IF(COUNTIF('Scenario inputs'!$A$4:$A$213,Controls!$B$3&amp;"|"&amp;A582)&gt;0,1,0)</f>
        <v>1</v>
      </c>
      <c r="D582" s="11" t="n">
        <f aca="false">IF(AND(C582=1,B582&lt;Controls!$B$12),1,0)</f>
        <v>1</v>
      </c>
      <c r="E582" s="11" t="n">
        <f aca="false">IF(D582=1,SUMPRODUCT((Costs!$B$4:$B$903=A582)*(Costs!$D$4:$D$903="planned")*(Costs!$J$4:$J$903&lt;=B582)*(Costs!$K$4:$K$903&gt;B582)*Costs!$E$4:$E$903),0)</f>
        <v>0</v>
      </c>
      <c r="F582" s="11" t="n">
        <f aca="false">IF(D582=1,SUMIFS(Benefits!$S$4:$S$703,Benefits!$B$4:$B$703,A582,Benefits!$F$4:$F$703,B582,Benefits!$R$4:$R$703,"cash"),0)</f>
        <v>0</v>
      </c>
      <c r="G582" s="11" t="n">
        <f aca="false">IF(D582=1,SUMIFS(Benefits!$S$4:$S$703,Benefits!$B$4:$B$703,A582,Benefits!$F$4:$F$703,B582,Benefits!$R$4:$R$703,"revenue"),0)</f>
        <v>0</v>
      </c>
      <c r="H582" s="11" t="n">
        <f aca="false">IF(D582=1,SUMIFS(Benefits!$S$4:$S$703,Benefits!$B$4:$B$703,A582,Benefits!$F$4:$F$703,B582,Benefits!$R$4:$R$703,"avoided_cost_realised"),0)</f>
        <v>0</v>
      </c>
      <c r="I582" s="11" t="n">
        <f aca="false">IF(D582=1,SUMIFS(Benefits!$S$4:$S$703,Benefits!$B$4:$B$703,A582,Benefits!$F$4:$F$703,B582,Benefits!$R$4:$R$703,"capacity_converted"),0)</f>
        <v>0</v>
      </c>
      <c r="J582" s="11" t="n">
        <f aca="false">SUM(F582:I582)</f>
        <v>0</v>
      </c>
      <c r="K582" s="11" t="n">
        <f aca="false">J582-E582</f>
        <v>0</v>
      </c>
      <c r="L582" s="11" t="n">
        <f aca="false">IF(D582=1,L581+K582,0)</f>
        <v>-8000</v>
      </c>
      <c r="M582" s="11" t="n">
        <f aca="false">IF(D582=1,1/(1+Controls!$B$11)^B582,0)</f>
        <v>0.987255132194012</v>
      </c>
      <c r="N582" s="11" t="n">
        <f aca="false">K582*M582</f>
        <v>0</v>
      </c>
      <c r="O582" s="11" t="n">
        <f aca="false">IF(D582=1,O581+N582,0)</f>
        <v>-8000</v>
      </c>
      <c r="P582" s="11" t="n">
        <f aca="false">IF(AND(D582=1,L582&lt;0),1,0)</f>
        <v>1</v>
      </c>
      <c r="Q582" s="11" t="n">
        <f aca="false">IF(AND(D582=1,O582&lt;0),1,0)</f>
        <v>1</v>
      </c>
    </row>
    <row r="583" customFormat="false" ht="15" hidden="false" customHeight="false" outlineLevel="0" collapsed="false">
      <c r="A583" s="4" t="s">
        <v>99</v>
      </c>
      <c r="B583" s="4" t="n">
        <v>3</v>
      </c>
      <c r="C583" s="11" t="n">
        <f aca="false">IF(COUNTIF('Scenario inputs'!$A$4:$A$213,Controls!$B$3&amp;"|"&amp;A583)&gt;0,1,0)</f>
        <v>1</v>
      </c>
      <c r="D583" s="11" t="n">
        <f aca="false">IF(AND(C583=1,B583&lt;Controls!$B$12),1,0)</f>
        <v>1</v>
      </c>
      <c r="E583" s="11" t="n">
        <f aca="false">IF(D583=1,SUMPRODUCT((Costs!$B$4:$B$903=A583)*(Costs!$D$4:$D$903="planned")*(Costs!$J$4:$J$903&lt;=B583)*(Costs!$K$4:$K$903&gt;B583)*Costs!$E$4:$E$903),0)</f>
        <v>0</v>
      </c>
      <c r="F583" s="11" t="n">
        <f aca="false">IF(D583=1,SUMIFS(Benefits!$S$4:$S$703,Benefits!$B$4:$B$703,A583,Benefits!$F$4:$F$703,B583,Benefits!$R$4:$R$703,"cash"),0)</f>
        <v>0</v>
      </c>
      <c r="G583" s="11" t="n">
        <f aca="false">IF(D583=1,SUMIFS(Benefits!$S$4:$S$703,Benefits!$B$4:$B$703,A583,Benefits!$F$4:$F$703,B583,Benefits!$R$4:$R$703,"revenue"),0)</f>
        <v>0</v>
      </c>
      <c r="H583" s="11" t="n">
        <f aca="false">IF(D583=1,SUMIFS(Benefits!$S$4:$S$703,Benefits!$B$4:$B$703,A583,Benefits!$F$4:$F$703,B583,Benefits!$R$4:$R$703,"avoided_cost_realised"),0)</f>
        <v>0</v>
      </c>
      <c r="I583" s="11" t="n">
        <f aca="false">IF(D583=1,SUMIFS(Benefits!$S$4:$S$703,Benefits!$B$4:$B$703,A583,Benefits!$F$4:$F$703,B583,Benefits!$R$4:$R$703,"capacity_converted"),0)</f>
        <v>0</v>
      </c>
      <c r="J583" s="11" t="n">
        <f aca="false">SUM(F583:I583)</f>
        <v>0</v>
      </c>
      <c r="K583" s="11" t="n">
        <f aca="false">J583-E583</f>
        <v>0</v>
      </c>
      <c r="L583" s="11" t="n">
        <f aca="false">IF(D583=1,L582+K583,0)</f>
        <v>-8000</v>
      </c>
      <c r="M583" s="11" t="n">
        <f aca="false">IF(D583=1,1/(1+Controls!$B$11)^B583,0)</f>
        <v>0.98094374016976</v>
      </c>
      <c r="N583" s="11" t="n">
        <f aca="false">K583*M583</f>
        <v>0</v>
      </c>
      <c r="O583" s="11" t="n">
        <f aca="false">IF(D583=1,O582+N583,0)</f>
        <v>-8000</v>
      </c>
      <c r="P583" s="11" t="n">
        <f aca="false">IF(AND(D583=1,L583&lt;0),1,0)</f>
        <v>1</v>
      </c>
      <c r="Q583" s="11" t="n">
        <f aca="false">IF(AND(D583=1,O583&lt;0),1,0)</f>
        <v>1</v>
      </c>
    </row>
    <row r="584" customFormat="false" ht="15" hidden="false" customHeight="false" outlineLevel="0" collapsed="false">
      <c r="A584" s="4" t="s">
        <v>99</v>
      </c>
      <c r="B584" s="4" t="n">
        <v>4</v>
      </c>
      <c r="C584" s="11" t="n">
        <f aca="false">IF(COUNTIF('Scenario inputs'!$A$4:$A$213,Controls!$B$3&amp;"|"&amp;A584)&gt;0,1,0)</f>
        <v>1</v>
      </c>
      <c r="D584" s="11" t="n">
        <f aca="false">IF(AND(C584=1,B584&lt;Controls!$B$12),1,0)</f>
        <v>1</v>
      </c>
      <c r="E584" s="11" t="n">
        <f aca="false">IF(D584=1,SUMPRODUCT((Costs!$B$4:$B$903=A584)*(Costs!$D$4:$D$903="planned")*(Costs!$J$4:$J$903&lt;=B584)*(Costs!$K$4:$K$903&gt;B584)*Costs!$E$4:$E$903),0)</f>
        <v>0</v>
      </c>
      <c r="F584" s="11" t="n">
        <f aca="false">IF(D584=1,SUMIFS(Benefits!$S$4:$S$703,Benefits!$B$4:$B$703,A584,Benefits!$F$4:$F$703,B584,Benefits!$R$4:$R$703,"cash"),0)</f>
        <v>0</v>
      </c>
      <c r="G584" s="11" t="n">
        <f aca="false">IF(D584=1,SUMIFS(Benefits!$S$4:$S$703,Benefits!$B$4:$B$703,A584,Benefits!$F$4:$F$703,B584,Benefits!$R$4:$R$703,"revenue"),0)</f>
        <v>0</v>
      </c>
      <c r="H584" s="11" t="n">
        <f aca="false">IF(D584=1,SUMIFS(Benefits!$S$4:$S$703,Benefits!$B$4:$B$703,A584,Benefits!$F$4:$F$703,B584,Benefits!$R$4:$R$703,"avoided_cost_realised"),0)</f>
        <v>0</v>
      </c>
      <c r="I584" s="11" t="n">
        <f aca="false">IF(D584=1,SUMIFS(Benefits!$S$4:$S$703,Benefits!$B$4:$B$703,A584,Benefits!$F$4:$F$703,B584,Benefits!$R$4:$R$703,"capacity_converted"),0)</f>
        <v>0</v>
      </c>
      <c r="J584" s="11" t="n">
        <f aca="false">SUM(F584:I584)</f>
        <v>0</v>
      </c>
      <c r="K584" s="11" t="n">
        <f aca="false">J584-E584</f>
        <v>0</v>
      </c>
      <c r="L584" s="11" t="n">
        <f aca="false">IF(D584=1,L583+K584,0)</f>
        <v>-8000</v>
      </c>
      <c r="M584" s="11" t="n">
        <f aca="false">IF(D584=1,1/(1+Controls!$B$11)^B584,0)</f>
        <v>0.974672696043417</v>
      </c>
      <c r="N584" s="11" t="n">
        <f aca="false">K584*M584</f>
        <v>0</v>
      </c>
      <c r="O584" s="11" t="n">
        <f aca="false">IF(D584=1,O583+N584,0)</f>
        <v>-8000</v>
      </c>
      <c r="P584" s="11" t="n">
        <f aca="false">IF(AND(D584=1,L584&lt;0),1,0)</f>
        <v>1</v>
      </c>
      <c r="Q584" s="11" t="n">
        <f aca="false">IF(AND(D584=1,O584&lt;0),1,0)</f>
        <v>1</v>
      </c>
    </row>
    <row r="585" customFormat="false" ht="15" hidden="false" customHeight="false" outlineLevel="0" collapsed="false">
      <c r="A585" s="4" t="s">
        <v>99</v>
      </c>
      <c r="B585" s="4" t="n">
        <v>5</v>
      </c>
      <c r="C585" s="11" t="n">
        <f aca="false">IF(COUNTIF('Scenario inputs'!$A$4:$A$213,Controls!$B$3&amp;"|"&amp;A585)&gt;0,1,0)</f>
        <v>1</v>
      </c>
      <c r="D585" s="11" t="n">
        <f aca="false">IF(AND(C585=1,B585&lt;Controls!$B$12),1,0)</f>
        <v>1</v>
      </c>
      <c r="E585" s="11" t="n">
        <f aca="false">IF(D585=1,SUMPRODUCT((Costs!$B$4:$B$903=A585)*(Costs!$D$4:$D$903="planned")*(Costs!$J$4:$J$903&lt;=B585)*(Costs!$K$4:$K$903&gt;B585)*Costs!$E$4:$E$903),0)</f>
        <v>0</v>
      </c>
      <c r="F585" s="11" t="n">
        <f aca="false">IF(D585=1,SUMIFS(Benefits!$S$4:$S$703,Benefits!$B$4:$B$703,A585,Benefits!$F$4:$F$703,B585,Benefits!$R$4:$R$703,"cash"),0)</f>
        <v>0</v>
      </c>
      <c r="G585" s="11" t="n">
        <f aca="false">IF(D585=1,SUMIFS(Benefits!$S$4:$S$703,Benefits!$B$4:$B$703,A585,Benefits!$F$4:$F$703,B585,Benefits!$R$4:$R$703,"revenue"),0)</f>
        <v>0</v>
      </c>
      <c r="H585" s="11" t="n">
        <f aca="false">IF(D585=1,SUMIFS(Benefits!$S$4:$S$703,Benefits!$B$4:$B$703,A585,Benefits!$F$4:$F$703,B585,Benefits!$R$4:$R$703,"avoided_cost_realised"),0)</f>
        <v>0</v>
      </c>
      <c r="I585" s="11" t="n">
        <f aca="false">IF(D585=1,SUMIFS(Benefits!$S$4:$S$703,Benefits!$B$4:$B$703,A585,Benefits!$F$4:$F$703,B585,Benefits!$R$4:$R$703,"capacity_converted"),0)</f>
        <v>0</v>
      </c>
      <c r="J585" s="11" t="n">
        <f aca="false">SUM(F585:I585)</f>
        <v>0</v>
      </c>
      <c r="K585" s="11" t="n">
        <f aca="false">J585-E585</f>
        <v>0</v>
      </c>
      <c r="L585" s="11" t="n">
        <f aca="false">IF(D585=1,L584+K585,0)</f>
        <v>-8000</v>
      </c>
      <c r="M585" s="11" t="n">
        <f aca="false">IF(D585=1,1/(1+Controls!$B$11)^B585,0)</f>
        <v>0.968441741876185</v>
      </c>
      <c r="N585" s="11" t="n">
        <f aca="false">K585*M585</f>
        <v>0</v>
      </c>
      <c r="O585" s="11" t="n">
        <f aca="false">IF(D585=1,O584+N585,0)</f>
        <v>-8000</v>
      </c>
      <c r="P585" s="11" t="n">
        <f aca="false">IF(AND(D585=1,L585&lt;0),1,0)</f>
        <v>1</v>
      </c>
      <c r="Q585" s="11" t="n">
        <f aca="false">IF(AND(D585=1,O585&lt;0),1,0)</f>
        <v>1</v>
      </c>
    </row>
    <row r="586" customFormat="false" ht="15" hidden="false" customHeight="false" outlineLevel="0" collapsed="false">
      <c r="A586" s="4" t="s">
        <v>99</v>
      </c>
      <c r="B586" s="4" t="n">
        <v>6</v>
      </c>
      <c r="C586" s="11" t="n">
        <f aca="false">IF(COUNTIF('Scenario inputs'!$A$4:$A$213,Controls!$B$3&amp;"|"&amp;A586)&gt;0,1,0)</f>
        <v>1</v>
      </c>
      <c r="D586" s="11" t="n">
        <f aca="false">IF(AND(C586=1,B586&lt;Controls!$B$12),1,0)</f>
        <v>1</v>
      </c>
      <c r="E586" s="11" t="n">
        <f aca="false">IF(D586=1,SUMPRODUCT((Costs!$B$4:$B$903=A586)*(Costs!$D$4:$D$903="planned")*(Costs!$J$4:$J$903&lt;=B586)*(Costs!$K$4:$K$903&gt;B586)*Costs!$E$4:$E$903),0)</f>
        <v>0</v>
      </c>
      <c r="F586" s="11" t="n">
        <f aca="false">IF(D586=1,SUMIFS(Benefits!$S$4:$S$703,Benefits!$B$4:$B$703,A586,Benefits!$F$4:$F$703,B586,Benefits!$R$4:$R$703,"cash"),0)</f>
        <v>0</v>
      </c>
      <c r="G586" s="11" t="n">
        <f aca="false">IF(D586=1,SUMIFS(Benefits!$S$4:$S$703,Benefits!$B$4:$B$703,A586,Benefits!$F$4:$F$703,B586,Benefits!$R$4:$R$703,"revenue"),0)</f>
        <v>0</v>
      </c>
      <c r="H586" s="11" t="n">
        <f aca="false">IF(D586=1,SUMIFS(Benefits!$S$4:$S$703,Benefits!$B$4:$B$703,A586,Benefits!$F$4:$F$703,B586,Benefits!$R$4:$R$703,"avoided_cost_realised"),0)</f>
        <v>0</v>
      </c>
      <c r="I586" s="11" t="n">
        <f aca="false">IF(D586=1,SUMIFS(Benefits!$S$4:$S$703,Benefits!$B$4:$B$703,A586,Benefits!$F$4:$F$703,B586,Benefits!$R$4:$R$703,"capacity_converted"),0)</f>
        <v>0</v>
      </c>
      <c r="J586" s="11" t="n">
        <f aca="false">SUM(F586:I586)</f>
        <v>0</v>
      </c>
      <c r="K586" s="11" t="n">
        <f aca="false">J586-E586</f>
        <v>0</v>
      </c>
      <c r="L586" s="11" t="n">
        <f aca="false">IF(D586=1,L585+K586,0)</f>
        <v>-8000</v>
      </c>
      <c r="M586" s="11" t="n">
        <f aca="false">IF(D586=1,1/(1+Controls!$B$11)^B586,0)</f>
        <v>0.962250621378238</v>
      </c>
      <c r="N586" s="11" t="n">
        <f aca="false">K586*M586</f>
        <v>0</v>
      </c>
      <c r="O586" s="11" t="n">
        <f aca="false">IF(D586=1,O585+N586,0)</f>
        <v>-8000</v>
      </c>
      <c r="P586" s="11" t="n">
        <f aca="false">IF(AND(D586=1,L586&lt;0),1,0)</f>
        <v>1</v>
      </c>
      <c r="Q586" s="11" t="n">
        <f aca="false">IF(AND(D586=1,O586&lt;0),1,0)</f>
        <v>1</v>
      </c>
    </row>
    <row r="587" customFormat="false" ht="15" hidden="false" customHeight="false" outlineLevel="0" collapsed="false">
      <c r="A587" s="4" t="s">
        <v>99</v>
      </c>
      <c r="B587" s="4" t="n">
        <v>7</v>
      </c>
      <c r="C587" s="11" t="n">
        <f aca="false">IF(COUNTIF('Scenario inputs'!$A$4:$A$213,Controls!$B$3&amp;"|"&amp;A587)&gt;0,1,0)</f>
        <v>1</v>
      </c>
      <c r="D587" s="11" t="n">
        <f aca="false">IF(AND(C587=1,B587&lt;Controls!$B$12),1,0)</f>
        <v>1</v>
      </c>
      <c r="E587" s="11" t="n">
        <f aca="false">IF(D587=1,SUMPRODUCT((Costs!$B$4:$B$903=A587)*(Costs!$D$4:$D$903="planned")*(Costs!$J$4:$J$903&lt;=B587)*(Costs!$K$4:$K$903&gt;B587)*Costs!$E$4:$E$903),0)</f>
        <v>0</v>
      </c>
      <c r="F587" s="11" t="n">
        <f aca="false">IF(D587=1,SUMIFS(Benefits!$S$4:$S$703,Benefits!$B$4:$B$703,A587,Benefits!$F$4:$F$703,B587,Benefits!$R$4:$R$703,"cash"),0)</f>
        <v>0</v>
      </c>
      <c r="G587" s="11" t="n">
        <f aca="false">IF(D587=1,SUMIFS(Benefits!$S$4:$S$703,Benefits!$B$4:$B$703,A587,Benefits!$F$4:$F$703,B587,Benefits!$R$4:$R$703,"revenue"),0)</f>
        <v>0</v>
      </c>
      <c r="H587" s="11" t="n">
        <f aca="false">IF(D587=1,SUMIFS(Benefits!$S$4:$S$703,Benefits!$B$4:$B$703,A587,Benefits!$F$4:$F$703,B587,Benefits!$R$4:$R$703,"avoided_cost_realised"),0)</f>
        <v>0</v>
      </c>
      <c r="I587" s="11" t="n">
        <f aca="false">IF(D587=1,SUMIFS(Benefits!$S$4:$S$703,Benefits!$B$4:$B$703,A587,Benefits!$F$4:$F$703,B587,Benefits!$R$4:$R$703,"capacity_converted"),0)</f>
        <v>0</v>
      </c>
      <c r="J587" s="11" t="n">
        <f aca="false">SUM(F587:I587)</f>
        <v>0</v>
      </c>
      <c r="K587" s="11" t="n">
        <f aca="false">J587-E587</f>
        <v>0</v>
      </c>
      <c r="L587" s="11" t="n">
        <f aca="false">IF(D587=1,L586+K587,0)</f>
        <v>-8000</v>
      </c>
      <c r="M587" s="11" t="n">
        <f aca="false">IF(D587=1,1/(1+Controls!$B$11)^B587,0)</f>
        <v>0.956099079898173</v>
      </c>
      <c r="N587" s="11" t="n">
        <f aca="false">K587*M587</f>
        <v>0</v>
      </c>
      <c r="O587" s="11" t="n">
        <f aca="false">IF(D587=1,O586+N587,0)</f>
        <v>-8000</v>
      </c>
      <c r="P587" s="11" t="n">
        <f aca="false">IF(AND(D587=1,L587&lt;0),1,0)</f>
        <v>1</v>
      </c>
      <c r="Q587" s="11" t="n">
        <f aca="false">IF(AND(D587=1,O587&lt;0),1,0)</f>
        <v>1</v>
      </c>
    </row>
    <row r="588" customFormat="false" ht="15" hidden="false" customHeight="false" outlineLevel="0" collapsed="false">
      <c r="A588" s="4" t="s">
        <v>99</v>
      </c>
      <c r="B588" s="4" t="n">
        <v>8</v>
      </c>
      <c r="C588" s="11" t="n">
        <f aca="false">IF(COUNTIF('Scenario inputs'!$A$4:$A$213,Controls!$B$3&amp;"|"&amp;A588)&gt;0,1,0)</f>
        <v>1</v>
      </c>
      <c r="D588" s="11" t="n">
        <f aca="false">IF(AND(C588=1,B588&lt;Controls!$B$12),1,0)</f>
        <v>1</v>
      </c>
      <c r="E588" s="11" t="n">
        <f aca="false">IF(D588=1,SUMPRODUCT((Costs!$B$4:$B$903=A588)*(Costs!$D$4:$D$903="planned")*(Costs!$J$4:$J$903&lt;=B588)*(Costs!$K$4:$K$903&gt;B588)*Costs!$E$4:$E$903),0)</f>
        <v>0</v>
      </c>
      <c r="F588" s="11" t="n">
        <f aca="false">IF(D588=1,SUMIFS(Benefits!$S$4:$S$703,Benefits!$B$4:$B$703,A588,Benefits!$F$4:$F$703,B588,Benefits!$R$4:$R$703,"cash"),0)</f>
        <v>0</v>
      </c>
      <c r="G588" s="11" t="n">
        <f aca="false">IF(D588=1,SUMIFS(Benefits!$S$4:$S$703,Benefits!$B$4:$B$703,A588,Benefits!$F$4:$F$703,B588,Benefits!$R$4:$R$703,"revenue"),0)</f>
        <v>0</v>
      </c>
      <c r="H588" s="11" t="n">
        <f aca="false">IF(D588=1,SUMIFS(Benefits!$S$4:$S$703,Benefits!$B$4:$B$703,A588,Benefits!$F$4:$F$703,B588,Benefits!$R$4:$R$703,"avoided_cost_realised"),0)</f>
        <v>0</v>
      </c>
      <c r="I588" s="11" t="n">
        <f aca="false">IF(D588=1,SUMIFS(Benefits!$S$4:$S$703,Benefits!$B$4:$B$703,A588,Benefits!$F$4:$F$703,B588,Benefits!$R$4:$R$703,"capacity_converted"),0)</f>
        <v>0</v>
      </c>
      <c r="J588" s="11" t="n">
        <f aca="false">SUM(F588:I588)</f>
        <v>0</v>
      </c>
      <c r="K588" s="11" t="n">
        <f aca="false">J588-E588</f>
        <v>0</v>
      </c>
      <c r="L588" s="11" t="n">
        <f aca="false">IF(D588=1,L587+K588,0)</f>
        <v>-8000</v>
      </c>
      <c r="M588" s="11" t="n">
        <f aca="false">IF(D588=1,1/(1+Controls!$B$11)^B588,0)</f>
        <v>0.949986864412542</v>
      </c>
      <c r="N588" s="11" t="n">
        <f aca="false">K588*M588</f>
        <v>0</v>
      </c>
      <c r="O588" s="11" t="n">
        <f aca="false">IF(D588=1,O587+N588,0)</f>
        <v>-8000</v>
      </c>
      <c r="P588" s="11" t="n">
        <f aca="false">IF(AND(D588=1,L588&lt;0),1,0)</f>
        <v>1</v>
      </c>
      <c r="Q588" s="11" t="n">
        <f aca="false">IF(AND(D588=1,O588&lt;0),1,0)</f>
        <v>1</v>
      </c>
    </row>
    <row r="589" customFormat="false" ht="15" hidden="false" customHeight="false" outlineLevel="0" collapsed="false">
      <c r="A589" s="4" t="s">
        <v>99</v>
      </c>
      <c r="B589" s="4" t="n">
        <v>9</v>
      </c>
      <c r="C589" s="11" t="n">
        <f aca="false">IF(COUNTIF('Scenario inputs'!$A$4:$A$213,Controls!$B$3&amp;"|"&amp;A589)&gt;0,1,0)</f>
        <v>1</v>
      </c>
      <c r="D589" s="11" t="n">
        <f aca="false">IF(AND(C589=1,B589&lt;Controls!$B$12),1,0)</f>
        <v>1</v>
      </c>
      <c r="E589" s="11" t="n">
        <f aca="false">IF(D589=1,SUMPRODUCT((Costs!$B$4:$B$903=A589)*(Costs!$D$4:$D$903="planned")*(Costs!$J$4:$J$903&lt;=B589)*(Costs!$K$4:$K$903&gt;B589)*Costs!$E$4:$E$903),0)</f>
        <v>0</v>
      </c>
      <c r="F589" s="11" t="n">
        <f aca="false">IF(D589=1,SUMIFS(Benefits!$S$4:$S$703,Benefits!$B$4:$B$703,A589,Benefits!$F$4:$F$703,B589,Benefits!$R$4:$R$703,"cash"),0)</f>
        <v>0</v>
      </c>
      <c r="G589" s="11" t="n">
        <f aca="false">IF(D589=1,SUMIFS(Benefits!$S$4:$S$703,Benefits!$B$4:$B$703,A589,Benefits!$F$4:$F$703,B589,Benefits!$R$4:$R$703,"revenue"),0)</f>
        <v>0</v>
      </c>
      <c r="H589" s="11" t="n">
        <f aca="false">IF(D589=1,SUMIFS(Benefits!$S$4:$S$703,Benefits!$B$4:$B$703,A589,Benefits!$F$4:$F$703,B589,Benefits!$R$4:$R$703,"avoided_cost_realised"),0)</f>
        <v>0</v>
      </c>
      <c r="I589" s="11" t="n">
        <f aca="false">IF(D589=1,SUMIFS(Benefits!$S$4:$S$703,Benefits!$B$4:$B$703,A589,Benefits!$F$4:$F$703,B589,Benefits!$R$4:$R$703,"capacity_converted"),0)</f>
        <v>0</v>
      </c>
      <c r="J589" s="11" t="n">
        <f aca="false">SUM(F589:I589)</f>
        <v>0</v>
      </c>
      <c r="K589" s="11" t="n">
        <f aca="false">J589-E589</f>
        <v>0</v>
      </c>
      <c r="L589" s="11" t="n">
        <f aca="false">IF(D589=1,L588+K589,0)</f>
        <v>-8000</v>
      </c>
      <c r="M589" s="11" t="n">
        <f aca="false">IF(D589=1,1/(1+Controls!$B$11)^B589,0)</f>
        <v>0.943913723515444</v>
      </c>
      <c r="N589" s="11" t="n">
        <f aca="false">K589*M589</f>
        <v>0</v>
      </c>
      <c r="O589" s="11" t="n">
        <f aca="false">IF(D589=1,O588+N589,0)</f>
        <v>-8000</v>
      </c>
      <c r="P589" s="11" t="n">
        <f aca="false">IF(AND(D589=1,L589&lt;0),1,0)</f>
        <v>1</v>
      </c>
      <c r="Q589" s="11" t="n">
        <f aca="false">IF(AND(D589=1,O589&lt;0),1,0)</f>
        <v>1</v>
      </c>
    </row>
    <row r="590" customFormat="false" ht="15" hidden="false" customHeight="false" outlineLevel="0" collapsed="false">
      <c r="A590" s="4" t="s">
        <v>99</v>
      </c>
      <c r="B590" s="4" t="n">
        <v>10</v>
      </c>
      <c r="C590" s="11" t="n">
        <f aca="false">IF(COUNTIF('Scenario inputs'!$A$4:$A$213,Controls!$B$3&amp;"|"&amp;A590)&gt;0,1,0)</f>
        <v>1</v>
      </c>
      <c r="D590" s="11" t="n">
        <f aca="false">IF(AND(C590=1,B590&lt;Controls!$B$12),1,0)</f>
        <v>1</v>
      </c>
      <c r="E590" s="11" t="n">
        <f aca="false">IF(D590=1,SUMPRODUCT((Costs!$B$4:$B$903=A590)*(Costs!$D$4:$D$903="planned")*(Costs!$J$4:$J$903&lt;=B590)*(Costs!$K$4:$K$903&gt;B590)*Costs!$E$4:$E$903),0)</f>
        <v>145050</v>
      </c>
      <c r="F590" s="11" t="n">
        <f aca="false">IF(D590=1,SUMIFS(Benefits!$S$4:$S$703,Benefits!$B$4:$B$703,A590,Benefits!$F$4:$F$703,B590,Benefits!$R$4:$R$703,"cash"),0)</f>
        <v>0</v>
      </c>
      <c r="G590" s="11" t="n">
        <f aca="false">IF(D590=1,SUMIFS(Benefits!$S$4:$S$703,Benefits!$B$4:$B$703,A590,Benefits!$F$4:$F$703,B590,Benefits!$R$4:$R$703,"revenue"),0)</f>
        <v>0</v>
      </c>
      <c r="H590" s="11" t="n">
        <f aca="false">IF(D590=1,SUMIFS(Benefits!$S$4:$S$703,Benefits!$B$4:$B$703,A590,Benefits!$F$4:$F$703,B590,Benefits!$R$4:$R$703,"avoided_cost_realised"),0)</f>
        <v>0</v>
      </c>
      <c r="I590" s="11" t="n">
        <f aca="false">IF(D590=1,SUMIFS(Benefits!$S$4:$S$703,Benefits!$B$4:$B$703,A590,Benefits!$F$4:$F$703,B590,Benefits!$R$4:$R$703,"capacity_converted"),0)</f>
        <v>0</v>
      </c>
      <c r="J590" s="11" t="n">
        <f aca="false">SUM(F590:I590)</f>
        <v>0</v>
      </c>
      <c r="K590" s="11" t="n">
        <f aca="false">J590-E590</f>
        <v>-145050</v>
      </c>
      <c r="L590" s="11" t="n">
        <f aca="false">IF(D590=1,L589+K590,0)</f>
        <v>-153050</v>
      </c>
      <c r="M590" s="11" t="n">
        <f aca="false">IF(D590=1,1/(1+Controls!$B$11)^B590,0)</f>
        <v>0.93787940740818</v>
      </c>
      <c r="N590" s="11" t="n">
        <f aca="false">K590*M590</f>
        <v>-136039.408044556</v>
      </c>
      <c r="O590" s="11" t="n">
        <f aca="false">IF(D590=1,O589+N590,0)</f>
        <v>-144039.408044556</v>
      </c>
      <c r="P590" s="11" t="n">
        <f aca="false">IF(AND(D590=1,L590&lt;0),1,0)</f>
        <v>1</v>
      </c>
      <c r="Q590" s="11" t="n">
        <f aca="false">IF(AND(D590=1,O590&lt;0),1,0)</f>
        <v>1</v>
      </c>
    </row>
    <row r="591" customFormat="false" ht="15" hidden="false" customHeight="false" outlineLevel="0" collapsed="false">
      <c r="A591" s="4" t="s">
        <v>99</v>
      </c>
      <c r="B591" s="4" t="n">
        <v>11</v>
      </c>
      <c r="C591" s="11" t="n">
        <f aca="false">IF(COUNTIF('Scenario inputs'!$A$4:$A$213,Controls!$B$3&amp;"|"&amp;A591)&gt;0,1,0)</f>
        <v>1</v>
      </c>
      <c r="D591" s="11" t="n">
        <f aca="false">IF(AND(C591=1,B591&lt;Controls!$B$12),1,0)</f>
        <v>1</v>
      </c>
      <c r="E591" s="11" t="n">
        <f aca="false">IF(D591=1,SUMPRODUCT((Costs!$B$4:$B$903=A591)*(Costs!$D$4:$D$903="planned")*(Costs!$J$4:$J$903&lt;=B591)*(Costs!$K$4:$K$903&gt;B591)*Costs!$E$4:$E$903),0)</f>
        <v>159150</v>
      </c>
      <c r="F591" s="11" t="n">
        <f aca="false">IF(D591=1,SUMIFS(Benefits!$S$4:$S$703,Benefits!$B$4:$B$703,A591,Benefits!$F$4:$F$703,B591,Benefits!$R$4:$R$703,"cash"),0)</f>
        <v>0</v>
      </c>
      <c r="G591" s="11" t="n">
        <f aca="false">IF(D591=1,SUMIFS(Benefits!$S$4:$S$703,Benefits!$B$4:$B$703,A591,Benefits!$F$4:$F$703,B591,Benefits!$R$4:$R$703,"revenue"),0)</f>
        <v>0</v>
      </c>
      <c r="H591" s="11" t="n">
        <f aca="false">IF(D591=1,SUMIFS(Benefits!$S$4:$S$703,Benefits!$B$4:$B$703,A591,Benefits!$F$4:$F$703,B591,Benefits!$R$4:$R$703,"avoided_cost_realised"),0)</f>
        <v>0</v>
      </c>
      <c r="I591" s="11" t="n">
        <f aca="false">IF(D591=1,SUMIFS(Benefits!$S$4:$S$703,Benefits!$B$4:$B$703,A591,Benefits!$F$4:$F$703,B591,Benefits!$R$4:$R$703,"capacity_converted"),0)</f>
        <v>0</v>
      </c>
      <c r="J591" s="11" t="n">
        <f aca="false">SUM(F591:I591)</f>
        <v>0</v>
      </c>
      <c r="K591" s="11" t="n">
        <f aca="false">J591-E591</f>
        <v>-159150</v>
      </c>
      <c r="L591" s="11" t="n">
        <f aca="false">IF(D591=1,L590+K591,0)</f>
        <v>-312200</v>
      </c>
      <c r="M591" s="11" t="n">
        <f aca="false">IF(D591=1,1/(1+Controls!$B$11)^B591,0)</f>
        <v>0.931883667888982</v>
      </c>
      <c r="N591" s="11" t="n">
        <f aca="false">K591*M591</f>
        <v>-148309.285744531</v>
      </c>
      <c r="O591" s="11" t="n">
        <f aca="false">IF(D591=1,O590+N591,0)</f>
        <v>-292348.693789088</v>
      </c>
      <c r="P591" s="11" t="n">
        <f aca="false">IF(AND(D591=1,L591&lt;0),1,0)</f>
        <v>1</v>
      </c>
      <c r="Q591" s="11" t="n">
        <f aca="false">IF(AND(D591=1,O591&lt;0),1,0)</f>
        <v>1</v>
      </c>
    </row>
    <row r="592" customFormat="false" ht="15" hidden="false" customHeight="false" outlineLevel="0" collapsed="false">
      <c r="A592" s="4" t="s">
        <v>99</v>
      </c>
      <c r="B592" s="4" t="n">
        <v>12</v>
      </c>
      <c r="C592" s="11" t="n">
        <f aca="false">IF(COUNTIF('Scenario inputs'!$A$4:$A$213,Controls!$B$3&amp;"|"&amp;A592)&gt;0,1,0)</f>
        <v>1</v>
      </c>
      <c r="D592" s="11" t="n">
        <f aca="false">IF(AND(C592=1,B592&lt;Controls!$B$12),1,0)</f>
        <v>1</v>
      </c>
      <c r="E592" s="11" t="n">
        <f aca="false">IF(D592=1,SUMPRODUCT((Costs!$B$4:$B$903=A592)*(Costs!$D$4:$D$903="planned")*(Costs!$J$4:$J$903&lt;=B592)*(Costs!$K$4:$K$903&gt;B592)*Costs!$E$4:$E$903),0)</f>
        <v>15000</v>
      </c>
      <c r="F592" s="11" t="n">
        <f aca="false">IF(D592=1,SUMIFS(Benefits!$S$4:$S$703,Benefits!$B$4:$B$703,A592,Benefits!$F$4:$F$703,B592,Benefits!$R$4:$R$703,"cash"),0)</f>
        <v>0</v>
      </c>
      <c r="G592" s="11" t="n">
        <f aca="false">IF(D592=1,SUMIFS(Benefits!$S$4:$S$703,Benefits!$B$4:$B$703,A592,Benefits!$F$4:$F$703,B592,Benefits!$R$4:$R$703,"revenue"),0)</f>
        <v>0</v>
      </c>
      <c r="H592" s="11" t="n">
        <f aca="false">IF(D592=1,SUMIFS(Benefits!$S$4:$S$703,Benefits!$B$4:$B$703,A592,Benefits!$F$4:$F$703,B592,Benefits!$R$4:$R$703,"avoided_cost_realised"),0)</f>
        <v>0</v>
      </c>
      <c r="I592" s="11" t="n">
        <f aca="false">IF(D592=1,SUMIFS(Benefits!$S$4:$S$703,Benefits!$B$4:$B$703,A592,Benefits!$F$4:$F$703,B592,Benefits!$R$4:$R$703,"capacity_converted"),0)</f>
        <v>0</v>
      </c>
      <c r="J592" s="11" t="n">
        <f aca="false">SUM(F592:I592)</f>
        <v>0</v>
      </c>
      <c r="K592" s="11" t="n">
        <f aca="false">J592-E592</f>
        <v>-15000</v>
      </c>
      <c r="L592" s="11" t="n">
        <f aca="false">IF(D592=1,L591+K592,0)</f>
        <v>-327200</v>
      </c>
      <c r="M592" s="11" t="n">
        <f aca="false">IF(D592=1,1/(1+Controls!$B$11)^B592,0)</f>
        <v>0.925926258342804</v>
      </c>
      <c r="N592" s="11" t="n">
        <f aca="false">K592*M592</f>
        <v>-13888.8938751421</v>
      </c>
      <c r="O592" s="11" t="n">
        <f aca="false">IF(D592=1,O591+N592,0)</f>
        <v>-306237.58766423</v>
      </c>
      <c r="P592" s="11" t="n">
        <f aca="false">IF(AND(D592=1,L592&lt;0),1,0)</f>
        <v>1</v>
      </c>
      <c r="Q592" s="11" t="n">
        <f aca="false">IF(AND(D592=1,O592&lt;0),1,0)</f>
        <v>1</v>
      </c>
    </row>
    <row r="593" customFormat="false" ht="15" hidden="false" customHeight="false" outlineLevel="0" collapsed="false">
      <c r="A593" s="4" t="s">
        <v>99</v>
      </c>
      <c r="B593" s="4" t="n">
        <v>13</v>
      </c>
      <c r="C593" s="11" t="n">
        <f aca="false">IF(COUNTIF('Scenario inputs'!$A$4:$A$213,Controls!$B$3&amp;"|"&amp;A593)&gt;0,1,0)</f>
        <v>1</v>
      </c>
      <c r="D593" s="11" t="n">
        <f aca="false">IF(AND(C593=1,B593&lt;Controls!$B$12),1,0)</f>
        <v>1</v>
      </c>
      <c r="E593" s="11" t="n">
        <f aca="false">IF(D593=1,SUMPRODUCT((Costs!$B$4:$B$903=A593)*(Costs!$D$4:$D$903="planned")*(Costs!$J$4:$J$903&lt;=B593)*(Costs!$K$4:$K$903&gt;B593)*Costs!$E$4:$E$903),0)</f>
        <v>100800</v>
      </c>
      <c r="F593" s="11" t="n">
        <f aca="false">IF(D593=1,SUMIFS(Benefits!$S$4:$S$703,Benefits!$B$4:$B$703,A593,Benefits!$F$4:$F$703,B593,Benefits!$R$4:$R$703,"cash"),0)</f>
        <v>0</v>
      </c>
      <c r="G593" s="11" t="n">
        <f aca="false">IF(D593=1,SUMIFS(Benefits!$S$4:$S$703,Benefits!$B$4:$B$703,A593,Benefits!$F$4:$F$703,B593,Benefits!$R$4:$R$703,"revenue"),0)</f>
        <v>0</v>
      </c>
      <c r="H593" s="11" t="n">
        <f aca="false">IF(D593=1,SUMIFS(Benefits!$S$4:$S$703,Benefits!$B$4:$B$703,A593,Benefits!$F$4:$F$703,B593,Benefits!$R$4:$R$703,"avoided_cost_realised"),0)</f>
        <v>4686.6901</v>
      </c>
      <c r="I593" s="11" t="n">
        <f aca="false">IF(D593=1,SUMIFS(Benefits!$S$4:$S$703,Benefits!$B$4:$B$703,A593,Benefits!$F$4:$F$703,B593,Benefits!$R$4:$R$703,"capacity_converted"),0)</f>
        <v>0</v>
      </c>
      <c r="J593" s="11" t="n">
        <f aca="false">SUM(F593:I593)</f>
        <v>4686.6901</v>
      </c>
      <c r="K593" s="11" t="n">
        <f aca="false">J593-E593</f>
        <v>-96113.3099</v>
      </c>
      <c r="L593" s="11" t="n">
        <f aca="false">IF(D593=1,L592+K593,0)</f>
        <v>-423313.3099</v>
      </c>
      <c r="M593" s="11" t="n">
        <f aca="false">IF(D593=1,1/(1+Controls!$B$11)^B593,0)</f>
        <v>0.920006933731178</v>
      </c>
      <c r="N593" s="11" t="n">
        <f aca="false">K593*M593</f>
        <v>-88424.9115318535</v>
      </c>
      <c r="O593" s="11" t="n">
        <f aca="false">IF(D593=1,O592+N593,0)</f>
        <v>-394662.499196083</v>
      </c>
      <c r="P593" s="11" t="n">
        <f aca="false">IF(AND(D593=1,L593&lt;0),1,0)</f>
        <v>1</v>
      </c>
      <c r="Q593" s="11" t="n">
        <f aca="false">IF(AND(D593=1,O593&lt;0),1,0)</f>
        <v>1</v>
      </c>
    </row>
    <row r="594" customFormat="false" ht="15" hidden="false" customHeight="false" outlineLevel="0" collapsed="false">
      <c r="A594" s="4" t="s">
        <v>99</v>
      </c>
      <c r="B594" s="4" t="n">
        <v>14</v>
      </c>
      <c r="C594" s="11" t="n">
        <f aca="false">IF(COUNTIF('Scenario inputs'!$A$4:$A$213,Controls!$B$3&amp;"|"&amp;A594)&gt;0,1,0)</f>
        <v>1</v>
      </c>
      <c r="D594" s="11" t="n">
        <f aca="false">IF(AND(C594=1,B594&lt;Controls!$B$12),1,0)</f>
        <v>1</v>
      </c>
      <c r="E594" s="11" t="n">
        <f aca="false">IF(D594=1,SUMPRODUCT((Costs!$B$4:$B$903=A594)*(Costs!$D$4:$D$903="planned")*(Costs!$J$4:$J$903&lt;=B594)*(Costs!$K$4:$K$903&gt;B594)*Costs!$E$4:$E$903),0)</f>
        <v>8000</v>
      </c>
      <c r="F594" s="11" t="n">
        <f aca="false">IF(D594=1,SUMIFS(Benefits!$S$4:$S$703,Benefits!$B$4:$B$703,A594,Benefits!$F$4:$F$703,B594,Benefits!$R$4:$R$703,"cash"),0)</f>
        <v>0</v>
      </c>
      <c r="G594" s="11" t="n">
        <f aca="false">IF(D594=1,SUMIFS(Benefits!$S$4:$S$703,Benefits!$B$4:$B$703,A594,Benefits!$F$4:$F$703,B594,Benefits!$R$4:$R$703,"revenue"),0)</f>
        <v>0</v>
      </c>
      <c r="H594" s="11" t="n">
        <f aca="false">IF(D594=1,SUMIFS(Benefits!$S$4:$S$703,Benefits!$B$4:$B$703,A594,Benefits!$F$4:$F$703,B594,Benefits!$R$4:$R$703,"avoided_cost_realised"),0)</f>
        <v>14060</v>
      </c>
      <c r="I594" s="11" t="n">
        <f aca="false">IF(D594=1,SUMIFS(Benefits!$S$4:$S$703,Benefits!$B$4:$B$703,A594,Benefits!$F$4:$F$703,B594,Benefits!$R$4:$R$703,"capacity_converted"),0)</f>
        <v>0</v>
      </c>
      <c r="J594" s="11" t="n">
        <f aca="false">SUM(F594:I594)</f>
        <v>14060</v>
      </c>
      <c r="K594" s="11" t="n">
        <f aca="false">J594-E594</f>
        <v>6060</v>
      </c>
      <c r="L594" s="11" t="n">
        <f aca="false">IF(D594=1,L593+K594,0)</f>
        <v>-417253.3099</v>
      </c>
      <c r="M594" s="11" t="n">
        <f aca="false">IF(D594=1,1/(1+Controls!$B$11)^B594,0)</f>
        <v>0.914125450582132</v>
      </c>
      <c r="N594" s="11" t="n">
        <f aca="false">K594*M594</f>
        <v>5539.60023052772</v>
      </c>
      <c r="O594" s="11" t="n">
        <f aca="false">IF(D594=1,O593+N594,0)</f>
        <v>-389122.898965556</v>
      </c>
      <c r="P594" s="11" t="n">
        <f aca="false">IF(AND(D594=1,L594&lt;0),1,0)</f>
        <v>1</v>
      </c>
      <c r="Q594" s="11" t="n">
        <f aca="false">IF(AND(D594=1,O594&lt;0),1,0)</f>
        <v>1</v>
      </c>
    </row>
    <row r="595" customFormat="false" ht="15" hidden="false" customHeight="false" outlineLevel="0" collapsed="false">
      <c r="A595" s="4" t="s">
        <v>99</v>
      </c>
      <c r="B595" s="4" t="n">
        <v>15</v>
      </c>
      <c r="C595" s="11" t="n">
        <f aca="false">IF(COUNTIF('Scenario inputs'!$A$4:$A$213,Controls!$B$3&amp;"|"&amp;A595)&gt;0,1,0)</f>
        <v>1</v>
      </c>
      <c r="D595" s="11" t="n">
        <f aca="false">IF(AND(C595=1,B595&lt;Controls!$B$12),1,0)</f>
        <v>1</v>
      </c>
      <c r="E595" s="11" t="n">
        <f aca="false">IF(D595=1,SUMPRODUCT((Costs!$B$4:$B$903=A595)*(Costs!$D$4:$D$903="planned")*(Costs!$J$4:$J$903&lt;=B595)*(Costs!$K$4:$K$903&gt;B595)*Costs!$E$4:$E$903),0)</f>
        <v>8000</v>
      </c>
      <c r="F595" s="11" t="n">
        <f aca="false">IF(D595=1,SUMIFS(Benefits!$S$4:$S$703,Benefits!$B$4:$B$703,A595,Benefits!$F$4:$F$703,B595,Benefits!$R$4:$R$703,"cash"),0)</f>
        <v>0</v>
      </c>
      <c r="G595" s="11" t="n">
        <f aca="false">IF(D595=1,SUMIFS(Benefits!$S$4:$S$703,Benefits!$B$4:$B$703,A595,Benefits!$F$4:$F$703,B595,Benefits!$R$4:$R$703,"revenue"),0)</f>
        <v>0</v>
      </c>
      <c r="H595" s="11" t="n">
        <f aca="false">IF(D595=1,SUMIFS(Benefits!$S$4:$S$703,Benefits!$B$4:$B$703,A595,Benefits!$F$4:$F$703,B595,Benefits!$R$4:$R$703,"avoided_cost_realised"),0)</f>
        <v>28120</v>
      </c>
      <c r="I595" s="11" t="n">
        <f aca="false">IF(D595=1,SUMIFS(Benefits!$S$4:$S$703,Benefits!$B$4:$B$703,A595,Benefits!$F$4:$F$703,B595,Benefits!$R$4:$R$703,"capacity_converted"),0)</f>
        <v>0</v>
      </c>
      <c r="J595" s="11" t="n">
        <f aca="false">SUM(F595:I595)</f>
        <v>28120</v>
      </c>
      <c r="K595" s="11" t="n">
        <f aca="false">J595-E595</f>
        <v>20120</v>
      </c>
      <c r="L595" s="11" t="n">
        <f aca="false">IF(D595=1,L594+K595,0)</f>
        <v>-397133.3099</v>
      </c>
      <c r="M595" s="11" t="n">
        <f aca="false">IF(D595=1,1/(1+Controls!$B$11)^B595,0)</f>
        <v>0.908281566980182</v>
      </c>
      <c r="N595" s="11" t="n">
        <f aca="false">K595*M595</f>
        <v>18274.6251276413</v>
      </c>
      <c r="O595" s="11" t="n">
        <f aca="false">IF(D595=1,O594+N595,0)</f>
        <v>-370848.273837914</v>
      </c>
      <c r="P595" s="11" t="n">
        <f aca="false">IF(AND(D595=1,L595&lt;0),1,0)</f>
        <v>1</v>
      </c>
      <c r="Q595" s="11" t="n">
        <f aca="false">IF(AND(D595=1,O595&lt;0),1,0)</f>
        <v>1</v>
      </c>
    </row>
    <row r="596" customFormat="false" ht="15" hidden="false" customHeight="false" outlineLevel="0" collapsed="false">
      <c r="A596" s="4" t="s">
        <v>99</v>
      </c>
      <c r="B596" s="4" t="n">
        <v>16</v>
      </c>
      <c r="C596" s="11" t="n">
        <f aca="false">IF(COUNTIF('Scenario inputs'!$A$4:$A$213,Controls!$B$3&amp;"|"&amp;A596)&gt;0,1,0)</f>
        <v>1</v>
      </c>
      <c r="D596" s="11" t="n">
        <f aca="false">IF(AND(C596=1,B596&lt;Controls!$B$12),1,0)</f>
        <v>1</v>
      </c>
      <c r="E596" s="11" t="n">
        <f aca="false">IF(D596=1,SUMPRODUCT((Costs!$B$4:$B$903=A596)*(Costs!$D$4:$D$903="planned")*(Costs!$J$4:$J$903&lt;=B596)*(Costs!$K$4:$K$903&gt;B596)*Costs!$E$4:$E$903),0)</f>
        <v>8000</v>
      </c>
      <c r="F596" s="11" t="n">
        <f aca="false">IF(D596=1,SUMIFS(Benefits!$S$4:$S$703,Benefits!$B$4:$B$703,A596,Benefits!$F$4:$F$703,B596,Benefits!$R$4:$R$703,"cash"),0)</f>
        <v>0</v>
      </c>
      <c r="G596" s="11" t="n">
        <f aca="false">IF(D596=1,SUMIFS(Benefits!$S$4:$S$703,Benefits!$B$4:$B$703,A596,Benefits!$F$4:$F$703,B596,Benefits!$R$4:$R$703,"revenue"),0)</f>
        <v>0</v>
      </c>
      <c r="H596" s="11" t="n">
        <f aca="false">IF(D596=1,SUMIFS(Benefits!$S$4:$S$703,Benefits!$B$4:$B$703,A596,Benefits!$F$4:$F$703,B596,Benefits!$R$4:$R$703,"avoided_cost_realised"),0)</f>
        <v>46866.6901</v>
      </c>
      <c r="I596" s="11" t="n">
        <f aca="false">IF(D596=1,SUMIFS(Benefits!$S$4:$S$703,Benefits!$B$4:$B$703,A596,Benefits!$F$4:$F$703,B596,Benefits!$R$4:$R$703,"capacity_converted"),0)</f>
        <v>0</v>
      </c>
      <c r="J596" s="11" t="n">
        <f aca="false">SUM(F596:I596)</f>
        <v>46866.6901</v>
      </c>
      <c r="K596" s="11" t="n">
        <f aca="false">J596-E596</f>
        <v>38866.6901</v>
      </c>
      <c r="L596" s="11" t="n">
        <f aca="false">IF(D596=1,L595+K596,0)</f>
        <v>-358266.6198</v>
      </c>
      <c r="M596" s="11" t="n">
        <f aca="false">IF(D596=1,1/(1+Controls!$B$11)^B596,0)</f>
        <v>0.902475042556374</v>
      </c>
      <c r="N596" s="11" t="n">
        <f aca="false">K596*M596</f>
        <v>35076.2178020229</v>
      </c>
      <c r="O596" s="11" t="n">
        <f aca="false">IF(D596=1,O595+N596,0)</f>
        <v>-335772.056035892</v>
      </c>
      <c r="P596" s="11" t="n">
        <f aca="false">IF(AND(D596=1,L596&lt;0),1,0)</f>
        <v>1</v>
      </c>
      <c r="Q596" s="11" t="n">
        <f aca="false">IF(AND(D596=1,O596&lt;0),1,0)</f>
        <v>1</v>
      </c>
    </row>
    <row r="597" customFormat="false" ht="15" hidden="false" customHeight="false" outlineLevel="0" collapsed="false">
      <c r="A597" s="4" t="s">
        <v>99</v>
      </c>
      <c r="B597" s="4" t="n">
        <v>17</v>
      </c>
      <c r="C597" s="11" t="n">
        <f aca="false">IF(COUNTIF('Scenario inputs'!$A$4:$A$213,Controls!$B$3&amp;"|"&amp;A597)&gt;0,1,0)</f>
        <v>1</v>
      </c>
      <c r="D597" s="11" t="n">
        <f aca="false">IF(AND(C597=1,B597&lt;Controls!$B$12),1,0)</f>
        <v>1</v>
      </c>
      <c r="E597" s="11" t="n">
        <f aca="false">IF(D597=1,SUMPRODUCT((Costs!$B$4:$B$903=A597)*(Costs!$D$4:$D$903="planned")*(Costs!$J$4:$J$903&lt;=B597)*(Costs!$K$4:$K$903&gt;B597)*Costs!$E$4:$E$903),0)</f>
        <v>8000</v>
      </c>
      <c r="F597" s="11" t="n">
        <f aca="false">IF(D597=1,SUMIFS(Benefits!$S$4:$S$703,Benefits!$B$4:$B$703,A597,Benefits!$F$4:$F$703,B597,Benefits!$R$4:$R$703,"cash"),0)</f>
        <v>0</v>
      </c>
      <c r="G597" s="11" t="n">
        <f aca="false">IF(D597=1,SUMIFS(Benefits!$S$4:$S$703,Benefits!$B$4:$B$703,A597,Benefits!$F$4:$F$703,B597,Benefits!$R$4:$R$703,"revenue"),0)</f>
        <v>0</v>
      </c>
      <c r="H597" s="11" t="n">
        <f aca="false">IF(D597=1,SUMIFS(Benefits!$S$4:$S$703,Benefits!$B$4:$B$703,A597,Benefits!$F$4:$F$703,B597,Benefits!$R$4:$R$703,"avoided_cost_realised"),0)</f>
        <v>70300</v>
      </c>
      <c r="I597" s="11" t="n">
        <f aca="false">IF(D597=1,SUMIFS(Benefits!$S$4:$S$703,Benefits!$B$4:$B$703,A597,Benefits!$F$4:$F$703,B597,Benefits!$R$4:$R$703,"capacity_converted"),0)</f>
        <v>0</v>
      </c>
      <c r="J597" s="11" t="n">
        <f aca="false">SUM(F597:I597)</f>
        <v>70300</v>
      </c>
      <c r="K597" s="11" t="n">
        <f aca="false">J597-E597</f>
        <v>62300</v>
      </c>
      <c r="L597" s="11" t="n">
        <f aca="false">IF(D597=1,L596+K597,0)</f>
        <v>-295966.6198</v>
      </c>
      <c r="M597" s="11" t="n">
        <f aca="false">IF(D597=1,1/(1+Controls!$B$11)^B597,0)</f>
        <v>0.896705638478404</v>
      </c>
      <c r="N597" s="11" t="n">
        <f aca="false">K597*M597</f>
        <v>55864.7612772046</v>
      </c>
      <c r="O597" s="11" t="n">
        <f aca="false">IF(D597=1,O596+N597,0)</f>
        <v>-279907.294758687</v>
      </c>
      <c r="P597" s="11" t="n">
        <f aca="false">IF(AND(D597=1,L597&lt;0),1,0)</f>
        <v>1</v>
      </c>
      <c r="Q597" s="11" t="n">
        <f aca="false">IF(AND(D597=1,O597&lt;0),1,0)</f>
        <v>1</v>
      </c>
    </row>
    <row r="598" customFormat="false" ht="15" hidden="false" customHeight="false" outlineLevel="0" collapsed="false">
      <c r="A598" s="4" t="s">
        <v>99</v>
      </c>
      <c r="B598" s="4" t="n">
        <v>18</v>
      </c>
      <c r="C598" s="11" t="n">
        <f aca="false">IF(COUNTIF('Scenario inputs'!$A$4:$A$213,Controls!$B$3&amp;"|"&amp;A598)&gt;0,1,0)</f>
        <v>1</v>
      </c>
      <c r="D598" s="11" t="n">
        <f aca="false">IF(AND(C598=1,B598&lt;Controls!$B$12),1,0)</f>
        <v>1</v>
      </c>
      <c r="E598" s="11" t="n">
        <f aca="false">IF(D598=1,SUMPRODUCT((Costs!$B$4:$B$903=A598)*(Costs!$D$4:$D$903="planned")*(Costs!$J$4:$J$903&lt;=B598)*(Costs!$K$4:$K$903&gt;B598)*Costs!$E$4:$E$903),0)</f>
        <v>8000</v>
      </c>
      <c r="F598" s="11" t="n">
        <f aca="false">IF(D598=1,SUMIFS(Benefits!$S$4:$S$703,Benefits!$B$4:$B$703,A598,Benefits!$F$4:$F$703,B598,Benefits!$R$4:$R$703,"cash"),0)</f>
        <v>0</v>
      </c>
      <c r="G598" s="11" t="n">
        <f aca="false">IF(D598=1,SUMIFS(Benefits!$S$4:$S$703,Benefits!$B$4:$B$703,A598,Benefits!$F$4:$F$703,B598,Benefits!$R$4:$R$703,"revenue"),0)</f>
        <v>0</v>
      </c>
      <c r="H598" s="11" t="n">
        <f aca="false">IF(D598=1,SUMIFS(Benefits!$S$4:$S$703,Benefits!$B$4:$B$703,A598,Benefits!$F$4:$F$703,B598,Benefits!$R$4:$R$703,"avoided_cost_realised"),0)</f>
        <v>70300</v>
      </c>
      <c r="I598" s="11" t="n">
        <f aca="false">IF(D598=1,SUMIFS(Benefits!$S$4:$S$703,Benefits!$B$4:$B$703,A598,Benefits!$F$4:$F$703,B598,Benefits!$R$4:$R$703,"capacity_converted"),0)</f>
        <v>0</v>
      </c>
      <c r="J598" s="11" t="n">
        <f aca="false">SUM(F598:I598)</f>
        <v>70300</v>
      </c>
      <c r="K598" s="11" t="n">
        <f aca="false">J598-E598</f>
        <v>62300</v>
      </c>
      <c r="L598" s="11" t="n">
        <f aca="false">IF(D598=1,L597+K598,0)</f>
        <v>-233666.6198</v>
      </c>
      <c r="M598" s="11" t="n">
        <f aca="false">IF(D598=1,1/(1+Controls!$B$11)^B598,0)</f>
        <v>0.89097311744079</v>
      </c>
      <c r="N598" s="11" t="n">
        <f aca="false">K598*M598</f>
        <v>55507.6252165612</v>
      </c>
      <c r="O598" s="11" t="n">
        <f aca="false">IF(D598=1,O597+N598,0)</f>
        <v>-224399.669542126</v>
      </c>
      <c r="P598" s="11" t="n">
        <f aca="false">IF(AND(D598=1,L598&lt;0),1,0)</f>
        <v>1</v>
      </c>
      <c r="Q598" s="11" t="n">
        <f aca="false">IF(AND(D598=1,O598&lt;0),1,0)</f>
        <v>1</v>
      </c>
    </row>
    <row r="599" customFormat="false" ht="15" hidden="false" customHeight="false" outlineLevel="0" collapsed="false">
      <c r="A599" s="4" t="s">
        <v>99</v>
      </c>
      <c r="B599" s="4" t="n">
        <v>19</v>
      </c>
      <c r="C599" s="11" t="n">
        <f aca="false">IF(COUNTIF('Scenario inputs'!$A$4:$A$213,Controls!$B$3&amp;"|"&amp;A599)&gt;0,1,0)</f>
        <v>1</v>
      </c>
      <c r="D599" s="11" t="n">
        <f aca="false">IF(AND(C599=1,B599&lt;Controls!$B$12),1,0)</f>
        <v>1</v>
      </c>
      <c r="E599" s="11" t="n">
        <f aca="false">IF(D599=1,SUMPRODUCT((Costs!$B$4:$B$903=A599)*(Costs!$D$4:$D$903="planned")*(Costs!$J$4:$J$903&lt;=B599)*(Costs!$K$4:$K$903&gt;B599)*Costs!$E$4:$E$903),0)</f>
        <v>8150</v>
      </c>
      <c r="F599" s="11" t="n">
        <f aca="false">IF(D599=1,SUMIFS(Benefits!$S$4:$S$703,Benefits!$B$4:$B$703,A599,Benefits!$F$4:$F$703,B599,Benefits!$R$4:$R$703,"cash"),0)</f>
        <v>0</v>
      </c>
      <c r="G599" s="11" t="n">
        <f aca="false">IF(D599=1,SUMIFS(Benefits!$S$4:$S$703,Benefits!$B$4:$B$703,A599,Benefits!$F$4:$F$703,B599,Benefits!$R$4:$R$703,"revenue"),0)</f>
        <v>0</v>
      </c>
      <c r="H599" s="11" t="n">
        <f aca="false">IF(D599=1,SUMIFS(Benefits!$S$4:$S$703,Benefits!$B$4:$B$703,A599,Benefits!$F$4:$F$703,B599,Benefits!$R$4:$R$703,"avoided_cost_realised"),0)</f>
        <v>70300</v>
      </c>
      <c r="I599" s="11" t="n">
        <f aca="false">IF(D599=1,SUMIFS(Benefits!$S$4:$S$703,Benefits!$B$4:$B$703,A599,Benefits!$F$4:$F$703,B599,Benefits!$R$4:$R$703,"capacity_converted"),0)</f>
        <v>0</v>
      </c>
      <c r="J599" s="11" t="n">
        <f aca="false">SUM(F599:I599)</f>
        <v>70300</v>
      </c>
      <c r="K599" s="11" t="n">
        <f aca="false">J599-E599</f>
        <v>62150</v>
      </c>
      <c r="L599" s="11" t="n">
        <f aca="false">IF(D599=1,L598+K599,0)</f>
        <v>-171516.6198</v>
      </c>
      <c r="M599" s="11" t="n">
        <f aca="false">IF(D599=1,1/(1+Controls!$B$11)^B599,0)</f>
        <v>0.885277243655113</v>
      </c>
      <c r="N599" s="11" t="n">
        <f aca="false">K599*M599</f>
        <v>55019.9806931653</v>
      </c>
      <c r="O599" s="11" t="n">
        <f aca="false">IF(D599=1,O598+N599,0)</f>
        <v>-169379.688848961</v>
      </c>
      <c r="P599" s="11" t="n">
        <f aca="false">IF(AND(D599=1,L599&lt;0),1,0)</f>
        <v>1</v>
      </c>
      <c r="Q599" s="11" t="n">
        <f aca="false">IF(AND(D599=1,O599&lt;0),1,0)</f>
        <v>1</v>
      </c>
    </row>
    <row r="600" customFormat="false" ht="15" hidden="false" customHeight="false" outlineLevel="0" collapsed="false">
      <c r="A600" s="4" t="s">
        <v>99</v>
      </c>
      <c r="B600" s="4" t="n">
        <v>20</v>
      </c>
      <c r="C600" s="11" t="n">
        <f aca="false">IF(COUNTIF('Scenario inputs'!$A$4:$A$213,Controls!$B$3&amp;"|"&amp;A600)&gt;0,1,0)</f>
        <v>1</v>
      </c>
      <c r="D600" s="11" t="n">
        <f aca="false">IF(AND(C600=1,B600&lt;Controls!$B$12),1,0)</f>
        <v>1</v>
      </c>
      <c r="E600" s="11" t="n">
        <f aca="false">IF(D600=1,SUMPRODUCT((Costs!$B$4:$B$903=A600)*(Costs!$D$4:$D$903="planned")*(Costs!$J$4:$J$903&lt;=B600)*(Costs!$K$4:$K$903&gt;B600)*Costs!$E$4:$E$903),0)</f>
        <v>8150</v>
      </c>
      <c r="F600" s="11" t="n">
        <f aca="false">IF(D600=1,SUMIFS(Benefits!$S$4:$S$703,Benefits!$B$4:$B$703,A600,Benefits!$F$4:$F$703,B600,Benefits!$R$4:$R$703,"cash"),0)</f>
        <v>0</v>
      </c>
      <c r="G600" s="11" t="n">
        <f aca="false">IF(D600=1,SUMIFS(Benefits!$S$4:$S$703,Benefits!$B$4:$B$703,A600,Benefits!$F$4:$F$703,B600,Benefits!$R$4:$R$703,"revenue"),0)</f>
        <v>0</v>
      </c>
      <c r="H600" s="11" t="n">
        <f aca="false">IF(D600=1,SUMIFS(Benefits!$S$4:$S$703,Benefits!$B$4:$B$703,A600,Benefits!$F$4:$F$703,B600,Benefits!$R$4:$R$703,"avoided_cost_realised"),0)</f>
        <v>70300</v>
      </c>
      <c r="I600" s="11" t="n">
        <f aca="false">IF(D600=1,SUMIFS(Benefits!$S$4:$S$703,Benefits!$B$4:$B$703,A600,Benefits!$F$4:$F$703,B600,Benefits!$R$4:$R$703,"capacity_converted"),0)</f>
        <v>0</v>
      </c>
      <c r="J600" s="11" t="n">
        <f aca="false">SUM(F600:I600)</f>
        <v>70300</v>
      </c>
      <c r="K600" s="11" t="n">
        <f aca="false">J600-E600</f>
        <v>62150</v>
      </c>
      <c r="L600" s="11" t="n">
        <f aca="false">IF(D600=1,L599+K600,0)</f>
        <v>-109366.6198</v>
      </c>
      <c r="M600" s="11" t="n">
        <f aca="false">IF(D600=1,1/(1+Controls!$B$11)^B600,0)</f>
        <v>0.879617782840318</v>
      </c>
      <c r="N600" s="11" t="n">
        <f aca="false">K600*M600</f>
        <v>54668.2452035258</v>
      </c>
      <c r="O600" s="11" t="n">
        <f aca="false">IF(D600=1,O599+N600,0)</f>
        <v>-114711.443645435</v>
      </c>
      <c r="P600" s="11" t="n">
        <f aca="false">IF(AND(D600=1,L600&lt;0),1,0)</f>
        <v>1</v>
      </c>
      <c r="Q600" s="11" t="n">
        <f aca="false">IF(AND(D600=1,O600&lt;0),1,0)</f>
        <v>1</v>
      </c>
    </row>
    <row r="601" customFormat="false" ht="15" hidden="false" customHeight="false" outlineLevel="0" collapsed="false">
      <c r="A601" s="4" t="s">
        <v>99</v>
      </c>
      <c r="B601" s="4" t="n">
        <v>21</v>
      </c>
      <c r="C601" s="11" t="n">
        <f aca="false">IF(COUNTIF('Scenario inputs'!$A$4:$A$213,Controls!$B$3&amp;"|"&amp;A601)&gt;0,1,0)</f>
        <v>1</v>
      </c>
      <c r="D601" s="11" t="n">
        <f aca="false">IF(AND(C601=1,B601&lt;Controls!$B$12),1,0)</f>
        <v>1</v>
      </c>
      <c r="E601" s="11" t="n">
        <f aca="false">IF(D601=1,SUMPRODUCT((Costs!$B$4:$B$903=A601)*(Costs!$D$4:$D$903="planned")*(Costs!$J$4:$J$903&lt;=B601)*(Costs!$K$4:$K$903&gt;B601)*Costs!$E$4:$E$903),0)</f>
        <v>8150</v>
      </c>
      <c r="F601" s="11" t="n">
        <f aca="false">IF(D601=1,SUMIFS(Benefits!$S$4:$S$703,Benefits!$B$4:$B$703,A601,Benefits!$F$4:$F$703,B601,Benefits!$R$4:$R$703,"cash"),0)</f>
        <v>0</v>
      </c>
      <c r="G601" s="11" t="n">
        <f aca="false">IF(D601=1,SUMIFS(Benefits!$S$4:$S$703,Benefits!$B$4:$B$703,A601,Benefits!$F$4:$F$703,B601,Benefits!$R$4:$R$703,"revenue"),0)</f>
        <v>0</v>
      </c>
      <c r="H601" s="11" t="n">
        <f aca="false">IF(D601=1,SUMIFS(Benefits!$S$4:$S$703,Benefits!$B$4:$B$703,A601,Benefits!$F$4:$F$703,B601,Benefits!$R$4:$R$703,"avoided_cost_realised"),0)</f>
        <v>70300</v>
      </c>
      <c r="I601" s="11" t="n">
        <f aca="false">IF(D601=1,SUMIFS(Benefits!$S$4:$S$703,Benefits!$B$4:$B$703,A601,Benefits!$F$4:$F$703,B601,Benefits!$R$4:$R$703,"capacity_converted"),0)</f>
        <v>0</v>
      </c>
      <c r="J601" s="11" t="n">
        <f aca="false">SUM(F601:I601)</f>
        <v>70300</v>
      </c>
      <c r="K601" s="11" t="n">
        <f aca="false">J601-E601</f>
        <v>62150</v>
      </c>
      <c r="L601" s="11" t="n">
        <f aca="false">IF(D601=1,L600+K601,0)</f>
        <v>-47216.6198</v>
      </c>
      <c r="M601" s="11" t="n">
        <f aca="false">IF(D601=1,1/(1+Controls!$B$11)^B601,0)</f>
        <v>0.873994502213079</v>
      </c>
      <c r="N601" s="11" t="n">
        <f aca="false">K601*M601</f>
        <v>54318.7583125429</v>
      </c>
      <c r="O601" s="11" t="n">
        <f aca="false">IF(D601=1,O600+N601,0)</f>
        <v>-60392.6853328919</v>
      </c>
      <c r="P601" s="11" t="n">
        <f aca="false">IF(AND(D601=1,L601&lt;0),1,0)</f>
        <v>1</v>
      </c>
      <c r="Q601" s="11" t="n">
        <f aca="false">IF(AND(D601=1,O601&lt;0),1,0)</f>
        <v>1</v>
      </c>
    </row>
    <row r="602" customFormat="false" ht="15" hidden="false" customHeight="false" outlineLevel="0" collapsed="false">
      <c r="A602" s="4" t="s">
        <v>99</v>
      </c>
      <c r="B602" s="4" t="n">
        <v>22</v>
      </c>
      <c r="C602" s="11" t="n">
        <f aca="false">IF(COUNTIF('Scenario inputs'!$A$4:$A$213,Controls!$B$3&amp;"|"&amp;A602)&gt;0,1,0)</f>
        <v>1</v>
      </c>
      <c r="D602" s="11" t="n">
        <f aca="false">IF(AND(C602=1,B602&lt;Controls!$B$12),1,0)</f>
        <v>1</v>
      </c>
      <c r="E602" s="11" t="n">
        <f aca="false">IF(D602=1,SUMPRODUCT((Costs!$B$4:$B$903=A602)*(Costs!$D$4:$D$903="planned")*(Costs!$J$4:$J$903&lt;=B602)*(Costs!$K$4:$K$903&gt;B602)*Costs!$E$4:$E$903),0)</f>
        <v>8150</v>
      </c>
      <c r="F602" s="11" t="n">
        <f aca="false">IF(D602=1,SUMIFS(Benefits!$S$4:$S$703,Benefits!$B$4:$B$703,A602,Benefits!$F$4:$F$703,B602,Benefits!$R$4:$R$703,"cash"),0)</f>
        <v>0</v>
      </c>
      <c r="G602" s="11" t="n">
        <f aca="false">IF(D602=1,SUMIFS(Benefits!$S$4:$S$703,Benefits!$B$4:$B$703,A602,Benefits!$F$4:$F$703,B602,Benefits!$R$4:$R$703,"revenue"),0)</f>
        <v>0</v>
      </c>
      <c r="H602" s="11" t="n">
        <f aca="false">IF(D602=1,SUMIFS(Benefits!$S$4:$S$703,Benefits!$B$4:$B$703,A602,Benefits!$F$4:$F$703,B602,Benefits!$R$4:$R$703,"avoided_cost_realised"),0)</f>
        <v>70300</v>
      </c>
      <c r="I602" s="11" t="n">
        <f aca="false">IF(D602=1,SUMIFS(Benefits!$S$4:$S$703,Benefits!$B$4:$B$703,A602,Benefits!$F$4:$F$703,B602,Benefits!$R$4:$R$703,"capacity_converted"),0)</f>
        <v>0</v>
      </c>
      <c r="J602" s="11" t="n">
        <f aca="false">SUM(F602:I602)</f>
        <v>70300</v>
      </c>
      <c r="K602" s="11" t="n">
        <f aca="false">J602-E602</f>
        <v>62150</v>
      </c>
      <c r="L602" s="11" t="n">
        <f aca="false">IF(D602=1,L601+K602,0)</f>
        <v>14933.3802</v>
      </c>
      <c r="M602" s="11" t="n">
        <f aca="false">IF(D602=1,1/(1+Controls!$B$11)^B602,0)</f>
        <v>0.868407170478222</v>
      </c>
      <c r="N602" s="11" t="n">
        <f aca="false">K602*M602</f>
        <v>53971.5056452215</v>
      </c>
      <c r="O602" s="11" t="n">
        <f aca="false">IF(D602=1,O601+N602,0)</f>
        <v>-6421.17968767043</v>
      </c>
      <c r="P602" s="11" t="n">
        <f aca="false">IF(AND(D602=1,L602&lt;0),1,0)</f>
        <v>0</v>
      </c>
      <c r="Q602" s="11" t="n">
        <f aca="false">IF(AND(D602=1,O602&lt;0),1,0)</f>
        <v>1</v>
      </c>
    </row>
    <row r="603" customFormat="false" ht="15" hidden="false" customHeight="false" outlineLevel="0" collapsed="false">
      <c r="A603" s="4" t="s">
        <v>99</v>
      </c>
      <c r="B603" s="4" t="n">
        <v>23</v>
      </c>
      <c r="C603" s="11" t="n">
        <f aca="false">IF(COUNTIF('Scenario inputs'!$A$4:$A$213,Controls!$B$3&amp;"|"&amp;A603)&gt;0,1,0)</f>
        <v>1</v>
      </c>
      <c r="D603" s="11" t="n">
        <f aca="false">IF(AND(C603=1,B603&lt;Controls!$B$12),1,0)</f>
        <v>1</v>
      </c>
      <c r="E603" s="11" t="n">
        <f aca="false">IF(D603=1,SUMPRODUCT((Costs!$B$4:$B$903=A603)*(Costs!$D$4:$D$903="planned")*(Costs!$J$4:$J$903&lt;=B603)*(Costs!$K$4:$K$903&gt;B603)*Costs!$E$4:$E$903),0)</f>
        <v>8150</v>
      </c>
      <c r="F603" s="11" t="n">
        <f aca="false">IF(D603=1,SUMIFS(Benefits!$S$4:$S$703,Benefits!$B$4:$B$703,A603,Benefits!$F$4:$F$703,B603,Benefits!$R$4:$R$703,"cash"),0)</f>
        <v>0</v>
      </c>
      <c r="G603" s="11" t="n">
        <f aca="false">IF(D603=1,SUMIFS(Benefits!$S$4:$S$703,Benefits!$B$4:$B$703,A603,Benefits!$F$4:$F$703,B603,Benefits!$R$4:$R$703,"revenue"),0)</f>
        <v>0</v>
      </c>
      <c r="H603" s="11" t="n">
        <f aca="false">IF(D603=1,SUMIFS(Benefits!$S$4:$S$703,Benefits!$B$4:$B$703,A603,Benefits!$F$4:$F$703,B603,Benefits!$R$4:$R$703,"avoided_cost_realised"),0)</f>
        <v>70300</v>
      </c>
      <c r="I603" s="11" t="n">
        <f aca="false">IF(D603=1,SUMIFS(Benefits!$S$4:$S$703,Benefits!$B$4:$B$703,A603,Benefits!$F$4:$F$703,B603,Benefits!$R$4:$R$703,"capacity_converted"),0)</f>
        <v>0</v>
      </c>
      <c r="J603" s="11" t="n">
        <f aca="false">SUM(F603:I603)</f>
        <v>70300</v>
      </c>
      <c r="K603" s="11" t="n">
        <f aca="false">J603-E603</f>
        <v>62150</v>
      </c>
      <c r="L603" s="11" t="n">
        <f aca="false">IF(D603=1,L602+K603,0)</f>
        <v>77083.3802</v>
      </c>
      <c r="M603" s="11" t="n">
        <f aca="false">IF(D603=1,1/(1+Controls!$B$11)^B603,0)</f>
        <v>0.862855557819213</v>
      </c>
      <c r="N603" s="11" t="n">
        <f aca="false">K603*M603</f>
        <v>53626.4729184641</v>
      </c>
      <c r="O603" s="11" t="n">
        <f aca="false">IF(D603=1,O602+N603,0)</f>
        <v>47205.2932307937</v>
      </c>
      <c r="P603" s="11" t="n">
        <f aca="false">IF(AND(D603=1,L603&lt;0),1,0)</f>
        <v>0</v>
      </c>
      <c r="Q603" s="11" t="n">
        <f aca="false">IF(AND(D603=1,O603&lt;0),1,0)</f>
        <v>0</v>
      </c>
    </row>
    <row r="604" customFormat="false" ht="15" hidden="false" customHeight="false" outlineLevel="0" collapsed="false">
      <c r="A604" s="4" t="s">
        <v>99</v>
      </c>
      <c r="B604" s="4" t="n">
        <v>24</v>
      </c>
      <c r="C604" s="11" t="n">
        <f aca="false">IF(COUNTIF('Scenario inputs'!$A$4:$A$213,Controls!$B$3&amp;"|"&amp;A604)&gt;0,1,0)</f>
        <v>1</v>
      </c>
      <c r="D604" s="11" t="n">
        <f aca="false">IF(AND(C604=1,B604&lt;Controls!$B$12),1,0)</f>
        <v>1</v>
      </c>
      <c r="E604" s="11" t="n">
        <f aca="false">IF(D604=1,SUMPRODUCT((Costs!$B$4:$B$903=A604)*(Costs!$D$4:$D$903="planned")*(Costs!$J$4:$J$903&lt;=B604)*(Costs!$K$4:$K$903&gt;B604)*Costs!$E$4:$E$903),0)</f>
        <v>8150</v>
      </c>
      <c r="F604" s="11" t="n">
        <f aca="false">IF(D604=1,SUMIFS(Benefits!$S$4:$S$703,Benefits!$B$4:$B$703,A604,Benefits!$F$4:$F$703,B604,Benefits!$R$4:$R$703,"cash"),0)</f>
        <v>0</v>
      </c>
      <c r="G604" s="11" t="n">
        <f aca="false">IF(D604=1,SUMIFS(Benefits!$S$4:$S$703,Benefits!$B$4:$B$703,A604,Benefits!$F$4:$F$703,B604,Benefits!$R$4:$R$703,"revenue"),0)</f>
        <v>0</v>
      </c>
      <c r="H604" s="11" t="n">
        <f aca="false">IF(D604=1,SUMIFS(Benefits!$S$4:$S$703,Benefits!$B$4:$B$703,A604,Benefits!$F$4:$F$703,B604,Benefits!$R$4:$R$703,"avoided_cost_realised"),0)</f>
        <v>70300</v>
      </c>
      <c r="I604" s="11" t="n">
        <f aca="false">IF(D604=1,SUMIFS(Benefits!$S$4:$S$703,Benefits!$B$4:$B$703,A604,Benefits!$F$4:$F$703,B604,Benefits!$R$4:$R$703,"capacity_converted"),0)</f>
        <v>0</v>
      </c>
      <c r="J604" s="11" t="n">
        <f aca="false">SUM(F604:I604)</f>
        <v>70300</v>
      </c>
      <c r="K604" s="11" t="n">
        <f aca="false">J604-E604</f>
        <v>62150</v>
      </c>
      <c r="L604" s="11" t="n">
        <f aca="false">IF(D604=1,L603+K604,0)</f>
        <v>139233.3802</v>
      </c>
      <c r="M604" s="11" t="n">
        <f aca="false">IF(D604=1,1/(1+Controls!$B$11)^B604,0)</f>
        <v>0.857339435888705</v>
      </c>
      <c r="N604" s="11" t="n">
        <f aca="false">K604*M604</f>
        <v>53283.645940483</v>
      </c>
      <c r="O604" s="11" t="n">
        <f aca="false">IF(D604=1,O603+N604,0)</f>
        <v>100488.939171277</v>
      </c>
      <c r="P604" s="11" t="n">
        <f aca="false">IF(AND(D604=1,L604&lt;0),1,0)</f>
        <v>0</v>
      </c>
      <c r="Q604" s="11" t="n">
        <f aca="false">IF(AND(D604=1,O604&lt;0),1,0)</f>
        <v>0</v>
      </c>
    </row>
    <row r="605" customFormat="false" ht="15" hidden="false" customHeight="false" outlineLevel="0" collapsed="false">
      <c r="A605" s="4" t="s">
        <v>99</v>
      </c>
      <c r="B605" s="4" t="n">
        <v>25</v>
      </c>
      <c r="C605" s="11" t="n">
        <f aca="false">IF(COUNTIF('Scenario inputs'!$A$4:$A$213,Controls!$B$3&amp;"|"&amp;A605)&gt;0,1,0)</f>
        <v>1</v>
      </c>
      <c r="D605" s="11" t="n">
        <f aca="false">IF(AND(C605=1,B605&lt;Controls!$B$12),1,0)</f>
        <v>1</v>
      </c>
      <c r="E605" s="11" t="n">
        <f aca="false">IF(D605=1,SUMPRODUCT((Costs!$B$4:$B$903=A605)*(Costs!$D$4:$D$903="planned")*(Costs!$J$4:$J$903&lt;=B605)*(Costs!$K$4:$K$903&gt;B605)*Costs!$E$4:$E$903),0)</f>
        <v>8150</v>
      </c>
      <c r="F605" s="11" t="n">
        <f aca="false">IF(D605=1,SUMIFS(Benefits!$S$4:$S$703,Benefits!$B$4:$B$703,A605,Benefits!$F$4:$F$703,B605,Benefits!$R$4:$R$703,"cash"),0)</f>
        <v>0</v>
      </c>
      <c r="G605" s="11" t="n">
        <f aca="false">IF(D605=1,SUMIFS(Benefits!$S$4:$S$703,Benefits!$B$4:$B$703,A605,Benefits!$F$4:$F$703,B605,Benefits!$R$4:$R$703,"revenue"),0)</f>
        <v>0</v>
      </c>
      <c r="H605" s="11" t="n">
        <f aca="false">IF(D605=1,SUMIFS(Benefits!$S$4:$S$703,Benefits!$B$4:$B$703,A605,Benefits!$F$4:$F$703,B605,Benefits!$R$4:$R$703,"avoided_cost_realised"),0)</f>
        <v>0</v>
      </c>
      <c r="I605" s="11" t="n">
        <f aca="false">IF(D605=1,SUMIFS(Benefits!$S$4:$S$703,Benefits!$B$4:$B$703,A605,Benefits!$F$4:$F$703,B605,Benefits!$R$4:$R$703,"capacity_converted"),0)</f>
        <v>0</v>
      </c>
      <c r="J605" s="11" t="n">
        <f aca="false">SUM(F605:I605)</f>
        <v>0</v>
      </c>
      <c r="K605" s="11" t="n">
        <f aca="false">J605-E605</f>
        <v>-8150</v>
      </c>
      <c r="L605" s="11" t="n">
        <f aca="false">IF(D605=1,L604+K605,0)</f>
        <v>131083.3802</v>
      </c>
      <c r="M605" s="11" t="n">
        <f aca="false">IF(D605=1,1/(1+Controls!$B$11)^B605,0)</f>
        <v>0.851858577799146</v>
      </c>
      <c r="N605" s="11" t="n">
        <f aca="false">K605*M605</f>
        <v>-6942.64740906304</v>
      </c>
      <c r="O605" s="11" t="n">
        <f aca="false">IF(D605=1,O604+N605,0)</f>
        <v>93546.2917622137</v>
      </c>
      <c r="P605" s="11" t="n">
        <f aca="false">IF(AND(D605=1,L605&lt;0),1,0)</f>
        <v>0</v>
      </c>
      <c r="Q605" s="11" t="n">
        <f aca="false">IF(AND(D605=1,O605&lt;0),1,0)</f>
        <v>0</v>
      </c>
    </row>
    <row r="606" customFormat="false" ht="15" hidden="false" customHeight="false" outlineLevel="0" collapsed="false">
      <c r="A606" s="4" t="s">
        <v>99</v>
      </c>
      <c r="B606" s="4" t="n">
        <v>26</v>
      </c>
      <c r="C606" s="11" t="n">
        <f aca="false">IF(COUNTIF('Scenario inputs'!$A$4:$A$213,Controls!$B$3&amp;"|"&amp;A606)&gt;0,1,0)</f>
        <v>1</v>
      </c>
      <c r="D606" s="11" t="n">
        <f aca="false">IF(AND(C606=1,B606&lt;Controls!$B$12),1,0)</f>
        <v>1</v>
      </c>
      <c r="E606" s="11" t="n">
        <f aca="false">IF(D606=1,SUMPRODUCT((Costs!$B$4:$B$903=A606)*(Costs!$D$4:$D$903="planned")*(Costs!$J$4:$J$903&lt;=B606)*(Costs!$K$4:$K$903&gt;B606)*Costs!$E$4:$E$903),0)</f>
        <v>0</v>
      </c>
      <c r="F606" s="11" t="n">
        <f aca="false">IF(D606=1,SUMIFS(Benefits!$S$4:$S$703,Benefits!$B$4:$B$703,A606,Benefits!$F$4:$F$703,B606,Benefits!$R$4:$R$703,"cash"),0)</f>
        <v>0</v>
      </c>
      <c r="G606" s="11" t="n">
        <f aca="false">IF(D606=1,SUMIFS(Benefits!$S$4:$S$703,Benefits!$B$4:$B$703,A606,Benefits!$F$4:$F$703,B606,Benefits!$R$4:$R$703,"revenue"),0)</f>
        <v>0</v>
      </c>
      <c r="H606" s="11" t="n">
        <f aca="false">IF(D606=1,SUMIFS(Benefits!$S$4:$S$703,Benefits!$B$4:$B$703,A606,Benefits!$F$4:$F$703,B606,Benefits!$R$4:$R$703,"avoided_cost_realised"),0)</f>
        <v>0</v>
      </c>
      <c r="I606" s="11" t="n">
        <f aca="false">IF(D606=1,SUMIFS(Benefits!$S$4:$S$703,Benefits!$B$4:$B$703,A606,Benefits!$F$4:$F$703,B606,Benefits!$R$4:$R$703,"capacity_converted"),0)</f>
        <v>0</v>
      </c>
      <c r="J606" s="11" t="n">
        <f aca="false">SUM(F606:I606)</f>
        <v>0</v>
      </c>
      <c r="K606" s="11" t="n">
        <f aca="false">J606-E606</f>
        <v>0</v>
      </c>
      <c r="L606" s="11" t="n">
        <f aca="false">IF(D606=1,L605+K606,0)</f>
        <v>131083.3802</v>
      </c>
      <c r="M606" s="11" t="n">
        <f aca="false">IF(D606=1,1/(1+Controls!$B$11)^B606,0)</f>
        <v>0.846412758113444</v>
      </c>
      <c r="N606" s="11" t="n">
        <f aca="false">K606*M606</f>
        <v>0</v>
      </c>
      <c r="O606" s="11" t="n">
        <f aca="false">IF(D606=1,O605+N606,0)</f>
        <v>93546.2917622137</v>
      </c>
      <c r="P606" s="11" t="n">
        <f aca="false">IF(AND(D606=1,L606&lt;0),1,0)</f>
        <v>0</v>
      </c>
      <c r="Q606" s="11" t="n">
        <f aca="false">IF(AND(D606=1,O606&lt;0),1,0)</f>
        <v>0</v>
      </c>
    </row>
    <row r="607" customFormat="false" ht="15" hidden="false" customHeight="false" outlineLevel="0" collapsed="false">
      <c r="A607" s="4" t="s">
        <v>99</v>
      </c>
      <c r="B607" s="4" t="n">
        <v>27</v>
      </c>
      <c r="C607" s="11" t="n">
        <f aca="false">IF(COUNTIF('Scenario inputs'!$A$4:$A$213,Controls!$B$3&amp;"|"&amp;A607)&gt;0,1,0)</f>
        <v>1</v>
      </c>
      <c r="D607" s="11" t="n">
        <f aca="false">IF(AND(C607=1,B607&lt;Controls!$B$12),1,0)</f>
        <v>1</v>
      </c>
      <c r="E607" s="11" t="n">
        <f aca="false">IF(D607=1,SUMPRODUCT((Costs!$B$4:$B$903=A607)*(Costs!$D$4:$D$903="planned")*(Costs!$J$4:$J$903&lt;=B607)*(Costs!$K$4:$K$903&gt;B607)*Costs!$E$4:$E$903),0)</f>
        <v>0</v>
      </c>
      <c r="F607" s="11" t="n">
        <f aca="false">IF(D607=1,SUMIFS(Benefits!$S$4:$S$703,Benefits!$B$4:$B$703,A607,Benefits!$F$4:$F$703,B607,Benefits!$R$4:$R$703,"cash"),0)</f>
        <v>0</v>
      </c>
      <c r="G607" s="11" t="n">
        <f aca="false">IF(D607=1,SUMIFS(Benefits!$S$4:$S$703,Benefits!$B$4:$B$703,A607,Benefits!$F$4:$F$703,B607,Benefits!$R$4:$R$703,"revenue"),0)</f>
        <v>0</v>
      </c>
      <c r="H607" s="11" t="n">
        <f aca="false">IF(D607=1,SUMIFS(Benefits!$S$4:$S$703,Benefits!$B$4:$B$703,A607,Benefits!$F$4:$F$703,B607,Benefits!$R$4:$R$703,"avoided_cost_realised"),0)</f>
        <v>0</v>
      </c>
      <c r="I607" s="11" t="n">
        <f aca="false">IF(D607=1,SUMIFS(Benefits!$S$4:$S$703,Benefits!$B$4:$B$703,A607,Benefits!$F$4:$F$703,B607,Benefits!$R$4:$R$703,"capacity_converted"),0)</f>
        <v>0</v>
      </c>
      <c r="J607" s="11" t="n">
        <f aca="false">SUM(F607:I607)</f>
        <v>0</v>
      </c>
      <c r="K607" s="11" t="n">
        <f aca="false">J607-E607</f>
        <v>0</v>
      </c>
      <c r="L607" s="11" t="n">
        <f aca="false">IF(D607=1,L606+K607,0)</f>
        <v>131083.3802</v>
      </c>
      <c r="M607" s="11" t="n">
        <f aca="false">IF(D607=1,1/(1+Controls!$B$11)^B607,0)</f>
        <v>0.841001752835699</v>
      </c>
      <c r="N607" s="11" t="n">
        <f aca="false">K607*M607</f>
        <v>0</v>
      </c>
      <c r="O607" s="11" t="n">
        <f aca="false">IF(D607=1,O606+N607,0)</f>
        <v>93546.2917622137</v>
      </c>
      <c r="P607" s="11" t="n">
        <f aca="false">IF(AND(D607=1,L607&lt;0),1,0)</f>
        <v>0</v>
      </c>
      <c r="Q607" s="11" t="n">
        <f aca="false">IF(AND(D607=1,O607&lt;0),1,0)</f>
        <v>0</v>
      </c>
    </row>
    <row r="608" customFormat="false" ht="15" hidden="false" customHeight="false" outlineLevel="0" collapsed="false">
      <c r="A608" s="4" t="s">
        <v>99</v>
      </c>
      <c r="B608" s="4" t="n">
        <v>28</v>
      </c>
      <c r="C608" s="11" t="n">
        <f aca="false">IF(COUNTIF('Scenario inputs'!$A$4:$A$213,Controls!$B$3&amp;"|"&amp;A608)&gt;0,1,0)</f>
        <v>1</v>
      </c>
      <c r="D608" s="11" t="n">
        <f aca="false">IF(AND(C608=1,B608&lt;Controls!$B$12),1,0)</f>
        <v>1</v>
      </c>
      <c r="E608" s="11" t="n">
        <f aca="false">IF(D608=1,SUMPRODUCT((Costs!$B$4:$B$903=A608)*(Costs!$D$4:$D$903="planned")*(Costs!$J$4:$J$903&lt;=B608)*(Costs!$K$4:$K$903&gt;B608)*Costs!$E$4:$E$903),0)</f>
        <v>0</v>
      </c>
      <c r="F608" s="11" t="n">
        <f aca="false">IF(D608=1,SUMIFS(Benefits!$S$4:$S$703,Benefits!$B$4:$B$703,A608,Benefits!$F$4:$F$703,B608,Benefits!$R$4:$R$703,"cash"),0)</f>
        <v>0</v>
      </c>
      <c r="G608" s="11" t="n">
        <f aca="false">IF(D608=1,SUMIFS(Benefits!$S$4:$S$703,Benefits!$B$4:$B$703,A608,Benefits!$F$4:$F$703,B608,Benefits!$R$4:$R$703,"revenue"),0)</f>
        <v>0</v>
      </c>
      <c r="H608" s="11" t="n">
        <f aca="false">IF(D608=1,SUMIFS(Benefits!$S$4:$S$703,Benefits!$B$4:$B$703,A608,Benefits!$F$4:$F$703,B608,Benefits!$R$4:$R$703,"avoided_cost_realised"),0)</f>
        <v>0</v>
      </c>
      <c r="I608" s="11" t="n">
        <f aca="false">IF(D608=1,SUMIFS(Benefits!$S$4:$S$703,Benefits!$B$4:$B$703,A608,Benefits!$F$4:$F$703,B608,Benefits!$R$4:$R$703,"capacity_converted"),0)</f>
        <v>0</v>
      </c>
      <c r="J608" s="11" t="n">
        <f aca="false">SUM(F608:I608)</f>
        <v>0</v>
      </c>
      <c r="K608" s="11" t="n">
        <f aca="false">J608-E608</f>
        <v>0</v>
      </c>
      <c r="L608" s="11" t="n">
        <f aca="false">IF(D608=1,L607+K608,0)</f>
        <v>131083.3802</v>
      </c>
      <c r="M608" s="11" t="n">
        <f aca="false">IF(D608=1,1/(1+Controls!$B$11)^B608,0)</f>
        <v>0.835625339401986</v>
      </c>
      <c r="N608" s="11" t="n">
        <f aca="false">K608*M608</f>
        <v>0</v>
      </c>
      <c r="O608" s="11" t="n">
        <f aca="false">IF(D608=1,O607+N608,0)</f>
        <v>93546.2917622137</v>
      </c>
      <c r="P608" s="11" t="n">
        <f aca="false">IF(AND(D608=1,L608&lt;0),1,0)</f>
        <v>0</v>
      </c>
      <c r="Q608" s="11" t="n">
        <f aca="false">IF(AND(D608=1,O608&lt;0),1,0)</f>
        <v>0</v>
      </c>
    </row>
    <row r="609" customFormat="false" ht="15" hidden="false" customHeight="false" outlineLevel="0" collapsed="false">
      <c r="A609" s="4" t="s">
        <v>99</v>
      </c>
      <c r="B609" s="4" t="n">
        <v>29</v>
      </c>
      <c r="C609" s="11" t="n">
        <f aca="false">IF(COUNTIF('Scenario inputs'!$A$4:$A$213,Controls!$B$3&amp;"|"&amp;A609)&gt;0,1,0)</f>
        <v>1</v>
      </c>
      <c r="D609" s="11" t="n">
        <f aca="false">IF(AND(C609=1,B609&lt;Controls!$B$12),1,0)</f>
        <v>1</v>
      </c>
      <c r="E609" s="11" t="n">
        <f aca="false">IF(D609=1,SUMPRODUCT((Costs!$B$4:$B$903=A609)*(Costs!$D$4:$D$903="planned")*(Costs!$J$4:$J$903&lt;=B609)*(Costs!$K$4:$K$903&gt;B609)*Costs!$E$4:$E$903),0)</f>
        <v>0</v>
      </c>
      <c r="F609" s="11" t="n">
        <f aca="false">IF(D609=1,SUMIFS(Benefits!$S$4:$S$703,Benefits!$B$4:$B$703,A609,Benefits!$F$4:$F$703,B609,Benefits!$R$4:$R$703,"cash"),0)</f>
        <v>0</v>
      </c>
      <c r="G609" s="11" t="n">
        <f aca="false">IF(D609=1,SUMIFS(Benefits!$S$4:$S$703,Benefits!$B$4:$B$703,A609,Benefits!$F$4:$F$703,B609,Benefits!$R$4:$R$703,"revenue"),0)</f>
        <v>0</v>
      </c>
      <c r="H609" s="11" t="n">
        <f aca="false">IF(D609=1,SUMIFS(Benefits!$S$4:$S$703,Benefits!$B$4:$B$703,A609,Benefits!$F$4:$F$703,B609,Benefits!$R$4:$R$703,"avoided_cost_realised"),0)</f>
        <v>0</v>
      </c>
      <c r="I609" s="11" t="n">
        <f aca="false">IF(D609=1,SUMIFS(Benefits!$S$4:$S$703,Benefits!$B$4:$B$703,A609,Benefits!$F$4:$F$703,B609,Benefits!$R$4:$R$703,"capacity_converted"),0)</f>
        <v>0</v>
      </c>
      <c r="J609" s="11" t="n">
        <f aca="false">SUM(F609:I609)</f>
        <v>0</v>
      </c>
      <c r="K609" s="11" t="n">
        <f aca="false">J609-E609</f>
        <v>0</v>
      </c>
      <c r="L609" s="11" t="n">
        <f aca="false">IF(D609=1,L608+K609,0)</f>
        <v>131083.3802</v>
      </c>
      <c r="M609" s="11" t="n">
        <f aca="false">IF(D609=1,1/(1+Controls!$B$11)^B609,0)</f>
        <v>0.830283296671204</v>
      </c>
      <c r="N609" s="11" t="n">
        <f aca="false">K609*M609</f>
        <v>0</v>
      </c>
      <c r="O609" s="11" t="n">
        <f aca="false">IF(D609=1,O608+N609,0)</f>
        <v>93546.2917622137</v>
      </c>
      <c r="P609" s="11" t="n">
        <f aca="false">IF(AND(D609=1,L609&lt;0),1,0)</f>
        <v>0</v>
      </c>
      <c r="Q609" s="11" t="n">
        <f aca="false">IF(AND(D609=1,O609&lt;0),1,0)</f>
        <v>0</v>
      </c>
    </row>
    <row r="610" customFormat="false" ht="15" hidden="false" customHeight="false" outlineLevel="0" collapsed="false">
      <c r="A610" s="4" t="s">
        <v>99</v>
      </c>
      <c r="B610" s="4" t="n">
        <v>30</v>
      </c>
      <c r="C610" s="11" t="n">
        <f aca="false">IF(COUNTIF('Scenario inputs'!$A$4:$A$213,Controls!$B$3&amp;"|"&amp;A610)&gt;0,1,0)</f>
        <v>1</v>
      </c>
      <c r="D610" s="11" t="n">
        <f aca="false">IF(AND(C610=1,B610&lt;Controls!$B$12),1,0)</f>
        <v>1</v>
      </c>
      <c r="E610" s="11" t="n">
        <f aca="false">IF(D610=1,SUMPRODUCT((Costs!$B$4:$B$903=A610)*(Costs!$D$4:$D$903="planned")*(Costs!$J$4:$J$903&lt;=B610)*(Costs!$K$4:$K$903&gt;B610)*Costs!$E$4:$E$903),0)</f>
        <v>0</v>
      </c>
      <c r="F610" s="11" t="n">
        <f aca="false">IF(D610=1,SUMIFS(Benefits!$S$4:$S$703,Benefits!$B$4:$B$703,A610,Benefits!$F$4:$F$703,B610,Benefits!$R$4:$R$703,"cash"),0)</f>
        <v>0</v>
      </c>
      <c r="G610" s="11" t="n">
        <f aca="false">IF(D610=1,SUMIFS(Benefits!$S$4:$S$703,Benefits!$B$4:$B$703,A610,Benefits!$F$4:$F$703,B610,Benefits!$R$4:$R$703,"revenue"),0)</f>
        <v>0</v>
      </c>
      <c r="H610" s="11" t="n">
        <f aca="false">IF(D610=1,SUMIFS(Benefits!$S$4:$S$703,Benefits!$B$4:$B$703,A610,Benefits!$F$4:$F$703,B610,Benefits!$R$4:$R$703,"avoided_cost_realised"),0)</f>
        <v>0</v>
      </c>
      <c r="I610" s="11" t="n">
        <f aca="false">IF(D610=1,SUMIFS(Benefits!$S$4:$S$703,Benefits!$B$4:$B$703,A610,Benefits!$F$4:$F$703,B610,Benefits!$R$4:$R$703,"capacity_converted"),0)</f>
        <v>0</v>
      </c>
      <c r="J610" s="11" t="n">
        <f aca="false">SUM(F610:I610)</f>
        <v>0</v>
      </c>
      <c r="K610" s="11" t="n">
        <f aca="false">J610-E610</f>
        <v>0</v>
      </c>
      <c r="L610" s="11" t="n">
        <f aca="false">IF(D610=1,L609+K610,0)</f>
        <v>131083.3802</v>
      </c>
      <c r="M610" s="11" t="n">
        <f aca="false">IF(D610=1,1/(1+Controls!$B$11)^B610,0)</f>
        <v>0.824975404915974</v>
      </c>
      <c r="N610" s="11" t="n">
        <f aca="false">K610*M610</f>
        <v>0</v>
      </c>
      <c r="O610" s="11" t="n">
        <f aca="false">IF(D610=1,O609+N610,0)</f>
        <v>93546.2917622137</v>
      </c>
      <c r="P610" s="11" t="n">
        <f aca="false">IF(AND(D610=1,L610&lt;0),1,0)</f>
        <v>0</v>
      </c>
      <c r="Q610" s="11" t="n">
        <f aca="false">IF(AND(D610=1,O610&lt;0),1,0)</f>
        <v>0</v>
      </c>
    </row>
    <row r="611" customFormat="false" ht="15" hidden="false" customHeight="false" outlineLevel="0" collapsed="false">
      <c r="A611" s="4" t="s">
        <v>99</v>
      </c>
      <c r="B611" s="4" t="n">
        <v>31</v>
      </c>
      <c r="C611" s="11" t="n">
        <f aca="false">IF(COUNTIF('Scenario inputs'!$A$4:$A$213,Controls!$B$3&amp;"|"&amp;A611)&gt;0,1,0)</f>
        <v>1</v>
      </c>
      <c r="D611" s="11" t="n">
        <f aca="false">IF(AND(C611=1,B611&lt;Controls!$B$12),1,0)</f>
        <v>1</v>
      </c>
      <c r="E611" s="11" t="n">
        <f aca="false">IF(D611=1,SUMPRODUCT((Costs!$B$4:$B$903=A611)*(Costs!$D$4:$D$903="planned")*(Costs!$J$4:$J$903&lt;=B611)*(Costs!$K$4:$K$903&gt;B611)*Costs!$E$4:$E$903),0)</f>
        <v>0</v>
      </c>
      <c r="F611" s="11" t="n">
        <f aca="false">IF(D611=1,SUMIFS(Benefits!$S$4:$S$703,Benefits!$B$4:$B$703,A611,Benefits!$F$4:$F$703,B611,Benefits!$R$4:$R$703,"cash"),0)</f>
        <v>0</v>
      </c>
      <c r="G611" s="11" t="n">
        <f aca="false">IF(D611=1,SUMIFS(Benefits!$S$4:$S$703,Benefits!$B$4:$B$703,A611,Benefits!$F$4:$F$703,B611,Benefits!$R$4:$R$703,"revenue"),0)</f>
        <v>0</v>
      </c>
      <c r="H611" s="11" t="n">
        <f aca="false">IF(D611=1,SUMIFS(Benefits!$S$4:$S$703,Benefits!$B$4:$B$703,A611,Benefits!$F$4:$F$703,B611,Benefits!$R$4:$R$703,"avoided_cost_realised"),0)</f>
        <v>0</v>
      </c>
      <c r="I611" s="11" t="n">
        <f aca="false">IF(D611=1,SUMIFS(Benefits!$S$4:$S$703,Benefits!$B$4:$B$703,A611,Benefits!$F$4:$F$703,B611,Benefits!$R$4:$R$703,"capacity_converted"),0)</f>
        <v>0</v>
      </c>
      <c r="J611" s="11" t="n">
        <f aca="false">SUM(F611:I611)</f>
        <v>0</v>
      </c>
      <c r="K611" s="11" t="n">
        <f aca="false">J611-E611</f>
        <v>0</v>
      </c>
      <c r="L611" s="11" t="n">
        <f aca="false">IF(D611=1,L610+K611,0)</f>
        <v>131083.3802</v>
      </c>
      <c r="M611" s="11" t="n">
        <f aca="false">IF(D611=1,1/(1+Controls!$B$11)^B611,0)</f>
        <v>0.81970144581361</v>
      </c>
      <c r="N611" s="11" t="n">
        <f aca="false">K611*M611</f>
        <v>0</v>
      </c>
      <c r="O611" s="11" t="n">
        <f aca="false">IF(D611=1,O610+N611,0)</f>
        <v>93546.2917622137</v>
      </c>
      <c r="P611" s="11" t="n">
        <f aca="false">IF(AND(D611=1,L611&lt;0),1,0)</f>
        <v>0</v>
      </c>
      <c r="Q611" s="11" t="n">
        <f aca="false">IF(AND(D611=1,O611&lt;0),1,0)</f>
        <v>0</v>
      </c>
    </row>
    <row r="612" customFormat="false" ht="15" hidden="false" customHeight="false" outlineLevel="0" collapsed="false">
      <c r="A612" s="4" t="s">
        <v>99</v>
      </c>
      <c r="B612" s="4" t="n">
        <v>32</v>
      </c>
      <c r="C612" s="11" t="n">
        <f aca="false">IF(COUNTIF('Scenario inputs'!$A$4:$A$213,Controls!$B$3&amp;"|"&amp;A612)&gt;0,1,0)</f>
        <v>1</v>
      </c>
      <c r="D612" s="11" t="n">
        <f aca="false">IF(AND(C612=1,B612&lt;Controls!$B$12),1,0)</f>
        <v>1</v>
      </c>
      <c r="E612" s="11" t="n">
        <f aca="false">IF(D612=1,SUMPRODUCT((Costs!$B$4:$B$903=A612)*(Costs!$D$4:$D$903="planned")*(Costs!$J$4:$J$903&lt;=B612)*(Costs!$K$4:$K$903&gt;B612)*Costs!$E$4:$E$903),0)</f>
        <v>0</v>
      </c>
      <c r="F612" s="11" t="n">
        <f aca="false">IF(D612=1,SUMIFS(Benefits!$S$4:$S$703,Benefits!$B$4:$B$703,A612,Benefits!$F$4:$F$703,B612,Benefits!$R$4:$R$703,"cash"),0)</f>
        <v>0</v>
      </c>
      <c r="G612" s="11" t="n">
        <f aca="false">IF(D612=1,SUMIFS(Benefits!$S$4:$S$703,Benefits!$B$4:$B$703,A612,Benefits!$F$4:$F$703,B612,Benefits!$R$4:$R$703,"revenue"),0)</f>
        <v>0</v>
      </c>
      <c r="H612" s="11" t="n">
        <f aca="false">IF(D612=1,SUMIFS(Benefits!$S$4:$S$703,Benefits!$B$4:$B$703,A612,Benefits!$F$4:$F$703,B612,Benefits!$R$4:$R$703,"avoided_cost_realised"),0)</f>
        <v>0</v>
      </c>
      <c r="I612" s="11" t="n">
        <f aca="false">IF(D612=1,SUMIFS(Benefits!$S$4:$S$703,Benefits!$B$4:$B$703,A612,Benefits!$F$4:$F$703,B612,Benefits!$R$4:$R$703,"capacity_converted"),0)</f>
        <v>0</v>
      </c>
      <c r="J612" s="11" t="n">
        <f aca="false">SUM(F612:I612)</f>
        <v>0</v>
      </c>
      <c r="K612" s="11" t="n">
        <f aca="false">J612-E612</f>
        <v>0</v>
      </c>
      <c r="L612" s="11" t="n">
        <f aca="false">IF(D612=1,L611+K612,0)</f>
        <v>131083.3802</v>
      </c>
      <c r="M612" s="11" t="n">
        <f aca="false">IF(D612=1,1/(1+Controls!$B$11)^B612,0)</f>
        <v>0.814461202437129</v>
      </c>
      <c r="N612" s="11" t="n">
        <f aca="false">K612*M612</f>
        <v>0</v>
      </c>
      <c r="O612" s="11" t="n">
        <f aca="false">IF(D612=1,O611+N612,0)</f>
        <v>93546.2917622137</v>
      </c>
      <c r="P612" s="11" t="n">
        <f aca="false">IF(AND(D612=1,L612&lt;0),1,0)</f>
        <v>0</v>
      </c>
      <c r="Q612" s="11" t="n">
        <f aca="false">IF(AND(D612=1,O612&lt;0),1,0)</f>
        <v>0</v>
      </c>
    </row>
    <row r="613" customFormat="false" ht="15" hidden="false" customHeight="false" outlineLevel="0" collapsed="false">
      <c r="A613" s="4" t="s">
        <v>99</v>
      </c>
      <c r="B613" s="4" t="n">
        <v>33</v>
      </c>
      <c r="C613" s="11" t="n">
        <f aca="false">IF(COUNTIF('Scenario inputs'!$A$4:$A$213,Controls!$B$3&amp;"|"&amp;A613)&gt;0,1,0)</f>
        <v>1</v>
      </c>
      <c r="D613" s="11" t="n">
        <f aca="false">IF(AND(C613=1,B613&lt;Controls!$B$12),1,0)</f>
        <v>1</v>
      </c>
      <c r="E613" s="11" t="n">
        <f aca="false">IF(D613=1,SUMPRODUCT((Costs!$B$4:$B$903=A613)*(Costs!$D$4:$D$903="planned")*(Costs!$J$4:$J$903&lt;=B613)*(Costs!$K$4:$K$903&gt;B613)*Costs!$E$4:$E$903),0)</f>
        <v>0</v>
      </c>
      <c r="F613" s="11" t="n">
        <f aca="false">IF(D613=1,SUMIFS(Benefits!$S$4:$S$703,Benefits!$B$4:$B$703,A613,Benefits!$F$4:$F$703,B613,Benefits!$R$4:$R$703,"cash"),0)</f>
        <v>0</v>
      </c>
      <c r="G613" s="11" t="n">
        <f aca="false">IF(D613=1,SUMIFS(Benefits!$S$4:$S$703,Benefits!$B$4:$B$703,A613,Benefits!$F$4:$F$703,B613,Benefits!$R$4:$R$703,"revenue"),0)</f>
        <v>0</v>
      </c>
      <c r="H613" s="11" t="n">
        <f aca="false">IF(D613=1,SUMIFS(Benefits!$S$4:$S$703,Benefits!$B$4:$B$703,A613,Benefits!$F$4:$F$703,B613,Benefits!$R$4:$R$703,"avoided_cost_realised"),0)</f>
        <v>0</v>
      </c>
      <c r="I613" s="11" t="n">
        <f aca="false">IF(D613=1,SUMIFS(Benefits!$S$4:$S$703,Benefits!$B$4:$B$703,A613,Benefits!$F$4:$F$703,B613,Benefits!$R$4:$R$703,"capacity_converted"),0)</f>
        <v>0</v>
      </c>
      <c r="J613" s="11" t="n">
        <f aca="false">SUM(F613:I613)</f>
        <v>0</v>
      </c>
      <c r="K613" s="11" t="n">
        <f aca="false">J613-E613</f>
        <v>0</v>
      </c>
      <c r="L613" s="11" t="n">
        <f aca="false">IF(D613=1,L612+K613,0)</f>
        <v>131083.3802</v>
      </c>
      <c r="M613" s="11" t="n">
        <f aca="false">IF(D613=1,1/(1+Controls!$B$11)^B613,0)</f>
        <v>0.809254459246338</v>
      </c>
      <c r="N613" s="11" t="n">
        <f aca="false">K613*M613</f>
        <v>0</v>
      </c>
      <c r="O613" s="11" t="n">
        <f aca="false">IF(D613=1,O612+N613,0)</f>
        <v>93546.2917622137</v>
      </c>
      <c r="P613" s="11" t="n">
        <f aca="false">IF(AND(D613=1,L613&lt;0),1,0)</f>
        <v>0</v>
      </c>
      <c r="Q613" s="11" t="n">
        <f aca="false">IF(AND(D613=1,O613&lt;0),1,0)</f>
        <v>0</v>
      </c>
    </row>
    <row r="614" customFormat="false" ht="15" hidden="false" customHeight="false" outlineLevel="0" collapsed="false">
      <c r="A614" s="4" t="s">
        <v>99</v>
      </c>
      <c r="B614" s="4" t="n">
        <v>34</v>
      </c>
      <c r="C614" s="11" t="n">
        <f aca="false">IF(COUNTIF('Scenario inputs'!$A$4:$A$213,Controls!$B$3&amp;"|"&amp;A614)&gt;0,1,0)</f>
        <v>1</v>
      </c>
      <c r="D614" s="11" t="n">
        <f aca="false">IF(AND(C614=1,B614&lt;Controls!$B$12),1,0)</f>
        <v>1</v>
      </c>
      <c r="E614" s="11" t="n">
        <f aca="false">IF(D614=1,SUMPRODUCT((Costs!$B$4:$B$903=A614)*(Costs!$D$4:$D$903="planned")*(Costs!$J$4:$J$903&lt;=B614)*(Costs!$K$4:$K$903&gt;B614)*Costs!$E$4:$E$903),0)</f>
        <v>0</v>
      </c>
      <c r="F614" s="11" t="n">
        <f aca="false">IF(D614=1,SUMIFS(Benefits!$S$4:$S$703,Benefits!$B$4:$B$703,A614,Benefits!$F$4:$F$703,B614,Benefits!$R$4:$R$703,"cash"),0)</f>
        <v>0</v>
      </c>
      <c r="G614" s="11" t="n">
        <f aca="false">IF(D614=1,SUMIFS(Benefits!$S$4:$S$703,Benefits!$B$4:$B$703,A614,Benefits!$F$4:$F$703,B614,Benefits!$R$4:$R$703,"revenue"),0)</f>
        <v>0</v>
      </c>
      <c r="H614" s="11" t="n">
        <f aca="false">IF(D614=1,SUMIFS(Benefits!$S$4:$S$703,Benefits!$B$4:$B$703,A614,Benefits!$F$4:$F$703,B614,Benefits!$R$4:$R$703,"avoided_cost_realised"),0)</f>
        <v>0</v>
      </c>
      <c r="I614" s="11" t="n">
        <f aca="false">IF(D614=1,SUMIFS(Benefits!$S$4:$S$703,Benefits!$B$4:$B$703,A614,Benefits!$F$4:$F$703,B614,Benefits!$R$4:$R$703,"capacity_converted"),0)</f>
        <v>0</v>
      </c>
      <c r="J614" s="11" t="n">
        <f aca="false">SUM(F614:I614)</f>
        <v>0</v>
      </c>
      <c r="K614" s="11" t="n">
        <f aca="false">J614-E614</f>
        <v>0</v>
      </c>
      <c r="L614" s="11" t="n">
        <f aca="false">IF(D614=1,L613+K614,0)</f>
        <v>131083.3802</v>
      </c>
      <c r="M614" s="11" t="n">
        <f aca="false">IF(D614=1,1/(1+Controls!$B$11)^B614,0)</f>
        <v>0.804081002078962</v>
      </c>
      <c r="N614" s="11" t="n">
        <f aca="false">K614*M614</f>
        <v>0</v>
      </c>
      <c r="O614" s="11" t="n">
        <f aca="false">IF(D614=1,O613+N614,0)</f>
        <v>93546.2917622137</v>
      </c>
      <c r="P614" s="11" t="n">
        <f aca="false">IF(AND(D614=1,L614&lt;0),1,0)</f>
        <v>0</v>
      </c>
      <c r="Q614" s="11" t="n">
        <f aca="false">IF(AND(D614=1,O614&lt;0),1,0)</f>
        <v>0</v>
      </c>
    </row>
    <row r="615" customFormat="false" ht="15" hidden="false" customHeight="false" outlineLevel="0" collapsed="false">
      <c r="A615" s="4" t="s">
        <v>99</v>
      </c>
      <c r="B615" s="4" t="n">
        <v>35</v>
      </c>
      <c r="C615" s="11" t="n">
        <f aca="false">IF(COUNTIF('Scenario inputs'!$A$4:$A$213,Controls!$B$3&amp;"|"&amp;A615)&gt;0,1,0)</f>
        <v>1</v>
      </c>
      <c r="D615" s="11" t="n">
        <f aca="false">IF(AND(C615=1,B615&lt;Controls!$B$12),1,0)</f>
        <v>1</v>
      </c>
      <c r="E615" s="11" t="n">
        <f aca="false">IF(D615=1,SUMPRODUCT((Costs!$B$4:$B$903=A615)*(Costs!$D$4:$D$903="planned")*(Costs!$J$4:$J$903&lt;=B615)*(Costs!$K$4:$K$903&gt;B615)*Costs!$E$4:$E$903),0)</f>
        <v>0</v>
      </c>
      <c r="F615" s="11" t="n">
        <f aca="false">IF(D615=1,SUMIFS(Benefits!$S$4:$S$703,Benefits!$B$4:$B$703,A615,Benefits!$F$4:$F$703,B615,Benefits!$R$4:$R$703,"cash"),0)</f>
        <v>0</v>
      </c>
      <c r="G615" s="11" t="n">
        <f aca="false">IF(D615=1,SUMIFS(Benefits!$S$4:$S$703,Benefits!$B$4:$B$703,A615,Benefits!$F$4:$F$703,B615,Benefits!$R$4:$R$703,"revenue"),0)</f>
        <v>0</v>
      </c>
      <c r="H615" s="11" t="n">
        <f aca="false">IF(D615=1,SUMIFS(Benefits!$S$4:$S$703,Benefits!$B$4:$B$703,A615,Benefits!$F$4:$F$703,B615,Benefits!$R$4:$R$703,"avoided_cost_realised"),0)</f>
        <v>0</v>
      </c>
      <c r="I615" s="11" t="n">
        <f aca="false">IF(D615=1,SUMIFS(Benefits!$S$4:$S$703,Benefits!$B$4:$B$703,A615,Benefits!$F$4:$F$703,B615,Benefits!$R$4:$R$703,"capacity_converted"),0)</f>
        <v>0</v>
      </c>
      <c r="J615" s="11" t="n">
        <f aca="false">SUM(F615:I615)</f>
        <v>0</v>
      </c>
      <c r="K615" s="11" t="n">
        <f aca="false">J615-E615</f>
        <v>0</v>
      </c>
      <c r="L615" s="11" t="n">
        <f aca="false">IF(D615=1,L614+K615,0)</f>
        <v>131083.3802</v>
      </c>
      <c r="M615" s="11" t="n">
        <f aca="false">IF(D615=1,1/(1+Controls!$B$11)^B615,0)</f>
        <v>0.798940618141837</v>
      </c>
      <c r="N615" s="11" t="n">
        <f aca="false">K615*M615</f>
        <v>0</v>
      </c>
      <c r="O615" s="11" t="n">
        <f aca="false">IF(D615=1,O614+N615,0)</f>
        <v>93546.2917622137</v>
      </c>
      <c r="P615" s="11" t="n">
        <f aca="false">IF(AND(D615=1,L615&lt;0),1,0)</f>
        <v>0</v>
      </c>
      <c r="Q615" s="11" t="n">
        <f aca="false">IF(AND(D615=1,O615&lt;0),1,0)</f>
        <v>0</v>
      </c>
    </row>
    <row r="616" customFormat="false" ht="15" hidden="false" customHeight="false" outlineLevel="0" collapsed="false">
      <c r="A616" s="4" t="s">
        <v>100</v>
      </c>
      <c r="B616" s="4" t="n">
        <v>0</v>
      </c>
      <c r="C616" s="11" t="n">
        <f aca="false">IF(COUNTIF('Scenario inputs'!$A$4:$A$213,Controls!$B$3&amp;"|"&amp;A616)&gt;0,1,0)</f>
        <v>1</v>
      </c>
      <c r="D616" s="11" t="n">
        <f aca="false">IF(AND(C616=1,B616&lt;Controls!$B$12),1,0)</f>
        <v>1</v>
      </c>
      <c r="E616" s="11" t="n">
        <f aca="false">IF(D616=1,SUMPRODUCT((Costs!$B$4:$B$903=A616)*(Costs!$D$4:$D$903="planned")*(Costs!$J$4:$J$903&lt;=B616)*(Costs!$K$4:$K$903&gt;B616)*Costs!$E$4:$E$903),0)</f>
        <v>10000</v>
      </c>
      <c r="F616" s="11" t="n">
        <f aca="false">IF(D616=1,SUMIFS(Benefits!$S$4:$S$703,Benefits!$B$4:$B$703,A616,Benefits!$F$4:$F$703,B616,Benefits!$R$4:$R$703,"cash"),0)</f>
        <v>0</v>
      </c>
      <c r="G616" s="11" t="n">
        <f aca="false">IF(D616=1,SUMIFS(Benefits!$S$4:$S$703,Benefits!$B$4:$B$703,A616,Benefits!$F$4:$F$703,B616,Benefits!$R$4:$R$703,"revenue"),0)</f>
        <v>0</v>
      </c>
      <c r="H616" s="11" t="n">
        <f aca="false">IF(D616=1,SUMIFS(Benefits!$S$4:$S$703,Benefits!$B$4:$B$703,A616,Benefits!$F$4:$F$703,B616,Benefits!$R$4:$R$703,"avoided_cost_realised"),0)</f>
        <v>0</v>
      </c>
      <c r="I616" s="11" t="n">
        <f aca="false">IF(D616=1,SUMIFS(Benefits!$S$4:$S$703,Benefits!$B$4:$B$703,A616,Benefits!$F$4:$F$703,B616,Benefits!$R$4:$R$703,"capacity_converted"),0)</f>
        <v>0</v>
      </c>
      <c r="J616" s="11" t="n">
        <f aca="false">SUM(F616:I616)</f>
        <v>0</v>
      </c>
      <c r="K616" s="11" t="n">
        <f aca="false">J616-E616</f>
        <v>-10000</v>
      </c>
      <c r="L616" s="11" t="n">
        <f aca="false">IF(D616=1,K616,0)</f>
        <v>-10000</v>
      </c>
      <c r="M616" s="11" t="n">
        <f aca="false">IF(D616=1,1/(1+Controls!$B$11)^B616,0)</f>
        <v>1</v>
      </c>
      <c r="N616" s="11" t="n">
        <f aca="false">K616*M616</f>
        <v>-10000</v>
      </c>
      <c r="O616" s="11" t="n">
        <f aca="false">IF(D616=1,N616,0)</f>
        <v>-10000</v>
      </c>
      <c r="P616" s="11" t="n">
        <f aca="false">IF(AND(D616=1,L616&lt;0),1,0)</f>
        <v>1</v>
      </c>
      <c r="Q616" s="11" t="n">
        <f aca="false">IF(AND(D616=1,O616&lt;0),1,0)</f>
        <v>1</v>
      </c>
    </row>
    <row r="617" customFormat="false" ht="15" hidden="false" customHeight="false" outlineLevel="0" collapsed="false">
      <c r="A617" s="4" t="s">
        <v>100</v>
      </c>
      <c r="B617" s="4" t="n">
        <v>1</v>
      </c>
      <c r="C617" s="11" t="n">
        <f aca="false">IF(COUNTIF('Scenario inputs'!$A$4:$A$213,Controls!$B$3&amp;"|"&amp;A617)&gt;0,1,0)</f>
        <v>1</v>
      </c>
      <c r="D617" s="11" t="n">
        <f aca="false">IF(AND(C617=1,B617&lt;Controls!$B$12),1,0)</f>
        <v>1</v>
      </c>
      <c r="E617" s="11" t="n">
        <f aca="false">IF(D617=1,SUMPRODUCT((Costs!$B$4:$B$903=A617)*(Costs!$D$4:$D$903="planned")*(Costs!$J$4:$J$903&lt;=B617)*(Costs!$K$4:$K$903&gt;B617)*Costs!$E$4:$E$903),0)</f>
        <v>0</v>
      </c>
      <c r="F617" s="11" t="n">
        <f aca="false">IF(D617=1,SUMIFS(Benefits!$S$4:$S$703,Benefits!$B$4:$B$703,A617,Benefits!$F$4:$F$703,B617,Benefits!$R$4:$R$703,"cash"),0)</f>
        <v>0</v>
      </c>
      <c r="G617" s="11" t="n">
        <f aca="false">IF(D617=1,SUMIFS(Benefits!$S$4:$S$703,Benefits!$B$4:$B$703,A617,Benefits!$F$4:$F$703,B617,Benefits!$R$4:$R$703,"revenue"),0)</f>
        <v>0</v>
      </c>
      <c r="H617" s="11" t="n">
        <f aca="false">IF(D617=1,SUMIFS(Benefits!$S$4:$S$703,Benefits!$B$4:$B$703,A617,Benefits!$F$4:$F$703,B617,Benefits!$R$4:$R$703,"avoided_cost_realised"),0)</f>
        <v>0</v>
      </c>
      <c r="I617" s="11" t="n">
        <f aca="false">IF(D617=1,SUMIFS(Benefits!$S$4:$S$703,Benefits!$B$4:$B$703,A617,Benefits!$F$4:$F$703,B617,Benefits!$R$4:$R$703,"capacity_converted"),0)</f>
        <v>0</v>
      </c>
      <c r="J617" s="11" t="n">
        <f aca="false">SUM(F617:I617)</f>
        <v>0</v>
      </c>
      <c r="K617" s="11" t="n">
        <f aca="false">J617-E617</f>
        <v>0</v>
      </c>
      <c r="L617" s="11" t="n">
        <f aca="false">IF(D617=1,L616+K617,0)</f>
        <v>-10000</v>
      </c>
      <c r="M617" s="11" t="n">
        <f aca="false">IF(D617=1,1/(1+Controls!$B$11)^B617,0)</f>
        <v>0.993607131714549</v>
      </c>
      <c r="N617" s="11" t="n">
        <f aca="false">K617*M617</f>
        <v>0</v>
      </c>
      <c r="O617" s="11" t="n">
        <f aca="false">IF(D617=1,O616+N617,0)</f>
        <v>-10000</v>
      </c>
      <c r="P617" s="11" t="n">
        <f aca="false">IF(AND(D617=1,L617&lt;0),1,0)</f>
        <v>1</v>
      </c>
      <c r="Q617" s="11" t="n">
        <f aca="false">IF(AND(D617=1,O617&lt;0),1,0)</f>
        <v>1</v>
      </c>
    </row>
    <row r="618" customFormat="false" ht="15" hidden="false" customHeight="false" outlineLevel="0" collapsed="false">
      <c r="A618" s="4" t="s">
        <v>100</v>
      </c>
      <c r="B618" s="4" t="n">
        <v>2</v>
      </c>
      <c r="C618" s="11" t="n">
        <f aca="false">IF(COUNTIF('Scenario inputs'!$A$4:$A$213,Controls!$B$3&amp;"|"&amp;A618)&gt;0,1,0)</f>
        <v>1</v>
      </c>
      <c r="D618" s="11" t="n">
        <f aca="false">IF(AND(C618=1,B618&lt;Controls!$B$12),1,0)</f>
        <v>1</v>
      </c>
      <c r="E618" s="11" t="n">
        <f aca="false">IF(D618=1,SUMPRODUCT((Costs!$B$4:$B$903=A618)*(Costs!$D$4:$D$903="planned")*(Costs!$J$4:$J$903&lt;=B618)*(Costs!$K$4:$K$903&gt;B618)*Costs!$E$4:$E$903),0)</f>
        <v>0</v>
      </c>
      <c r="F618" s="11" t="n">
        <f aca="false">IF(D618=1,SUMIFS(Benefits!$S$4:$S$703,Benefits!$B$4:$B$703,A618,Benefits!$F$4:$F$703,B618,Benefits!$R$4:$R$703,"cash"),0)</f>
        <v>0</v>
      </c>
      <c r="G618" s="11" t="n">
        <f aca="false">IF(D618=1,SUMIFS(Benefits!$S$4:$S$703,Benefits!$B$4:$B$703,A618,Benefits!$F$4:$F$703,B618,Benefits!$R$4:$R$703,"revenue"),0)</f>
        <v>0</v>
      </c>
      <c r="H618" s="11" t="n">
        <f aca="false">IF(D618=1,SUMIFS(Benefits!$S$4:$S$703,Benefits!$B$4:$B$703,A618,Benefits!$F$4:$F$703,B618,Benefits!$R$4:$R$703,"avoided_cost_realised"),0)</f>
        <v>0</v>
      </c>
      <c r="I618" s="11" t="n">
        <f aca="false">IF(D618=1,SUMIFS(Benefits!$S$4:$S$703,Benefits!$B$4:$B$703,A618,Benefits!$F$4:$F$703,B618,Benefits!$R$4:$R$703,"capacity_converted"),0)</f>
        <v>0</v>
      </c>
      <c r="J618" s="11" t="n">
        <f aca="false">SUM(F618:I618)</f>
        <v>0</v>
      </c>
      <c r="K618" s="11" t="n">
        <f aca="false">J618-E618</f>
        <v>0</v>
      </c>
      <c r="L618" s="11" t="n">
        <f aca="false">IF(D618=1,L617+K618,0)</f>
        <v>-10000</v>
      </c>
      <c r="M618" s="11" t="n">
        <f aca="false">IF(D618=1,1/(1+Controls!$B$11)^B618,0)</f>
        <v>0.987255132194012</v>
      </c>
      <c r="N618" s="11" t="n">
        <f aca="false">K618*M618</f>
        <v>0</v>
      </c>
      <c r="O618" s="11" t="n">
        <f aca="false">IF(D618=1,O617+N618,0)</f>
        <v>-10000</v>
      </c>
      <c r="P618" s="11" t="n">
        <f aca="false">IF(AND(D618=1,L618&lt;0),1,0)</f>
        <v>1</v>
      </c>
      <c r="Q618" s="11" t="n">
        <f aca="false">IF(AND(D618=1,O618&lt;0),1,0)</f>
        <v>1</v>
      </c>
    </row>
    <row r="619" customFormat="false" ht="15" hidden="false" customHeight="false" outlineLevel="0" collapsed="false">
      <c r="A619" s="4" t="s">
        <v>100</v>
      </c>
      <c r="B619" s="4" t="n">
        <v>3</v>
      </c>
      <c r="C619" s="11" t="n">
        <f aca="false">IF(COUNTIF('Scenario inputs'!$A$4:$A$213,Controls!$B$3&amp;"|"&amp;A619)&gt;0,1,0)</f>
        <v>1</v>
      </c>
      <c r="D619" s="11" t="n">
        <f aca="false">IF(AND(C619=1,B619&lt;Controls!$B$12),1,0)</f>
        <v>1</v>
      </c>
      <c r="E619" s="11" t="n">
        <f aca="false">IF(D619=1,SUMPRODUCT((Costs!$B$4:$B$903=A619)*(Costs!$D$4:$D$903="planned")*(Costs!$J$4:$J$903&lt;=B619)*(Costs!$K$4:$K$903&gt;B619)*Costs!$E$4:$E$903),0)</f>
        <v>0</v>
      </c>
      <c r="F619" s="11" t="n">
        <f aca="false">IF(D619=1,SUMIFS(Benefits!$S$4:$S$703,Benefits!$B$4:$B$703,A619,Benefits!$F$4:$F$703,B619,Benefits!$R$4:$R$703,"cash"),0)</f>
        <v>0</v>
      </c>
      <c r="G619" s="11" t="n">
        <f aca="false">IF(D619=1,SUMIFS(Benefits!$S$4:$S$703,Benefits!$B$4:$B$703,A619,Benefits!$F$4:$F$703,B619,Benefits!$R$4:$R$703,"revenue"),0)</f>
        <v>0</v>
      </c>
      <c r="H619" s="11" t="n">
        <f aca="false">IF(D619=1,SUMIFS(Benefits!$S$4:$S$703,Benefits!$B$4:$B$703,A619,Benefits!$F$4:$F$703,B619,Benefits!$R$4:$R$703,"avoided_cost_realised"),0)</f>
        <v>0</v>
      </c>
      <c r="I619" s="11" t="n">
        <f aca="false">IF(D619=1,SUMIFS(Benefits!$S$4:$S$703,Benefits!$B$4:$B$703,A619,Benefits!$F$4:$F$703,B619,Benefits!$R$4:$R$703,"capacity_converted"),0)</f>
        <v>0</v>
      </c>
      <c r="J619" s="11" t="n">
        <f aca="false">SUM(F619:I619)</f>
        <v>0</v>
      </c>
      <c r="K619" s="11" t="n">
        <f aca="false">J619-E619</f>
        <v>0</v>
      </c>
      <c r="L619" s="11" t="n">
        <f aca="false">IF(D619=1,L618+K619,0)</f>
        <v>-10000</v>
      </c>
      <c r="M619" s="11" t="n">
        <f aca="false">IF(D619=1,1/(1+Controls!$B$11)^B619,0)</f>
        <v>0.98094374016976</v>
      </c>
      <c r="N619" s="11" t="n">
        <f aca="false">K619*M619</f>
        <v>0</v>
      </c>
      <c r="O619" s="11" t="n">
        <f aca="false">IF(D619=1,O618+N619,0)</f>
        <v>-10000</v>
      </c>
      <c r="P619" s="11" t="n">
        <f aca="false">IF(AND(D619=1,L619&lt;0),1,0)</f>
        <v>1</v>
      </c>
      <c r="Q619" s="11" t="n">
        <f aca="false">IF(AND(D619=1,O619&lt;0),1,0)</f>
        <v>1</v>
      </c>
    </row>
    <row r="620" customFormat="false" ht="15" hidden="false" customHeight="false" outlineLevel="0" collapsed="false">
      <c r="A620" s="4" t="s">
        <v>100</v>
      </c>
      <c r="B620" s="4" t="n">
        <v>4</v>
      </c>
      <c r="C620" s="11" t="n">
        <f aca="false">IF(COUNTIF('Scenario inputs'!$A$4:$A$213,Controls!$B$3&amp;"|"&amp;A620)&gt;0,1,0)</f>
        <v>1</v>
      </c>
      <c r="D620" s="11" t="n">
        <f aca="false">IF(AND(C620=1,B620&lt;Controls!$B$12),1,0)</f>
        <v>1</v>
      </c>
      <c r="E620" s="11" t="n">
        <f aca="false">IF(D620=1,SUMPRODUCT((Costs!$B$4:$B$903=A620)*(Costs!$D$4:$D$903="planned")*(Costs!$J$4:$J$903&lt;=B620)*(Costs!$K$4:$K$903&gt;B620)*Costs!$E$4:$E$903),0)</f>
        <v>0</v>
      </c>
      <c r="F620" s="11" t="n">
        <f aca="false">IF(D620=1,SUMIFS(Benefits!$S$4:$S$703,Benefits!$B$4:$B$703,A620,Benefits!$F$4:$F$703,B620,Benefits!$R$4:$R$703,"cash"),0)</f>
        <v>0</v>
      </c>
      <c r="G620" s="11" t="n">
        <f aca="false">IF(D620=1,SUMIFS(Benefits!$S$4:$S$703,Benefits!$B$4:$B$703,A620,Benefits!$F$4:$F$703,B620,Benefits!$R$4:$R$703,"revenue"),0)</f>
        <v>0</v>
      </c>
      <c r="H620" s="11" t="n">
        <f aca="false">IF(D620=1,SUMIFS(Benefits!$S$4:$S$703,Benefits!$B$4:$B$703,A620,Benefits!$F$4:$F$703,B620,Benefits!$R$4:$R$703,"avoided_cost_realised"),0)</f>
        <v>0</v>
      </c>
      <c r="I620" s="11" t="n">
        <f aca="false">IF(D620=1,SUMIFS(Benefits!$S$4:$S$703,Benefits!$B$4:$B$703,A620,Benefits!$F$4:$F$703,B620,Benefits!$R$4:$R$703,"capacity_converted"),0)</f>
        <v>0</v>
      </c>
      <c r="J620" s="11" t="n">
        <f aca="false">SUM(F620:I620)</f>
        <v>0</v>
      </c>
      <c r="K620" s="11" t="n">
        <f aca="false">J620-E620</f>
        <v>0</v>
      </c>
      <c r="L620" s="11" t="n">
        <f aca="false">IF(D620=1,L619+K620,0)</f>
        <v>-10000</v>
      </c>
      <c r="M620" s="11" t="n">
        <f aca="false">IF(D620=1,1/(1+Controls!$B$11)^B620,0)</f>
        <v>0.974672696043417</v>
      </c>
      <c r="N620" s="11" t="n">
        <f aca="false">K620*M620</f>
        <v>0</v>
      </c>
      <c r="O620" s="11" t="n">
        <f aca="false">IF(D620=1,O619+N620,0)</f>
        <v>-10000</v>
      </c>
      <c r="P620" s="11" t="n">
        <f aca="false">IF(AND(D620=1,L620&lt;0),1,0)</f>
        <v>1</v>
      </c>
      <c r="Q620" s="11" t="n">
        <f aca="false">IF(AND(D620=1,O620&lt;0),1,0)</f>
        <v>1</v>
      </c>
    </row>
    <row r="621" customFormat="false" ht="15" hidden="false" customHeight="false" outlineLevel="0" collapsed="false">
      <c r="A621" s="4" t="s">
        <v>100</v>
      </c>
      <c r="B621" s="4" t="n">
        <v>5</v>
      </c>
      <c r="C621" s="11" t="n">
        <f aca="false">IF(COUNTIF('Scenario inputs'!$A$4:$A$213,Controls!$B$3&amp;"|"&amp;A621)&gt;0,1,0)</f>
        <v>1</v>
      </c>
      <c r="D621" s="11" t="n">
        <f aca="false">IF(AND(C621=1,B621&lt;Controls!$B$12),1,0)</f>
        <v>1</v>
      </c>
      <c r="E621" s="11" t="n">
        <f aca="false">IF(D621=1,SUMPRODUCT((Costs!$B$4:$B$903=A621)*(Costs!$D$4:$D$903="planned")*(Costs!$J$4:$J$903&lt;=B621)*(Costs!$K$4:$K$903&gt;B621)*Costs!$E$4:$E$903),0)</f>
        <v>0</v>
      </c>
      <c r="F621" s="11" t="n">
        <f aca="false">IF(D621=1,SUMIFS(Benefits!$S$4:$S$703,Benefits!$B$4:$B$703,A621,Benefits!$F$4:$F$703,B621,Benefits!$R$4:$R$703,"cash"),0)</f>
        <v>0</v>
      </c>
      <c r="G621" s="11" t="n">
        <f aca="false">IF(D621=1,SUMIFS(Benefits!$S$4:$S$703,Benefits!$B$4:$B$703,A621,Benefits!$F$4:$F$703,B621,Benefits!$R$4:$R$703,"revenue"),0)</f>
        <v>0</v>
      </c>
      <c r="H621" s="11" t="n">
        <f aca="false">IF(D621=1,SUMIFS(Benefits!$S$4:$S$703,Benefits!$B$4:$B$703,A621,Benefits!$F$4:$F$703,B621,Benefits!$R$4:$R$703,"avoided_cost_realised"),0)</f>
        <v>0</v>
      </c>
      <c r="I621" s="11" t="n">
        <f aca="false">IF(D621=1,SUMIFS(Benefits!$S$4:$S$703,Benefits!$B$4:$B$703,A621,Benefits!$F$4:$F$703,B621,Benefits!$R$4:$R$703,"capacity_converted"),0)</f>
        <v>0</v>
      </c>
      <c r="J621" s="11" t="n">
        <f aca="false">SUM(F621:I621)</f>
        <v>0</v>
      </c>
      <c r="K621" s="11" t="n">
        <f aca="false">J621-E621</f>
        <v>0</v>
      </c>
      <c r="L621" s="11" t="n">
        <f aca="false">IF(D621=1,L620+K621,0)</f>
        <v>-10000</v>
      </c>
      <c r="M621" s="11" t="n">
        <f aca="false">IF(D621=1,1/(1+Controls!$B$11)^B621,0)</f>
        <v>0.968441741876185</v>
      </c>
      <c r="N621" s="11" t="n">
        <f aca="false">K621*M621</f>
        <v>0</v>
      </c>
      <c r="O621" s="11" t="n">
        <f aca="false">IF(D621=1,O620+N621,0)</f>
        <v>-10000</v>
      </c>
      <c r="P621" s="11" t="n">
        <f aca="false">IF(AND(D621=1,L621&lt;0),1,0)</f>
        <v>1</v>
      </c>
      <c r="Q621" s="11" t="n">
        <f aca="false">IF(AND(D621=1,O621&lt;0),1,0)</f>
        <v>1</v>
      </c>
    </row>
    <row r="622" customFormat="false" ht="15" hidden="false" customHeight="false" outlineLevel="0" collapsed="false">
      <c r="A622" s="4" t="s">
        <v>100</v>
      </c>
      <c r="B622" s="4" t="n">
        <v>6</v>
      </c>
      <c r="C622" s="11" t="n">
        <f aca="false">IF(COUNTIF('Scenario inputs'!$A$4:$A$213,Controls!$B$3&amp;"|"&amp;A622)&gt;0,1,0)</f>
        <v>1</v>
      </c>
      <c r="D622" s="11" t="n">
        <f aca="false">IF(AND(C622=1,B622&lt;Controls!$B$12),1,0)</f>
        <v>1</v>
      </c>
      <c r="E622" s="11" t="n">
        <f aca="false">IF(D622=1,SUMPRODUCT((Costs!$B$4:$B$903=A622)*(Costs!$D$4:$D$903="planned")*(Costs!$J$4:$J$903&lt;=B622)*(Costs!$K$4:$K$903&gt;B622)*Costs!$E$4:$E$903),0)</f>
        <v>0</v>
      </c>
      <c r="F622" s="11" t="n">
        <f aca="false">IF(D622=1,SUMIFS(Benefits!$S$4:$S$703,Benefits!$B$4:$B$703,A622,Benefits!$F$4:$F$703,B622,Benefits!$R$4:$R$703,"cash"),0)</f>
        <v>0</v>
      </c>
      <c r="G622" s="11" t="n">
        <f aca="false">IF(D622=1,SUMIFS(Benefits!$S$4:$S$703,Benefits!$B$4:$B$703,A622,Benefits!$F$4:$F$703,B622,Benefits!$R$4:$R$703,"revenue"),0)</f>
        <v>0</v>
      </c>
      <c r="H622" s="11" t="n">
        <f aca="false">IF(D622=1,SUMIFS(Benefits!$S$4:$S$703,Benefits!$B$4:$B$703,A622,Benefits!$F$4:$F$703,B622,Benefits!$R$4:$R$703,"avoided_cost_realised"),0)</f>
        <v>0</v>
      </c>
      <c r="I622" s="11" t="n">
        <f aca="false">IF(D622=1,SUMIFS(Benefits!$S$4:$S$703,Benefits!$B$4:$B$703,A622,Benefits!$F$4:$F$703,B622,Benefits!$R$4:$R$703,"capacity_converted"),0)</f>
        <v>0</v>
      </c>
      <c r="J622" s="11" t="n">
        <f aca="false">SUM(F622:I622)</f>
        <v>0</v>
      </c>
      <c r="K622" s="11" t="n">
        <f aca="false">J622-E622</f>
        <v>0</v>
      </c>
      <c r="L622" s="11" t="n">
        <f aca="false">IF(D622=1,L621+K622,0)</f>
        <v>-10000</v>
      </c>
      <c r="M622" s="11" t="n">
        <f aca="false">IF(D622=1,1/(1+Controls!$B$11)^B622,0)</f>
        <v>0.962250621378238</v>
      </c>
      <c r="N622" s="11" t="n">
        <f aca="false">K622*M622</f>
        <v>0</v>
      </c>
      <c r="O622" s="11" t="n">
        <f aca="false">IF(D622=1,O621+N622,0)</f>
        <v>-10000</v>
      </c>
      <c r="P622" s="11" t="n">
        <f aca="false">IF(AND(D622=1,L622&lt;0),1,0)</f>
        <v>1</v>
      </c>
      <c r="Q622" s="11" t="n">
        <f aca="false">IF(AND(D622=1,O622&lt;0),1,0)</f>
        <v>1</v>
      </c>
    </row>
    <row r="623" customFormat="false" ht="15" hidden="false" customHeight="false" outlineLevel="0" collapsed="false">
      <c r="A623" s="4" t="s">
        <v>100</v>
      </c>
      <c r="B623" s="4" t="n">
        <v>7</v>
      </c>
      <c r="C623" s="11" t="n">
        <f aca="false">IF(COUNTIF('Scenario inputs'!$A$4:$A$213,Controls!$B$3&amp;"|"&amp;A623)&gt;0,1,0)</f>
        <v>1</v>
      </c>
      <c r="D623" s="11" t="n">
        <f aca="false">IF(AND(C623=1,B623&lt;Controls!$B$12),1,0)</f>
        <v>1</v>
      </c>
      <c r="E623" s="11" t="n">
        <f aca="false">IF(D623=1,SUMPRODUCT((Costs!$B$4:$B$903=A623)*(Costs!$D$4:$D$903="planned")*(Costs!$J$4:$J$903&lt;=B623)*(Costs!$K$4:$K$903&gt;B623)*Costs!$E$4:$E$903),0)</f>
        <v>0</v>
      </c>
      <c r="F623" s="11" t="n">
        <f aca="false">IF(D623=1,SUMIFS(Benefits!$S$4:$S$703,Benefits!$B$4:$B$703,A623,Benefits!$F$4:$F$703,B623,Benefits!$R$4:$R$703,"cash"),0)</f>
        <v>0</v>
      </c>
      <c r="G623" s="11" t="n">
        <f aca="false">IF(D623=1,SUMIFS(Benefits!$S$4:$S$703,Benefits!$B$4:$B$703,A623,Benefits!$F$4:$F$703,B623,Benefits!$R$4:$R$703,"revenue"),0)</f>
        <v>0</v>
      </c>
      <c r="H623" s="11" t="n">
        <f aca="false">IF(D623=1,SUMIFS(Benefits!$S$4:$S$703,Benefits!$B$4:$B$703,A623,Benefits!$F$4:$F$703,B623,Benefits!$R$4:$R$703,"avoided_cost_realised"),0)</f>
        <v>0</v>
      </c>
      <c r="I623" s="11" t="n">
        <f aca="false">IF(D623=1,SUMIFS(Benefits!$S$4:$S$703,Benefits!$B$4:$B$703,A623,Benefits!$F$4:$F$703,B623,Benefits!$R$4:$R$703,"capacity_converted"),0)</f>
        <v>0</v>
      </c>
      <c r="J623" s="11" t="n">
        <f aca="false">SUM(F623:I623)</f>
        <v>0</v>
      </c>
      <c r="K623" s="11" t="n">
        <f aca="false">J623-E623</f>
        <v>0</v>
      </c>
      <c r="L623" s="11" t="n">
        <f aca="false">IF(D623=1,L622+K623,0)</f>
        <v>-10000</v>
      </c>
      <c r="M623" s="11" t="n">
        <f aca="false">IF(D623=1,1/(1+Controls!$B$11)^B623,0)</f>
        <v>0.956099079898173</v>
      </c>
      <c r="N623" s="11" t="n">
        <f aca="false">K623*M623</f>
        <v>0</v>
      </c>
      <c r="O623" s="11" t="n">
        <f aca="false">IF(D623=1,O622+N623,0)</f>
        <v>-10000</v>
      </c>
      <c r="P623" s="11" t="n">
        <f aca="false">IF(AND(D623=1,L623&lt;0),1,0)</f>
        <v>1</v>
      </c>
      <c r="Q623" s="11" t="n">
        <f aca="false">IF(AND(D623=1,O623&lt;0),1,0)</f>
        <v>1</v>
      </c>
    </row>
    <row r="624" customFormat="false" ht="15" hidden="false" customHeight="false" outlineLevel="0" collapsed="false">
      <c r="A624" s="4" t="s">
        <v>100</v>
      </c>
      <c r="B624" s="4" t="n">
        <v>8</v>
      </c>
      <c r="C624" s="11" t="n">
        <f aca="false">IF(COUNTIF('Scenario inputs'!$A$4:$A$213,Controls!$B$3&amp;"|"&amp;A624)&gt;0,1,0)</f>
        <v>1</v>
      </c>
      <c r="D624" s="11" t="n">
        <f aca="false">IF(AND(C624=1,B624&lt;Controls!$B$12),1,0)</f>
        <v>1</v>
      </c>
      <c r="E624" s="11" t="n">
        <f aca="false">IF(D624=1,SUMPRODUCT((Costs!$B$4:$B$903=A624)*(Costs!$D$4:$D$903="planned")*(Costs!$J$4:$J$903&lt;=B624)*(Costs!$K$4:$K$903&gt;B624)*Costs!$E$4:$E$903),0)</f>
        <v>0</v>
      </c>
      <c r="F624" s="11" t="n">
        <f aca="false">IF(D624=1,SUMIFS(Benefits!$S$4:$S$703,Benefits!$B$4:$B$703,A624,Benefits!$F$4:$F$703,B624,Benefits!$R$4:$R$703,"cash"),0)</f>
        <v>0</v>
      </c>
      <c r="G624" s="11" t="n">
        <f aca="false">IF(D624=1,SUMIFS(Benefits!$S$4:$S$703,Benefits!$B$4:$B$703,A624,Benefits!$F$4:$F$703,B624,Benefits!$R$4:$R$703,"revenue"),0)</f>
        <v>0</v>
      </c>
      <c r="H624" s="11" t="n">
        <f aca="false">IF(D624=1,SUMIFS(Benefits!$S$4:$S$703,Benefits!$B$4:$B$703,A624,Benefits!$F$4:$F$703,B624,Benefits!$R$4:$R$703,"avoided_cost_realised"),0)</f>
        <v>0</v>
      </c>
      <c r="I624" s="11" t="n">
        <f aca="false">IF(D624=1,SUMIFS(Benefits!$S$4:$S$703,Benefits!$B$4:$B$703,A624,Benefits!$F$4:$F$703,B624,Benefits!$R$4:$R$703,"capacity_converted"),0)</f>
        <v>0</v>
      </c>
      <c r="J624" s="11" t="n">
        <f aca="false">SUM(F624:I624)</f>
        <v>0</v>
      </c>
      <c r="K624" s="11" t="n">
        <f aca="false">J624-E624</f>
        <v>0</v>
      </c>
      <c r="L624" s="11" t="n">
        <f aca="false">IF(D624=1,L623+K624,0)</f>
        <v>-10000</v>
      </c>
      <c r="M624" s="11" t="n">
        <f aca="false">IF(D624=1,1/(1+Controls!$B$11)^B624,0)</f>
        <v>0.949986864412542</v>
      </c>
      <c r="N624" s="11" t="n">
        <f aca="false">K624*M624</f>
        <v>0</v>
      </c>
      <c r="O624" s="11" t="n">
        <f aca="false">IF(D624=1,O623+N624,0)</f>
        <v>-10000</v>
      </c>
      <c r="P624" s="11" t="n">
        <f aca="false">IF(AND(D624=1,L624&lt;0),1,0)</f>
        <v>1</v>
      </c>
      <c r="Q624" s="11" t="n">
        <f aca="false">IF(AND(D624=1,O624&lt;0),1,0)</f>
        <v>1</v>
      </c>
    </row>
    <row r="625" customFormat="false" ht="15" hidden="false" customHeight="false" outlineLevel="0" collapsed="false">
      <c r="A625" s="4" t="s">
        <v>100</v>
      </c>
      <c r="B625" s="4" t="n">
        <v>9</v>
      </c>
      <c r="C625" s="11" t="n">
        <f aca="false">IF(COUNTIF('Scenario inputs'!$A$4:$A$213,Controls!$B$3&amp;"|"&amp;A625)&gt;0,1,0)</f>
        <v>1</v>
      </c>
      <c r="D625" s="11" t="n">
        <f aca="false">IF(AND(C625=1,B625&lt;Controls!$B$12),1,0)</f>
        <v>1</v>
      </c>
      <c r="E625" s="11" t="n">
        <f aca="false">IF(D625=1,SUMPRODUCT((Costs!$B$4:$B$903=A625)*(Costs!$D$4:$D$903="planned")*(Costs!$J$4:$J$903&lt;=B625)*(Costs!$K$4:$K$903&gt;B625)*Costs!$E$4:$E$903),0)</f>
        <v>0</v>
      </c>
      <c r="F625" s="11" t="n">
        <f aca="false">IF(D625=1,SUMIFS(Benefits!$S$4:$S$703,Benefits!$B$4:$B$703,A625,Benefits!$F$4:$F$703,B625,Benefits!$R$4:$R$703,"cash"),0)</f>
        <v>0</v>
      </c>
      <c r="G625" s="11" t="n">
        <f aca="false">IF(D625=1,SUMIFS(Benefits!$S$4:$S$703,Benefits!$B$4:$B$703,A625,Benefits!$F$4:$F$703,B625,Benefits!$R$4:$R$703,"revenue"),0)</f>
        <v>0</v>
      </c>
      <c r="H625" s="11" t="n">
        <f aca="false">IF(D625=1,SUMIFS(Benefits!$S$4:$S$703,Benefits!$B$4:$B$703,A625,Benefits!$F$4:$F$703,B625,Benefits!$R$4:$R$703,"avoided_cost_realised"),0)</f>
        <v>0</v>
      </c>
      <c r="I625" s="11" t="n">
        <f aca="false">IF(D625=1,SUMIFS(Benefits!$S$4:$S$703,Benefits!$B$4:$B$703,A625,Benefits!$F$4:$F$703,B625,Benefits!$R$4:$R$703,"capacity_converted"),0)</f>
        <v>0</v>
      </c>
      <c r="J625" s="11" t="n">
        <f aca="false">SUM(F625:I625)</f>
        <v>0</v>
      </c>
      <c r="K625" s="11" t="n">
        <f aca="false">J625-E625</f>
        <v>0</v>
      </c>
      <c r="L625" s="11" t="n">
        <f aca="false">IF(D625=1,L624+K625,0)</f>
        <v>-10000</v>
      </c>
      <c r="M625" s="11" t="n">
        <f aca="false">IF(D625=1,1/(1+Controls!$B$11)^B625,0)</f>
        <v>0.943913723515444</v>
      </c>
      <c r="N625" s="11" t="n">
        <f aca="false">K625*M625</f>
        <v>0</v>
      </c>
      <c r="O625" s="11" t="n">
        <f aca="false">IF(D625=1,O624+N625,0)</f>
        <v>-10000</v>
      </c>
      <c r="P625" s="11" t="n">
        <f aca="false">IF(AND(D625=1,L625&lt;0),1,0)</f>
        <v>1</v>
      </c>
      <c r="Q625" s="11" t="n">
        <f aca="false">IF(AND(D625=1,O625&lt;0),1,0)</f>
        <v>1</v>
      </c>
    </row>
    <row r="626" customFormat="false" ht="15" hidden="false" customHeight="false" outlineLevel="0" collapsed="false">
      <c r="A626" s="4" t="s">
        <v>100</v>
      </c>
      <c r="B626" s="4" t="n">
        <v>10</v>
      </c>
      <c r="C626" s="11" t="n">
        <f aca="false">IF(COUNTIF('Scenario inputs'!$A$4:$A$213,Controls!$B$3&amp;"|"&amp;A626)&gt;0,1,0)</f>
        <v>1</v>
      </c>
      <c r="D626" s="11" t="n">
        <f aca="false">IF(AND(C626=1,B626&lt;Controls!$B$12),1,0)</f>
        <v>1</v>
      </c>
      <c r="E626" s="11" t="n">
        <f aca="false">IF(D626=1,SUMPRODUCT((Costs!$B$4:$B$903=A626)*(Costs!$D$4:$D$903="planned")*(Costs!$J$4:$J$903&lt;=B626)*(Costs!$K$4:$K$903&gt;B626)*Costs!$E$4:$E$903),0)</f>
        <v>0</v>
      </c>
      <c r="F626" s="11" t="n">
        <f aca="false">IF(D626=1,SUMIFS(Benefits!$S$4:$S$703,Benefits!$B$4:$B$703,A626,Benefits!$F$4:$F$703,B626,Benefits!$R$4:$R$703,"cash"),0)</f>
        <v>0</v>
      </c>
      <c r="G626" s="11" t="n">
        <f aca="false">IF(D626=1,SUMIFS(Benefits!$S$4:$S$703,Benefits!$B$4:$B$703,A626,Benefits!$F$4:$F$703,B626,Benefits!$R$4:$R$703,"revenue"),0)</f>
        <v>0</v>
      </c>
      <c r="H626" s="11" t="n">
        <f aca="false">IF(D626=1,SUMIFS(Benefits!$S$4:$S$703,Benefits!$B$4:$B$703,A626,Benefits!$F$4:$F$703,B626,Benefits!$R$4:$R$703,"avoided_cost_realised"),0)</f>
        <v>0</v>
      </c>
      <c r="I626" s="11" t="n">
        <f aca="false">IF(D626=1,SUMIFS(Benefits!$S$4:$S$703,Benefits!$B$4:$B$703,A626,Benefits!$F$4:$F$703,B626,Benefits!$R$4:$R$703,"capacity_converted"),0)</f>
        <v>0</v>
      </c>
      <c r="J626" s="11" t="n">
        <f aca="false">SUM(F626:I626)</f>
        <v>0</v>
      </c>
      <c r="K626" s="11" t="n">
        <f aca="false">J626-E626</f>
        <v>0</v>
      </c>
      <c r="L626" s="11" t="n">
        <f aca="false">IF(D626=1,L625+K626,0)</f>
        <v>-10000</v>
      </c>
      <c r="M626" s="11" t="n">
        <f aca="false">IF(D626=1,1/(1+Controls!$B$11)^B626,0)</f>
        <v>0.93787940740818</v>
      </c>
      <c r="N626" s="11" t="n">
        <f aca="false">K626*M626</f>
        <v>0</v>
      </c>
      <c r="O626" s="11" t="n">
        <f aca="false">IF(D626=1,O625+N626,0)</f>
        <v>-10000</v>
      </c>
      <c r="P626" s="11" t="n">
        <f aca="false">IF(AND(D626=1,L626&lt;0),1,0)</f>
        <v>1</v>
      </c>
      <c r="Q626" s="11" t="n">
        <f aca="false">IF(AND(D626=1,O626&lt;0),1,0)</f>
        <v>1</v>
      </c>
    </row>
    <row r="627" customFormat="false" ht="15" hidden="false" customHeight="false" outlineLevel="0" collapsed="false">
      <c r="A627" s="4" t="s">
        <v>100</v>
      </c>
      <c r="B627" s="4" t="n">
        <v>11</v>
      </c>
      <c r="C627" s="11" t="n">
        <f aca="false">IF(COUNTIF('Scenario inputs'!$A$4:$A$213,Controls!$B$3&amp;"|"&amp;A627)&gt;0,1,0)</f>
        <v>1</v>
      </c>
      <c r="D627" s="11" t="n">
        <f aca="false">IF(AND(C627=1,B627&lt;Controls!$B$12),1,0)</f>
        <v>1</v>
      </c>
      <c r="E627" s="11" t="n">
        <f aca="false">IF(D627=1,SUMPRODUCT((Costs!$B$4:$B$903=A627)*(Costs!$D$4:$D$903="planned")*(Costs!$J$4:$J$903&lt;=B627)*(Costs!$K$4:$K$903&gt;B627)*Costs!$E$4:$E$903),0)</f>
        <v>0</v>
      </c>
      <c r="F627" s="11" t="n">
        <f aca="false">IF(D627=1,SUMIFS(Benefits!$S$4:$S$703,Benefits!$B$4:$B$703,A627,Benefits!$F$4:$F$703,B627,Benefits!$R$4:$R$703,"cash"),0)</f>
        <v>0</v>
      </c>
      <c r="G627" s="11" t="n">
        <f aca="false">IF(D627=1,SUMIFS(Benefits!$S$4:$S$703,Benefits!$B$4:$B$703,A627,Benefits!$F$4:$F$703,B627,Benefits!$R$4:$R$703,"revenue"),0)</f>
        <v>0</v>
      </c>
      <c r="H627" s="11" t="n">
        <f aca="false">IF(D627=1,SUMIFS(Benefits!$S$4:$S$703,Benefits!$B$4:$B$703,A627,Benefits!$F$4:$F$703,B627,Benefits!$R$4:$R$703,"avoided_cost_realised"),0)</f>
        <v>0</v>
      </c>
      <c r="I627" s="11" t="n">
        <f aca="false">IF(D627=1,SUMIFS(Benefits!$S$4:$S$703,Benefits!$B$4:$B$703,A627,Benefits!$F$4:$F$703,B627,Benefits!$R$4:$R$703,"capacity_converted"),0)</f>
        <v>0</v>
      </c>
      <c r="J627" s="11" t="n">
        <f aca="false">SUM(F627:I627)</f>
        <v>0</v>
      </c>
      <c r="K627" s="11" t="n">
        <f aca="false">J627-E627</f>
        <v>0</v>
      </c>
      <c r="L627" s="11" t="n">
        <f aca="false">IF(D627=1,L626+K627,0)</f>
        <v>-10000</v>
      </c>
      <c r="M627" s="11" t="n">
        <f aca="false">IF(D627=1,1/(1+Controls!$B$11)^B627,0)</f>
        <v>0.931883667888982</v>
      </c>
      <c r="N627" s="11" t="n">
        <f aca="false">K627*M627</f>
        <v>0</v>
      </c>
      <c r="O627" s="11" t="n">
        <f aca="false">IF(D627=1,O626+N627,0)</f>
        <v>-10000</v>
      </c>
      <c r="P627" s="11" t="n">
        <f aca="false">IF(AND(D627=1,L627&lt;0),1,0)</f>
        <v>1</v>
      </c>
      <c r="Q627" s="11" t="n">
        <f aca="false">IF(AND(D627=1,O627&lt;0),1,0)</f>
        <v>1</v>
      </c>
    </row>
    <row r="628" customFormat="false" ht="15" hidden="false" customHeight="false" outlineLevel="0" collapsed="false">
      <c r="A628" s="4" t="s">
        <v>100</v>
      </c>
      <c r="B628" s="4" t="n">
        <v>12</v>
      </c>
      <c r="C628" s="11" t="n">
        <f aca="false">IF(COUNTIF('Scenario inputs'!$A$4:$A$213,Controls!$B$3&amp;"|"&amp;A628)&gt;0,1,0)</f>
        <v>1</v>
      </c>
      <c r="D628" s="11" t="n">
        <f aca="false">IF(AND(C628=1,B628&lt;Controls!$B$12),1,0)</f>
        <v>1</v>
      </c>
      <c r="E628" s="11" t="n">
        <f aca="false">IF(D628=1,SUMPRODUCT((Costs!$B$4:$B$903=A628)*(Costs!$D$4:$D$903="planned")*(Costs!$J$4:$J$903&lt;=B628)*(Costs!$K$4:$K$903&gt;B628)*Costs!$E$4:$E$903),0)</f>
        <v>0</v>
      </c>
      <c r="F628" s="11" t="n">
        <f aca="false">IF(D628=1,SUMIFS(Benefits!$S$4:$S$703,Benefits!$B$4:$B$703,A628,Benefits!$F$4:$F$703,B628,Benefits!$R$4:$R$703,"cash"),0)</f>
        <v>0</v>
      </c>
      <c r="G628" s="11" t="n">
        <f aca="false">IF(D628=1,SUMIFS(Benefits!$S$4:$S$703,Benefits!$B$4:$B$703,A628,Benefits!$F$4:$F$703,B628,Benefits!$R$4:$R$703,"revenue"),0)</f>
        <v>0</v>
      </c>
      <c r="H628" s="11" t="n">
        <f aca="false">IF(D628=1,SUMIFS(Benefits!$S$4:$S$703,Benefits!$B$4:$B$703,A628,Benefits!$F$4:$F$703,B628,Benefits!$R$4:$R$703,"avoided_cost_realised"),0)</f>
        <v>0</v>
      </c>
      <c r="I628" s="11" t="n">
        <f aca="false">IF(D628=1,SUMIFS(Benefits!$S$4:$S$703,Benefits!$B$4:$B$703,A628,Benefits!$F$4:$F$703,B628,Benefits!$R$4:$R$703,"capacity_converted"),0)</f>
        <v>0</v>
      </c>
      <c r="J628" s="11" t="n">
        <f aca="false">SUM(F628:I628)</f>
        <v>0</v>
      </c>
      <c r="K628" s="11" t="n">
        <f aca="false">J628-E628</f>
        <v>0</v>
      </c>
      <c r="L628" s="11" t="n">
        <f aca="false">IF(D628=1,L627+K628,0)</f>
        <v>-10000</v>
      </c>
      <c r="M628" s="11" t="n">
        <f aca="false">IF(D628=1,1/(1+Controls!$B$11)^B628,0)</f>
        <v>0.925926258342804</v>
      </c>
      <c r="N628" s="11" t="n">
        <f aca="false">K628*M628</f>
        <v>0</v>
      </c>
      <c r="O628" s="11" t="n">
        <f aca="false">IF(D628=1,O627+N628,0)</f>
        <v>-10000</v>
      </c>
      <c r="P628" s="11" t="n">
        <f aca="false">IF(AND(D628=1,L628&lt;0),1,0)</f>
        <v>1</v>
      </c>
      <c r="Q628" s="11" t="n">
        <f aca="false">IF(AND(D628=1,O628&lt;0),1,0)</f>
        <v>1</v>
      </c>
    </row>
    <row r="629" customFormat="false" ht="15" hidden="false" customHeight="false" outlineLevel="0" collapsed="false">
      <c r="A629" s="4" t="s">
        <v>100</v>
      </c>
      <c r="B629" s="4" t="n">
        <v>13</v>
      </c>
      <c r="C629" s="11" t="n">
        <f aca="false">IF(COUNTIF('Scenario inputs'!$A$4:$A$213,Controls!$B$3&amp;"|"&amp;A629)&gt;0,1,0)</f>
        <v>1</v>
      </c>
      <c r="D629" s="11" t="n">
        <f aca="false">IF(AND(C629=1,B629&lt;Controls!$B$12),1,0)</f>
        <v>1</v>
      </c>
      <c r="E629" s="11" t="n">
        <f aca="false">IF(D629=1,SUMPRODUCT((Costs!$B$4:$B$903=A629)*(Costs!$D$4:$D$903="planned")*(Costs!$J$4:$J$903&lt;=B629)*(Costs!$K$4:$K$903&gt;B629)*Costs!$E$4:$E$903),0)</f>
        <v>0</v>
      </c>
      <c r="F629" s="11" t="n">
        <f aca="false">IF(D629=1,SUMIFS(Benefits!$S$4:$S$703,Benefits!$B$4:$B$703,A629,Benefits!$F$4:$F$703,B629,Benefits!$R$4:$R$703,"cash"),0)</f>
        <v>0</v>
      </c>
      <c r="G629" s="11" t="n">
        <f aca="false">IF(D629=1,SUMIFS(Benefits!$S$4:$S$703,Benefits!$B$4:$B$703,A629,Benefits!$F$4:$F$703,B629,Benefits!$R$4:$R$703,"revenue"),0)</f>
        <v>0</v>
      </c>
      <c r="H629" s="11" t="n">
        <f aca="false">IF(D629=1,SUMIFS(Benefits!$S$4:$S$703,Benefits!$B$4:$B$703,A629,Benefits!$F$4:$F$703,B629,Benefits!$R$4:$R$703,"avoided_cost_realised"),0)</f>
        <v>0</v>
      </c>
      <c r="I629" s="11" t="n">
        <f aca="false">IF(D629=1,SUMIFS(Benefits!$S$4:$S$703,Benefits!$B$4:$B$703,A629,Benefits!$F$4:$F$703,B629,Benefits!$R$4:$R$703,"capacity_converted"),0)</f>
        <v>0</v>
      </c>
      <c r="J629" s="11" t="n">
        <f aca="false">SUM(F629:I629)</f>
        <v>0</v>
      </c>
      <c r="K629" s="11" t="n">
        <f aca="false">J629-E629</f>
        <v>0</v>
      </c>
      <c r="L629" s="11" t="n">
        <f aca="false">IF(D629=1,L628+K629,0)</f>
        <v>-10000</v>
      </c>
      <c r="M629" s="11" t="n">
        <f aca="false">IF(D629=1,1/(1+Controls!$B$11)^B629,0)</f>
        <v>0.920006933731178</v>
      </c>
      <c r="N629" s="11" t="n">
        <f aca="false">K629*M629</f>
        <v>0</v>
      </c>
      <c r="O629" s="11" t="n">
        <f aca="false">IF(D629=1,O628+N629,0)</f>
        <v>-10000</v>
      </c>
      <c r="P629" s="11" t="n">
        <f aca="false">IF(AND(D629=1,L629&lt;0),1,0)</f>
        <v>1</v>
      </c>
      <c r="Q629" s="11" t="n">
        <f aca="false">IF(AND(D629=1,O629&lt;0),1,0)</f>
        <v>1</v>
      </c>
    </row>
    <row r="630" customFormat="false" ht="15" hidden="false" customHeight="false" outlineLevel="0" collapsed="false">
      <c r="A630" s="4" t="s">
        <v>100</v>
      </c>
      <c r="B630" s="4" t="n">
        <v>14</v>
      </c>
      <c r="C630" s="11" t="n">
        <f aca="false">IF(COUNTIF('Scenario inputs'!$A$4:$A$213,Controls!$B$3&amp;"|"&amp;A630)&gt;0,1,0)</f>
        <v>1</v>
      </c>
      <c r="D630" s="11" t="n">
        <f aca="false">IF(AND(C630=1,B630&lt;Controls!$B$12),1,0)</f>
        <v>1</v>
      </c>
      <c r="E630" s="11" t="n">
        <f aca="false">IF(D630=1,SUMPRODUCT((Costs!$B$4:$B$903=A630)*(Costs!$D$4:$D$903="planned")*(Costs!$J$4:$J$903&lt;=B630)*(Costs!$K$4:$K$903&gt;B630)*Costs!$E$4:$E$903),0)</f>
        <v>0</v>
      </c>
      <c r="F630" s="11" t="n">
        <f aca="false">IF(D630=1,SUMIFS(Benefits!$S$4:$S$703,Benefits!$B$4:$B$703,A630,Benefits!$F$4:$F$703,B630,Benefits!$R$4:$R$703,"cash"),0)</f>
        <v>0</v>
      </c>
      <c r="G630" s="11" t="n">
        <f aca="false">IF(D630=1,SUMIFS(Benefits!$S$4:$S$703,Benefits!$B$4:$B$703,A630,Benefits!$F$4:$F$703,B630,Benefits!$R$4:$R$703,"revenue"),0)</f>
        <v>0</v>
      </c>
      <c r="H630" s="11" t="n">
        <f aca="false">IF(D630=1,SUMIFS(Benefits!$S$4:$S$703,Benefits!$B$4:$B$703,A630,Benefits!$F$4:$F$703,B630,Benefits!$R$4:$R$703,"avoided_cost_realised"),0)</f>
        <v>0</v>
      </c>
      <c r="I630" s="11" t="n">
        <f aca="false">IF(D630=1,SUMIFS(Benefits!$S$4:$S$703,Benefits!$B$4:$B$703,A630,Benefits!$F$4:$F$703,B630,Benefits!$R$4:$R$703,"capacity_converted"),0)</f>
        <v>0</v>
      </c>
      <c r="J630" s="11" t="n">
        <f aca="false">SUM(F630:I630)</f>
        <v>0</v>
      </c>
      <c r="K630" s="11" t="n">
        <f aca="false">J630-E630</f>
        <v>0</v>
      </c>
      <c r="L630" s="11" t="n">
        <f aca="false">IF(D630=1,L629+K630,0)</f>
        <v>-10000</v>
      </c>
      <c r="M630" s="11" t="n">
        <f aca="false">IF(D630=1,1/(1+Controls!$B$11)^B630,0)</f>
        <v>0.914125450582132</v>
      </c>
      <c r="N630" s="11" t="n">
        <f aca="false">K630*M630</f>
        <v>0</v>
      </c>
      <c r="O630" s="11" t="n">
        <f aca="false">IF(D630=1,O629+N630,0)</f>
        <v>-10000</v>
      </c>
      <c r="P630" s="11" t="n">
        <f aca="false">IF(AND(D630=1,L630&lt;0),1,0)</f>
        <v>1</v>
      </c>
      <c r="Q630" s="11" t="n">
        <f aca="false">IF(AND(D630=1,O630&lt;0),1,0)</f>
        <v>1</v>
      </c>
    </row>
    <row r="631" customFormat="false" ht="15" hidden="false" customHeight="false" outlineLevel="0" collapsed="false">
      <c r="A631" s="4" t="s">
        <v>100</v>
      </c>
      <c r="B631" s="4" t="n">
        <v>15</v>
      </c>
      <c r="C631" s="11" t="n">
        <f aca="false">IF(COUNTIF('Scenario inputs'!$A$4:$A$213,Controls!$B$3&amp;"|"&amp;A631)&gt;0,1,0)</f>
        <v>1</v>
      </c>
      <c r="D631" s="11" t="n">
        <f aca="false">IF(AND(C631=1,B631&lt;Controls!$B$12),1,0)</f>
        <v>1</v>
      </c>
      <c r="E631" s="11" t="n">
        <f aca="false">IF(D631=1,SUMPRODUCT((Costs!$B$4:$B$903=A631)*(Costs!$D$4:$D$903="planned")*(Costs!$J$4:$J$903&lt;=B631)*(Costs!$K$4:$K$903&gt;B631)*Costs!$E$4:$E$903),0)</f>
        <v>87650</v>
      </c>
      <c r="F631" s="11" t="n">
        <f aca="false">IF(D631=1,SUMIFS(Benefits!$S$4:$S$703,Benefits!$B$4:$B$703,A631,Benefits!$F$4:$F$703,B631,Benefits!$R$4:$R$703,"cash"),0)</f>
        <v>0</v>
      </c>
      <c r="G631" s="11" t="n">
        <f aca="false">IF(D631=1,SUMIFS(Benefits!$S$4:$S$703,Benefits!$B$4:$B$703,A631,Benefits!$F$4:$F$703,B631,Benefits!$R$4:$R$703,"revenue"),0)</f>
        <v>0</v>
      </c>
      <c r="H631" s="11" t="n">
        <f aca="false">IF(D631=1,SUMIFS(Benefits!$S$4:$S$703,Benefits!$B$4:$B$703,A631,Benefits!$F$4:$F$703,B631,Benefits!$R$4:$R$703,"avoided_cost_realised"),0)</f>
        <v>0</v>
      </c>
      <c r="I631" s="11" t="n">
        <f aca="false">IF(D631=1,SUMIFS(Benefits!$S$4:$S$703,Benefits!$B$4:$B$703,A631,Benefits!$F$4:$F$703,B631,Benefits!$R$4:$R$703,"capacity_converted"),0)</f>
        <v>0</v>
      </c>
      <c r="J631" s="11" t="n">
        <f aca="false">SUM(F631:I631)</f>
        <v>0</v>
      </c>
      <c r="K631" s="11" t="n">
        <f aca="false">J631-E631</f>
        <v>-87650</v>
      </c>
      <c r="L631" s="11" t="n">
        <f aca="false">IF(D631=1,L630+K631,0)</f>
        <v>-97650</v>
      </c>
      <c r="M631" s="11" t="n">
        <f aca="false">IF(D631=1,1/(1+Controls!$B$11)^B631,0)</f>
        <v>0.908281566980182</v>
      </c>
      <c r="N631" s="11" t="n">
        <f aca="false">K631*M631</f>
        <v>-79610.8793458129</v>
      </c>
      <c r="O631" s="11" t="n">
        <f aca="false">IF(D631=1,O630+N631,0)</f>
        <v>-89610.8793458129</v>
      </c>
      <c r="P631" s="11" t="n">
        <f aca="false">IF(AND(D631=1,L631&lt;0),1,0)</f>
        <v>1</v>
      </c>
      <c r="Q631" s="11" t="n">
        <f aca="false">IF(AND(D631=1,O631&lt;0),1,0)</f>
        <v>1</v>
      </c>
    </row>
    <row r="632" customFormat="false" ht="15" hidden="false" customHeight="false" outlineLevel="0" collapsed="false">
      <c r="A632" s="4" t="s">
        <v>100</v>
      </c>
      <c r="B632" s="4" t="n">
        <v>16</v>
      </c>
      <c r="C632" s="11" t="n">
        <f aca="false">IF(COUNTIF('Scenario inputs'!$A$4:$A$213,Controls!$B$3&amp;"|"&amp;A632)&gt;0,1,0)</f>
        <v>1</v>
      </c>
      <c r="D632" s="11" t="n">
        <f aca="false">IF(AND(C632=1,B632&lt;Controls!$B$12),1,0)</f>
        <v>1</v>
      </c>
      <c r="E632" s="11" t="n">
        <f aca="false">IF(D632=1,SUMPRODUCT((Costs!$B$4:$B$903=A632)*(Costs!$D$4:$D$903="planned")*(Costs!$J$4:$J$903&lt;=B632)*(Costs!$K$4:$K$903&gt;B632)*Costs!$E$4:$E$903),0)</f>
        <v>129300</v>
      </c>
      <c r="F632" s="11" t="n">
        <f aca="false">IF(D632=1,SUMIFS(Benefits!$S$4:$S$703,Benefits!$B$4:$B$703,A632,Benefits!$F$4:$F$703,B632,Benefits!$R$4:$R$703,"cash"),0)</f>
        <v>0</v>
      </c>
      <c r="G632" s="11" t="n">
        <f aca="false">IF(D632=1,SUMIFS(Benefits!$S$4:$S$703,Benefits!$B$4:$B$703,A632,Benefits!$F$4:$F$703,B632,Benefits!$R$4:$R$703,"revenue"),0)</f>
        <v>0</v>
      </c>
      <c r="H632" s="11" t="n">
        <f aca="false">IF(D632=1,SUMIFS(Benefits!$S$4:$S$703,Benefits!$B$4:$B$703,A632,Benefits!$F$4:$F$703,B632,Benefits!$R$4:$R$703,"avoided_cost_realised"),0)</f>
        <v>0</v>
      </c>
      <c r="I632" s="11" t="n">
        <f aca="false">IF(D632=1,SUMIFS(Benefits!$S$4:$S$703,Benefits!$B$4:$B$703,A632,Benefits!$F$4:$F$703,B632,Benefits!$R$4:$R$703,"capacity_converted"),0)</f>
        <v>0</v>
      </c>
      <c r="J632" s="11" t="n">
        <f aca="false">SUM(F632:I632)</f>
        <v>0</v>
      </c>
      <c r="K632" s="11" t="n">
        <f aca="false">J632-E632</f>
        <v>-129300</v>
      </c>
      <c r="L632" s="11" t="n">
        <f aca="false">IF(D632=1,L631+K632,0)</f>
        <v>-226950</v>
      </c>
      <c r="M632" s="11" t="n">
        <f aca="false">IF(D632=1,1/(1+Controls!$B$11)^B632,0)</f>
        <v>0.902475042556374</v>
      </c>
      <c r="N632" s="11" t="n">
        <f aca="false">K632*M632</f>
        <v>-116690.023002539</v>
      </c>
      <c r="O632" s="11" t="n">
        <f aca="false">IF(D632=1,O631+N632,0)</f>
        <v>-206300.902348352</v>
      </c>
      <c r="P632" s="11" t="n">
        <f aca="false">IF(AND(D632=1,L632&lt;0),1,0)</f>
        <v>1</v>
      </c>
      <c r="Q632" s="11" t="n">
        <f aca="false">IF(AND(D632=1,O632&lt;0),1,0)</f>
        <v>1</v>
      </c>
    </row>
    <row r="633" customFormat="false" ht="15" hidden="false" customHeight="false" outlineLevel="0" collapsed="false">
      <c r="A633" s="4" t="s">
        <v>100</v>
      </c>
      <c r="B633" s="4" t="n">
        <v>17</v>
      </c>
      <c r="C633" s="11" t="n">
        <f aca="false">IF(COUNTIF('Scenario inputs'!$A$4:$A$213,Controls!$B$3&amp;"|"&amp;A633)&gt;0,1,0)</f>
        <v>1</v>
      </c>
      <c r="D633" s="11" t="n">
        <f aca="false">IF(AND(C633=1,B633&lt;Controls!$B$12),1,0)</f>
        <v>1</v>
      </c>
      <c r="E633" s="11" t="n">
        <f aca="false">IF(D633=1,SUMPRODUCT((Costs!$B$4:$B$903=A633)*(Costs!$D$4:$D$903="planned")*(Costs!$J$4:$J$903&lt;=B633)*(Costs!$K$4:$K$903&gt;B633)*Costs!$E$4:$E$903),0)</f>
        <v>111150</v>
      </c>
      <c r="F633" s="11" t="n">
        <f aca="false">IF(D633=1,SUMIFS(Benefits!$S$4:$S$703,Benefits!$B$4:$B$703,A633,Benefits!$F$4:$F$703,B633,Benefits!$R$4:$R$703,"cash"),0)</f>
        <v>0</v>
      </c>
      <c r="G633" s="11" t="n">
        <f aca="false">IF(D633=1,SUMIFS(Benefits!$S$4:$S$703,Benefits!$B$4:$B$703,A633,Benefits!$F$4:$F$703,B633,Benefits!$R$4:$R$703,"revenue"),0)</f>
        <v>0</v>
      </c>
      <c r="H633" s="11" t="n">
        <f aca="false">IF(D633=1,SUMIFS(Benefits!$S$4:$S$703,Benefits!$B$4:$B$703,A633,Benefits!$F$4:$F$703,B633,Benefits!$R$4:$R$703,"avoided_cost_realised"),0)</f>
        <v>0</v>
      </c>
      <c r="I633" s="11" t="n">
        <f aca="false">IF(D633=1,SUMIFS(Benefits!$S$4:$S$703,Benefits!$B$4:$B$703,A633,Benefits!$F$4:$F$703,B633,Benefits!$R$4:$R$703,"capacity_converted"),0)</f>
        <v>0</v>
      </c>
      <c r="J633" s="11" t="n">
        <f aca="false">SUM(F633:I633)</f>
        <v>0</v>
      </c>
      <c r="K633" s="11" t="n">
        <f aca="false">J633-E633</f>
        <v>-111150</v>
      </c>
      <c r="L633" s="11" t="n">
        <f aca="false">IF(D633=1,L632+K633,0)</f>
        <v>-338100</v>
      </c>
      <c r="M633" s="11" t="n">
        <f aca="false">IF(D633=1,1/(1+Controls!$B$11)^B633,0)</f>
        <v>0.896705638478404</v>
      </c>
      <c r="N633" s="11" t="n">
        <f aca="false">K633*M633</f>
        <v>-99668.8317168746</v>
      </c>
      <c r="O633" s="11" t="n">
        <f aca="false">IF(D633=1,O632+N633,0)</f>
        <v>-305969.734065227</v>
      </c>
      <c r="P633" s="11" t="n">
        <f aca="false">IF(AND(D633=1,L633&lt;0),1,0)</f>
        <v>1</v>
      </c>
      <c r="Q633" s="11" t="n">
        <f aca="false">IF(AND(D633=1,O633&lt;0),1,0)</f>
        <v>1</v>
      </c>
    </row>
    <row r="634" customFormat="false" ht="15" hidden="false" customHeight="false" outlineLevel="0" collapsed="false">
      <c r="A634" s="4" t="s">
        <v>100</v>
      </c>
      <c r="B634" s="4" t="n">
        <v>18</v>
      </c>
      <c r="C634" s="11" t="n">
        <f aca="false">IF(COUNTIF('Scenario inputs'!$A$4:$A$213,Controls!$B$3&amp;"|"&amp;A634)&gt;0,1,0)</f>
        <v>1</v>
      </c>
      <c r="D634" s="11" t="n">
        <f aca="false">IF(AND(C634=1,B634&lt;Controls!$B$12),1,0)</f>
        <v>1</v>
      </c>
      <c r="E634" s="11" t="n">
        <f aca="false">IF(D634=1,SUMPRODUCT((Costs!$B$4:$B$903=A634)*(Costs!$D$4:$D$903="planned")*(Costs!$J$4:$J$903&lt;=B634)*(Costs!$K$4:$K$903&gt;B634)*Costs!$E$4:$E$903),0)</f>
        <v>186900</v>
      </c>
      <c r="F634" s="11" t="n">
        <f aca="false">IF(D634=1,SUMIFS(Benefits!$S$4:$S$703,Benefits!$B$4:$B$703,A634,Benefits!$F$4:$F$703,B634,Benefits!$R$4:$R$703,"cash"),0)</f>
        <v>5373.3602</v>
      </c>
      <c r="G634" s="11" t="n">
        <f aca="false">IF(D634=1,SUMIFS(Benefits!$S$4:$S$703,Benefits!$B$4:$B$703,A634,Benefits!$F$4:$F$703,B634,Benefits!$R$4:$R$703,"revenue"),0)</f>
        <v>0</v>
      </c>
      <c r="H634" s="11" t="n">
        <f aca="false">IF(D634=1,SUMIFS(Benefits!$S$4:$S$703,Benefits!$B$4:$B$703,A634,Benefits!$F$4:$F$703,B634,Benefits!$R$4:$R$703,"avoided_cost_realised"),0)</f>
        <v>0</v>
      </c>
      <c r="I634" s="11" t="n">
        <f aca="false">IF(D634=1,SUMIFS(Benefits!$S$4:$S$703,Benefits!$B$4:$B$703,A634,Benefits!$F$4:$F$703,B634,Benefits!$R$4:$R$703,"capacity_converted"),0)</f>
        <v>0</v>
      </c>
      <c r="J634" s="11" t="n">
        <f aca="false">SUM(F634:I634)</f>
        <v>5373.3602</v>
      </c>
      <c r="K634" s="11" t="n">
        <f aca="false">J634-E634</f>
        <v>-181526.6398</v>
      </c>
      <c r="L634" s="11" t="n">
        <f aca="false">IF(D634=1,L633+K634,0)</f>
        <v>-519626.6398</v>
      </c>
      <c r="M634" s="11" t="n">
        <f aca="false">IF(D634=1,1/(1+Controls!$B$11)^B634,0)</f>
        <v>0.89097311744079</v>
      </c>
      <c r="N634" s="11" t="n">
        <f aca="false">K634*M634</f>
        <v>-161735.356161157</v>
      </c>
      <c r="O634" s="11" t="n">
        <f aca="false">IF(D634=1,O633+N634,0)</f>
        <v>-467705.090226384</v>
      </c>
      <c r="P634" s="11" t="n">
        <f aca="false">IF(AND(D634=1,L634&lt;0),1,0)</f>
        <v>1</v>
      </c>
      <c r="Q634" s="11" t="n">
        <f aca="false">IF(AND(D634=1,O634&lt;0),1,0)</f>
        <v>1</v>
      </c>
    </row>
    <row r="635" customFormat="false" ht="15" hidden="false" customHeight="false" outlineLevel="0" collapsed="false">
      <c r="A635" s="4" t="s">
        <v>100</v>
      </c>
      <c r="B635" s="4" t="n">
        <v>19</v>
      </c>
      <c r="C635" s="11" t="n">
        <f aca="false">IF(COUNTIF('Scenario inputs'!$A$4:$A$213,Controls!$B$3&amp;"|"&amp;A635)&gt;0,1,0)</f>
        <v>1</v>
      </c>
      <c r="D635" s="11" t="n">
        <f aca="false">IF(AND(C635=1,B635&lt;Controls!$B$12),1,0)</f>
        <v>1</v>
      </c>
      <c r="E635" s="11" t="n">
        <f aca="false">IF(D635=1,SUMPRODUCT((Costs!$B$4:$B$903=A635)*(Costs!$D$4:$D$903="planned")*(Costs!$J$4:$J$903&lt;=B635)*(Costs!$K$4:$K$903&gt;B635)*Costs!$E$4:$E$903),0)</f>
        <v>10000</v>
      </c>
      <c r="F635" s="11" t="n">
        <f aca="false">IF(D635=1,SUMIFS(Benefits!$S$4:$S$703,Benefits!$B$4:$B$703,A635,Benefits!$F$4:$F$703,B635,Benefits!$R$4:$R$703,"cash"),0)</f>
        <v>16120</v>
      </c>
      <c r="G635" s="11" t="n">
        <f aca="false">IF(D635=1,SUMIFS(Benefits!$S$4:$S$703,Benefits!$B$4:$B$703,A635,Benefits!$F$4:$F$703,B635,Benefits!$R$4:$R$703,"revenue"),0)</f>
        <v>0</v>
      </c>
      <c r="H635" s="11" t="n">
        <f aca="false">IF(D635=1,SUMIFS(Benefits!$S$4:$S$703,Benefits!$B$4:$B$703,A635,Benefits!$F$4:$F$703,B635,Benefits!$R$4:$R$703,"avoided_cost_realised"),0)</f>
        <v>0</v>
      </c>
      <c r="I635" s="11" t="n">
        <f aca="false">IF(D635=1,SUMIFS(Benefits!$S$4:$S$703,Benefits!$B$4:$B$703,A635,Benefits!$F$4:$F$703,B635,Benefits!$R$4:$R$703,"capacity_converted"),0)</f>
        <v>0</v>
      </c>
      <c r="J635" s="11" t="n">
        <f aca="false">SUM(F635:I635)</f>
        <v>16120</v>
      </c>
      <c r="K635" s="11" t="n">
        <f aca="false">J635-E635</f>
        <v>6120</v>
      </c>
      <c r="L635" s="11" t="n">
        <f aca="false">IF(D635=1,L634+K635,0)</f>
        <v>-513506.6398</v>
      </c>
      <c r="M635" s="11" t="n">
        <f aca="false">IF(D635=1,1/(1+Controls!$B$11)^B635,0)</f>
        <v>0.885277243655113</v>
      </c>
      <c r="N635" s="11" t="n">
        <f aca="false">K635*M635</f>
        <v>5417.89673116929</v>
      </c>
      <c r="O635" s="11" t="n">
        <f aca="false">IF(D635=1,O634+N635,0)</f>
        <v>-462287.193495215</v>
      </c>
      <c r="P635" s="11" t="n">
        <f aca="false">IF(AND(D635=1,L635&lt;0),1,0)</f>
        <v>1</v>
      </c>
      <c r="Q635" s="11" t="n">
        <f aca="false">IF(AND(D635=1,O635&lt;0),1,0)</f>
        <v>1</v>
      </c>
    </row>
    <row r="636" customFormat="false" ht="15" hidden="false" customHeight="false" outlineLevel="0" collapsed="false">
      <c r="A636" s="4" t="s">
        <v>100</v>
      </c>
      <c r="B636" s="4" t="n">
        <v>20</v>
      </c>
      <c r="C636" s="11" t="n">
        <f aca="false">IF(COUNTIF('Scenario inputs'!$A$4:$A$213,Controls!$B$3&amp;"|"&amp;A636)&gt;0,1,0)</f>
        <v>1</v>
      </c>
      <c r="D636" s="11" t="n">
        <f aca="false">IF(AND(C636=1,B636&lt;Controls!$B$12),1,0)</f>
        <v>1</v>
      </c>
      <c r="E636" s="11" t="n">
        <f aca="false">IF(D636=1,SUMPRODUCT((Costs!$B$4:$B$903=A636)*(Costs!$D$4:$D$903="planned")*(Costs!$J$4:$J$903&lt;=B636)*(Costs!$K$4:$K$903&gt;B636)*Costs!$E$4:$E$903),0)</f>
        <v>10000</v>
      </c>
      <c r="F636" s="11" t="n">
        <f aca="false">IF(D636=1,SUMIFS(Benefits!$S$4:$S$703,Benefits!$B$4:$B$703,A636,Benefits!$F$4:$F$703,B636,Benefits!$R$4:$R$703,"cash"),0)</f>
        <v>32240</v>
      </c>
      <c r="G636" s="11" t="n">
        <f aca="false">IF(D636=1,SUMIFS(Benefits!$S$4:$S$703,Benefits!$B$4:$B$703,A636,Benefits!$F$4:$F$703,B636,Benefits!$R$4:$R$703,"revenue"),0)</f>
        <v>0</v>
      </c>
      <c r="H636" s="11" t="n">
        <f aca="false">IF(D636=1,SUMIFS(Benefits!$S$4:$S$703,Benefits!$B$4:$B$703,A636,Benefits!$F$4:$F$703,B636,Benefits!$R$4:$R$703,"avoided_cost_realised"),0)</f>
        <v>0</v>
      </c>
      <c r="I636" s="11" t="n">
        <f aca="false">IF(D636=1,SUMIFS(Benefits!$S$4:$S$703,Benefits!$B$4:$B$703,A636,Benefits!$F$4:$F$703,B636,Benefits!$R$4:$R$703,"capacity_converted"),0)</f>
        <v>0</v>
      </c>
      <c r="J636" s="11" t="n">
        <f aca="false">SUM(F636:I636)</f>
        <v>32240</v>
      </c>
      <c r="K636" s="11" t="n">
        <f aca="false">J636-E636</f>
        <v>22240</v>
      </c>
      <c r="L636" s="11" t="n">
        <f aca="false">IF(D636=1,L635+K636,0)</f>
        <v>-491266.6398</v>
      </c>
      <c r="M636" s="11" t="n">
        <f aca="false">IF(D636=1,1/(1+Controls!$B$11)^B636,0)</f>
        <v>0.879617782840318</v>
      </c>
      <c r="N636" s="11" t="n">
        <f aca="false">K636*M636</f>
        <v>19562.6994903687</v>
      </c>
      <c r="O636" s="11" t="n">
        <f aca="false">IF(D636=1,O635+N636,0)</f>
        <v>-442724.494004846</v>
      </c>
      <c r="P636" s="11" t="n">
        <f aca="false">IF(AND(D636=1,L636&lt;0),1,0)</f>
        <v>1</v>
      </c>
      <c r="Q636" s="11" t="n">
        <f aca="false">IF(AND(D636=1,O636&lt;0),1,0)</f>
        <v>1</v>
      </c>
    </row>
    <row r="637" customFormat="false" ht="15" hidden="false" customHeight="false" outlineLevel="0" collapsed="false">
      <c r="A637" s="4" t="s">
        <v>100</v>
      </c>
      <c r="B637" s="4" t="n">
        <v>21</v>
      </c>
      <c r="C637" s="11" t="n">
        <f aca="false">IF(COUNTIF('Scenario inputs'!$A$4:$A$213,Controls!$B$3&amp;"|"&amp;A637)&gt;0,1,0)</f>
        <v>1</v>
      </c>
      <c r="D637" s="11" t="n">
        <f aca="false">IF(AND(C637=1,B637&lt;Controls!$B$12),1,0)</f>
        <v>1</v>
      </c>
      <c r="E637" s="11" t="n">
        <f aca="false">IF(D637=1,SUMPRODUCT((Costs!$B$4:$B$903=A637)*(Costs!$D$4:$D$903="planned")*(Costs!$J$4:$J$903&lt;=B637)*(Costs!$K$4:$K$903&gt;B637)*Costs!$E$4:$E$903),0)</f>
        <v>10000</v>
      </c>
      <c r="F637" s="11" t="n">
        <f aca="false">IF(D637=1,SUMIFS(Benefits!$S$4:$S$703,Benefits!$B$4:$B$703,A637,Benefits!$F$4:$F$703,B637,Benefits!$R$4:$R$703,"cash"),0)</f>
        <v>53733.3602</v>
      </c>
      <c r="G637" s="11" t="n">
        <f aca="false">IF(D637=1,SUMIFS(Benefits!$S$4:$S$703,Benefits!$B$4:$B$703,A637,Benefits!$F$4:$F$703,B637,Benefits!$R$4:$R$703,"revenue"),0)</f>
        <v>0</v>
      </c>
      <c r="H637" s="11" t="n">
        <f aca="false">IF(D637=1,SUMIFS(Benefits!$S$4:$S$703,Benefits!$B$4:$B$703,A637,Benefits!$F$4:$F$703,B637,Benefits!$R$4:$R$703,"avoided_cost_realised"),0)</f>
        <v>0</v>
      </c>
      <c r="I637" s="11" t="n">
        <f aca="false">IF(D637=1,SUMIFS(Benefits!$S$4:$S$703,Benefits!$B$4:$B$703,A637,Benefits!$F$4:$F$703,B637,Benefits!$R$4:$R$703,"capacity_converted"),0)</f>
        <v>0</v>
      </c>
      <c r="J637" s="11" t="n">
        <f aca="false">SUM(F637:I637)</f>
        <v>53733.3602</v>
      </c>
      <c r="K637" s="11" t="n">
        <f aca="false">J637-E637</f>
        <v>43733.3602</v>
      </c>
      <c r="L637" s="11" t="n">
        <f aca="false">IF(D637=1,L636+K637,0)</f>
        <v>-447533.2796</v>
      </c>
      <c r="M637" s="11" t="n">
        <f aca="false">IF(D637=1,1/(1+Controls!$B$11)^B637,0)</f>
        <v>0.873994502213079</v>
      </c>
      <c r="N637" s="11" t="n">
        <f aca="false">K637*M637</f>
        <v>38222.7163781043</v>
      </c>
      <c r="O637" s="11" t="n">
        <f aca="false">IF(D637=1,O636+N637,0)</f>
        <v>-404501.777626742</v>
      </c>
      <c r="P637" s="11" t="n">
        <f aca="false">IF(AND(D637=1,L637&lt;0),1,0)</f>
        <v>1</v>
      </c>
      <c r="Q637" s="11" t="n">
        <f aca="false">IF(AND(D637=1,O637&lt;0),1,0)</f>
        <v>1</v>
      </c>
    </row>
    <row r="638" customFormat="false" ht="15" hidden="false" customHeight="false" outlineLevel="0" collapsed="false">
      <c r="A638" s="4" t="s">
        <v>100</v>
      </c>
      <c r="B638" s="4" t="n">
        <v>22</v>
      </c>
      <c r="C638" s="11" t="n">
        <f aca="false">IF(COUNTIF('Scenario inputs'!$A$4:$A$213,Controls!$B$3&amp;"|"&amp;A638)&gt;0,1,0)</f>
        <v>1</v>
      </c>
      <c r="D638" s="11" t="n">
        <f aca="false">IF(AND(C638=1,B638&lt;Controls!$B$12),1,0)</f>
        <v>1</v>
      </c>
      <c r="E638" s="11" t="n">
        <f aca="false">IF(D638=1,SUMPRODUCT((Costs!$B$4:$B$903=A638)*(Costs!$D$4:$D$903="planned")*(Costs!$J$4:$J$903&lt;=B638)*(Costs!$K$4:$K$903&gt;B638)*Costs!$E$4:$E$903),0)</f>
        <v>10000</v>
      </c>
      <c r="F638" s="11" t="n">
        <f aca="false">IF(D638=1,SUMIFS(Benefits!$S$4:$S$703,Benefits!$B$4:$B$703,A638,Benefits!$F$4:$F$703,B638,Benefits!$R$4:$R$703,"cash"),0)</f>
        <v>80600</v>
      </c>
      <c r="G638" s="11" t="n">
        <f aca="false">IF(D638=1,SUMIFS(Benefits!$S$4:$S$703,Benefits!$B$4:$B$703,A638,Benefits!$F$4:$F$703,B638,Benefits!$R$4:$R$703,"revenue"),0)</f>
        <v>0</v>
      </c>
      <c r="H638" s="11" t="n">
        <f aca="false">IF(D638=1,SUMIFS(Benefits!$S$4:$S$703,Benefits!$B$4:$B$703,A638,Benefits!$F$4:$F$703,B638,Benefits!$R$4:$R$703,"avoided_cost_realised"),0)</f>
        <v>0</v>
      </c>
      <c r="I638" s="11" t="n">
        <f aca="false">IF(D638=1,SUMIFS(Benefits!$S$4:$S$703,Benefits!$B$4:$B$703,A638,Benefits!$F$4:$F$703,B638,Benefits!$R$4:$R$703,"capacity_converted"),0)</f>
        <v>0</v>
      </c>
      <c r="J638" s="11" t="n">
        <f aca="false">SUM(F638:I638)</f>
        <v>80600</v>
      </c>
      <c r="K638" s="11" t="n">
        <f aca="false">J638-E638</f>
        <v>70600</v>
      </c>
      <c r="L638" s="11" t="n">
        <f aca="false">IF(D638=1,L637+K638,0)</f>
        <v>-376933.2796</v>
      </c>
      <c r="M638" s="11" t="n">
        <f aca="false">IF(D638=1,1/(1+Controls!$B$11)^B638,0)</f>
        <v>0.868407170478222</v>
      </c>
      <c r="N638" s="11" t="n">
        <f aca="false">K638*M638</f>
        <v>61309.5462357625</v>
      </c>
      <c r="O638" s="11" t="n">
        <f aca="false">IF(D638=1,O637+N638,0)</f>
        <v>-343192.231390979</v>
      </c>
      <c r="P638" s="11" t="n">
        <f aca="false">IF(AND(D638=1,L638&lt;0),1,0)</f>
        <v>1</v>
      </c>
      <c r="Q638" s="11" t="n">
        <f aca="false">IF(AND(D638=1,O638&lt;0),1,0)</f>
        <v>1</v>
      </c>
    </row>
    <row r="639" customFormat="false" ht="15" hidden="false" customHeight="false" outlineLevel="0" collapsed="false">
      <c r="A639" s="4" t="s">
        <v>100</v>
      </c>
      <c r="B639" s="4" t="n">
        <v>23</v>
      </c>
      <c r="C639" s="11" t="n">
        <f aca="false">IF(COUNTIF('Scenario inputs'!$A$4:$A$213,Controls!$B$3&amp;"|"&amp;A639)&gt;0,1,0)</f>
        <v>1</v>
      </c>
      <c r="D639" s="11" t="n">
        <f aca="false">IF(AND(C639=1,B639&lt;Controls!$B$12),1,0)</f>
        <v>1</v>
      </c>
      <c r="E639" s="11" t="n">
        <f aca="false">IF(D639=1,SUMPRODUCT((Costs!$B$4:$B$903=A639)*(Costs!$D$4:$D$903="planned")*(Costs!$J$4:$J$903&lt;=B639)*(Costs!$K$4:$K$903&gt;B639)*Costs!$E$4:$E$903),0)</f>
        <v>10000</v>
      </c>
      <c r="F639" s="11" t="n">
        <f aca="false">IF(D639=1,SUMIFS(Benefits!$S$4:$S$703,Benefits!$B$4:$B$703,A639,Benefits!$F$4:$F$703,B639,Benefits!$R$4:$R$703,"cash"),0)</f>
        <v>80600</v>
      </c>
      <c r="G639" s="11" t="n">
        <f aca="false">IF(D639=1,SUMIFS(Benefits!$S$4:$S$703,Benefits!$B$4:$B$703,A639,Benefits!$F$4:$F$703,B639,Benefits!$R$4:$R$703,"revenue"),0)</f>
        <v>0</v>
      </c>
      <c r="H639" s="11" t="n">
        <f aca="false">IF(D639=1,SUMIFS(Benefits!$S$4:$S$703,Benefits!$B$4:$B$703,A639,Benefits!$F$4:$F$703,B639,Benefits!$R$4:$R$703,"avoided_cost_realised"),0)</f>
        <v>0</v>
      </c>
      <c r="I639" s="11" t="n">
        <f aca="false">IF(D639=1,SUMIFS(Benefits!$S$4:$S$703,Benefits!$B$4:$B$703,A639,Benefits!$F$4:$F$703,B639,Benefits!$R$4:$R$703,"capacity_converted"),0)</f>
        <v>0</v>
      </c>
      <c r="J639" s="11" t="n">
        <f aca="false">SUM(F639:I639)</f>
        <v>80600</v>
      </c>
      <c r="K639" s="11" t="n">
        <f aca="false">J639-E639</f>
        <v>70600</v>
      </c>
      <c r="L639" s="11" t="n">
        <f aca="false">IF(D639=1,L638+K639,0)</f>
        <v>-306333.2796</v>
      </c>
      <c r="M639" s="11" t="n">
        <f aca="false">IF(D639=1,1/(1+Controls!$B$11)^B639,0)</f>
        <v>0.862855557819213</v>
      </c>
      <c r="N639" s="11" t="n">
        <f aca="false">K639*M639</f>
        <v>60917.6023820365</v>
      </c>
      <c r="O639" s="11" t="n">
        <f aca="false">IF(D639=1,O638+N639,0)</f>
        <v>-282274.629008943</v>
      </c>
      <c r="P639" s="11" t="n">
        <f aca="false">IF(AND(D639=1,L639&lt;0),1,0)</f>
        <v>1</v>
      </c>
      <c r="Q639" s="11" t="n">
        <f aca="false">IF(AND(D639=1,O639&lt;0),1,0)</f>
        <v>1</v>
      </c>
    </row>
    <row r="640" customFormat="false" ht="15" hidden="false" customHeight="false" outlineLevel="0" collapsed="false">
      <c r="A640" s="4" t="s">
        <v>100</v>
      </c>
      <c r="B640" s="4" t="n">
        <v>24</v>
      </c>
      <c r="C640" s="11" t="n">
        <f aca="false">IF(COUNTIF('Scenario inputs'!$A$4:$A$213,Controls!$B$3&amp;"|"&amp;A640)&gt;0,1,0)</f>
        <v>1</v>
      </c>
      <c r="D640" s="11" t="n">
        <f aca="false">IF(AND(C640=1,B640&lt;Controls!$B$12),1,0)</f>
        <v>1</v>
      </c>
      <c r="E640" s="11" t="n">
        <f aca="false">IF(D640=1,SUMPRODUCT((Costs!$B$4:$B$903=A640)*(Costs!$D$4:$D$903="planned")*(Costs!$J$4:$J$903&lt;=B640)*(Costs!$K$4:$K$903&gt;B640)*Costs!$E$4:$E$903),0)</f>
        <v>10350</v>
      </c>
      <c r="F640" s="11" t="n">
        <f aca="false">IF(D640=1,SUMIFS(Benefits!$S$4:$S$703,Benefits!$B$4:$B$703,A640,Benefits!$F$4:$F$703,B640,Benefits!$R$4:$R$703,"cash"),0)</f>
        <v>80600</v>
      </c>
      <c r="G640" s="11" t="n">
        <f aca="false">IF(D640=1,SUMIFS(Benefits!$S$4:$S$703,Benefits!$B$4:$B$703,A640,Benefits!$F$4:$F$703,B640,Benefits!$R$4:$R$703,"revenue"),0)</f>
        <v>0</v>
      </c>
      <c r="H640" s="11" t="n">
        <f aca="false">IF(D640=1,SUMIFS(Benefits!$S$4:$S$703,Benefits!$B$4:$B$703,A640,Benefits!$F$4:$F$703,B640,Benefits!$R$4:$R$703,"avoided_cost_realised"),0)</f>
        <v>0</v>
      </c>
      <c r="I640" s="11" t="n">
        <f aca="false">IF(D640=1,SUMIFS(Benefits!$S$4:$S$703,Benefits!$B$4:$B$703,A640,Benefits!$F$4:$F$703,B640,Benefits!$R$4:$R$703,"capacity_converted"),0)</f>
        <v>0</v>
      </c>
      <c r="J640" s="11" t="n">
        <f aca="false">SUM(F640:I640)</f>
        <v>80600</v>
      </c>
      <c r="K640" s="11" t="n">
        <f aca="false">J640-E640</f>
        <v>70250</v>
      </c>
      <c r="L640" s="11" t="n">
        <f aca="false">IF(D640=1,L639+K640,0)</f>
        <v>-236083.2796</v>
      </c>
      <c r="M640" s="11" t="n">
        <f aca="false">IF(D640=1,1/(1+Controls!$B$11)^B640,0)</f>
        <v>0.857339435888705</v>
      </c>
      <c r="N640" s="11" t="n">
        <f aca="false">K640*M640</f>
        <v>60228.0953711815</v>
      </c>
      <c r="O640" s="11" t="n">
        <f aca="false">IF(D640=1,O639+N640,0)</f>
        <v>-222046.533637761</v>
      </c>
      <c r="P640" s="11" t="n">
        <f aca="false">IF(AND(D640=1,L640&lt;0),1,0)</f>
        <v>1</v>
      </c>
      <c r="Q640" s="11" t="n">
        <f aca="false">IF(AND(D640=1,O640&lt;0),1,0)</f>
        <v>1</v>
      </c>
    </row>
    <row r="641" customFormat="false" ht="15" hidden="false" customHeight="false" outlineLevel="0" collapsed="false">
      <c r="A641" s="4" t="s">
        <v>100</v>
      </c>
      <c r="B641" s="4" t="n">
        <v>25</v>
      </c>
      <c r="C641" s="11" t="n">
        <f aca="false">IF(COUNTIF('Scenario inputs'!$A$4:$A$213,Controls!$B$3&amp;"|"&amp;A641)&gt;0,1,0)</f>
        <v>1</v>
      </c>
      <c r="D641" s="11" t="n">
        <f aca="false">IF(AND(C641=1,B641&lt;Controls!$B$12),1,0)</f>
        <v>1</v>
      </c>
      <c r="E641" s="11" t="n">
        <f aca="false">IF(D641=1,SUMPRODUCT((Costs!$B$4:$B$903=A641)*(Costs!$D$4:$D$903="planned")*(Costs!$J$4:$J$903&lt;=B641)*(Costs!$K$4:$K$903&gt;B641)*Costs!$E$4:$E$903),0)</f>
        <v>10350</v>
      </c>
      <c r="F641" s="11" t="n">
        <f aca="false">IF(D641=1,SUMIFS(Benefits!$S$4:$S$703,Benefits!$B$4:$B$703,A641,Benefits!$F$4:$F$703,B641,Benefits!$R$4:$R$703,"cash"),0)</f>
        <v>80600</v>
      </c>
      <c r="G641" s="11" t="n">
        <f aca="false">IF(D641=1,SUMIFS(Benefits!$S$4:$S$703,Benefits!$B$4:$B$703,A641,Benefits!$F$4:$F$703,B641,Benefits!$R$4:$R$703,"revenue"),0)</f>
        <v>0</v>
      </c>
      <c r="H641" s="11" t="n">
        <f aca="false">IF(D641=1,SUMIFS(Benefits!$S$4:$S$703,Benefits!$B$4:$B$703,A641,Benefits!$F$4:$F$703,B641,Benefits!$R$4:$R$703,"avoided_cost_realised"),0)</f>
        <v>0</v>
      </c>
      <c r="I641" s="11" t="n">
        <f aca="false">IF(D641=1,SUMIFS(Benefits!$S$4:$S$703,Benefits!$B$4:$B$703,A641,Benefits!$F$4:$F$703,B641,Benefits!$R$4:$R$703,"capacity_converted"),0)</f>
        <v>0</v>
      </c>
      <c r="J641" s="11" t="n">
        <f aca="false">SUM(F641:I641)</f>
        <v>80600</v>
      </c>
      <c r="K641" s="11" t="n">
        <f aca="false">J641-E641</f>
        <v>70250</v>
      </c>
      <c r="L641" s="11" t="n">
        <f aca="false">IF(D641=1,L640+K641,0)</f>
        <v>-165833.2796</v>
      </c>
      <c r="M641" s="11" t="n">
        <f aca="false">IF(D641=1,1/(1+Controls!$B$11)^B641,0)</f>
        <v>0.851858577799146</v>
      </c>
      <c r="N641" s="11" t="n">
        <f aca="false">K641*M641</f>
        <v>59843.06509039</v>
      </c>
      <c r="O641" s="11" t="n">
        <f aca="false">IF(D641=1,O640+N641,0)</f>
        <v>-162203.468547371</v>
      </c>
      <c r="P641" s="11" t="n">
        <f aca="false">IF(AND(D641=1,L641&lt;0),1,0)</f>
        <v>1</v>
      </c>
      <c r="Q641" s="11" t="n">
        <f aca="false">IF(AND(D641=1,O641&lt;0),1,0)</f>
        <v>1</v>
      </c>
    </row>
    <row r="642" customFormat="false" ht="15" hidden="false" customHeight="false" outlineLevel="0" collapsed="false">
      <c r="A642" s="4" t="s">
        <v>100</v>
      </c>
      <c r="B642" s="4" t="n">
        <v>26</v>
      </c>
      <c r="C642" s="11" t="n">
        <f aca="false">IF(COUNTIF('Scenario inputs'!$A$4:$A$213,Controls!$B$3&amp;"|"&amp;A642)&gt;0,1,0)</f>
        <v>1</v>
      </c>
      <c r="D642" s="11" t="n">
        <f aca="false">IF(AND(C642=1,B642&lt;Controls!$B$12),1,0)</f>
        <v>1</v>
      </c>
      <c r="E642" s="11" t="n">
        <f aca="false">IF(D642=1,SUMPRODUCT((Costs!$B$4:$B$903=A642)*(Costs!$D$4:$D$903="planned")*(Costs!$J$4:$J$903&lt;=B642)*(Costs!$K$4:$K$903&gt;B642)*Costs!$E$4:$E$903),0)</f>
        <v>10350</v>
      </c>
      <c r="F642" s="11" t="n">
        <f aca="false">IF(D642=1,SUMIFS(Benefits!$S$4:$S$703,Benefits!$B$4:$B$703,A642,Benefits!$F$4:$F$703,B642,Benefits!$R$4:$R$703,"cash"),0)</f>
        <v>80600</v>
      </c>
      <c r="G642" s="11" t="n">
        <f aca="false">IF(D642=1,SUMIFS(Benefits!$S$4:$S$703,Benefits!$B$4:$B$703,A642,Benefits!$F$4:$F$703,B642,Benefits!$R$4:$R$703,"revenue"),0)</f>
        <v>0</v>
      </c>
      <c r="H642" s="11" t="n">
        <f aca="false">IF(D642=1,SUMIFS(Benefits!$S$4:$S$703,Benefits!$B$4:$B$703,A642,Benefits!$F$4:$F$703,B642,Benefits!$R$4:$R$703,"avoided_cost_realised"),0)</f>
        <v>0</v>
      </c>
      <c r="I642" s="11" t="n">
        <f aca="false">IF(D642=1,SUMIFS(Benefits!$S$4:$S$703,Benefits!$B$4:$B$703,A642,Benefits!$F$4:$F$703,B642,Benefits!$R$4:$R$703,"capacity_converted"),0)</f>
        <v>0</v>
      </c>
      <c r="J642" s="11" t="n">
        <f aca="false">SUM(F642:I642)</f>
        <v>80600</v>
      </c>
      <c r="K642" s="11" t="n">
        <f aca="false">J642-E642</f>
        <v>70250</v>
      </c>
      <c r="L642" s="11" t="n">
        <f aca="false">IF(D642=1,L641+K642,0)</f>
        <v>-95583.2796</v>
      </c>
      <c r="M642" s="11" t="n">
        <f aca="false">IF(D642=1,1/(1+Controls!$B$11)^B642,0)</f>
        <v>0.846412758113444</v>
      </c>
      <c r="N642" s="11" t="n">
        <f aca="false">K642*M642</f>
        <v>59460.4962574694</v>
      </c>
      <c r="O642" s="11" t="n">
        <f aca="false">IF(D642=1,O641+N642,0)</f>
        <v>-102742.972289902</v>
      </c>
      <c r="P642" s="11" t="n">
        <f aca="false">IF(AND(D642=1,L642&lt;0),1,0)</f>
        <v>1</v>
      </c>
      <c r="Q642" s="11" t="n">
        <f aca="false">IF(AND(D642=1,O642&lt;0),1,0)</f>
        <v>1</v>
      </c>
    </row>
    <row r="643" customFormat="false" ht="15" hidden="false" customHeight="false" outlineLevel="0" collapsed="false">
      <c r="A643" s="4" t="s">
        <v>100</v>
      </c>
      <c r="B643" s="4" t="n">
        <v>27</v>
      </c>
      <c r="C643" s="11" t="n">
        <f aca="false">IF(COUNTIF('Scenario inputs'!$A$4:$A$213,Controls!$B$3&amp;"|"&amp;A643)&gt;0,1,0)</f>
        <v>1</v>
      </c>
      <c r="D643" s="11" t="n">
        <f aca="false">IF(AND(C643=1,B643&lt;Controls!$B$12),1,0)</f>
        <v>1</v>
      </c>
      <c r="E643" s="11" t="n">
        <f aca="false">IF(D643=1,SUMPRODUCT((Costs!$B$4:$B$903=A643)*(Costs!$D$4:$D$903="planned")*(Costs!$J$4:$J$903&lt;=B643)*(Costs!$K$4:$K$903&gt;B643)*Costs!$E$4:$E$903),0)</f>
        <v>10350</v>
      </c>
      <c r="F643" s="11" t="n">
        <f aca="false">IF(D643=1,SUMIFS(Benefits!$S$4:$S$703,Benefits!$B$4:$B$703,A643,Benefits!$F$4:$F$703,B643,Benefits!$R$4:$R$703,"cash"),0)</f>
        <v>80600</v>
      </c>
      <c r="G643" s="11" t="n">
        <f aca="false">IF(D643=1,SUMIFS(Benefits!$S$4:$S$703,Benefits!$B$4:$B$703,A643,Benefits!$F$4:$F$703,B643,Benefits!$R$4:$R$703,"revenue"),0)</f>
        <v>0</v>
      </c>
      <c r="H643" s="11" t="n">
        <f aca="false">IF(D643=1,SUMIFS(Benefits!$S$4:$S$703,Benefits!$B$4:$B$703,A643,Benefits!$F$4:$F$703,B643,Benefits!$R$4:$R$703,"avoided_cost_realised"),0)</f>
        <v>0</v>
      </c>
      <c r="I643" s="11" t="n">
        <f aca="false">IF(D643=1,SUMIFS(Benefits!$S$4:$S$703,Benefits!$B$4:$B$703,A643,Benefits!$F$4:$F$703,B643,Benefits!$R$4:$R$703,"capacity_converted"),0)</f>
        <v>0</v>
      </c>
      <c r="J643" s="11" t="n">
        <f aca="false">SUM(F643:I643)</f>
        <v>80600</v>
      </c>
      <c r="K643" s="11" t="n">
        <f aca="false">J643-E643</f>
        <v>70250</v>
      </c>
      <c r="L643" s="11" t="n">
        <f aca="false">IF(D643=1,L642+K643,0)</f>
        <v>-25333.2796</v>
      </c>
      <c r="M643" s="11" t="n">
        <f aca="false">IF(D643=1,1/(1+Controls!$B$11)^B643,0)</f>
        <v>0.841001752835699</v>
      </c>
      <c r="N643" s="11" t="n">
        <f aca="false">K643*M643</f>
        <v>59080.3731367078</v>
      </c>
      <c r="O643" s="11" t="n">
        <f aca="false">IF(D643=1,O642+N643,0)</f>
        <v>-43662.599153194</v>
      </c>
      <c r="P643" s="11" t="n">
        <f aca="false">IF(AND(D643=1,L643&lt;0),1,0)</f>
        <v>1</v>
      </c>
      <c r="Q643" s="11" t="n">
        <f aca="false">IF(AND(D643=1,O643&lt;0),1,0)</f>
        <v>1</v>
      </c>
    </row>
    <row r="644" customFormat="false" ht="15" hidden="false" customHeight="false" outlineLevel="0" collapsed="false">
      <c r="A644" s="4" t="s">
        <v>100</v>
      </c>
      <c r="B644" s="4" t="n">
        <v>28</v>
      </c>
      <c r="C644" s="11" t="n">
        <f aca="false">IF(COUNTIF('Scenario inputs'!$A$4:$A$213,Controls!$B$3&amp;"|"&amp;A644)&gt;0,1,0)</f>
        <v>1</v>
      </c>
      <c r="D644" s="11" t="n">
        <f aca="false">IF(AND(C644=1,B644&lt;Controls!$B$12),1,0)</f>
        <v>1</v>
      </c>
      <c r="E644" s="11" t="n">
        <f aca="false">IF(D644=1,SUMPRODUCT((Costs!$B$4:$B$903=A644)*(Costs!$D$4:$D$903="planned")*(Costs!$J$4:$J$903&lt;=B644)*(Costs!$K$4:$K$903&gt;B644)*Costs!$E$4:$E$903),0)</f>
        <v>10350</v>
      </c>
      <c r="F644" s="11" t="n">
        <f aca="false">IF(D644=1,SUMIFS(Benefits!$S$4:$S$703,Benefits!$B$4:$B$703,A644,Benefits!$F$4:$F$703,B644,Benefits!$R$4:$R$703,"cash"),0)</f>
        <v>80600</v>
      </c>
      <c r="G644" s="11" t="n">
        <f aca="false">IF(D644=1,SUMIFS(Benefits!$S$4:$S$703,Benefits!$B$4:$B$703,A644,Benefits!$F$4:$F$703,B644,Benefits!$R$4:$R$703,"revenue"),0)</f>
        <v>0</v>
      </c>
      <c r="H644" s="11" t="n">
        <f aca="false">IF(D644=1,SUMIFS(Benefits!$S$4:$S$703,Benefits!$B$4:$B$703,A644,Benefits!$F$4:$F$703,B644,Benefits!$R$4:$R$703,"avoided_cost_realised"),0)</f>
        <v>0</v>
      </c>
      <c r="I644" s="11" t="n">
        <f aca="false">IF(D644=1,SUMIFS(Benefits!$S$4:$S$703,Benefits!$B$4:$B$703,A644,Benefits!$F$4:$F$703,B644,Benefits!$R$4:$R$703,"capacity_converted"),0)</f>
        <v>0</v>
      </c>
      <c r="J644" s="11" t="n">
        <f aca="false">SUM(F644:I644)</f>
        <v>80600</v>
      </c>
      <c r="K644" s="11" t="n">
        <f aca="false">J644-E644</f>
        <v>70250</v>
      </c>
      <c r="L644" s="11" t="n">
        <f aca="false">IF(D644=1,L643+K644,0)</f>
        <v>44916.7204</v>
      </c>
      <c r="M644" s="11" t="n">
        <f aca="false">IF(D644=1,1/(1+Controls!$B$11)^B644,0)</f>
        <v>0.835625339401986</v>
      </c>
      <c r="N644" s="11" t="n">
        <f aca="false">K644*M644</f>
        <v>58702.6800929895</v>
      </c>
      <c r="O644" s="11" t="n">
        <f aca="false">IF(D644=1,O643+N644,0)</f>
        <v>15040.0809397955</v>
      </c>
      <c r="P644" s="11" t="n">
        <f aca="false">IF(AND(D644=1,L644&lt;0),1,0)</f>
        <v>0</v>
      </c>
      <c r="Q644" s="11" t="n">
        <f aca="false">IF(AND(D644=1,O644&lt;0),1,0)</f>
        <v>0</v>
      </c>
    </row>
    <row r="645" customFormat="false" ht="15" hidden="false" customHeight="false" outlineLevel="0" collapsed="false">
      <c r="A645" s="4" t="s">
        <v>100</v>
      </c>
      <c r="B645" s="4" t="n">
        <v>29</v>
      </c>
      <c r="C645" s="11" t="n">
        <f aca="false">IF(COUNTIF('Scenario inputs'!$A$4:$A$213,Controls!$B$3&amp;"|"&amp;A645)&gt;0,1,0)</f>
        <v>1</v>
      </c>
      <c r="D645" s="11" t="n">
        <f aca="false">IF(AND(C645=1,B645&lt;Controls!$B$12),1,0)</f>
        <v>1</v>
      </c>
      <c r="E645" s="11" t="n">
        <f aca="false">IF(D645=1,SUMPRODUCT((Costs!$B$4:$B$903=A645)*(Costs!$D$4:$D$903="planned")*(Costs!$J$4:$J$903&lt;=B645)*(Costs!$K$4:$K$903&gt;B645)*Costs!$E$4:$E$903),0)</f>
        <v>0</v>
      </c>
      <c r="F645" s="11" t="n">
        <f aca="false">IF(D645=1,SUMIFS(Benefits!$S$4:$S$703,Benefits!$B$4:$B$703,A645,Benefits!$F$4:$F$703,B645,Benefits!$R$4:$R$703,"cash"),0)</f>
        <v>0</v>
      </c>
      <c r="G645" s="11" t="n">
        <f aca="false">IF(D645=1,SUMIFS(Benefits!$S$4:$S$703,Benefits!$B$4:$B$703,A645,Benefits!$F$4:$F$703,B645,Benefits!$R$4:$R$703,"revenue"),0)</f>
        <v>0</v>
      </c>
      <c r="H645" s="11" t="n">
        <f aca="false">IF(D645=1,SUMIFS(Benefits!$S$4:$S$703,Benefits!$B$4:$B$703,A645,Benefits!$F$4:$F$703,B645,Benefits!$R$4:$R$703,"avoided_cost_realised"),0)</f>
        <v>0</v>
      </c>
      <c r="I645" s="11" t="n">
        <f aca="false">IF(D645=1,SUMIFS(Benefits!$S$4:$S$703,Benefits!$B$4:$B$703,A645,Benefits!$F$4:$F$703,B645,Benefits!$R$4:$R$703,"capacity_converted"),0)</f>
        <v>0</v>
      </c>
      <c r="J645" s="11" t="n">
        <f aca="false">SUM(F645:I645)</f>
        <v>0</v>
      </c>
      <c r="K645" s="11" t="n">
        <f aca="false">J645-E645</f>
        <v>0</v>
      </c>
      <c r="L645" s="11" t="n">
        <f aca="false">IF(D645=1,L644+K645,0)</f>
        <v>44916.7204</v>
      </c>
      <c r="M645" s="11" t="n">
        <f aca="false">IF(D645=1,1/(1+Controls!$B$11)^B645,0)</f>
        <v>0.830283296671204</v>
      </c>
      <c r="N645" s="11" t="n">
        <f aca="false">K645*M645</f>
        <v>0</v>
      </c>
      <c r="O645" s="11" t="n">
        <f aca="false">IF(D645=1,O644+N645,0)</f>
        <v>15040.0809397955</v>
      </c>
      <c r="P645" s="11" t="n">
        <f aca="false">IF(AND(D645=1,L645&lt;0),1,0)</f>
        <v>0</v>
      </c>
      <c r="Q645" s="11" t="n">
        <f aca="false">IF(AND(D645=1,O645&lt;0),1,0)</f>
        <v>0</v>
      </c>
    </row>
    <row r="646" customFormat="false" ht="15" hidden="false" customHeight="false" outlineLevel="0" collapsed="false">
      <c r="A646" s="4" t="s">
        <v>100</v>
      </c>
      <c r="B646" s="4" t="n">
        <v>30</v>
      </c>
      <c r="C646" s="11" t="n">
        <f aca="false">IF(COUNTIF('Scenario inputs'!$A$4:$A$213,Controls!$B$3&amp;"|"&amp;A646)&gt;0,1,0)</f>
        <v>1</v>
      </c>
      <c r="D646" s="11" t="n">
        <f aca="false">IF(AND(C646=1,B646&lt;Controls!$B$12),1,0)</f>
        <v>1</v>
      </c>
      <c r="E646" s="11" t="n">
        <f aca="false">IF(D646=1,SUMPRODUCT((Costs!$B$4:$B$903=A646)*(Costs!$D$4:$D$903="planned")*(Costs!$J$4:$J$903&lt;=B646)*(Costs!$K$4:$K$903&gt;B646)*Costs!$E$4:$E$903),0)</f>
        <v>0</v>
      </c>
      <c r="F646" s="11" t="n">
        <f aca="false">IF(D646=1,SUMIFS(Benefits!$S$4:$S$703,Benefits!$B$4:$B$703,A646,Benefits!$F$4:$F$703,B646,Benefits!$R$4:$R$703,"cash"),0)</f>
        <v>0</v>
      </c>
      <c r="G646" s="11" t="n">
        <f aca="false">IF(D646=1,SUMIFS(Benefits!$S$4:$S$703,Benefits!$B$4:$B$703,A646,Benefits!$F$4:$F$703,B646,Benefits!$R$4:$R$703,"revenue"),0)</f>
        <v>0</v>
      </c>
      <c r="H646" s="11" t="n">
        <f aca="false">IF(D646=1,SUMIFS(Benefits!$S$4:$S$703,Benefits!$B$4:$B$703,A646,Benefits!$F$4:$F$703,B646,Benefits!$R$4:$R$703,"avoided_cost_realised"),0)</f>
        <v>0</v>
      </c>
      <c r="I646" s="11" t="n">
        <f aca="false">IF(D646=1,SUMIFS(Benefits!$S$4:$S$703,Benefits!$B$4:$B$703,A646,Benefits!$F$4:$F$703,B646,Benefits!$R$4:$R$703,"capacity_converted"),0)</f>
        <v>0</v>
      </c>
      <c r="J646" s="11" t="n">
        <f aca="false">SUM(F646:I646)</f>
        <v>0</v>
      </c>
      <c r="K646" s="11" t="n">
        <f aca="false">J646-E646</f>
        <v>0</v>
      </c>
      <c r="L646" s="11" t="n">
        <f aca="false">IF(D646=1,L645+K646,0)</f>
        <v>44916.7204</v>
      </c>
      <c r="M646" s="11" t="n">
        <f aca="false">IF(D646=1,1/(1+Controls!$B$11)^B646,0)</f>
        <v>0.824975404915974</v>
      </c>
      <c r="N646" s="11" t="n">
        <f aca="false">K646*M646</f>
        <v>0</v>
      </c>
      <c r="O646" s="11" t="n">
        <f aca="false">IF(D646=1,O645+N646,0)</f>
        <v>15040.0809397955</v>
      </c>
      <c r="P646" s="11" t="n">
        <f aca="false">IF(AND(D646=1,L646&lt;0),1,0)</f>
        <v>0</v>
      </c>
      <c r="Q646" s="11" t="n">
        <f aca="false">IF(AND(D646=1,O646&lt;0),1,0)</f>
        <v>0</v>
      </c>
    </row>
    <row r="647" customFormat="false" ht="15" hidden="false" customHeight="false" outlineLevel="0" collapsed="false">
      <c r="A647" s="4" t="s">
        <v>100</v>
      </c>
      <c r="B647" s="4" t="n">
        <v>31</v>
      </c>
      <c r="C647" s="11" t="n">
        <f aca="false">IF(COUNTIF('Scenario inputs'!$A$4:$A$213,Controls!$B$3&amp;"|"&amp;A647)&gt;0,1,0)</f>
        <v>1</v>
      </c>
      <c r="D647" s="11" t="n">
        <f aca="false">IF(AND(C647=1,B647&lt;Controls!$B$12),1,0)</f>
        <v>1</v>
      </c>
      <c r="E647" s="11" t="n">
        <f aca="false">IF(D647=1,SUMPRODUCT((Costs!$B$4:$B$903=A647)*(Costs!$D$4:$D$903="planned")*(Costs!$J$4:$J$903&lt;=B647)*(Costs!$K$4:$K$903&gt;B647)*Costs!$E$4:$E$903),0)</f>
        <v>0</v>
      </c>
      <c r="F647" s="11" t="n">
        <f aca="false">IF(D647=1,SUMIFS(Benefits!$S$4:$S$703,Benefits!$B$4:$B$703,A647,Benefits!$F$4:$F$703,B647,Benefits!$R$4:$R$703,"cash"),0)</f>
        <v>0</v>
      </c>
      <c r="G647" s="11" t="n">
        <f aca="false">IF(D647=1,SUMIFS(Benefits!$S$4:$S$703,Benefits!$B$4:$B$703,A647,Benefits!$F$4:$F$703,B647,Benefits!$R$4:$R$703,"revenue"),0)</f>
        <v>0</v>
      </c>
      <c r="H647" s="11" t="n">
        <f aca="false">IF(D647=1,SUMIFS(Benefits!$S$4:$S$703,Benefits!$B$4:$B$703,A647,Benefits!$F$4:$F$703,B647,Benefits!$R$4:$R$703,"avoided_cost_realised"),0)</f>
        <v>0</v>
      </c>
      <c r="I647" s="11" t="n">
        <f aca="false">IF(D647=1,SUMIFS(Benefits!$S$4:$S$703,Benefits!$B$4:$B$703,A647,Benefits!$F$4:$F$703,B647,Benefits!$R$4:$R$703,"capacity_converted"),0)</f>
        <v>0</v>
      </c>
      <c r="J647" s="11" t="n">
        <f aca="false">SUM(F647:I647)</f>
        <v>0</v>
      </c>
      <c r="K647" s="11" t="n">
        <f aca="false">J647-E647</f>
        <v>0</v>
      </c>
      <c r="L647" s="11" t="n">
        <f aca="false">IF(D647=1,L646+K647,0)</f>
        <v>44916.7204</v>
      </c>
      <c r="M647" s="11" t="n">
        <f aca="false">IF(D647=1,1/(1+Controls!$B$11)^B647,0)</f>
        <v>0.81970144581361</v>
      </c>
      <c r="N647" s="11" t="n">
        <f aca="false">K647*M647</f>
        <v>0</v>
      </c>
      <c r="O647" s="11" t="n">
        <f aca="false">IF(D647=1,O646+N647,0)</f>
        <v>15040.0809397955</v>
      </c>
      <c r="P647" s="11" t="n">
        <f aca="false">IF(AND(D647=1,L647&lt;0),1,0)</f>
        <v>0</v>
      </c>
      <c r="Q647" s="11" t="n">
        <f aca="false">IF(AND(D647=1,O647&lt;0),1,0)</f>
        <v>0</v>
      </c>
    </row>
    <row r="648" customFormat="false" ht="15" hidden="false" customHeight="false" outlineLevel="0" collapsed="false">
      <c r="A648" s="4" t="s">
        <v>100</v>
      </c>
      <c r="B648" s="4" t="n">
        <v>32</v>
      </c>
      <c r="C648" s="11" t="n">
        <f aca="false">IF(COUNTIF('Scenario inputs'!$A$4:$A$213,Controls!$B$3&amp;"|"&amp;A648)&gt;0,1,0)</f>
        <v>1</v>
      </c>
      <c r="D648" s="11" t="n">
        <f aca="false">IF(AND(C648=1,B648&lt;Controls!$B$12),1,0)</f>
        <v>1</v>
      </c>
      <c r="E648" s="11" t="n">
        <f aca="false">IF(D648=1,SUMPRODUCT((Costs!$B$4:$B$903=A648)*(Costs!$D$4:$D$903="planned")*(Costs!$J$4:$J$903&lt;=B648)*(Costs!$K$4:$K$903&gt;B648)*Costs!$E$4:$E$903),0)</f>
        <v>0</v>
      </c>
      <c r="F648" s="11" t="n">
        <f aca="false">IF(D648=1,SUMIFS(Benefits!$S$4:$S$703,Benefits!$B$4:$B$703,A648,Benefits!$F$4:$F$703,B648,Benefits!$R$4:$R$703,"cash"),0)</f>
        <v>0</v>
      </c>
      <c r="G648" s="11" t="n">
        <f aca="false">IF(D648=1,SUMIFS(Benefits!$S$4:$S$703,Benefits!$B$4:$B$703,A648,Benefits!$F$4:$F$703,B648,Benefits!$R$4:$R$703,"revenue"),0)</f>
        <v>0</v>
      </c>
      <c r="H648" s="11" t="n">
        <f aca="false">IF(D648=1,SUMIFS(Benefits!$S$4:$S$703,Benefits!$B$4:$B$703,A648,Benefits!$F$4:$F$703,B648,Benefits!$R$4:$R$703,"avoided_cost_realised"),0)</f>
        <v>0</v>
      </c>
      <c r="I648" s="11" t="n">
        <f aca="false">IF(D648=1,SUMIFS(Benefits!$S$4:$S$703,Benefits!$B$4:$B$703,A648,Benefits!$F$4:$F$703,B648,Benefits!$R$4:$R$703,"capacity_converted"),0)</f>
        <v>0</v>
      </c>
      <c r="J648" s="11" t="n">
        <f aca="false">SUM(F648:I648)</f>
        <v>0</v>
      </c>
      <c r="K648" s="11" t="n">
        <f aca="false">J648-E648</f>
        <v>0</v>
      </c>
      <c r="L648" s="11" t="n">
        <f aca="false">IF(D648=1,L647+K648,0)</f>
        <v>44916.7204</v>
      </c>
      <c r="M648" s="11" t="n">
        <f aca="false">IF(D648=1,1/(1+Controls!$B$11)^B648,0)</f>
        <v>0.814461202437129</v>
      </c>
      <c r="N648" s="11" t="n">
        <f aca="false">K648*M648</f>
        <v>0</v>
      </c>
      <c r="O648" s="11" t="n">
        <f aca="false">IF(D648=1,O647+N648,0)</f>
        <v>15040.0809397955</v>
      </c>
      <c r="P648" s="11" t="n">
        <f aca="false">IF(AND(D648=1,L648&lt;0),1,0)</f>
        <v>0</v>
      </c>
      <c r="Q648" s="11" t="n">
        <f aca="false">IF(AND(D648=1,O648&lt;0),1,0)</f>
        <v>0</v>
      </c>
    </row>
    <row r="649" customFormat="false" ht="15" hidden="false" customHeight="false" outlineLevel="0" collapsed="false">
      <c r="A649" s="4" t="s">
        <v>100</v>
      </c>
      <c r="B649" s="4" t="n">
        <v>33</v>
      </c>
      <c r="C649" s="11" t="n">
        <f aca="false">IF(COUNTIF('Scenario inputs'!$A$4:$A$213,Controls!$B$3&amp;"|"&amp;A649)&gt;0,1,0)</f>
        <v>1</v>
      </c>
      <c r="D649" s="11" t="n">
        <f aca="false">IF(AND(C649=1,B649&lt;Controls!$B$12),1,0)</f>
        <v>1</v>
      </c>
      <c r="E649" s="11" t="n">
        <f aca="false">IF(D649=1,SUMPRODUCT((Costs!$B$4:$B$903=A649)*(Costs!$D$4:$D$903="planned")*(Costs!$J$4:$J$903&lt;=B649)*(Costs!$K$4:$K$903&gt;B649)*Costs!$E$4:$E$903),0)</f>
        <v>0</v>
      </c>
      <c r="F649" s="11" t="n">
        <f aca="false">IF(D649=1,SUMIFS(Benefits!$S$4:$S$703,Benefits!$B$4:$B$703,A649,Benefits!$F$4:$F$703,B649,Benefits!$R$4:$R$703,"cash"),0)</f>
        <v>0</v>
      </c>
      <c r="G649" s="11" t="n">
        <f aca="false">IF(D649=1,SUMIFS(Benefits!$S$4:$S$703,Benefits!$B$4:$B$703,A649,Benefits!$F$4:$F$703,B649,Benefits!$R$4:$R$703,"revenue"),0)</f>
        <v>0</v>
      </c>
      <c r="H649" s="11" t="n">
        <f aca="false">IF(D649=1,SUMIFS(Benefits!$S$4:$S$703,Benefits!$B$4:$B$703,A649,Benefits!$F$4:$F$703,B649,Benefits!$R$4:$R$703,"avoided_cost_realised"),0)</f>
        <v>0</v>
      </c>
      <c r="I649" s="11" t="n">
        <f aca="false">IF(D649=1,SUMIFS(Benefits!$S$4:$S$703,Benefits!$B$4:$B$703,A649,Benefits!$F$4:$F$703,B649,Benefits!$R$4:$R$703,"capacity_converted"),0)</f>
        <v>0</v>
      </c>
      <c r="J649" s="11" t="n">
        <f aca="false">SUM(F649:I649)</f>
        <v>0</v>
      </c>
      <c r="K649" s="11" t="n">
        <f aca="false">J649-E649</f>
        <v>0</v>
      </c>
      <c r="L649" s="11" t="n">
        <f aca="false">IF(D649=1,L648+K649,0)</f>
        <v>44916.7204</v>
      </c>
      <c r="M649" s="11" t="n">
        <f aca="false">IF(D649=1,1/(1+Controls!$B$11)^B649,0)</f>
        <v>0.809254459246338</v>
      </c>
      <c r="N649" s="11" t="n">
        <f aca="false">K649*M649</f>
        <v>0</v>
      </c>
      <c r="O649" s="11" t="n">
        <f aca="false">IF(D649=1,O648+N649,0)</f>
        <v>15040.0809397955</v>
      </c>
      <c r="P649" s="11" t="n">
        <f aca="false">IF(AND(D649=1,L649&lt;0),1,0)</f>
        <v>0</v>
      </c>
      <c r="Q649" s="11" t="n">
        <f aca="false">IF(AND(D649=1,O649&lt;0),1,0)</f>
        <v>0</v>
      </c>
    </row>
    <row r="650" customFormat="false" ht="15" hidden="false" customHeight="false" outlineLevel="0" collapsed="false">
      <c r="A650" s="4" t="s">
        <v>100</v>
      </c>
      <c r="B650" s="4" t="n">
        <v>34</v>
      </c>
      <c r="C650" s="11" t="n">
        <f aca="false">IF(COUNTIF('Scenario inputs'!$A$4:$A$213,Controls!$B$3&amp;"|"&amp;A650)&gt;0,1,0)</f>
        <v>1</v>
      </c>
      <c r="D650" s="11" t="n">
        <f aca="false">IF(AND(C650=1,B650&lt;Controls!$B$12),1,0)</f>
        <v>1</v>
      </c>
      <c r="E650" s="11" t="n">
        <f aca="false">IF(D650=1,SUMPRODUCT((Costs!$B$4:$B$903=A650)*(Costs!$D$4:$D$903="planned")*(Costs!$J$4:$J$903&lt;=B650)*(Costs!$K$4:$K$903&gt;B650)*Costs!$E$4:$E$903),0)</f>
        <v>0</v>
      </c>
      <c r="F650" s="11" t="n">
        <f aca="false">IF(D650=1,SUMIFS(Benefits!$S$4:$S$703,Benefits!$B$4:$B$703,A650,Benefits!$F$4:$F$703,B650,Benefits!$R$4:$R$703,"cash"),0)</f>
        <v>0</v>
      </c>
      <c r="G650" s="11" t="n">
        <f aca="false">IF(D650=1,SUMIFS(Benefits!$S$4:$S$703,Benefits!$B$4:$B$703,A650,Benefits!$F$4:$F$703,B650,Benefits!$R$4:$R$703,"revenue"),0)</f>
        <v>0</v>
      </c>
      <c r="H650" s="11" t="n">
        <f aca="false">IF(D650=1,SUMIFS(Benefits!$S$4:$S$703,Benefits!$B$4:$B$703,A650,Benefits!$F$4:$F$703,B650,Benefits!$R$4:$R$703,"avoided_cost_realised"),0)</f>
        <v>0</v>
      </c>
      <c r="I650" s="11" t="n">
        <f aca="false">IF(D650=1,SUMIFS(Benefits!$S$4:$S$703,Benefits!$B$4:$B$703,A650,Benefits!$F$4:$F$703,B650,Benefits!$R$4:$R$703,"capacity_converted"),0)</f>
        <v>0</v>
      </c>
      <c r="J650" s="11" t="n">
        <f aca="false">SUM(F650:I650)</f>
        <v>0</v>
      </c>
      <c r="K650" s="11" t="n">
        <f aca="false">J650-E650</f>
        <v>0</v>
      </c>
      <c r="L650" s="11" t="n">
        <f aca="false">IF(D650=1,L649+K650,0)</f>
        <v>44916.7204</v>
      </c>
      <c r="M650" s="11" t="n">
        <f aca="false">IF(D650=1,1/(1+Controls!$B$11)^B650,0)</f>
        <v>0.804081002078962</v>
      </c>
      <c r="N650" s="11" t="n">
        <f aca="false">K650*M650</f>
        <v>0</v>
      </c>
      <c r="O650" s="11" t="n">
        <f aca="false">IF(D650=1,O649+N650,0)</f>
        <v>15040.0809397955</v>
      </c>
      <c r="P650" s="11" t="n">
        <f aca="false">IF(AND(D650=1,L650&lt;0),1,0)</f>
        <v>0</v>
      </c>
      <c r="Q650" s="11" t="n">
        <f aca="false">IF(AND(D650=1,O650&lt;0),1,0)</f>
        <v>0</v>
      </c>
    </row>
    <row r="651" customFormat="false" ht="15" hidden="false" customHeight="false" outlineLevel="0" collapsed="false">
      <c r="A651" s="4" t="s">
        <v>100</v>
      </c>
      <c r="B651" s="4" t="n">
        <v>35</v>
      </c>
      <c r="C651" s="11" t="n">
        <f aca="false">IF(COUNTIF('Scenario inputs'!$A$4:$A$213,Controls!$B$3&amp;"|"&amp;A651)&gt;0,1,0)</f>
        <v>1</v>
      </c>
      <c r="D651" s="11" t="n">
        <f aca="false">IF(AND(C651=1,B651&lt;Controls!$B$12),1,0)</f>
        <v>1</v>
      </c>
      <c r="E651" s="11" t="n">
        <f aca="false">IF(D651=1,SUMPRODUCT((Costs!$B$4:$B$903=A651)*(Costs!$D$4:$D$903="planned")*(Costs!$J$4:$J$903&lt;=B651)*(Costs!$K$4:$K$903&gt;B651)*Costs!$E$4:$E$903),0)</f>
        <v>0</v>
      </c>
      <c r="F651" s="11" t="n">
        <f aca="false">IF(D651=1,SUMIFS(Benefits!$S$4:$S$703,Benefits!$B$4:$B$703,A651,Benefits!$F$4:$F$703,B651,Benefits!$R$4:$R$703,"cash"),0)</f>
        <v>0</v>
      </c>
      <c r="G651" s="11" t="n">
        <f aca="false">IF(D651=1,SUMIFS(Benefits!$S$4:$S$703,Benefits!$B$4:$B$703,A651,Benefits!$F$4:$F$703,B651,Benefits!$R$4:$R$703,"revenue"),0)</f>
        <v>0</v>
      </c>
      <c r="H651" s="11" t="n">
        <f aca="false">IF(D651=1,SUMIFS(Benefits!$S$4:$S$703,Benefits!$B$4:$B$703,A651,Benefits!$F$4:$F$703,B651,Benefits!$R$4:$R$703,"avoided_cost_realised"),0)</f>
        <v>0</v>
      </c>
      <c r="I651" s="11" t="n">
        <f aca="false">IF(D651=1,SUMIFS(Benefits!$S$4:$S$703,Benefits!$B$4:$B$703,A651,Benefits!$F$4:$F$703,B651,Benefits!$R$4:$R$703,"capacity_converted"),0)</f>
        <v>0</v>
      </c>
      <c r="J651" s="11" t="n">
        <f aca="false">SUM(F651:I651)</f>
        <v>0</v>
      </c>
      <c r="K651" s="11" t="n">
        <f aca="false">J651-E651</f>
        <v>0</v>
      </c>
      <c r="L651" s="11" t="n">
        <f aca="false">IF(D651=1,L650+K651,0)</f>
        <v>44916.7204</v>
      </c>
      <c r="M651" s="11" t="n">
        <f aca="false">IF(D651=1,1/(1+Controls!$B$11)^B651,0)</f>
        <v>0.798940618141837</v>
      </c>
      <c r="N651" s="11" t="n">
        <f aca="false">K651*M651</f>
        <v>0</v>
      </c>
      <c r="O651" s="11" t="n">
        <f aca="false">IF(D651=1,O650+N651,0)</f>
        <v>15040.0809397955</v>
      </c>
      <c r="P651" s="11" t="n">
        <f aca="false">IF(AND(D651=1,L651&lt;0),1,0)</f>
        <v>0</v>
      </c>
      <c r="Q651" s="11" t="n">
        <f aca="false">IF(AND(D651=1,O651&lt;0),1,0)</f>
        <v>0</v>
      </c>
    </row>
    <row r="652" customFormat="false" ht="15" hidden="false" customHeight="false" outlineLevel="0" collapsed="false">
      <c r="A652" s="4" t="s">
        <v>101</v>
      </c>
      <c r="B652" s="4" t="n">
        <v>0</v>
      </c>
      <c r="C652" s="11" t="n">
        <f aca="false">IF(COUNTIF('Scenario inputs'!$A$4:$A$213,Controls!$B$3&amp;"|"&amp;A652)&gt;0,1,0)</f>
        <v>1</v>
      </c>
      <c r="D652" s="11" t="n">
        <f aca="false">IF(AND(C652=1,B652&lt;Controls!$B$12),1,0)</f>
        <v>1</v>
      </c>
      <c r="E652" s="11" t="n">
        <f aca="false">IF(D652=1,SUMPRODUCT((Costs!$B$4:$B$903=A652)*(Costs!$D$4:$D$903="planned")*(Costs!$J$4:$J$903&lt;=B652)*(Costs!$K$4:$K$903&gt;B652)*Costs!$E$4:$E$903),0)</f>
        <v>17000</v>
      </c>
      <c r="F652" s="11" t="n">
        <f aca="false">IF(D652=1,SUMIFS(Benefits!$S$4:$S$703,Benefits!$B$4:$B$703,A652,Benefits!$F$4:$F$703,B652,Benefits!$R$4:$R$703,"cash"),0)</f>
        <v>0</v>
      </c>
      <c r="G652" s="11" t="n">
        <f aca="false">IF(D652=1,SUMIFS(Benefits!$S$4:$S$703,Benefits!$B$4:$B$703,A652,Benefits!$F$4:$F$703,B652,Benefits!$R$4:$R$703,"revenue"),0)</f>
        <v>0</v>
      </c>
      <c r="H652" s="11" t="n">
        <f aca="false">IF(D652=1,SUMIFS(Benefits!$S$4:$S$703,Benefits!$B$4:$B$703,A652,Benefits!$F$4:$F$703,B652,Benefits!$R$4:$R$703,"avoided_cost_realised"),0)</f>
        <v>0</v>
      </c>
      <c r="I652" s="11" t="n">
        <f aca="false">IF(D652=1,SUMIFS(Benefits!$S$4:$S$703,Benefits!$B$4:$B$703,A652,Benefits!$F$4:$F$703,B652,Benefits!$R$4:$R$703,"capacity_converted"),0)</f>
        <v>0</v>
      </c>
      <c r="J652" s="11" t="n">
        <f aca="false">SUM(F652:I652)</f>
        <v>0</v>
      </c>
      <c r="K652" s="11" t="n">
        <f aca="false">J652-E652</f>
        <v>-17000</v>
      </c>
      <c r="L652" s="11" t="n">
        <f aca="false">IF(D652=1,K652,0)</f>
        <v>-17000</v>
      </c>
      <c r="M652" s="11" t="n">
        <f aca="false">IF(D652=1,1/(1+Controls!$B$11)^B652,0)</f>
        <v>1</v>
      </c>
      <c r="N652" s="11" t="n">
        <f aca="false">K652*M652</f>
        <v>-17000</v>
      </c>
      <c r="O652" s="11" t="n">
        <f aca="false">IF(D652=1,N652,0)</f>
        <v>-17000</v>
      </c>
      <c r="P652" s="11" t="n">
        <f aca="false">IF(AND(D652=1,L652&lt;0),1,0)</f>
        <v>1</v>
      </c>
      <c r="Q652" s="11" t="n">
        <f aca="false">IF(AND(D652=1,O652&lt;0),1,0)</f>
        <v>1</v>
      </c>
    </row>
    <row r="653" customFormat="false" ht="15" hidden="false" customHeight="false" outlineLevel="0" collapsed="false">
      <c r="A653" s="4" t="s">
        <v>101</v>
      </c>
      <c r="B653" s="4" t="n">
        <v>1</v>
      </c>
      <c r="C653" s="11" t="n">
        <f aca="false">IF(COUNTIF('Scenario inputs'!$A$4:$A$213,Controls!$B$3&amp;"|"&amp;A653)&gt;0,1,0)</f>
        <v>1</v>
      </c>
      <c r="D653" s="11" t="n">
        <f aca="false">IF(AND(C653=1,B653&lt;Controls!$B$12),1,0)</f>
        <v>1</v>
      </c>
      <c r="E653" s="11" t="n">
        <f aca="false">IF(D653=1,SUMPRODUCT((Costs!$B$4:$B$903=A653)*(Costs!$D$4:$D$903="planned")*(Costs!$J$4:$J$903&lt;=B653)*(Costs!$K$4:$K$903&gt;B653)*Costs!$E$4:$E$903),0)</f>
        <v>0</v>
      </c>
      <c r="F653" s="11" t="n">
        <f aca="false">IF(D653=1,SUMIFS(Benefits!$S$4:$S$703,Benefits!$B$4:$B$703,A653,Benefits!$F$4:$F$703,B653,Benefits!$R$4:$R$703,"cash"),0)</f>
        <v>0</v>
      </c>
      <c r="G653" s="11" t="n">
        <f aca="false">IF(D653=1,SUMIFS(Benefits!$S$4:$S$703,Benefits!$B$4:$B$703,A653,Benefits!$F$4:$F$703,B653,Benefits!$R$4:$R$703,"revenue"),0)</f>
        <v>0</v>
      </c>
      <c r="H653" s="11" t="n">
        <f aca="false">IF(D653=1,SUMIFS(Benefits!$S$4:$S$703,Benefits!$B$4:$B$703,A653,Benefits!$F$4:$F$703,B653,Benefits!$R$4:$R$703,"avoided_cost_realised"),0)</f>
        <v>0</v>
      </c>
      <c r="I653" s="11" t="n">
        <f aca="false">IF(D653=1,SUMIFS(Benefits!$S$4:$S$703,Benefits!$B$4:$B$703,A653,Benefits!$F$4:$F$703,B653,Benefits!$R$4:$R$703,"capacity_converted"),0)</f>
        <v>0</v>
      </c>
      <c r="J653" s="11" t="n">
        <f aca="false">SUM(F653:I653)</f>
        <v>0</v>
      </c>
      <c r="K653" s="11" t="n">
        <f aca="false">J653-E653</f>
        <v>0</v>
      </c>
      <c r="L653" s="11" t="n">
        <f aca="false">IF(D653=1,L652+K653,0)</f>
        <v>-17000</v>
      </c>
      <c r="M653" s="11" t="n">
        <f aca="false">IF(D653=1,1/(1+Controls!$B$11)^B653,0)</f>
        <v>0.993607131714549</v>
      </c>
      <c r="N653" s="11" t="n">
        <f aca="false">K653*M653</f>
        <v>0</v>
      </c>
      <c r="O653" s="11" t="n">
        <f aca="false">IF(D653=1,O652+N653,0)</f>
        <v>-17000</v>
      </c>
      <c r="P653" s="11" t="n">
        <f aca="false">IF(AND(D653=1,L653&lt;0),1,0)</f>
        <v>1</v>
      </c>
      <c r="Q653" s="11" t="n">
        <f aca="false">IF(AND(D653=1,O653&lt;0),1,0)</f>
        <v>1</v>
      </c>
    </row>
    <row r="654" customFormat="false" ht="15" hidden="false" customHeight="false" outlineLevel="0" collapsed="false">
      <c r="A654" s="4" t="s">
        <v>101</v>
      </c>
      <c r="B654" s="4" t="n">
        <v>2</v>
      </c>
      <c r="C654" s="11" t="n">
        <f aca="false">IF(COUNTIF('Scenario inputs'!$A$4:$A$213,Controls!$B$3&amp;"|"&amp;A654)&gt;0,1,0)</f>
        <v>1</v>
      </c>
      <c r="D654" s="11" t="n">
        <f aca="false">IF(AND(C654=1,B654&lt;Controls!$B$12),1,0)</f>
        <v>1</v>
      </c>
      <c r="E654" s="11" t="n">
        <f aca="false">IF(D654=1,SUMPRODUCT((Costs!$B$4:$B$903=A654)*(Costs!$D$4:$D$903="planned")*(Costs!$J$4:$J$903&lt;=B654)*(Costs!$K$4:$K$903&gt;B654)*Costs!$E$4:$E$903),0)</f>
        <v>0</v>
      </c>
      <c r="F654" s="11" t="n">
        <f aca="false">IF(D654=1,SUMIFS(Benefits!$S$4:$S$703,Benefits!$B$4:$B$703,A654,Benefits!$F$4:$F$703,B654,Benefits!$R$4:$R$703,"cash"),0)</f>
        <v>0</v>
      </c>
      <c r="G654" s="11" t="n">
        <f aca="false">IF(D654=1,SUMIFS(Benefits!$S$4:$S$703,Benefits!$B$4:$B$703,A654,Benefits!$F$4:$F$703,B654,Benefits!$R$4:$R$703,"revenue"),0)</f>
        <v>0</v>
      </c>
      <c r="H654" s="11" t="n">
        <f aca="false">IF(D654=1,SUMIFS(Benefits!$S$4:$S$703,Benefits!$B$4:$B$703,A654,Benefits!$F$4:$F$703,B654,Benefits!$R$4:$R$703,"avoided_cost_realised"),0)</f>
        <v>0</v>
      </c>
      <c r="I654" s="11" t="n">
        <f aca="false">IF(D654=1,SUMIFS(Benefits!$S$4:$S$703,Benefits!$B$4:$B$703,A654,Benefits!$F$4:$F$703,B654,Benefits!$R$4:$R$703,"capacity_converted"),0)</f>
        <v>0</v>
      </c>
      <c r="J654" s="11" t="n">
        <f aca="false">SUM(F654:I654)</f>
        <v>0</v>
      </c>
      <c r="K654" s="11" t="n">
        <f aca="false">J654-E654</f>
        <v>0</v>
      </c>
      <c r="L654" s="11" t="n">
        <f aca="false">IF(D654=1,L653+K654,0)</f>
        <v>-17000</v>
      </c>
      <c r="M654" s="11" t="n">
        <f aca="false">IF(D654=1,1/(1+Controls!$B$11)^B654,0)</f>
        <v>0.987255132194012</v>
      </c>
      <c r="N654" s="11" t="n">
        <f aca="false">K654*M654</f>
        <v>0</v>
      </c>
      <c r="O654" s="11" t="n">
        <f aca="false">IF(D654=1,O653+N654,0)</f>
        <v>-17000</v>
      </c>
      <c r="P654" s="11" t="n">
        <f aca="false">IF(AND(D654=1,L654&lt;0),1,0)</f>
        <v>1</v>
      </c>
      <c r="Q654" s="11" t="n">
        <f aca="false">IF(AND(D654=1,O654&lt;0),1,0)</f>
        <v>1</v>
      </c>
    </row>
    <row r="655" customFormat="false" ht="15" hidden="false" customHeight="false" outlineLevel="0" collapsed="false">
      <c r="A655" s="4" t="s">
        <v>101</v>
      </c>
      <c r="B655" s="4" t="n">
        <v>3</v>
      </c>
      <c r="C655" s="11" t="n">
        <f aca="false">IF(COUNTIF('Scenario inputs'!$A$4:$A$213,Controls!$B$3&amp;"|"&amp;A655)&gt;0,1,0)</f>
        <v>1</v>
      </c>
      <c r="D655" s="11" t="n">
        <f aca="false">IF(AND(C655=1,B655&lt;Controls!$B$12),1,0)</f>
        <v>1</v>
      </c>
      <c r="E655" s="11" t="n">
        <f aca="false">IF(D655=1,SUMPRODUCT((Costs!$B$4:$B$903=A655)*(Costs!$D$4:$D$903="planned")*(Costs!$J$4:$J$903&lt;=B655)*(Costs!$K$4:$K$903&gt;B655)*Costs!$E$4:$E$903),0)</f>
        <v>0</v>
      </c>
      <c r="F655" s="11" t="n">
        <f aca="false">IF(D655=1,SUMIFS(Benefits!$S$4:$S$703,Benefits!$B$4:$B$703,A655,Benefits!$F$4:$F$703,B655,Benefits!$R$4:$R$703,"cash"),0)</f>
        <v>0</v>
      </c>
      <c r="G655" s="11" t="n">
        <f aca="false">IF(D655=1,SUMIFS(Benefits!$S$4:$S$703,Benefits!$B$4:$B$703,A655,Benefits!$F$4:$F$703,B655,Benefits!$R$4:$R$703,"revenue"),0)</f>
        <v>0</v>
      </c>
      <c r="H655" s="11" t="n">
        <f aca="false">IF(D655=1,SUMIFS(Benefits!$S$4:$S$703,Benefits!$B$4:$B$703,A655,Benefits!$F$4:$F$703,B655,Benefits!$R$4:$R$703,"avoided_cost_realised"),0)</f>
        <v>0</v>
      </c>
      <c r="I655" s="11" t="n">
        <f aca="false">IF(D655=1,SUMIFS(Benefits!$S$4:$S$703,Benefits!$B$4:$B$703,A655,Benefits!$F$4:$F$703,B655,Benefits!$R$4:$R$703,"capacity_converted"),0)</f>
        <v>0</v>
      </c>
      <c r="J655" s="11" t="n">
        <f aca="false">SUM(F655:I655)</f>
        <v>0</v>
      </c>
      <c r="K655" s="11" t="n">
        <f aca="false">J655-E655</f>
        <v>0</v>
      </c>
      <c r="L655" s="11" t="n">
        <f aca="false">IF(D655=1,L654+K655,0)</f>
        <v>-17000</v>
      </c>
      <c r="M655" s="11" t="n">
        <f aca="false">IF(D655=1,1/(1+Controls!$B$11)^B655,0)</f>
        <v>0.98094374016976</v>
      </c>
      <c r="N655" s="11" t="n">
        <f aca="false">K655*M655</f>
        <v>0</v>
      </c>
      <c r="O655" s="11" t="n">
        <f aca="false">IF(D655=1,O654+N655,0)</f>
        <v>-17000</v>
      </c>
      <c r="P655" s="11" t="n">
        <f aca="false">IF(AND(D655=1,L655&lt;0),1,0)</f>
        <v>1</v>
      </c>
      <c r="Q655" s="11" t="n">
        <f aca="false">IF(AND(D655=1,O655&lt;0),1,0)</f>
        <v>1</v>
      </c>
    </row>
    <row r="656" customFormat="false" ht="15" hidden="false" customHeight="false" outlineLevel="0" collapsed="false">
      <c r="A656" s="4" t="s">
        <v>101</v>
      </c>
      <c r="B656" s="4" t="n">
        <v>4</v>
      </c>
      <c r="C656" s="11" t="n">
        <f aca="false">IF(COUNTIF('Scenario inputs'!$A$4:$A$213,Controls!$B$3&amp;"|"&amp;A656)&gt;0,1,0)</f>
        <v>1</v>
      </c>
      <c r="D656" s="11" t="n">
        <f aca="false">IF(AND(C656=1,B656&lt;Controls!$B$12),1,0)</f>
        <v>1</v>
      </c>
      <c r="E656" s="11" t="n">
        <f aca="false">IF(D656=1,SUMPRODUCT((Costs!$B$4:$B$903=A656)*(Costs!$D$4:$D$903="planned")*(Costs!$J$4:$J$903&lt;=B656)*(Costs!$K$4:$K$903&gt;B656)*Costs!$E$4:$E$903),0)</f>
        <v>0</v>
      </c>
      <c r="F656" s="11" t="n">
        <f aca="false">IF(D656=1,SUMIFS(Benefits!$S$4:$S$703,Benefits!$B$4:$B$703,A656,Benefits!$F$4:$F$703,B656,Benefits!$R$4:$R$703,"cash"),0)</f>
        <v>0</v>
      </c>
      <c r="G656" s="11" t="n">
        <f aca="false">IF(D656=1,SUMIFS(Benefits!$S$4:$S$703,Benefits!$B$4:$B$703,A656,Benefits!$F$4:$F$703,B656,Benefits!$R$4:$R$703,"revenue"),0)</f>
        <v>0</v>
      </c>
      <c r="H656" s="11" t="n">
        <f aca="false">IF(D656=1,SUMIFS(Benefits!$S$4:$S$703,Benefits!$B$4:$B$703,A656,Benefits!$F$4:$F$703,B656,Benefits!$R$4:$R$703,"avoided_cost_realised"),0)</f>
        <v>0</v>
      </c>
      <c r="I656" s="11" t="n">
        <f aca="false">IF(D656=1,SUMIFS(Benefits!$S$4:$S$703,Benefits!$B$4:$B$703,A656,Benefits!$F$4:$F$703,B656,Benefits!$R$4:$R$703,"capacity_converted"),0)</f>
        <v>0</v>
      </c>
      <c r="J656" s="11" t="n">
        <f aca="false">SUM(F656:I656)</f>
        <v>0</v>
      </c>
      <c r="K656" s="11" t="n">
        <f aca="false">J656-E656</f>
        <v>0</v>
      </c>
      <c r="L656" s="11" t="n">
        <f aca="false">IF(D656=1,L655+K656,0)</f>
        <v>-17000</v>
      </c>
      <c r="M656" s="11" t="n">
        <f aca="false">IF(D656=1,1/(1+Controls!$B$11)^B656,0)</f>
        <v>0.974672696043417</v>
      </c>
      <c r="N656" s="11" t="n">
        <f aca="false">K656*M656</f>
        <v>0</v>
      </c>
      <c r="O656" s="11" t="n">
        <f aca="false">IF(D656=1,O655+N656,0)</f>
        <v>-17000</v>
      </c>
      <c r="P656" s="11" t="n">
        <f aca="false">IF(AND(D656=1,L656&lt;0),1,0)</f>
        <v>1</v>
      </c>
      <c r="Q656" s="11" t="n">
        <f aca="false">IF(AND(D656=1,O656&lt;0),1,0)</f>
        <v>1</v>
      </c>
    </row>
    <row r="657" customFormat="false" ht="15" hidden="false" customHeight="false" outlineLevel="0" collapsed="false">
      <c r="A657" s="4" t="s">
        <v>101</v>
      </c>
      <c r="B657" s="4" t="n">
        <v>5</v>
      </c>
      <c r="C657" s="11" t="n">
        <f aca="false">IF(COUNTIF('Scenario inputs'!$A$4:$A$213,Controls!$B$3&amp;"|"&amp;A657)&gt;0,1,0)</f>
        <v>1</v>
      </c>
      <c r="D657" s="11" t="n">
        <f aca="false">IF(AND(C657=1,B657&lt;Controls!$B$12),1,0)</f>
        <v>1</v>
      </c>
      <c r="E657" s="11" t="n">
        <f aca="false">IF(D657=1,SUMPRODUCT((Costs!$B$4:$B$903=A657)*(Costs!$D$4:$D$903="planned")*(Costs!$J$4:$J$903&lt;=B657)*(Costs!$K$4:$K$903&gt;B657)*Costs!$E$4:$E$903),0)</f>
        <v>0</v>
      </c>
      <c r="F657" s="11" t="n">
        <f aca="false">IF(D657=1,SUMIFS(Benefits!$S$4:$S$703,Benefits!$B$4:$B$703,A657,Benefits!$F$4:$F$703,B657,Benefits!$R$4:$R$703,"cash"),0)</f>
        <v>0</v>
      </c>
      <c r="G657" s="11" t="n">
        <f aca="false">IF(D657=1,SUMIFS(Benefits!$S$4:$S$703,Benefits!$B$4:$B$703,A657,Benefits!$F$4:$F$703,B657,Benefits!$R$4:$R$703,"revenue"),0)</f>
        <v>0</v>
      </c>
      <c r="H657" s="11" t="n">
        <f aca="false">IF(D657=1,SUMIFS(Benefits!$S$4:$S$703,Benefits!$B$4:$B$703,A657,Benefits!$F$4:$F$703,B657,Benefits!$R$4:$R$703,"avoided_cost_realised"),0)</f>
        <v>0</v>
      </c>
      <c r="I657" s="11" t="n">
        <f aca="false">IF(D657=1,SUMIFS(Benefits!$S$4:$S$703,Benefits!$B$4:$B$703,A657,Benefits!$F$4:$F$703,B657,Benefits!$R$4:$R$703,"capacity_converted"),0)</f>
        <v>0</v>
      </c>
      <c r="J657" s="11" t="n">
        <f aca="false">SUM(F657:I657)</f>
        <v>0</v>
      </c>
      <c r="K657" s="11" t="n">
        <f aca="false">J657-E657</f>
        <v>0</v>
      </c>
      <c r="L657" s="11" t="n">
        <f aca="false">IF(D657=1,L656+K657,0)</f>
        <v>-17000</v>
      </c>
      <c r="M657" s="11" t="n">
        <f aca="false">IF(D657=1,1/(1+Controls!$B$11)^B657,0)</f>
        <v>0.968441741876185</v>
      </c>
      <c r="N657" s="11" t="n">
        <f aca="false">K657*M657</f>
        <v>0</v>
      </c>
      <c r="O657" s="11" t="n">
        <f aca="false">IF(D657=1,O656+N657,0)</f>
        <v>-17000</v>
      </c>
      <c r="P657" s="11" t="n">
        <f aca="false">IF(AND(D657=1,L657&lt;0),1,0)</f>
        <v>1</v>
      </c>
      <c r="Q657" s="11" t="n">
        <f aca="false">IF(AND(D657=1,O657&lt;0),1,0)</f>
        <v>1</v>
      </c>
    </row>
    <row r="658" customFormat="false" ht="15" hidden="false" customHeight="false" outlineLevel="0" collapsed="false">
      <c r="A658" s="4" t="s">
        <v>101</v>
      </c>
      <c r="B658" s="4" t="n">
        <v>6</v>
      </c>
      <c r="C658" s="11" t="n">
        <f aca="false">IF(COUNTIF('Scenario inputs'!$A$4:$A$213,Controls!$B$3&amp;"|"&amp;A658)&gt;0,1,0)</f>
        <v>1</v>
      </c>
      <c r="D658" s="11" t="n">
        <f aca="false">IF(AND(C658=1,B658&lt;Controls!$B$12),1,0)</f>
        <v>1</v>
      </c>
      <c r="E658" s="11" t="n">
        <f aca="false">IF(D658=1,SUMPRODUCT((Costs!$B$4:$B$903=A658)*(Costs!$D$4:$D$903="planned")*(Costs!$J$4:$J$903&lt;=B658)*(Costs!$K$4:$K$903&gt;B658)*Costs!$E$4:$E$903),0)</f>
        <v>0</v>
      </c>
      <c r="F658" s="11" t="n">
        <f aca="false">IF(D658=1,SUMIFS(Benefits!$S$4:$S$703,Benefits!$B$4:$B$703,A658,Benefits!$F$4:$F$703,B658,Benefits!$R$4:$R$703,"cash"),0)</f>
        <v>0</v>
      </c>
      <c r="G658" s="11" t="n">
        <f aca="false">IF(D658=1,SUMIFS(Benefits!$S$4:$S$703,Benefits!$B$4:$B$703,A658,Benefits!$F$4:$F$703,B658,Benefits!$R$4:$R$703,"revenue"),0)</f>
        <v>0</v>
      </c>
      <c r="H658" s="11" t="n">
        <f aca="false">IF(D658=1,SUMIFS(Benefits!$S$4:$S$703,Benefits!$B$4:$B$703,A658,Benefits!$F$4:$F$703,B658,Benefits!$R$4:$R$703,"avoided_cost_realised"),0)</f>
        <v>0</v>
      </c>
      <c r="I658" s="11" t="n">
        <f aca="false">IF(D658=1,SUMIFS(Benefits!$S$4:$S$703,Benefits!$B$4:$B$703,A658,Benefits!$F$4:$F$703,B658,Benefits!$R$4:$R$703,"capacity_converted"),0)</f>
        <v>0</v>
      </c>
      <c r="J658" s="11" t="n">
        <f aca="false">SUM(F658:I658)</f>
        <v>0</v>
      </c>
      <c r="K658" s="11" t="n">
        <f aca="false">J658-E658</f>
        <v>0</v>
      </c>
      <c r="L658" s="11" t="n">
        <f aca="false">IF(D658=1,L657+K658,0)</f>
        <v>-17000</v>
      </c>
      <c r="M658" s="11" t="n">
        <f aca="false">IF(D658=1,1/(1+Controls!$B$11)^B658,0)</f>
        <v>0.962250621378238</v>
      </c>
      <c r="N658" s="11" t="n">
        <f aca="false">K658*M658</f>
        <v>0</v>
      </c>
      <c r="O658" s="11" t="n">
        <f aca="false">IF(D658=1,O657+N658,0)</f>
        <v>-17000</v>
      </c>
      <c r="P658" s="11" t="n">
        <f aca="false">IF(AND(D658=1,L658&lt;0),1,0)</f>
        <v>1</v>
      </c>
      <c r="Q658" s="11" t="n">
        <f aca="false">IF(AND(D658=1,O658&lt;0),1,0)</f>
        <v>1</v>
      </c>
    </row>
    <row r="659" customFormat="false" ht="15" hidden="false" customHeight="false" outlineLevel="0" collapsed="false">
      <c r="A659" s="4" t="s">
        <v>101</v>
      </c>
      <c r="B659" s="4" t="n">
        <v>7</v>
      </c>
      <c r="C659" s="11" t="n">
        <f aca="false">IF(COUNTIF('Scenario inputs'!$A$4:$A$213,Controls!$B$3&amp;"|"&amp;A659)&gt;0,1,0)</f>
        <v>1</v>
      </c>
      <c r="D659" s="11" t="n">
        <f aca="false">IF(AND(C659=1,B659&lt;Controls!$B$12),1,0)</f>
        <v>1</v>
      </c>
      <c r="E659" s="11" t="n">
        <f aca="false">IF(D659=1,SUMPRODUCT((Costs!$B$4:$B$903=A659)*(Costs!$D$4:$D$903="planned")*(Costs!$J$4:$J$903&lt;=B659)*(Costs!$K$4:$K$903&gt;B659)*Costs!$E$4:$E$903),0)</f>
        <v>0</v>
      </c>
      <c r="F659" s="11" t="n">
        <f aca="false">IF(D659=1,SUMIFS(Benefits!$S$4:$S$703,Benefits!$B$4:$B$703,A659,Benefits!$F$4:$F$703,B659,Benefits!$R$4:$R$703,"cash"),0)</f>
        <v>0</v>
      </c>
      <c r="G659" s="11" t="n">
        <f aca="false">IF(D659=1,SUMIFS(Benefits!$S$4:$S$703,Benefits!$B$4:$B$703,A659,Benefits!$F$4:$F$703,B659,Benefits!$R$4:$R$703,"revenue"),0)</f>
        <v>0</v>
      </c>
      <c r="H659" s="11" t="n">
        <f aca="false">IF(D659=1,SUMIFS(Benefits!$S$4:$S$703,Benefits!$B$4:$B$703,A659,Benefits!$F$4:$F$703,B659,Benefits!$R$4:$R$703,"avoided_cost_realised"),0)</f>
        <v>0</v>
      </c>
      <c r="I659" s="11" t="n">
        <f aca="false">IF(D659=1,SUMIFS(Benefits!$S$4:$S$703,Benefits!$B$4:$B$703,A659,Benefits!$F$4:$F$703,B659,Benefits!$R$4:$R$703,"capacity_converted"),0)</f>
        <v>0</v>
      </c>
      <c r="J659" s="11" t="n">
        <f aca="false">SUM(F659:I659)</f>
        <v>0</v>
      </c>
      <c r="K659" s="11" t="n">
        <f aca="false">J659-E659</f>
        <v>0</v>
      </c>
      <c r="L659" s="11" t="n">
        <f aca="false">IF(D659=1,L658+K659,0)</f>
        <v>-17000</v>
      </c>
      <c r="M659" s="11" t="n">
        <f aca="false">IF(D659=1,1/(1+Controls!$B$11)^B659,0)</f>
        <v>0.956099079898173</v>
      </c>
      <c r="N659" s="11" t="n">
        <f aca="false">K659*M659</f>
        <v>0</v>
      </c>
      <c r="O659" s="11" t="n">
        <f aca="false">IF(D659=1,O658+N659,0)</f>
        <v>-17000</v>
      </c>
      <c r="P659" s="11" t="n">
        <f aca="false">IF(AND(D659=1,L659&lt;0),1,0)</f>
        <v>1</v>
      </c>
      <c r="Q659" s="11" t="n">
        <f aca="false">IF(AND(D659=1,O659&lt;0),1,0)</f>
        <v>1</v>
      </c>
    </row>
    <row r="660" customFormat="false" ht="15" hidden="false" customHeight="false" outlineLevel="0" collapsed="false">
      <c r="A660" s="4" t="s">
        <v>101</v>
      </c>
      <c r="B660" s="4" t="n">
        <v>8</v>
      </c>
      <c r="C660" s="11" t="n">
        <f aca="false">IF(COUNTIF('Scenario inputs'!$A$4:$A$213,Controls!$B$3&amp;"|"&amp;A660)&gt;0,1,0)</f>
        <v>1</v>
      </c>
      <c r="D660" s="11" t="n">
        <f aca="false">IF(AND(C660=1,B660&lt;Controls!$B$12),1,0)</f>
        <v>1</v>
      </c>
      <c r="E660" s="11" t="n">
        <f aca="false">IF(D660=1,SUMPRODUCT((Costs!$B$4:$B$903=A660)*(Costs!$D$4:$D$903="planned")*(Costs!$J$4:$J$903&lt;=B660)*(Costs!$K$4:$K$903&gt;B660)*Costs!$E$4:$E$903),0)</f>
        <v>0</v>
      </c>
      <c r="F660" s="11" t="n">
        <f aca="false">IF(D660=1,SUMIFS(Benefits!$S$4:$S$703,Benefits!$B$4:$B$703,A660,Benefits!$F$4:$F$703,B660,Benefits!$R$4:$R$703,"cash"),0)</f>
        <v>0</v>
      </c>
      <c r="G660" s="11" t="n">
        <f aca="false">IF(D660=1,SUMIFS(Benefits!$S$4:$S$703,Benefits!$B$4:$B$703,A660,Benefits!$F$4:$F$703,B660,Benefits!$R$4:$R$703,"revenue"),0)</f>
        <v>0</v>
      </c>
      <c r="H660" s="11" t="n">
        <f aca="false">IF(D660=1,SUMIFS(Benefits!$S$4:$S$703,Benefits!$B$4:$B$703,A660,Benefits!$F$4:$F$703,B660,Benefits!$R$4:$R$703,"avoided_cost_realised"),0)</f>
        <v>0</v>
      </c>
      <c r="I660" s="11" t="n">
        <f aca="false">IF(D660=1,SUMIFS(Benefits!$S$4:$S$703,Benefits!$B$4:$B$703,A660,Benefits!$F$4:$F$703,B660,Benefits!$R$4:$R$703,"capacity_converted"),0)</f>
        <v>0</v>
      </c>
      <c r="J660" s="11" t="n">
        <f aca="false">SUM(F660:I660)</f>
        <v>0</v>
      </c>
      <c r="K660" s="11" t="n">
        <f aca="false">J660-E660</f>
        <v>0</v>
      </c>
      <c r="L660" s="11" t="n">
        <f aca="false">IF(D660=1,L659+K660,0)</f>
        <v>-17000</v>
      </c>
      <c r="M660" s="11" t="n">
        <f aca="false">IF(D660=1,1/(1+Controls!$B$11)^B660,0)</f>
        <v>0.949986864412542</v>
      </c>
      <c r="N660" s="11" t="n">
        <f aca="false">K660*M660</f>
        <v>0</v>
      </c>
      <c r="O660" s="11" t="n">
        <f aca="false">IF(D660=1,O659+N660,0)</f>
        <v>-17000</v>
      </c>
      <c r="P660" s="11" t="n">
        <f aca="false">IF(AND(D660=1,L660&lt;0),1,0)</f>
        <v>1</v>
      </c>
      <c r="Q660" s="11" t="n">
        <f aca="false">IF(AND(D660=1,O660&lt;0),1,0)</f>
        <v>1</v>
      </c>
    </row>
    <row r="661" customFormat="false" ht="15" hidden="false" customHeight="false" outlineLevel="0" collapsed="false">
      <c r="A661" s="4" t="s">
        <v>101</v>
      </c>
      <c r="B661" s="4" t="n">
        <v>9</v>
      </c>
      <c r="C661" s="11" t="n">
        <f aca="false">IF(COUNTIF('Scenario inputs'!$A$4:$A$213,Controls!$B$3&amp;"|"&amp;A661)&gt;0,1,0)</f>
        <v>1</v>
      </c>
      <c r="D661" s="11" t="n">
        <f aca="false">IF(AND(C661=1,B661&lt;Controls!$B$12),1,0)</f>
        <v>1</v>
      </c>
      <c r="E661" s="11" t="n">
        <f aca="false">IF(D661=1,SUMPRODUCT((Costs!$B$4:$B$903=A661)*(Costs!$D$4:$D$903="planned")*(Costs!$J$4:$J$903&lt;=B661)*(Costs!$K$4:$K$903&gt;B661)*Costs!$E$4:$E$903),0)</f>
        <v>51950</v>
      </c>
      <c r="F661" s="11" t="n">
        <f aca="false">IF(D661=1,SUMIFS(Benefits!$S$4:$S$703,Benefits!$B$4:$B$703,A661,Benefits!$F$4:$F$703,B661,Benefits!$R$4:$R$703,"cash"),0)</f>
        <v>0</v>
      </c>
      <c r="G661" s="11" t="n">
        <f aca="false">IF(D661=1,SUMIFS(Benefits!$S$4:$S$703,Benefits!$B$4:$B$703,A661,Benefits!$F$4:$F$703,B661,Benefits!$R$4:$R$703,"revenue"),0)</f>
        <v>0</v>
      </c>
      <c r="H661" s="11" t="n">
        <f aca="false">IF(D661=1,SUMIFS(Benefits!$S$4:$S$703,Benefits!$B$4:$B$703,A661,Benefits!$F$4:$F$703,B661,Benefits!$R$4:$R$703,"avoided_cost_realised"),0)</f>
        <v>0</v>
      </c>
      <c r="I661" s="11" t="n">
        <f aca="false">IF(D661=1,SUMIFS(Benefits!$S$4:$S$703,Benefits!$B$4:$B$703,A661,Benefits!$F$4:$F$703,B661,Benefits!$R$4:$R$703,"capacity_converted"),0)</f>
        <v>0</v>
      </c>
      <c r="J661" s="11" t="n">
        <f aca="false">SUM(F661:I661)</f>
        <v>0</v>
      </c>
      <c r="K661" s="11" t="n">
        <f aca="false">J661-E661</f>
        <v>-51950</v>
      </c>
      <c r="L661" s="11" t="n">
        <f aca="false">IF(D661=1,L660+K661,0)</f>
        <v>-68950</v>
      </c>
      <c r="M661" s="11" t="n">
        <f aca="false">IF(D661=1,1/(1+Controls!$B$11)^B661,0)</f>
        <v>0.943913723515444</v>
      </c>
      <c r="N661" s="11" t="n">
        <f aca="false">K661*M661</f>
        <v>-49036.3179366273</v>
      </c>
      <c r="O661" s="11" t="n">
        <f aca="false">IF(D661=1,O660+N661,0)</f>
        <v>-66036.3179366273</v>
      </c>
      <c r="P661" s="11" t="n">
        <f aca="false">IF(AND(D661=1,L661&lt;0),1,0)</f>
        <v>1</v>
      </c>
      <c r="Q661" s="11" t="n">
        <f aca="false">IF(AND(D661=1,O661&lt;0),1,0)</f>
        <v>1</v>
      </c>
    </row>
    <row r="662" customFormat="false" ht="15" hidden="false" customHeight="false" outlineLevel="0" collapsed="false">
      <c r="A662" s="4" t="s">
        <v>101</v>
      </c>
      <c r="B662" s="4" t="n">
        <v>10</v>
      </c>
      <c r="C662" s="11" t="n">
        <f aca="false">IF(COUNTIF('Scenario inputs'!$A$4:$A$213,Controls!$B$3&amp;"|"&amp;A662)&gt;0,1,0)</f>
        <v>1</v>
      </c>
      <c r="D662" s="11" t="n">
        <f aca="false">IF(AND(C662=1,B662&lt;Controls!$B$12),1,0)</f>
        <v>1</v>
      </c>
      <c r="E662" s="11" t="n">
        <f aca="false">IF(D662=1,SUMPRODUCT((Costs!$B$4:$B$903=A662)*(Costs!$D$4:$D$903="planned")*(Costs!$J$4:$J$903&lt;=B662)*(Costs!$K$4:$K$903&gt;B662)*Costs!$E$4:$E$903),0)</f>
        <v>122150</v>
      </c>
      <c r="F662" s="11" t="n">
        <f aca="false">IF(D662=1,SUMIFS(Benefits!$S$4:$S$703,Benefits!$B$4:$B$703,A662,Benefits!$F$4:$F$703,B662,Benefits!$R$4:$R$703,"cash"),0)</f>
        <v>0</v>
      </c>
      <c r="G662" s="11" t="n">
        <f aca="false">IF(D662=1,SUMIFS(Benefits!$S$4:$S$703,Benefits!$B$4:$B$703,A662,Benefits!$F$4:$F$703,B662,Benefits!$R$4:$R$703,"revenue"),0)</f>
        <v>0</v>
      </c>
      <c r="H662" s="11" t="n">
        <f aca="false">IF(D662=1,SUMIFS(Benefits!$S$4:$S$703,Benefits!$B$4:$B$703,A662,Benefits!$F$4:$F$703,B662,Benefits!$R$4:$R$703,"avoided_cost_realised"),0)</f>
        <v>0</v>
      </c>
      <c r="I662" s="11" t="n">
        <f aca="false">IF(D662=1,SUMIFS(Benefits!$S$4:$S$703,Benefits!$B$4:$B$703,A662,Benefits!$F$4:$F$703,B662,Benefits!$R$4:$R$703,"capacity_converted"),0)</f>
        <v>0</v>
      </c>
      <c r="J662" s="11" t="n">
        <f aca="false">SUM(F662:I662)</f>
        <v>0</v>
      </c>
      <c r="K662" s="11" t="n">
        <f aca="false">J662-E662</f>
        <v>-122150</v>
      </c>
      <c r="L662" s="11" t="n">
        <f aca="false">IF(D662=1,L661+K662,0)</f>
        <v>-191100</v>
      </c>
      <c r="M662" s="11" t="n">
        <f aca="false">IF(D662=1,1/(1+Controls!$B$11)^B662,0)</f>
        <v>0.93787940740818</v>
      </c>
      <c r="N662" s="11" t="n">
        <f aca="false">K662*M662</f>
        <v>-114561.969614909</v>
      </c>
      <c r="O662" s="11" t="n">
        <f aca="false">IF(D662=1,O661+N662,0)</f>
        <v>-180598.287551536</v>
      </c>
      <c r="P662" s="11" t="n">
        <f aca="false">IF(AND(D662=1,L662&lt;0),1,0)</f>
        <v>1</v>
      </c>
      <c r="Q662" s="11" t="n">
        <f aca="false">IF(AND(D662=1,O662&lt;0),1,0)</f>
        <v>1</v>
      </c>
    </row>
    <row r="663" customFormat="false" ht="15" hidden="false" customHeight="false" outlineLevel="0" collapsed="false">
      <c r="A663" s="4" t="s">
        <v>101</v>
      </c>
      <c r="B663" s="4" t="n">
        <v>11</v>
      </c>
      <c r="C663" s="11" t="n">
        <f aca="false">IF(COUNTIF('Scenario inputs'!$A$4:$A$213,Controls!$B$3&amp;"|"&amp;A663)&gt;0,1,0)</f>
        <v>1</v>
      </c>
      <c r="D663" s="11" t="n">
        <f aca="false">IF(AND(C663=1,B663&lt;Controls!$B$12),1,0)</f>
        <v>1</v>
      </c>
      <c r="E663" s="11" t="n">
        <f aca="false">IF(D663=1,SUMPRODUCT((Costs!$B$4:$B$903=A663)*(Costs!$D$4:$D$903="planned")*(Costs!$J$4:$J$903&lt;=B663)*(Costs!$K$4:$K$903&gt;B663)*Costs!$E$4:$E$903),0)</f>
        <v>71500</v>
      </c>
      <c r="F663" s="11" t="n">
        <f aca="false">IF(D663=1,SUMIFS(Benefits!$S$4:$S$703,Benefits!$B$4:$B$703,A663,Benefits!$F$4:$F$703,B663,Benefits!$R$4:$R$703,"cash"),0)</f>
        <v>0</v>
      </c>
      <c r="G663" s="11" t="n">
        <f aca="false">IF(D663=1,SUMIFS(Benefits!$S$4:$S$703,Benefits!$B$4:$B$703,A663,Benefits!$F$4:$F$703,B663,Benefits!$R$4:$R$703,"revenue"),0)</f>
        <v>0</v>
      </c>
      <c r="H663" s="11" t="n">
        <f aca="false">IF(D663=1,SUMIFS(Benefits!$S$4:$S$703,Benefits!$B$4:$B$703,A663,Benefits!$F$4:$F$703,B663,Benefits!$R$4:$R$703,"avoided_cost_realised"),0)</f>
        <v>0</v>
      </c>
      <c r="I663" s="11" t="n">
        <f aca="false">IF(D663=1,SUMIFS(Benefits!$S$4:$S$703,Benefits!$B$4:$B$703,A663,Benefits!$F$4:$F$703,B663,Benefits!$R$4:$R$703,"capacity_converted"),0)</f>
        <v>0</v>
      </c>
      <c r="J663" s="11" t="n">
        <f aca="false">SUM(F663:I663)</f>
        <v>0</v>
      </c>
      <c r="K663" s="11" t="n">
        <f aca="false">J663-E663</f>
        <v>-71500</v>
      </c>
      <c r="L663" s="11" t="n">
        <f aca="false">IF(D663=1,L662+K663,0)</f>
        <v>-262600</v>
      </c>
      <c r="M663" s="11" t="n">
        <f aca="false">IF(D663=1,1/(1+Controls!$B$11)^B663,0)</f>
        <v>0.931883667888982</v>
      </c>
      <c r="N663" s="11" t="n">
        <f aca="false">K663*M663</f>
        <v>-66629.6822540622</v>
      </c>
      <c r="O663" s="11" t="n">
        <f aca="false">IF(D663=1,O662+N663,0)</f>
        <v>-247227.969805599</v>
      </c>
      <c r="P663" s="11" t="n">
        <f aca="false">IF(AND(D663=1,L663&lt;0),1,0)</f>
        <v>1</v>
      </c>
      <c r="Q663" s="11" t="n">
        <f aca="false">IF(AND(D663=1,O663&lt;0),1,0)</f>
        <v>1</v>
      </c>
    </row>
    <row r="664" customFormat="false" ht="15" hidden="false" customHeight="false" outlineLevel="0" collapsed="false">
      <c r="A664" s="4" t="s">
        <v>101</v>
      </c>
      <c r="B664" s="4" t="n">
        <v>12</v>
      </c>
      <c r="C664" s="11" t="n">
        <f aca="false">IF(COUNTIF('Scenario inputs'!$A$4:$A$213,Controls!$B$3&amp;"|"&amp;A664)&gt;0,1,0)</f>
        <v>1</v>
      </c>
      <c r="D664" s="11" t="n">
        <f aca="false">IF(AND(C664=1,B664&lt;Controls!$B$12),1,0)</f>
        <v>1</v>
      </c>
      <c r="E664" s="11" t="n">
        <f aca="false">IF(D664=1,SUMPRODUCT((Costs!$B$4:$B$903=A664)*(Costs!$D$4:$D$903="planned")*(Costs!$J$4:$J$903&lt;=B664)*(Costs!$K$4:$K$903&gt;B664)*Costs!$E$4:$E$903),0)</f>
        <v>203350</v>
      </c>
      <c r="F664" s="11" t="n">
        <f aca="false">IF(D664=1,SUMIFS(Benefits!$S$4:$S$703,Benefits!$B$4:$B$703,A664,Benefits!$F$4:$F$703,B664,Benefits!$R$4:$R$703,"cash"),0)</f>
        <v>0</v>
      </c>
      <c r="G664" s="11" t="n">
        <f aca="false">IF(D664=1,SUMIFS(Benefits!$S$4:$S$703,Benefits!$B$4:$B$703,A664,Benefits!$F$4:$F$703,B664,Benefits!$R$4:$R$703,"revenue"),0)</f>
        <v>0</v>
      </c>
      <c r="H664" s="11" t="n">
        <f aca="false">IF(D664=1,SUMIFS(Benefits!$S$4:$S$703,Benefits!$B$4:$B$703,A664,Benefits!$F$4:$F$703,B664,Benefits!$R$4:$R$703,"avoided_cost_realised"),0)</f>
        <v>0</v>
      </c>
      <c r="I664" s="11" t="n">
        <f aca="false">IF(D664=1,SUMIFS(Benefits!$S$4:$S$703,Benefits!$B$4:$B$703,A664,Benefits!$F$4:$F$703,B664,Benefits!$R$4:$R$703,"capacity_converted"),0)</f>
        <v>0</v>
      </c>
      <c r="J664" s="11" t="n">
        <f aca="false">SUM(F664:I664)</f>
        <v>0</v>
      </c>
      <c r="K664" s="11" t="n">
        <f aca="false">J664-E664</f>
        <v>-203350</v>
      </c>
      <c r="L664" s="11" t="n">
        <f aca="false">IF(D664=1,L663+K664,0)</f>
        <v>-465950</v>
      </c>
      <c r="M664" s="11" t="n">
        <f aca="false">IF(D664=1,1/(1+Controls!$B$11)^B664,0)</f>
        <v>0.925926258342804</v>
      </c>
      <c r="N664" s="11" t="n">
        <f aca="false">K664*M664</f>
        <v>-188287.104634009</v>
      </c>
      <c r="O664" s="11" t="n">
        <f aca="false">IF(D664=1,O663+N664,0)</f>
        <v>-435515.074439608</v>
      </c>
      <c r="P664" s="11" t="n">
        <f aca="false">IF(AND(D664=1,L664&lt;0),1,0)</f>
        <v>1</v>
      </c>
      <c r="Q664" s="11" t="n">
        <f aca="false">IF(AND(D664=1,O664&lt;0),1,0)</f>
        <v>1</v>
      </c>
    </row>
    <row r="665" customFormat="false" ht="15" hidden="false" customHeight="false" outlineLevel="0" collapsed="false">
      <c r="A665" s="4" t="s">
        <v>101</v>
      </c>
      <c r="B665" s="4" t="n">
        <v>13</v>
      </c>
      <c r="C665" s="11" t="n">
        <f aca="false">IF(COUNTIF('Scenario inputs'!$A$4:$A$213,Controls!$B$3&amp;"|"&amp;A665)&gt;0,1,0)</f>
        <v>1</v>
      </c>
      <c r="D665" s="11" t="n">
        <f aca="false">IF(AND(C665=1,B665&lt;Controls!$B$12),1,0)</f>
        <v>1</v>
      </c>
      <c r="E665" s="11" t="n">
        <f aca="false">IF(D665=1,SUMPRODUCT((Costs!$B$4:$B$903=A665)*(Costs!$D$4:$D$903="planned")*(Costs!$J$4:$J$903&lt;=B665)*(Costs!$K$4:$K$903&gt;B665)*Costs!$E$4:$E$903),0)</f>
        <v>237700</v>
      </c>
      <c r="F665" s="11" t="n">
        <f aca="false">IF(D665=1,SUMIFS(Benefits!$S$4:$S$703,Benefits!$B$4:$B$703,A665,Benefits!$F$4:$F$703,B665,Benefits!$R$4:$R$703,"cash"),0)</f>
        <v>0</v>
      </c>
      <c r="G665" s="11" t="n">
        <f aca="false">IF(D665=1,SUMIFS(Benefits!$S$4:$S$703,Benefits!$B$4:$B$703,A665,Benefits!$F$4:$F$703,B665,Benefits!$R$4:$R$703,"revenue"),0)</f>
        <v>0</v>
      </c>
      <c r="H665" s="11" t="n">
        <f aca="false">IF(D665=1,SUMIFS(Benefits!$S$4:$S$703,Benefits!$B$4:$B$703,A665,Benefits!$F$4:$F$703,B665,Benefits!$R$4:$R$703,"avoided_cost_realised"),0)</f>
        <v>0</v>
      </c>
      <c r="I665" s="11" t="n">
        <f aca="false">IF(D665=1,SUMIFS(Benefits!$S$4:$S$703,Benefits!$B$4:$B$703,A665,Benefits!$F$4:$F$703,B665,Benefits!$R$4:$R$703,"capacity_converted"),0)</f>
        <v>0</v>
      </c>
      <c r="J665" s="11" t="n">
        <f aca="false">SUM(F665:I665)</f>
        <v>0</v>
      </c>
      <c r="K665" s="11" t="n">
        <f aca="false">J665-E665</f>
        <v>-237700</v>
      </c>
      <c r="L665" s="11" t="n">
        <f aca="false">IF(D665=1,L664+K665,0)</f>
        <v>-703650</v>
      </c>
      <c r="M665" s="11" t="n">
        <f aca="false">IF(D665=1,1/(1+Controls!$B$11)^B665,0)</f>
        <v>0.920006933731178</v>
      </c>
      <c r="N665" s="11" t="n">
        <f aca="false">K665*M665</f>
        <v>-218685.648147901</v>
      </c>
      <c r="O665" s="11" t="n">
        <f aca="false">IF(D665=1,O664+N665,0)</f>
        <v>-654200.722587509</v>
      </c>
      <c r="P665" s="11" t="n">
        <f aca="false">IF(AND(D665=1,L665&lt;0),1,0)</f>
        <v>1</v>
      </c>
      <c r="Q665" s="11" t="n">
        <f aca="false">IF(AND(D665=1,O665&lt;0),1,0)</f>
        <v>1</v>
      </c>
    </row>
    <row r="666" customFormat="false" ht="15" hidden="false" customHeight="false" outlineLevel="0" collapsed="false">
      <c r="A666" s="4" t="s">
        <v>101</v>
      </c>
      <c r="B666" s="4" t="n">
        <v>14</v>
      </c>
      <c r="C666" s="11" t="n">
        <f aca="false">IF(COUNTIF('Scenario inputs'!$A$4:$A$213,Controls!$B$3&amp;"|"&amp;A666)&gt;0,1,0)</f>
        <v>1</v>
      </c>
      <c r="D666" s="11" t="n">
        <f aca="false">IF(AND(C666=1,B666&lt;Controls!$B$12),1,0)</f>
        <v>1</v>
      </c>
      <c r="E666" s="11" t="n">
        <f aca="false">IF(D666=1,SUMPRODUCT((Costs!$B$4:$B$903=A666)*(Costs!$D$4:$D$903="planned")*(Costs!$J$4:$J$903&lt;=B666)*(Costs!$K$4:$K$903&gt;B666)*Costs!$E$4:$E$903),0)</f>
        <v>180350</v>
      </c>
      <c r="F666" s="11" t="n">
        <f aca="false">IF(D666=1,SUMIFS(Benefits!$S$4:$S$703,Benefits!$B$4:$B$703,A666,Benefits!$F$4:$F$703,B666,Benefits!$R$4:$R$703,"cash"),0)</f>
        <v>0</v>
      </c>
      <c r="G666" s="11" t="n">
        <f aca="false">IF(D666=1,SUMIFS(Benefits!$S$4:$S$703,Benefits!$B$4:$B$703,A666,Benefits!$F$4:$F$703,B666,Benefits!$R$4:$R$703,"revenue"),0)</f>
        <v>0</v>
      </c>
      <c r="H666" s="11" t="n">
        <f aca="false">IF(D666=1,SUMIFS(Benefits!$S$4:$S$703,Benefits!$B$4:$B$703,A666,Benefits!$F$4:$F$703,B666,Benefits!$R$4:$R$703,"avoided_cost_realised"),0)</f>
        <v>0</v>
      </c>
      <c r="I666" s="11" t="n">
        <f aca="false">IF(D666=1,SUMIFS(Benefits!$S$4:$S$703,Benefits!$B$4:$B$703,A666,Benefits!$F$4:$F$703,B666,Benefits!$R$4:$R$703,"capacity_converted"),0)</f>
        <v>0</v>
      </c>
      <c r="J666" s="11" t="n">
        <f aca="false">SUM(F666:I666)</f>
        <v>0</v>
      </c>
      <c r="K666" s="11" t="n">
        <f aca="false">J666-E666</f>
        <v>-180350</v>
      </c>
      <c r="L666" s="11" t="n">
        <f aca="false">IF(D666=1,L665+K666,0)</f>
        <v>-884000</v>
      </c>
      <c r="M666" s="11" t="n">
        <f aca="false">IF(D666=1,1/(1+Controls!$B$11)^B666,0)</f>
        <v>0.914125450582132</v>
      </c>
      <c r="N666" s="11" t="n">
        <f aca="false">K666*M666</f>
        <v>-164862.525012488</v>
      </c>
      <c r="O666" s="11" t="n">
        <f aca="false">IF(D666=1,O665+N666,0)</f>
        <v>-819063.247599996</v>
      </c>
      <c r="P666" s="11" t="n">
        <f aca="false">IF(AND(D666=1,L666&lt;0),1,0)</f>
        <v>1</v>
      </c>
      <c r="Q666" s="11" t="n">
        <f aca="false">IF(AND(D666=1,O666&lt;0),1,0)</f>
        <v>1</v>
      </c>
    </row>
    <row r="667" customFormat="false" ht="15" hidden="false" customHeight="false" outlineLevel="0" collapsed="false">
      <c r="A667" s="4" t="s">
        <v>101</v>
      </c>
      <c r="B667" s="4" t="n">
        <v>15</v>
      </c>
      <c r="C667" s="11" t="n">
        <f aca="false">IF(COUNTIF('Scenario inputs'!$A$4:$A$213,Controls!$B$3&amp;"|"&amp;A667)&gt;0,1,0)</f>
        <v>1</v>
      </c>
      <c r="D667" s="11" t="n">
        <f aca="false">IF(AND(C667=1,B667&lt;Controls!$B$12),1,0)</f>
        <v>1</v>
      </c>
      <c r="E667" s="11" t="n">
        <f aca="false">IF(D667=1,SUMPRODUCT((Costs!$B$4:$B$903=A667)*(Costs!$D$4:$D$903="planned")*(Costs!$J$4:$J$903&lt;=B667)*(Costs!$K$4:$K$903&gt;B667)*Costs!$E$4:$E$903),0)</f>
        <v>17000</v>
      </c>
      <c r="F667" s="11" t="n">
        <f aca="false">IF(D667=1,SUMIFS(Benefits!$S$4:$S$703,Benefits!$B$4:$B$703,A667,Benefits!$F$4:$F$703,B667,Benefits!$R$4:$R$703,"cash"),0)</f>
        <v>0</v>
      </c>
      <c r="G667" s="11" t="n">
        <f aca="false">IF(D667=1,SUMIFS(Benefits!$S$4:$S$703,Benefits!$B$4:$B$703,A667,Benefits!$F$4:$F$703,B667,Benefits!$R$4:$R$703,"revenue"),0)</f>
        <v>0</v>
      </c>
      <c r="H667" s="11" t="n">
        <f aca="false">IF(D667=1,SUMIFS(Benefits!$S$4:$S$703,Benefits!$B$4:$B$703,A667,Benefits!$F$4:$F$703,B667,Benefits!$R$4:$R$703,"avoided_cost_realised"),0)</f>
        <v>0</v>
      </c>
      <c r="I667" s="11" t="n">
        <f aca="false">IF(D667=1,SUMIFS(Benefits!$S$4:$S$703,Benefits!$B$4:$B$703,A667,Benefits!$F$4:$F$703,B667,Benefits!$R$4:$R$703,"capacity_converted"),0)</f>
        <v>0</v>
      </c>
      <c r="J667" s="11" t="n">
        <f aca="false">SUM(F667:I667)</f>
        <v>0</v>
      </c>
      <c r="K667" s="11" t="n">
        <f aca="false">J667-E667</f>
        <v>-17000</v>
      </c>
      <c r="L667" s="11" t="n">
        <f aca="false">IF(D667=1,L666+K667,0)</f>
        <v>-901000</v>
      </c>
      <c r="M667" s="11" t="n">
        <f aca="false">IF(D667=1,1/(1+Controls!$B$11)^B667,0)</f>
        <v>0.908281566980182</v>
      </c>
      <c r="N667" s="11" t="n">
        <f aca="false">K667*M667</f>
        <v>-15440.7866386631</v>
      </c>
      <c r="O667" s="11" t="n">
        <f aca="false">IF(D667=1,O666+N667,0)</f>
        <v>-834504.034238659</v>
      </c>
      <c r="P667" s="11" t="n">
        <f aca="false">IF(AND(D667=1,L667&lt;0),1,0)</f>
        <v>1</v>
      </c>
      <c r="Q667" s="11" t="n">
        <f aca="false">IF(AND(D667=1,O667&lt;0),1,0)</f>
        <v>1</v>
      </c>
    </row>
    <row r="668" customFormat="false" ht="15" hidden="false" customHeight="false" outlineLevel="0" collapsed="false">
      <c r="A668" s="4" t="s">
        <v>101</v>
      </c>
      <c r="B668" s="4" t="n">
        <v>16</v>
      </c>
      <c r="C668" s="11" t="n">
        <f aca="false">IF(COUNTIF('Scenario inputs'!$A$4:$A$213,Controls!$B$3&amp;"|"&amp;A668)&gt;0,1,0)</f>
        <v>1</v>
      </c>
      <c r="D668" s="11" t="n">
        <f aca="false">IF(AND(C668=1,B668&lt;Controls!$B$12),1,0)</f>
        <v>1</v>
      </c>
      <c r="E668" s="11" t="n">
        <f aca="false">IF(D668=1,SUMPRODUCT((Costs!$B$4:$B$903=A668)*(Costs!$D$4:$D$903="planned")*(Costs!$J$4:$J$903&lt;=B668)*(Costs!$K$4:$K$903&gt;B668)*Costs!$E$4:$E$903),0)</f>
        <v>17000</v>
      </c>
      <c r="F668" s="11" t="n">
        <f aca="false">IF(D668=1,SUMIFS(Benefits!$S$4:$S$703,Benefits!$B$4:$B$703,A668,Benefits!$F$4:$F$703,B668,Benefits!$R$4:$R$703,"cash"),0)</f>
        <v>0</v>
      </c>
      <c r="G668" s="11" t="n">
        <f aca="false">IF(D668=1,SUMIFS(Benefits!$S$4:$S$703,Benefits!$B$4:$B$703,A668,Benefits!$F$4:$F$703,B668,Benefits!$R$4:$R$703,"revenue"),0)</f>
        <v>0</v>
      </c>
      <c r="H668" s="11" t="n">
        <f aca="false">IF(D668=1,SUMIFS(Benefits!$S$4:$S$703,Benefits!$B$4:$B$703,A668,Benefits!$F$4:$F$703,B668,Benefits!$R$4:$R$703,"avoided_cost_realised"),0)</f>
        <v>0</v>
      </c>
      <c r="I668" s="11" t="n">
        <f aca="false">IF(D668=1,SUMIFS(Benefits!$S$4:$S$703,Benefits!$B$4:$B$703,A668,Benefits!$F$4:$F$703,B668,Benefits!$R$4:$R$703,"capacity_converted"),0)</f>
        <v>0</v>
      </c>
      <c r="J668" s="11" t="n">
        <f aca="false">SUM(F668:I668)</f>
        <v>0</v>
      </c>
      <c r="K668" s="11" t="n">
        <f aca="false">J668-E668</f>
        <v>-17000</v>
      </c>
      <c r="L668" s="11" t="n">
        <f aca="false">IF(D668=1,L667+K668,0)</f>
        <v>-918000</v>
      </c>
      <c r="M668" s="11" t="n">
        <f aca="false">IF(D668=1,1/(1+Controls!$B$11)^B668,0)</f>
        <v>0.902475042556374</v>
      </c>
      <c r="N668" s="11" t="n">
        <f aca="false">K668*M668</f>
        <v>-15342.0757234584</v>
      </c>
      <c r="O668" s="11" t="n">
        <f aca="false">IF(D668=1,O667+N668,0)</f>
        <v>-849846.109962118</v>
      </c>
      <c r="P668" s="11" t="n">
        <f aca="false">IF(AND(D668=1,L668&lt;0),1,0)</f>
        <v>1</v>
      </c>
      <c r="Q668" s="11" t="n">
        <f aca="false">IF(AND(D668=1,O668&lt;0),1,0)</f>
        <v>1</v>
      </c>
    </row>
    <row r="669" customFormat="false" ht="15" hidden="false" customHeight="false" outlineLevel="0" collapsed="false">
      <c r="A669" s="4" t="s">
        <v>101</v>
      </c>
      <c r="B669" s="4" t="n">
        <v>17</v>
      </c>
      <c r="C669" s="11" t="n">
        <f aca="false">IF(COUNTIF('Scenario inputs'!$A$4:$A$213,Controls!$B$3&amp;"|"&amp;A669)&gt;0,1,0)</f>
        <v>1</v>
      </c>
      <c r="D669" s="11" t="n">
        <f aca="false">IF(AND(C669=1,B669&lt;Controls!$B$12),1,0)</f>
        <v>1</v>
      </c>
      <c r="E669" s="11" t="n">
        <f aca="false">IF(D669=1,SUMPRODUCT((Costs!$B$4:$B$903=A669)*(Costs!$D$4:$D$903="planned")*(Costs!$J$4:$J$903&lt;=B669)*(Costs!$K$4:$K$903&gt;B669)*Costs!$E$4:$E$903),0)</f>
        <v>17000</v>
      </c>
      <c r="F669" s="11" t="n">
        <f aca="false">IF(D669=1,SUMIFS(Benefits!$S$4:$S$703,Benefits!$B$4:$B$703,A669,Benefits!$F$4:$F$703,B669,Benefits!$R$4:$R$703,"cash"),0)</f>
        <v>0</v>
      </c>
      <c r="G669" s="11" t="n">
        <f aca="false">IF(D669=1,SUMIFS(Benefits!$S$4:$S$703,Benefits!$B$4:$B$703,A669,Benefits!$F$4:$F$703,B669,Benefits!$R$4:$R$703,"revenue"),0)</f>
        <v>0</v>
      </c>
      <c r="H669" s="11" t="n">
        <f aca="false">IF(D669=1,SUMIFS(Benefits!$S$4:$S$703,Benefits!$B$4:$B$703,A669,Benefits!$F$4:$F$703,B669,Benefits!$R$4:$R$703,"avoided_cost_realised"),0)</f>
        <v>0</v>
      </c>
      <c r="I669" s="11" t="n">
        <f aca="false">IF(D669=1,SUMIFS(Benefits!$S$4:$S$703,Benefits!$B$4:$B$703,A669,Benefits!$F$4:$F$703,B669,Benefits!$R$4:$R$703,"capacity_converted"),0)</f>
        <v>0</v>
      </c>
      <c r="J669" s="11" t="n">
        <f aca="false">SUM(F669:I669)</f>
        <v>0</v>
      </c>
      <c r="K669" s="11" t="n">
        <f aca="false">J669-E669</f>
        <v>-17000</v>
      </c>
      <c r="L669" s="11" t="n">
        <f aca="false">IF(D669=1,L668+K669,0)</f>
        <v>-935000</v>
      </c>
      <c r="M669" s="11" t="n">
        <f aca="false">IF(D669=1,1/(1+Controls!$B$11)^B669,0)</f>
        <v>0.896705638478404</v>
      </c>
      <c r="N669" s="11" t="n">
        <f aca="false">K669*M669</f>
        <v>-15243.9958541329</v>
      </c>
      <c r="O669" s="11" t="n">
        <f aca="false">IF(D669=1,O668+N669,0)</f>
        <v>-865090.105816251</v>
      </c>
      <c r="P669" s="11" t="n">
        <f aca="false">IF(AND(D669=1,L669&lt;0),1,0)</f>
        <v>1</v>
      </c>
      <c r="Q669" s="11" t="n">
        <f aca="false">IF(AND(D669=1,O669&lt;0),1,0)</f>
        <v>1</v>
      </c>
    </row>
    <row r="670" customFormat="false" ht="15" hidden="false" customHeight="false" outlineLevel="0" collapsed="false">
      <c r="A670" s="4" t="s">
        <v>101</v>
      </c>
      <c r="B670" s="4" t="n">
        <v>18</v>
      </c>
      <c r="C670" s="11" t="n">
        <f aca="false">IF(COUNTIF('Scenario inputs'!$A$4:$A$213,Controls!$B$3&amp;"|"&amp;A670)&gt;0,1,0)</f>
        <v>1</v>
      </c>
      <c r="D670" s="11" t="n">
        <f aca="false">IF(AND(C670=1,B670&lt;Controls!$B$12),1,0)</f>
        <v>1</v>
      </c>
      <c r="E670" s="11" t="n">
        <f aca="false">IF(D670=1,SUMPRODUCT((Costs!$B$4:$B$903=A670)*(Costs!$D$4:$D$903="planned")*(Costs!$J$4:$J$903&lt;=B670)*(Costs!$K$4:$K$903&gt;B670)*Costs!$E$4:$E$903),0)</f>
        <v>17000</v>
      </c>
      <c r="F670" s="11" t="n">
        <f aca="false">IF(D670=1,SUMIFS(Benefits!$S$4:$S$703,Benefits!$B$4:$B$703,A670,Benefits!$F$4:$F$703,B670,Benefits!$R$4:$R$703,"cash"),0)</f>
        <v>0</v>
      </c>
      <c r="G670" s="11" t="n">
        <f aca="false">IF(D670=1,SUMIFS(Benefits!$S$4:$S$703,Benefits!$B$4:$B$703,A670,Benefits!$F$4:$F$703,B670,Benefits!$R$4:$R$703,"revenue"),0)</f>
        <v>0</v>
      </c>
      <c r="H670" s="11" t="n">
        <f aca="false">IF(D670=1,SUMIFS(Benefits!$S$4:$S$703,Benefits!$B$4:$B$703,A670,Benefits!$F$4:$F$703,B670,Benefits!$R$4:$R$703,"avoided_cost_realised"),0)</f>
        <v>0</v>
      </c>
      <c r="I670" s="11" t="n">
        <f aca="false">IF(D670=1,SUMIFS(Benefits!$S$4:$S$703,Benefits!$B$4:$B$703,A670,Benefits!$F$4:$F$703,B670,Benefits!$R$4:$R$703,"capacity_converted"),0)</f>
        <v>0</v>
      </c>
      <c r="J670" s="11" t="n">
        <f aca="false">SUM(F670:I670)</f>
        <v>0</v>
      </c>
      <c r="K670" s="11" t="n">
        <f aca="false">J670-E670</f>
        <v>-17000</v>
      </c>
      <c r="L670" s="11" t="n">
        <f aca="false">IF(D670=1,L669+K670,0)</f>
        <v>-952000</v>
      </c>
      <c r="M670" s="11" t="n">
        <f aca="false">IF(D670=1,1/(1+Controls!$B$11)^B670,0)</f>
        <v>0.89097311744079</v>
      </c>
      <c r="N670" s="11" t="n">
        <f aca="false">K670*M670</f>
        <v>-15146.5429964934</v>
      </c>
      <c r="O670" s="11" t="n">
        <f aca="false">IF(D670=1,O669+N670,0)</f>
        <v>-880236.648812744</v>
      </c>
      <c r="P670" s="11" t="n">
        <f aca="false">IF(AND(D670=1,L670&lt;0),1,0)</f>
        <v>1</v>
      </c>
      <c r="Q670" s="11" t="n">
        <f aca="false">IF(AND(D670=1,O670&lt;0),1,0)</f>
        <v>1</v>
      </c>
    </row>
    <row r="671" customFormat="false" ht="15" hidden="false" customHeight="false" outlineLevel="0" collapsed="false">
      <c r="A671" s="4" t="s">
        <v>101</v>
      </c>
      <c r="B671" s="4" t="n">
        <v>19</v>
      </c>
      <c r="C671" s="11" t="n">
        <f aca="false">IF(COUNTIF('Scenario inputs'!$A$4:$A$213,Controls!$B$3&amp;"|"&amp;A671)&gt;0,1,0)</f>
        <v>1</v>
      </c>
      <c r="D671" s="11" t="n">
        <f aca="false">IF(AND(C671=1,B671&lt;Controls!$B$12),1,0)</f>
        <v>1</v>
      </c>
      <c r="E671" s="11" t="n">
        <f aca="false">IF(D671=1,SUMPRODUCT((Costs!$B$4:$B$903=A671)*(Costs!$D$4:$D$903="planned")*(Costs!$J$4:$J$903&lt;=B671)*(Costs!$K$4:$K$903&gt;B671)*Costs!$E$4:$E$903),0)</f>
        <v>17000</v>
      </c>
      <c r="F671" s="11" t="n">
        <f aca="false">IF(D671=1,SUMIFS(Benefits!$S$4:$S$703,Benefits!$B$4:$B$703,A671,Benefits!$F$4:$F$703,B671,Benefits!$R$4:$R$703,"cash"),0)</f>
        <v>0</v>
      </c>
      <c r="G671" s="11" t="n">
        <f aca="false">IF(D671=1,SUMIFS(Benefits!$S$4:$S$703,Benefits!$B$4:$B$703,A671,Benefits!$F$4:$F$703,B671,Benefits!$R$4:$R$703,"revenue"),0)</f>
        <v>0</v>
      </c>
      <c r="H671" s="11" t="n">
        <f aca="false">IF(D671=1,SUMIFS(Benefits!$S$4:$S$703,Benefits!$B$4:$B$703,A671,Benefits!$F$4:$F$703,B671,Benefits!$R$4:$R$703,"avoided_cost_realised"),0)</f>
        <v>0</v>
      </c>
      <c r="I671" s="11" t="n">
        <f aca="false">IF(D671=1,SUMIFS(Benefits!$S$4:$S$703,Benefits!$B$4:$B$703,A671,Benefits!$F$4:$F$703,B671,Benefits!$R$4:$R$703,"capacity_converted"),0)</f>
        <v>0</v>
      </c>
      <c r="J671" s="11" t="n">
        <f aca="false">SUM(F671:I671)</f>
        <v>0</v>
      </c>
      <c r="K671" s="11" t="n">
        <f aca="false">J671-E671</f>
        <v>-17000</v>
      </c>
      <c r="L671" s="11" t="n">
        <f aca="false">IF(D671=1,L670+K671,0)</f>
        <v>-969000</v>
      </c>
      <c r="M671" s="11" t="n">
        <f aca="false">IF(D671=1,1/(1+Controls!$B$11)^B671,0)</f>
        <v>0.885277243655113</v>
      </c>
      <c r="N671" s="11" t="n">
        <f aca="false">K671*M671</f>
        <v>-15049.7131421369</v>
      </c>
      <c r="O671" s="11" t="n">
        <f aca="false">IF(D671=1,O670+N671,0)</f>
        <v>-895286.361954881</v>
      </c>
      <c r="P671" s="11" t="n">
        <f aca="false">IF(AND(D671=1,L671&lt;0),1,0)</f>
        <v>1</v>
      </c>
      <c r="Q671" s="11" t="n">
        <f aca="false">IF(AND(D671=1,O671&lt;0),1,0)</f>
        <v>1</v>
      </c>
    </row>
    <row r="672" customFormat="false" ht="15" hidden="false" customHeight="false" outlineLevel="0" collapsed="false">
      <c r="A672" s="4" t="s">
        <v>101</v>
      </c>
      <c r="B672" s="4" t="n">
        <v>20</v>
      </c>
      <c r="C672" s="11" t="n">
        <f aca="false">IF(COUNTIF('Scenario inputs'!$A$4:$A$213,Controls!$B$3&amp;"|"&amp;A672)&gt;0,1,0)</f>
        <v>1</v>
      </c>
      <c r="D672" s="11" t="n">
        <f aca="false">IF(AND(C672=1,B672&lt;Controls!$B$12),1,0)</f>
        <v>1</v>
      </c>
      <c r="E672" s="11" t="n">
        <f aca="false">IF(D672=1,SUMPRODUCT((Costs!$B$4:$B$903=A672)*(Costs!$D$4:$D$903="planned")*(Costs!$J$4:$J$903&lt;=B672)*(Costs!$K$4:$K$903&gt;B672)*Costs!$E$4:$E$903),0)</f>
        <v>17800</v>
      </c>
      <c r="F672" s="11" t="n">
        <f aca="false">IF(D672=1,SUMIFS(Benefits!$S$4:$S$703,Benefits!$B$4:$B$703,A672,Benefits!$F$4:$F$703,B672,Benefits!$R$4:$R$703,"cash"),0)</f>
        <v>0</v>
      </c>
      <c r="G672" s="11" t="n">
        <f aca="false">IF(D672=1,SUMIFS(Benefits!$S$4:$S$703,Benefits!$B$4:$B$703,A672,Benefits!$F$4:$F$703,B672,Benefits!$R$4:$R$703,"revenue"),0)</f>
        <v>0</v>
      </c>
      <c r="H672" s="11" t="n">
        <f aca="false">IF(D672=1,SUMIFS(Benefits!$S$4:$S$703,Benefits!$B$4:$B$703,A672,Benefits!$F$4:$F$703,B672,Benefits!$R$4:$R$703,"avoided_cost_realised"),0)</f>
        <v>0</v>
      </c>
      <c r="I672" s="11" t="n">
        <f aca="false">IF(D672=1,SUMIFS(Benefits!$S$4:$S$703,Benefits!$B$4:$B$703,A672,Benefits!$F$4:$F$703,B672,Benefits!$R$4:$R$703,"capacity_converted"),0)</f>
        <v>0</v>
      </c>
      <c r="J672" s="11" t="n">
        <f aca="false">SUM(F672:I672)</f>
        <v>0</v>
      </c>
      <c r="K672" s="11" t="n">
        <f aca="false">J672-E672</f>
        <v>-17800</v>
      </c>
      <c r="L672" s="11" t="n">
        <f aca="false">IF(D672=1,L671+K672,0)</f>
        <v>-986800</v>
      </c>
      <c r="M672" s="11" t="n">
        <f aca="false">IF(D672=1,1/(1+Controls!$B$11)^B672,0)</f>
        <v>0.879617782840318</v>
      </c>
      <c r="N672" s="11" t="n">
        <f aca="false">K672*M672</f>
        <v>-15657.1965345577</v>
      </c>
      <c r="O672" s="11" t="n">
        <f aca="false">IF(D672=1,O671+N672,0)</f>
        <v>-910943.558489439</v>
      </c>
      <c r="P672" s="11" t="n">
        <f aca="false">IF(AND(D672=1,L672&lt;0),1,0)</f>
        <v>1</v>
      </c>
      <c r="Q672" s="11" t="n">
        <f aca="false">IF(AND(D672=1,O672&lt;0),1,0)</f>
        <v>1</v>
      </c>
    </row>
    <row r="673" customFormat="false" ht="15" hidden="false" customHeight="false" outlineLevel="0" collapsed="false">
      <c r="A673" s="4" t="s">
        <v>101</v>
      </c>
      <c r="B673" s="4" t="n">
        <v>21</v>
      </c>
      <c r="C673" s="11" t="n">
        <f aca="false">IF(COUNTIF('Scenario inputs'!$A$4:$A$213,Controls!$B$3&amp;"|"&amp;A673)&gt;0,1,0)</f>
        <v>1</v>
      </c>
      <c r="D673" s="11" t="n">
        <f aca="false">IF(AND(C673=1,B673&lt;Controls!$B$12),1,0)</f>
        <v>1</v>
      </c>
      <c r="E673" s="11" t="n">
        <f aca="false">IF(D673=1,SUMPRODUCT((Costs!$B$4:$B$903=A673)*(Costs!$D$4:$D$903="planned")*(Costs!$J$4:$J$903&lt;=B673)*(Costs!$K$4:$K$903&gt;B673)*Costs!$E$4:$E$903),0)</f>
        <v>17800</v>
      </c>
      <c r="F673" s="11" t="n">
        <f aca="false">IF(D673=1,SUMIFS(Benefits!$S$4:$S$703,Benefits!$B$4:$B$703,A673,Benefits!$F$4:$F$703,B673,Benefits!$R$4:$R$703,"cash"),0)</f>
        <v>0</v>
      </c>
      <c r="G673" s="11" t="n">
        <f aca="false">IF(D673=1,SUMIFS(Benefits!$S$4:$S$703,Benefits!$B$4:$B$703,A673,Benefits!$F$4:$F$703,B673,Benefits!$R$4:$R$703,"revenue"),0)</f>
        <v>0</v>
      </c>
      <c r="H673" s="11" t="n">
        <f aca="false">IF(D673=1,SUMIFS(Benefits!$S$4:$S$703,Benefits!$B$4:$B$703,A673,Benefits!$F$4:$F$703,B673,Benefits!$R$4:$R$703,"avoided_cost_realised"),0)</f>
        <v>0</v>
      </c>
      <c r="I673" s="11" t="n">
        <f aca="false">IF(D673=1,SUMIFS(Benefits!$S$4:$S$703,Benefits!$B$4:$B$703,A673,Benefits!$F$4:$F$703,B673,Benefits!$R$4:$R$703,"capacity_converted"),0)</f>
        <v>0</v>
      </c>
      <c r="J673" s="11" t="n">
        <f aca="false">SUM(F673:I673)</f>
        <v>0</v>
      </c>
      <c r="K673" s="11" t="n">
        <f aca="false">J673-E673</f>
        <v>-17800</v>
      </c>
      <c r="L673" s="11" t="n">
        <f aca="false">IF(D673=1,L672+K673,0)</f>
        <v>-1004600</v>
      </c>
      <c r="M673" s="11" t="n">
        <f aca="false">IF(D673=1,1/(1+Controls!$B$11)^B673,0)</f>
        <v>0.873994502213079</v>
      </c>
      <c r="N673" s="11" t="n">
        <f aca="false">K673*M673</f>
        <v>-15557.1021393928</v>
      </c>
      <c r="O673" s="11" t="n">
        <f aca="false">IF(D673=1,O672+N673,0)</f>
        <v>-926500.660628831</v>
      </c>
      <c r="P673" s="11" t="n">
        <f aca="false">IF(AND(D673=1,L673&lt;0),1,0)</f>
        <v>1</v>
      </c>
      <c r="Q673" s="11" t="n">
        <f aca="false">IF(AND(D673=1,O673&lt;0),1,0)</f>
        <v>1</v>
      </c>
    </row>
    <row r="674" customFormat="false" ht="15" hidden="false" customHeight="false" outlineLevel="0" collapsed="false">
      <c r="A674" s="4" t="s">
        <v>101</v>
      </c>
      <c r="B674" s="4" t="n">
        <v>22</v>
      </c>
      <c r="C674" s="11" t="n">
        <f aca="false">IF(COUNTIF('Scenario inputs'!$A$4:$A$213,Controls!$B$3&amp;"|"&amp;A674)&gt;0,1,0)</f>
        <v>1</v>
      </c>
      <c r="D674" s="11" t="n">
        <f aca="false">IF(AND(C674=1,B674&lt;Controls!$B$12),1,0)</f>
        <v>1</v>
      </c>
      <c r="E674" s="11" t="n">
        <f aca="false">IF(D674=1,SUMPRODUCT((Costs!$B$4:$B$903=A674)*(Costs!$D$4:$D$903="planned")*(Costs!$J$4:$J$903&lt;=B674)*(Costs!$K$4:$K$903&gt;B674)*Costs!$E$4:$E$903),0)</f>
        <v>17800</v>
      </c>
      <c r="F674" s="11" t="n">
        <f aca="false">IF(D674=1,SUMIFS(Benefits!$S$4:$S$703,Benefits!$B$4:$B$703,A674,Benefits!$F$4:$F$703,B674,Benefits!$R$4:$R$703,"cash"),0)</f>
        <v>0</v>
      </c>
      <c r="G674" s="11" t="n">
        <f aca="false">IF(D674=1,SUMIFS(Benefits!$S$4:$S$703,Benefits!$B$4:$B$703,A674,Benefits!$F$4:$F$703,B674,Benefits!$R$4:$R$703,"revenue"),0)</f>
        <v>0</v>
      </c>
      <c r="H674" s="11" t="n">
        <f aca="false">IF(D674=1,SUMIFS(Benefits!$S$4:$S$703,Benefits!$B$4:$B$703,A674,Benefits!$F$4:$F$703,B674,Benefits!$R$4:$R$703,"avoided_cost_realised"),0)</f>
        <v>0</v>
      </c>
      <c r="I674" s="11" t="n">
        <f aca="false">IF(D674=1,SUMIFS(Benefits!$S$4:$S$703,Benefits!$B$4:$B$703,A674,Benefits!$F$4:$F$703,B674,Benefits!$R$4:$R$703,"capacity_converted"),0)</f>
        <v>0</v>
      </c>
      <c r="J674" s="11" t="n">
        <f aca="false">SUM(F674:I674)</f>
        <v>0</v>
      </c>
      <c r="K674" s="11" t="n">
        <f aca="false">J674-E674</f>
        <v>-17800</v>
      </c>
      <c r="L674" s="11" t="n">
        <f aca="false">IF(D674=1,L673+K674,0)</f>
        <v>-1022400</v>
      </c>
      <c r="M674" s="11" t="n">
        <f aca="false">IF(D674=1,1/(1+Controls!$B$11)^B674,0)</f>
        <v>0.868407170478222</v>
      </c>
      <c r="N674" s="11" t="n">
        <f aca="false">K674*M674</f>
        <v>-15457.6476345124</v>
      </c>
      <c r="O674" s="11" t="n">
        <f aca="false">IF(D674=1,O673+N674,0)</f>
        <v>-941958.308263344</v>
      </c>
      <c r="P674" s="11" t="n">
        <f aca="false">IF(AND(D674=1,L674&lt;0),1,0)</f>
        <v>1</v>
      </c>
      <c r="Q674" s="11" t="n">
        <f aca="false">IF(AND(D674=1,O674&lt;0),1,0)</f>
        <v>1</v>
      </c>
    </row>
    <row r="675" customFormat="false" ht="15" hidden="false" customHeight="false" outlineLevel="0" collapsed="false">
      <c r="A675" s="4" t="s">
        <v>101</v>
      </c>
      <c r="B675" s="4" t="n">
        <v>23</v>
      </c>
      <c r="C675" s="11" t="n">
        <f aca="false">IF(COUNTIF('Scenario inputs'!$A$4:$A$213,Controls!$B$3&amp;"|"&amp;A675)&gt;0,1,0)</f>
        <v>1</v>
      </c>
      <c r="D675" s="11" t="n">
        <f aca="false">IF(AND(C675=1,B675&lt;Controls!$B$12),1,0)</f>
        <v>1</v>
      </c>
      <c r="E675" s="11" t="n">
        <f aca="false">IF(D675=1,SUMPRODUCT((Costs!$B$4:$B$903=A675)*(Costs!$D$4:$D$903="planned")*(Costs!$J$4:$J$903&lt;=B675)*(Costs!$K$4:$K$903&gt;B675)*Costs!$E$4:$E$903),0)</f>
        <v>17800</v>
      </c>
      <c r="F675" s="11" t="n">
        <f aca="false">IF(D675=1,SUMIFS(Benefits!$S$4:$S$703,Benefits!$B$4:$B$703,A675,Benefits!$F$4:$F$703,B675,Benefits!$R$4:$R$703,"cash"),0)</f>
        <v>0</v>
      </c>
      <c r="G675" s="11" t="n">
        <f aca="false">IF(D675=1,SUMIFS(Benefits!$S$4:$S$703,Benefits!$B$4:$B$703,A675,Benefits!$F$4:$F$703,B675,Benefits!$R$4:$R$703,"revenue"),0)</f>
        <v>0</v>
      </c>
      <c r="H675" s="11" t="n">
        <f aca="false">IF(D675=1,SUMIFS(Benefits!$S$4:$S$703,Benefits!$B$4:$B$703,A675,Benefits!$F$4:$F$703,B675,Benefits!$R$4:$R$703,"avoided_cost_realised"),0)</f>
        <v>0</v>
      </c>
      <c r="I675" s="11" t="n">
        <f aca="false">IF(D675=1,SUMIFS(Benefits!$S$4:$S$703,Benefits!$B$4:$B$703,A675,Benefits!$F$4:$F$703,B675,Benefits!$R$4:$R$703,"capacity_converted"),0)</f>
        <v>0</v>
      </c>
      <c r="J675" s="11" t="n">
        <f aca="false">SUM(F675:I675)</f>
        <v>0</v>
      </c>
      <c r="K675" s="11" t="n">
        <f aca="false">J675-E675</f>
        <v>-17800</v>
      </c>
      <c r="L675" s="11" t="n">
        <f aca="false">IF(D675=1,L674+K675,0)</f>
        <v>-1040200</v>
      </c>
      <c r="M675" s="11" t="n">
        <f aca="false">IF(D675=1,1/(1+Controls!$B$11)^B675,0)</f>
        <v>0.862855557819213</v>
      </c>
      <c r="N675" s="11" t="n">
        <f aca="false">K675*M675</f>
        <v>-15358.828929182</v>
      </c>
      <c r="O675" s="11" t="n">
        <f aca="false">IF(D675=1,O674+N675,0)</f>
        <v>-957317.137192526</v>
      </c>
      <c r="P675" s="11" t="n">
        <f aca="false">IF(AND(D675=1,L675&lt;0),1,0)</f>
        <v>1</v>
      </c>
      <c r="Q675" s="11" t="n">
        <f aca="false">IF(AND(D675=1,O675&lt;0),1,0)</f>
        <v>1</v>
      </c>
    </row>
    <row r="676" customFormat="false" ht="15" hidden="false" customHeight="false" outlineLevel="0" collapsed="false">
      <c r="A676" s="4" t="s">
        <v>101</v>
      </c>
      <c r="B676" s="4" t="n">
        <v>24</v>
      </c>
      <c r="C676" s="11" t="n">
        <f aca="false">IF(COUNTIF('Scenario inputs'!$A$4:$A$213,Controls!$B$3&amp;"|"&amp;A676)&gt;0,1,0)</f>
        <v>1</v>
      </c>
      <c r="D676" s="11" t="n">
        <f aca="false">IF(AND(C676=1,B676&lt;Controls!$B$12),1,0)</f>
        <v>1</v>
      </c>
      <c r="E676" s="11" t="n">
        <f aca="false">IF(D676=1,SUMPRODUCT((Costs!$B$4:$B$903=A676)*(Costs!$D$4:$D$903="planned")*(Costs!$J$4:$J$903&lt;=B676)*(Costs!$K$4:$K$903&gt;B676)*Costs!$E$4:$E$903),0)</f>
        <v>17800</v>
      </c>
      <c r="F676" s="11" t="n">
        <f aca="false">IF(D676=1,SUMIFS(Benefits!$S$4:$S$703,Benefits!$B$4:$B$703,A676,Benefits!$F$4:$F$703,B676,Benefits!$R$4:$R$703,"cash"),0)</f>
        <v>0</v>
      </c>
      <c r="G676" s="11" t="n">
        <f aca="false">IF(D676=1,SUMIFS(Benefits!$S$4:$S$703,Benefits!$B$4:$B$703,A676,Benefits!$F$4:$F$703,B676,Benefits!$R$4:$R$703,"revenue"),0)</f>
        <v>0</v>
      </c>
      <c r="H676" s="11" t="n">
        <f aca="false">IF(D676=1,SUMIFS(Benefits!$S$4:$S$703,Benefits!$B$4:$B$703,A676,Benefits!$F$4:$F$703,B676,Benefits!$R$4:$R$703,"avoided_cost_realised"),0)</f>
        <v>0</v>
      </c>
      <c r="I676" s="11" t="n">
        <f aca="false">IF(D676=1,SUMIFS(Benefits!$S$4:$S$703,Benefits!$B$4:$B$703,A676,Benefits!$F$4:$F$703,B676,Benefits!$R$4:$R$703,"capacity_converted"),0)</f>
        <v>0</v>
      </c>
      <c r="J676" s="11" t="n">
        <f aca="false">SUM(F676:I676)</f>
        <v>0</v>
      </c>
      <c r="K676" s="11" t="n">
        <f aca="false">J676-E676</f>
        <v>-17800</v>
      </c>
      <c r="L676" s="11" t="n">
        <f aca="false">IF(D676=1,L675+K676,0)</f>
        <v>-1058000</v>
      </c>
      <c r="M676" s="11" t="n">
        <f aca="false">IF(D676=1,1/(1+Controls!$B$11)^B676,0)</f>
        <v>0.857339435888705</v>
      </c>
      <c r="N676" s="11" t="n">
        <f aca="false">K676*M676</f>
        <v>-15260.641958819</v>
      </c>
      <c r="O676" s="11" t="n">
        <f aca="false">IF(D676=1,O675+N676,0)</f>
        <v>-972577.779151345</v>
      </c>
      <c r="P676" s="11" t="n">
        <f aca="false">IF(AND(D676=1,L676&lt;0),1,0)</f>
        <v>1</v>
      </c>
      <c r="Q676" s="11" t="n">
        <f aca="false">IF(AND(D676=1,O676&lt;0),1,0)</f>
        <v>1</v>
      </c>
    </row>
    <row r="677" customFormat="false" ht="15" hidden="false" customHeight="false" outlineLevel="0" collapsed="false">
      <c r="A677" s="4" t="s">
        <v>101</v>
      </c>
      <c r="B677" s="4" t="n">
        <v>25</v>
      </c>
      <c r="C677" s="11" t="n">
        <f aca="false">IF(COUNTIF('Scenario inputs'!$A$4:$A$213,Controls!$B$3&amp;"|"&amp;A677)&gt;0,1,0)</f>
        <v>1</v>
      </c>
      <c r="D677" s="11" t="n">
        <f aca="false">IF(AND(C677=1,B677&lt;Controls!$B$12),1,0)</f>
        <v>1</v>
      </c>
      <c r="E677" s="11" t="n">
        <f aca="false">IF(D677=1,SUMPRODUCT((Costs!$B$4:$B$903=A677)*(Costs!$D$4:$D$903="planned")*(Costs!$J$4:$J$903&lt;=B677)*(Costs!$K$4:$K$903&gt;B677)*Costs!$E$4:$E$903),0)</f>
        <v>17800</v>
      </c>
      <c r="F677" s="11" t="n">
        <f aca="false">IF(D677=1,SUMIFS(Benefits!$S$4:$S$703,Benefits!$B$4:$B$703,A677,Benefits!$F$4:$F$703,B677,Benefits!$R$4:$R$703,"cash"),0)</f>
        <v>0</v>
      </c>
      <c r="G677" s="11" t="n">
        <f aca="false">IF(D677=1,SUMIFS(Benefits!$S$4:$S$703,Benefits!$B$4:$B$703,A677,Benefits!$F$4:$F$703,B677,Benefits!$R$4:$R$703,"revenue"),0)</f>
        <v>0</v>
      </c>
      <c r="H677" s="11" t="n">
        <f aca="false">IF(D677=1,SUMIFS(Benefits!$S$4:$S$703,Benefits!$B$4:$B$703,A677,Benefits!$F$4:$F$703,B677,Benefits!$R$4:$R$703,"avoided_cost_realised"),0)</f>
        <v>0</v>
      </c>
      <c r="I677" s="11" t="n">
        <f aca="false">IF(D677=1,SUMIFS(Benefits!$S$4:$S$703,Benefits!$B$4:$B$703,A677,Benefits!$F$4:$F$703,B677,Benefits!$R$4:$R$703,"capacity_converted"),0)</f>
        <v>0</v>
      </c>
      <c r="J677" s="11" t="n">
        <f aca="false">SUM(F677:I677)</f>
        <v>0</v>
      </c>
      <c r="K677" s="11" t="n">
        <f aca="false">J677-E677</f>
        <v>-17800</v>
      </c>
      <c r="L677" s="11" t="n">
        <f aca="false">IF(D677=1,L676+K677,0)</f>
        <v>-1075800</v>
      </c>
      <c r="M677" s="11" t="n">
        <f aca="false">IF(D677=1,1/(1+Controls!$B$11)^B677,0)</f>
        <v>0.851858577799146</v>
      </c>
      <c r="N677" s="11" t="n">
        <f aca="false">K677*M677</f>
        <v>-15163.0826848248</v>
      </c>
      <c r="O677" s="11" t="n">
        <f aca="false">IF(D677=1,O676+N677,0)</f>
        <v>-987740.86183617</v>
      </c>
      <c r="P677" s="11" t="n">
        <f aca="false">IF(AND(D677=1,L677&lt;0),1,0)</f>
        <v>1</v>
      </c>
      <c r="Q677" s="11" t="n">
        <f aca="false">IF(AND(D677=1,O677&lt;0),1,0)</f>
        <v>1</v>
      </c>
    </row>
    <row r="678" customFormat="false" ht="15" hidden="false" customHeight="false" outlineLevel="0" collapsed="false">
      <c r="A678" s="4" t="s">
        <v>101</v>
      </c>
      <c r="B678" s="4" t="n">
        <v>26</v>
      </c>
      <c r="C678" s="11" t="n">
        <f aca="false">IF(COUNTIF('Scenario inputs'!$A$4:$A$213,Controls!$B$3&amp;"|"&amp;A678)&gt;0,1,0)</f>
        <v>1</v>
      </c>
      <c r="D678" s="11" t="n">
        <f aca="false">IF(AND(C678=1,B678&lt;Controls!$B$12),1,0)</f>
        <v>1</v>
      </c>
      <c r="E678" s="11" t="n">
        <f aca="false">IF(D678=1,SUMPRODUCT((Costs!$B$4:$B$903=A678)*(Costs!$D$4:$D$903="planned")*(Costs!$J$4:$J$903&lt;=B678)*(Costs!$K$4:$K$903&gt;B678)*Costs!$E$4:$E$903),0)</f>
        <v>17800</v>
      </c>
      <c r="F678" s="11" t="n">
        <f aca="false">IF(D678=1,SUMIFS(Benefits!$S$4:$S$703,Benefits!$B$4:$B$703,A678,Benefits!$F$4:$F$703,B678,Benefits!$R$4:$R$703,"cash"),0)</f>
        <v>0</v>
      </c>
      <c r="G678" s="11" t="n">
        <f aca="false">IF(D678=1,SUMIFS(Benefits!$S$4:$S$703,Benefits!$B$4:$B$703,A678,Benefits!$F$4:$F$703,B678,Benefits!$R$4:$R$703,"revenue"),0)</f>
        <v>0</v>
      </c>
      <c r="H678" s="11" t="n">
        <f aca="false">IF(D678=1,SUMIFS(Benefits!$S$4:$S$703,Benefits!$B$4:$B$703,A678,Benefits!$F$4:$F$703,B678,Benefits!$R$4:$R$703,"avoided_cost_realised"),0)</f>
        <v>0</v>
      </c>
      <c r="I678" s="11" t="n">
        <f aca="false">IF(D678=1,SUMIFS(Benefits!$S$4:$S$703,Benefits!$B$4:$B$703,A678,Benefits!$F$4:$F$703,B678,Benefits!$R$4:$R$703,"capacity_converted"),0)</f>
        <v>0</v>
      </c>
      <c r="J678" s="11" t="n">
        <f aca="false">SUM(F678:I678)</f>
        <v>0</v>
      </c>
      <c r="K678" s="11" t="n">
        <f aca="false">J678-E678</f>
        <v>-17800</v>
      </c>
      <c r="L678" s="11" t="n">
        <f aca="false">IF(D678=1,L677+K678,0)</f>
        <v>-1093600</v>
      </c>
      <c r="M678" s="11" t="n">
        <f aca="false">IF(D678=1,1/(1+Controls!$B$11)^B678,0)</f>
        <v>0.846412758113444</v>
      </c>
      <c r="N678" s="11" t="n">
        <f aca="false">K678*M678</f>
        <v>-15066.1470944193</v>
      </c>
      <c r="O678" s="11" t="n">
        <f aca="false">IF(D678=1,O677+N678,0)</f>
        <v>-1002807.00893059</v>
      </c>
      <c r="P678" s="11" t="n">
        <f aca="false">IF(AND(D678=1,L678&lt;0),1,0)</f>
        <v>1</v>
      </c>
      <c r="Q678" s="11" t="n">
        <f aca="false">IF(AND(D678=1,O678&lt;0),1,0)</f>
        <v>1</v>
      </c>
    </row>
    <row r="679" customFormat="false" ht="15" hidden="false" customHeight="false" outlineLevel="0" collapsed="false">
      <c r="A679" s="4" t="s">
        <v>101</v>
      </c>
      <c r="B679" s="4" t="n">
        <v>27</v>
      </c>
      <c r="C679" s="11" t="n">
        <f aca="false">IF(COUNTIF('Scenario inputs'!$A$4:$A$213,Controls!$B$3&amp;"|"&amp;A679)&gt;0,1,0)</f>
        <v>1</v>
      </c>
      <c r="D679" s="11" t="n">
        <f aca="false">IF(AND(C679=1,B679&lt;Controls!$B$12),1,0)</f>
        <v>1</v>
      </c>
      <c r="E679" s="11" t="n">
        <f aca="false">IF(D679=1,SUMPRODUCT((Costs!$B$4:$B$903=A679)*(Costs!$D$4:$D$903="planned")*(Costs!$J$4:$J$903&lt;=B679)*(Costs!$K$4:$K$903&gt;B679)*Costs!$E$4:$E$903),0)</f>
        <v>0</v>
      </c>
      <c r="F679" s="11" t="n">
        <f aca="false">IF(D679=1,SUMIFS(Benefits!$S$4:$S$703,Benefits!$B$4:$B$703,A679,Benefits!$F$4:$F$703,B679,Benefits!$R$4:$R$703,"cash"),0)</f>
        <v>0</v>
      </c>
      <c r="G679" s="11" t="n">
        <f aca="false">IF(D679=1,SUMIFS(Benefits!$S$4:$S$703,Benefits!$B$4:$B$703,A679,Benefits!$F$4:$F$703,B679,Benefits!$R$4:$R$703,"revenue"),0)</f>
        <v>0</v>
      </c>
      <c r="H679" s="11" t="n">
        <f aca="false">IF(D679=1,SUMIFS(Benefits!$S$4:$S$703,Benefits!$B$4:$B$703,A679,Benefits!$F$4:$F$703,B679,Benefits!$R$4:$R$703,"avoided_cost_realised"),0)</f>
        <v>0</v>
      </c>
      <c r="I679" s="11" t="n">
        <f aca="false">IF(D679=1,SUMIFS(Benefits!$S$4:$S$703,Benefits!$B$4:$B$703,A679,Benefits!$F$4:$F$703,B679,Benefits!$R$4:$R$703,"capacity_converted"),0)</f>
        <v>0</v>
      </c>
      <c r="J679" s="11" t="n">
        <f aca="false">SUM(F679:I679)</f>
        <v>0</v>
      </c>
      <c r="K679" s="11" t="n">
        <f aca="false">J679-E679</f>
        <v>0</v>
      </c>
      <c r="L679" s="11" t="n">
        <f aca="false">IF(D679=1,L678+K679,0)</f>
        <v>-1093600</v>
      </c>
      <c r="M679" s="11" t="n">
        <f aca="false">IF(D679=1,1/(1+Controls!$B$11)^B679,0)</f>
        <v>0.841001752835699</v>
      </c>
      <c r="N679" s="11" t="n">
        <f aca="false">K679*M679</f>
        <v>0</v>
      </c>
      <c r="O679" s="11" t="n">
        <f aca="false">IF(D679=1,O678+N679,0)</f>
        <v>-1002807.00893059</v>
      </c>
      <c r="P679" s="11" t="n">
        <f aca="false">IF(AND(D679=1,L679&lt;0),1,0)</f>
        <v>1</v>
      </c>
      <c r="Q679" s="11" t="n">
        <f aca="false">IF(AND(D679=1,O679&lt;0),1,0)</f>
        <v>1</v>
      </c>
    </row>
    <row r="680" customFormat="false" ht="15" hidden="false" customHeight="false" outlineLevel="0" collapsed="false">
      <c r="A680" s="4" t="s">
        <v>101</v>
      </c>
      <c r="B680" s="4" t="n">
        <v>28</v>
      </c>
      <c r="C680" s="11" t="n">
        <f aca="false">IF(COUNTIF('Scenario inputs'!$A$4:$A$213,Controls!$B$3&amp;"|"&amp;A680)&gt;0,1,0)</f>
        <v>1</v>
      </c>
      <c r="D680" s="11" t="n">
        <f aca="false">IF(AND(C680=1,B680&lt;Controls!$B$12),1,0)</f>
        <v>1</v>
      </c>
      <c r="E680" s="11" t="n">
        <f aca="false">IF(D680=1,SUMPRODUCT((Costs!$B$4:$B$903=A680)*(Costs!$D$4:$D$903="planned")*(Costs!$J$4:$J$903&lt;=B680)*(Costs!$K$4:$K$903&gt;B680)*Costs!$E$4:$E$903),0)</f>
        <v>0</v>
      </c>
      <c r="F680" s="11" t="n">
        <f aca="false">IF(D680=1,SUMIFS(Benefits!$S$4:$S$703,Benefits!$B$4:$B$703,A680,Benefits!$F$4:$F$703,B680,Benefits!$R$4:$R$703,"cash"),0)</f>
        <v>0</v>
      </c>
      <c r="G680" s="11" t="n">
        <f aca="false">IF(D680=1,SUMIFS(Benefits!$S$4:$S$703,Benefits!$B$4:$B$703,A680,Benefits!$F$4:$F$703,B680,Benefits!$R$4:$R$703,"revenue"),0)</f>
        <v>0</v>
      </c>
      <c r="H680" s="11" t="n">
        <f aca="false">IF(D680=1,SUMIFS(Benefits!$S$4:$S$703,Benefits!$B$4:$B$703,A680,Benefits!$F$4:$F$703,B680,Benefits!$R$4:$R$703,"avoided_cost_realised"),0)</f>
        <v>0</v>
      </c>
      <c r="I680" s="11" t="n">
        <f aca="false">IF(D680=1,SUMIFS(Benefits!$S$4:$S$703,Benefits!$B$4:$B$703,A680,Benefits!$F$4:$F$703,B680,Benefits!$R$4:$R$703,"capacity_converted"),0)</f>
        <v>0</v>
      </c>
      <c r="J680" s="11" t="n">
        <f aca="false">SUM(F680:I680)</f>
        <v>0</v>
      </c>
      <c r="K680" s="11" t="n">
        <f aca="false">J680-E680</f>
        <v>0</v>
      </c>
      <c r="L680" s="11" t="n">
        <f aca="false">IF(D680=1,L679+K680,0)</f>
        <v>-1093600</v>
      </c>
      <c r="M680" s="11" t="n">
        <f aca="false">IF(D680=1,1/(1+Controls!$B$11)^B680,0)</f>
        <v>0.835625339401986</v>
      </c>
      <c r="N680" s="11" t="n">
        <f aca="false">K680*M680</f>
        <v>0</v>
      </c>
      <c r="O680" s="11" t="n">
        <f aca="false">IF(D680=1,O679+N680,0)</f>
        <v>-1002807.00893059</v>
      </c>
      <c r="P680" s="11" t="n">
        <f aca="false">IF(AND(D680=1,L680&lt;0),1,0)</f>
        <v>1</v>
      </c>
      <c r="Q680" s="11" t="n">
        <f aca="false">IF(AND(D680=1,O680&lt;0),1,0)</f>
        <v>1</v>
      </c>
    </row>
    <row r="681" customFormat="false" ht="15" hidden="false" customHeight="false" outlineLevel="0" collapsed="false">
      <c r="A681" s="4" t="s">
        <v>101</v>
      </c>
      <c r="B681" s="4" t="n">
        <v>29</v>
      </c>
      <c r="C681" s="11" t="n">
        <f aca="false">IF(COUNTIF('Scenario inputs'!$A$4:$A$213,Controls!$B$3&amp;"|"&amp;A681)&gt;0,1,0)</f>
        <v>1</v>
      </c>
      <c r="D681" s="11" t="n">
        <f aca="false">IF(AND(C681=1,B681&lt;Controls!$B$12),1,0)</f>
        <v>1</v>
      </c>
      <c r="E681" s="11" t="n">
        <f aca="false">IF(D681=1,SUMPRODUCT((Costs!$B$4:$B$903=A681)*(Costs!$D$4:$D$903="planned")*(Costs!$J$4:$J$903&lt;=B681)*(Costs!$K$4:$K$903&gt;B681)*Costs!$E$4:$E$903),0)</f>
        <v>0</v>
      </c>
      <c r="F681" s="11" t="n">
        <f aca="false">IF(D681=1,SUMIFS(Benefits!$S$4:$S$703,Benefits!$B$4:$B$703,A681,Benefits!$F$4:$F$703,B681,Benefits!$R$4:$R$703,"cash"),0)</f>
        <v>0</v>
      </c>
      <c r="G681" s="11" t="n">
        <f aca="false">IF(D681=1,SUMIFS(Benefits!$S$4:$S$703,Benefits!$B$4:$B$703,A681,Benefits!$F$4:$F$703,B681,Benefits!$R$4:$R$703,"revenue"),0)</f>
        <v>0</v>
      </c>
      <c r="H681" s="11" t="n">
        <f aca="false">IF(D681=1,SUMIFS(Benefits!$S$4:$S$703,Benefits!$B$4:$B$703,A681,Benefits!$F$4:$F$703,B681,Benefits!$R$4:$R$703,"avoided_cost_realised"),0)</f>
        <v>0</v>
      </c>
      <c r="I681" s="11" t="n">
        <f aca="false">IF(D681=1,SUMIFS(Benefits!$S$4:$S$703,Benefits!$B$4:$B$703,A681,Benefits!$F$4:$F$703,B681,Benefits!$R$4:$R$703,"capacity_converted"),0)</f>
        <v>0</v>
      </c>
      <c r="J681" s="11" t="n">
        <f aca="false">SUM(F681:I681)</f>
        <v>0</v>
      </c>
      <c r="K681" s="11" t="n">
        <f aca="false">J681-E681</f>
        <v>0</v>
      </c>
      <c r="L681" s="11" t="n">
        <f aca="false">IF(D681=1,L680+K681,0)</f>
        <v>-1093600</v>
      </c>
      <c r="M681" s="11" t="n">
        <f aca="false">IF(D681=1,1/(1+Controls!$B$11)^B681,0)</f>
        <v>0.830283296671204</v>
      </c>
      <c r="N681" s="11" t="n">
        <f aca="false">K681*M681</f>
        <v>0</v>
      </c>
      <c r="O681" s="11" t="n">
        <f aca="false">IF(D681=1,O680+N681,0)</f>
        <v>-1002807.00893059</v>
      </c>
      <c r="P681" s="11" t="n">
        <f aca="false">IF(AND(D681=1,L681&lt;0),1,0)</f>
        <v>1</v>
      </c>
      <c r="Q681" s="11" t="n">
        <f aca="false">IF(AND(D681=1,O681&lt;0),1,0)</f>
        <v>1</v>
      </c>
    </row>
    <row r="682" customFormat="false" ht="15" hidden="false" customHeight="false" outlineLevel="0" collapsed="false">
      <c r="A682" s="4" t="s">
        <v>101</v>
      </c>
      <c r="B682" s="4" t="n">
        <v>30</v>
      </c>
      <c r="C682" s="11" t="n">
        <f aca="false">IF(COUNTIF('Scenario inputs'!$A$4:$A$213,Controls!$B$3&amp;"|"&amp;A682)&gt;0,1,0)</f>
        <v>1</v>
      </c>
      <c r="D682" s="11" t="n">
        <f aca="false">IF(AND(C682=1,B682&lt;Controls!$B$12),1,0)</f>
        <v>1</v>
      </c>
      <c r="E682" s="11" t="n">
        <f aca="false">IF(D682=1,SUMPRODUCT((Costs!$B$4:$B$903=A682)*(Costs!$D$4:$D$903="planned")*(Costs!$J$4:$J$903&lt;=B682)*(Costs!$K$4:$K$903&gt;B682)*Costs!$E$4:$E$903),0)</f>
        <v>0</v>
      </c>
      <c r="F682" s="11" t="n">
        <f aca="false">IF(D682=1,SUMIFS(Benefits!$S$4:$S$703,Benefits!$B$4:$B$703,A682,Benefits!$F$4:$F$703,B682,Benefits!$R$4:$R$703,"cash"),0)</f>
        <v>0</v>
      </c>
      <c r="G682" s="11" t="n">
        <f aca="false">IF(D682=1,SUMIFS(Benefits!$S$4:$S$703,Benefits!$B$4:$B$703,A682,Benefits!$F$4:$F$703,B682,Benefits!$R$4:$R$703,"revenue"),0)</f>
        <v>0</v>
      </c>
      <c r="H682" s="11" t="n">
        <f aca="false">IF(D682=1,SUMIFS(Benefits!$S$4:$S$703,Benefits!$B$4:$B$703,A682,Benefits!$F$4:$F$703,B682,Benefits!$R$4:$R$703,"avoided_cost_realised"),0)</f>
        <v>0</v>
      </c>
      <c r="I682" s="11" t="n">
        <f aca="false">IF(D682=1,SUMIFS(Benefits!$S$4:$S$703,Benefits!$B$4:$B$703,A682,Benefits!$F$4:$F$703,B682,Benefits!$R$4:$R$703,"capacity_converted"),0)</f>
        <v>0</v>
      </c>
      <c r="J682" s="11" t="n">
        <f aca="false">SUM(F682:I682)</f>
        <v>0</v>
      </c>
      <c r="K682" s="11" t="n">
        <f aca="false">J682-E682</f>
        <v>0</v>
      </c>
      <c r="L682" s="11" t="n">
        <f aca="false">IF(D682=1,L681+K682,0)</f>
        <v>-1093600</v>
      </c>
      <c r="M682" s="11" t="n">
        <f aca="false">IF(D682=1,1/(1+Controls!$B$11)^B682,0)</f>
        <v>0.824975404915974</v>
      </c>
      <c r="N682" s="11" t="n">
        <f aca="false">K682*M682</f>
        <v>0</v>
      </c>
      <c r="O682" s="11" t="n">
        <f aca="false">IF(D682=1,O681+N682,0)</f>
        <v>-1002807.00893059</v>
      </c>
      <c r="P682" s="11" t="n">
        <f aca="false">IF(AND(D682=1,L682&lt;0),1,0)</f>
        <v>1</v>
      </c>
      <c r="Q682" s="11" t="n">
        <f aca="false">IF(AND(D682=1,O682&lt;0),1,0)</f>
        <v>1</v>
      </c>
    </row>
    <row r="683" customFormat="false" ht="15" hidden="false" customHeight="false" outlineLevel="0" collapsed="false">
      <c r="A683" s="4" t="s">
        <v>101</v>
      </c>
      <c r="B683" s="4" t="n">
        <v>31</v>
      </c>
      <c r="C683" s="11" t="n">
        <f aca="false">IF(COUNTIF('Scenario inputs'!$A$4:$A$213,Controls!$B$3&amp;"|"&amp;A683)&gt;0,1,0)</f>
        <v>1</v>
      </c>
      <c r="D683" s="11" t="n">
        <f aca="false">IF(AND(C683=1,B683&lt;Controls!$B$12),1,0)</f>
        <v>1</v>
      </c>
      <c r="E683" s="11" t="n">
        <f aca="false">IF(D683=1,SUMPRODUCT((Costs!$B$4:$B$903=A683)*(Costs!$D$4:$D$903="planned")*(Costs!$J$4:$J$903&lt;=B683)*(Costs!$K$4:$K$903&gt;B683)*Costs!$E$4:$E$903),0)</f>
        <v>0</v>
      </c>
      <c r="F683" s="11" t="n">
        <f aca="false">IF(D683=1,SUMIFS(Benefits!$S$4:$S$703,Benefits!$B$4:$B$703,A683,Benefits!$F$4:$F$703,B683,Benefits!$R$4:$R$703,"cash"),0)</f>
        <v>0</v>
      </c>
      <c r="G683" s="11" t="n">
        <f aca="false">IF(D683=1,SUMIFS(Benefits!$S$4:$S$703,Benefits!$B$4:$B$703,A683,Benefits!$F$4:$F$703,B683,Benefits!$R$4:$R$703,"revenue"),0)</f>
        <v>0</v>
      </c>
      <c r="H683" s="11" t="n">
        <f aca="false">IF(D683=1,SUMIFS(Benefits!$S$4:$S$703,Benefits!$B$4:$B$703,A683,Benefits!$F$4:$F$703,B683,Benefits!$R$4:$R$703,"avoided_cost_realised"),0)</f>
        <v>0</v>
      </c>
      <c r="I683" s="11" t="n">
        <f aca="false">IF(D683=1,SUMIFS(Benefits!$S$4:$S$703,Benefits!$B$4:$B$703,A683,Benefits!$F$4:$F$703,B683,Benefits!$R$4:$R$703,"capacity_converted"),0)</f>
        <v>0</v>
      </c>
      <c r="J683" s="11" t="n">
        <f aca="false">SUM(F683:I683)</f>
        <v>0</v>
      </c>
      <c r="K683" s="11" t="n">
        <f aca="false">J683-E683</f>
        <v>0</v>
      </c>
      <c r="L683" s="11" t="n">
        <f aca="false">IF(D683=1,L682+K683,0)</f>
        <v>-1093600</v>
      </c>
      <c r="M683" s="11" t="n">
        <f aca="false">IF(D683=1,1/(1+Controls!$B$11)^B683,0)</f>
        <v>0.81970144581361</v>
      </c>
      <c r="N683" s="11" t="n">
        <f aca="false">K683*M683</f>
        <v>0</v>
      </c>
      <c r="O683" s="11" t="n">
        <f aca="false">IF(D683=1,O682+N683,0)</f>
        <v>-1002807.00893059</v>
      </c>
      <c r="P683" s="11" t="n">
        <f aca="false">IF(AND(D683=1,L683&lt;0),1,0)</f>
        <v>1</v>
      </c>
      <c r="Q683" s="11" t="n">
        <f aca="false">IF(AND(D683=1,O683&lt;0),1,0)</f>
        <v>1</v>
      </c>
    </row>
    <row r="684" customFormat="false" ht="15" hidden="false" customHeight="false" outlineLevel="0" collapsed="false">
      <c r="A684" s="4" t="s">
        <v>101</v>
      </c>
      <c r="B684" s="4" t="n">
        <v>32</v>
      </c>
      <c r="C684" s="11" t="n">
        <f aca="false">IF(COUNTIF('Scenario inputs'!$A$4:$A$213,Controls!$B$3&amp;"|"&amp;A684)&gt;0,1,0)</f>
        <v>1</v>
      </c>
      <c r="D684" s="11" t="n">
        <f aca="false">IF(AND(C684=1,B684&lt;Controls!$B$12),1,0)</f>
        <v>1</v>
      </c>
      <c r="E684" s="11" t="n">
        <f aca="false">IF(D684=1,SUMPRODUCT((Costs!$B$4:$B$903=A684)*(Costs!$D$4:$D$903="planned")*(Costs!$J$4:$J$903&lt;=B684)*(Costs!$K$4:$K$903&gt;B684)*Costs!$E$4:$E$903),0)</f>
        <v>0</v>
      </c>
      <c r="F684" s="11" t="n">
        <f aca="false">IF(D684=1,SUMIFS(Benefits!$S$4:$S$703,Benefits!$B$4:$B$703,A684,Benefits!$F$4:$F$703,B684,Benefits!$R$4:$R$703,"cash"),0)</f>
        <v>0</v>
      </c>
      <c r="G684" s="11" t="n">
        <f aca="false">IF(D684=1,SUMIFS(Benefits!$S$4:$S$703,Benefits!$B$4:$B$703,A684,Benefits!$F$4:$F$703,B684,Benefits!$R$4:$R$703,"revenue"),0)</f>
        <v>0</v>
      </c>
      <c r="H684" s="11" t="n">
        <f aca="false">IF(D684=1,SUMIFS(Benefits!$S$4:$S$703,Benefits!$B$4:$B$703,A684,Benefits!$F$4:$F$703,B684,Benefits!$R$4:$R$703,"avoided_cost_realised"),0)</f>
        <v>0</v>
      </c>
      <c r="I684" s="11" t="n">
        <f aca="false">IF(D684=1,SUMIFS(Benefits!$S$4:$S$703,Benefits!$B$4:$B$703,A684,Benefits!$F$4:$F$703,B684,Benefits!$R$4:$R$703,"capacity_converted"),0)</f>
        <v>0</v>
      </c>
      <c r="J684" s="11" t="n">
        <f aca="false">SUM(F684:I684)</f>
        <v>0</v>
      </c>
      <c r="K684" s="11" t="n">
        <f aca="false">J684-E684</f>
        <v>0</v>
      </c>
      <c r="L684" s="11" t="n">
        <f aca="false">IF(D684=1,L683+K684,0)</f>
        <v>-1093600</v>
      </c>
      <c r="M684" s="11" t="n">
        <f aca="false">IF(D684=1,1/(1+Controls!$B$11)^B684,0)</f>
        <v>0.814461202437129</v>
      </c>
      <c r="N684" s="11" t="n">
        <f aca="false">K684*M684</f>
        <v>0</v>
      </c>
      <c r="O684" s="11" t="n">
        <f aca="false">IF(D684=1,O683+N684,0)</f>
        <v>-1002807.00893059</v>
      </c>
      <c r="P684" s="11" t="n">
        <f aca="false">IF(AND(D684=1,L684&lt;0),1,0)</f>
        <v>1</v>
      </c>
      <c r="Q684" s="11" t="n">
        <f aca="false">IF(AND(D684=1,O684&lt;0),1,0)</f>
        <v>1</v>
      </c>
    </row>
    <row r="685" customFormat="false" ht="15" hidden="false" customHeight="false" outlineLevel="0" collapsed="false">
      <c r="A685" s="4" t="s">
        <v>101</v>
      </c>
      <c r="B685" s="4" t="n">
        <v>33</v>
      </c>
      <c r="C685" s="11" t="n">
        <f aca="false">IF(COUNTIF('Scenario inputs'!$A$4:$A$213,Controls!$B$3&amp;"|"&amp;A685)&gt;0,1,0)</f>
        <v>1</v>
      </c>
      <c r="D685" s="11" t="n">
        <f aca="false">IF(AND(C685=1,B685&lt;Controls!$B$12),1,0)</f>
        <v>1</v>
      </c>
      <c r="E685" s="11" t="n">
        <f aca="false">IF(D685=1,SUMPRODUCT((Costs!$B$4:$B$903=A685)*(Costs!$D$4:$D$903="planned")*(Costs!$J$4:$J$903&lt;=B685)*(Costs!$K$4:$K$903&gt;B685)*Costs!$E$4:$E$903),0)</f>
        <v>0</v>
      </c>
      <c r="F685" s="11" t="n">
        <f aca="false">IF(D685=1,SUMIFS(Benefits!$S$4:$S$703,Benefits!$B$4:$B$703,A685,Benefits!$F$4:$F$703,B685,Benefits!$R$4:$R$703,"cash"),0)</f>
        <v>0</v>
      </c>
      <c r="G685" s="11" t="n">
        <f aca="false">IF(D685=1,SUMIFS(Benefits!$S$4:$S$703,Benefits!$B$4:$B$703,A685,Benefits!$F$4:$F$703,B685,Benefits!$R$4:$R$703,"revenue"),0)</f>
        <v>0</v>
      </c>
      <c r="H685" s="11" t="n">
        <f aca="false">IF(D685=1,SUMIFS(Benefits!$S$4:$S$703,Benefits!$B$4:$B$703,A685,Benefits!$F$4:$F$703,B685,Benefits!$R$4:$R$703,"avoided_cost_realised"),0)</f>
        <v>0</v>
      </c>
      <c r="I685" s="11" t="n">
        <f aca="false">IF(D685=1,SUMIFS(Benefits!$S$4:$S$703,Benefits!$B$4:$B$703,A685,Benefits!$F$4:$F$703,B685,Benefits!$R$4:$R$703,"capacity_converted"),0)</f>
        <v>0</v>
      </c>
      <c r="J685" s="11" t="n">
        <f aca="false">SUM(F685:I685)</f>
        <v>0</v>
      </c>
      <c r="K685" s="11" t="n">
        <f aca="false">J685-E685</f>
        <v>0</v>
      </c>
      <c r="L685" s="11" t="n">
        <f aca="false">IF(D685=1,L684+K685,0)</f>
        <v>-1093600</v>
      </c>
      <c r="M685" s="11" t="n">
        <f aca="false">IF(D685=1,1/(1+Controls!$B$11)^B685,0)</f>
        <v>0.809254459246338</v>
      </c>
      <c r="N685" s="11" t="n">
        <f aca="false">K685*M685</f>
        <v>0</v>
      </c>
      <c r="O685" s="11" t="n">
        <f aca="false">IF(D685=1,O684+N685,0)</f>
        <v>-1002807.00893059</v>
      </c>
      <c r="P685" s="11" t="n">
        <f aca="false">IF(AND(D685=1,L685&lt;0),1,0)</f>
        <v>1</v>
      </c>
      <c r="Q685" s="11" t="n">
        <f aca="false">IF(AND(D685=1,O685&lt;0),1,0)</f>
        <v>1</v>
      </c>
    </row>
    <row r="686" customFormat="false" ht="15" hidden="false" customHeight="false" outlineLevel="0" collapsed="false">
      <c r="A686" s="4" t="s">
        <v>101</v>
      </c>
      <c r="B686" s="4" t="n">
        <v>34</v>
      </c>
      <c r="C686" s="11" t="n">
        <f aca="false">IF(COUNTIF('Scenario inputs'!$A$4:$A$213,Controls!$B$3&amp;"|"&amp;A686)&gt;0,1,0)</f>
        <v>1</v>
      </c>
      <c r="D686" s="11" t="n">
        <f aca="false">IF(AND(C686=1,B686&lt;Controls!$B$12),1,0)</f>
        <v>1</v>
      </c>
      <c r="E686" s="11" t="n">
        <f aca="false">IF(D686=1,SUMPRODUCT((Costs!$B$4:$B$903=A686)*(Costs!$D$4:$D$903="planned")*(Costs!$J$4:$J$903&lt;=B686)*(Costs!$K$4:$K$903&gt;B686)*Costs!$E$4:$E$903),0)</f>
        <v>0</v>
      </c>
      <c r="F686" s="11" t="n">
        <f aca="false">IF(D686=1,SUMIFS(Benefits!$S$4:$S$703,Benefits!$B$4:$B$703,A686,Benefits!$F$4:$F$703,B686,Benefits!$R$4:$R$703,"cash"),0)</f>
        <v>0</v>
      </c>
      <c r="G686" s="11" t="n">
        <f aca="false">IF(D686=1,SUMIFS(Benefits!$S$4:$S$703,Benefits!$B$4:$B$703,A686,Benefits!$F$4:$F$703,B686,Benefits!$R$4:$R$703,"revenue"),0)</f>
        <v>0</v>
      </c>
      <c r="H686" s="11" t="n">
        <f aca="false">IF(D686=1,SUMIFS(Benefits!$S$4:$S$703,Benefits!$B$4:$B$703,A686,Benefits!$F$4:$F$703,B686,Benefits!$R$4:$R$703,"avoided_cost_realised"),0)</f>
        <v>0</v>
      </c>
      <c r="I686" s="11" t="n">
        <f aca="false">IF(D686=1,SUMIFS(Benefits!$S$4:$S$703,Benefits!$B$4:$B$703,A686,Benefits!$F$4:$F$703,B686,Benefits!$R$4:$R$703,"capacity_converted"),0)</f>
        <v>0</v>
      </c>
      <c r="J686" s="11" t="n">
        <f aca="false">SUM(F686:I686)</f>
        <v>0</v>
      </c>
      <c r="K686" s="11" t="n">
        <f aca="false">J686-E686</f>
        <v>0</v>
      </c>
      <c r="L686" s="11" t="n">
        <f aca="false">IF(D686=1,L685+K686,0)</f>
        <v>-1093600</v>
      </c>
      <c r="M686" s="11" t="n">
        <f aca="false">IF(D686=1,1/(1+Controls!$B$11)^B686,0)</f>
        <v>0.804081002078962</v>
      </c>
      <c r="N686" s="11" t="n">
        <f aca="false">K686*M686</f>
        <v>0</v>
      </c>
      <c r="O686" s="11" t="n">
        <f aca="false">IF(D686=1,O685+N686,0)</f>
        <v>-1002807.00893059</v>
      </c>
      <c r="P686" s="11" t="n">
        <f aca="false">IF(AND(D686=1,L686&lt;0),1,0)</f>
        <v>1</v>
      </c>
      <c r="Q686" s="11" t="n">
        <f aca="false">IF(AND(D686=1,O686&lt;0),1,0)</f>
        <v>1</v>
      </c>
    </row>
    <row r="687" customFormat="false" ht="15" hidden="false" customHeight="false" outlineLevel="0" collapsed="false">
      <c r="A687" s="4" t="s">
        <v>101</v>
      </c>
      <c r="B687" s="4" t="n">
        <v>35</v>
      </c>
      <c r="C687" s="11" t="n">
        <f aca="false">IF(COUNTIF('Scenario inputs'!$A$4:$A$213,Controls!$B$3&amp;"|"&amp;A687)&gt;0,1,0)</f>
        <v>1</v>
      </c>
      <c r="D687" s="11" t="n">
        <f aca="false">IF(AND(C687=1,B687&lt;Controls!$B$12),1,0)</f>
        <v>1</v>
      </c>
      <c r="E687" s="11" t="n">
        <f aca="false">IF(D687=1,SUMPRODUCT((Costs!$B$4:$B$903=A687)*(Costs!$D$4:$D$903="planned")*(Costs!$J$4:$J$903&lt;=B687)*(Costs!$K$4:$K$903&gt;B687)*Costs!$E$4:$E$903),0)</f>
        <v>0</v>
      </c>
      <c r="F687" s="11" t="n">
        <f aca="false">IF(D687=1,SUMIFS(Benefits!$S$4:$S$703,Benefits!$B$4:$B$703,A687,Benefits!$F$4:$F$703,B687,Benefits!$R$4:$R$703,"cash"),0)</f>
        <v>0</v>
      </c>
      <c r="G687" s="11" t="n">
        <f aca="false">IF(D687=1,SUMIFS(Benefits!$S$4:$S$703,Benefits!$B$4:$B$703,A687,Benefits!$F$4:$F$703,B687,Benefits!$R$4:$R$703,"revenue"),0)</f>
        <v>0</v>
      </c>
      <c r="H687" s="11" t="n">
        <f aca="false">IF(D687=1,SUMIFS(Benefits!$S$4:$S$703,Benefits!$B$4:$B$703,A687,Benefits!$F$4:$F$703,B687,Benefits!$R$4:$R$703,"avoided_cost_realised"),0)</f>
        <v>0</v>
      </c>
      <c r="I687" s="11" t="n">
        <f aca="false">IF(D687=1,SUMIFS(Benefits!$S$4:$S$703,Benefits!$B$4:$B$703,A687,Benefits!$F$4:$F$703,B687,Benefits!$R$4:$R$703,"capacity_converted"),0)</f>
        <v>0</v>
      </c>
      <c r="J687" s="11" t="n">
        <f aca="false">SUM(F687:I687)</f>
        <v>0</v>
      </c>
      <c r="K687" s="11" t="n">
        <f aca="false">J687-E687</f>
        <v>0</v>
      </c>
      <c r="L687" s="11" t="n">
        <f aca="false">IF(D687=1,L686+K687,0)</f>
        <v>-1093600</v>
      </c>
      <c r="M687" s="11" t="n">
        <f aca="false">IF(D687=1,1/(1+Controls!$B$11)^B687,0)</f>
        <v>0.798940618141837</v>
      </c>
      <c r="N687" s="11" t="n">
        <f aca="false">K687*M687</f>
        <v>0</v>
      </c>
      <c r="O687" s="11" t="n">
        <f aca="false">IF(D687=1,O686+N687,0)</f>
        <v>-1002807.00893059</v>
      </c>
      <c r="P687" s="11" t="n">
        <f aca="false">IF(AND(D687=1,L687&lt;0),1,0)</f>
        <v>1</v>
      </c>
      <c r="Q687" s="11" t="n">
        <f aca="false">IF(AND(D687=1,O687&lt;0),1,0)</f>
        <v>1</v>
      </c>
    </row>
    <row r="688" customFormat="false" ht="15" hidden="false" customHeight="false" outlineLevel="0" collapsed="false">
      <c r="A688" s="4" t="s">
        <v>102</v>
      </c>
      <c r="B688" s="4" t="n">
        <v>0</v>
      </c>
      <c r="C688" s="11" t="n">
        <f aca="false">IF(COUNTIF('Scenario inputs'!$A$4:$A$213,Controls!$B$3&amp;"|"&amp;A688)&gt;0,1,0)</f>
        <v>1</v>
      </c>
      <c r="D688" s="11" t="n">
        <f aca="false">IF(AND(C688=1,B688&lt;Controls!$B$12),1,0)</f>
        <v>1</v>
      </c>
      <c r="E688" s="11" t="n">
        <f aca="false">IF(D688=1,SUMPRODUCT((Costs!$B$4:$B$903=A688)*(Costs!$D$4:$D$903="planned")*(Costs!$J$4:$J$903&lt;=B688)*(Costs!$K$4:$K$903&gt;B688)*Costs!$E$4:$E$903),0)</f>
        <v>14000</v>
      </c>
      <c r="F688" s="11" t="n">
        <f aca="false">IF(D688=1,SUMIFS(Benefits!$S$4:$S$703,Benefits!$B$4:$B$703,A688,Benefits!$F$4:$F$703,B688,Benefits!$R$4:$R$703,"cash"),0)</f>
        <v>0</v>
      </c>
      <c r="G688" s="11" t="n">
        <f aca="false">IF(D688=1,SUMIFS(Benefits!$S$4:$S$703,Benefits!$B$4:$B$703,A688,Benefits!$F$4:$F$703,B688,Benefits!$R$4:$R$703,"revenue"),0)</f>
        <v>0</v>
      </c>
      <c r="H688" s="11" t="n">
        <f aca="false">IF(D688=1,SUMIFS(Benefits!$S$4:$S$703,Benefits!$B$4:$B$703,A688,Benefits!$F$4:$F$703,B688,Benefits!$R$4:$R$703,"avoided_cost_realised"),0)</f>
        <v>0</v>
      </c>
      <c r="I688" s="11" t="n">
        <f aca="false">IF(D688=1,SUMIFS(Benefits!$S$4:$S$703,Benefits!$B$4:$B$703,A688,Benefits!$F$4:$F$703,B688,Benefits!$R$4:$R$703,"capacity_converted"),0)</f>
        <v>0</v>
      </c>
      <c r="J688" s="11" t="n">
        <f aca="false">SUM(F688:I688)</f>
        <v>0</v>
      </c>
      <c r="K688" s="11" t="n">
        <f aca="false">J688-E688</f>
        <v>-14000</v>
      </c>
      <c r="L688" s="11" t="n">
        <f aca="false">IF(D688=1,K688,0)</f>
        <v>-14000</v>
      </c>
      <c r="M688" s="11" t="n">
        <f aca="false">IF(D688=1,1/(1+Controls!$B$11)^B688,0)</f>
        <v>1</v>
      </c>
      <c r="N688" s="11" t="n">
        <f aca="false">K688*M688</f>
        <v>-14000</v>
      </c>
      <c r="O688" s="11" t="n">
        <f aca="false">IF(D688=1,N688,0)</f>
        <v>-14000</v>
      </c>
      <c r="P688" s="11" t="n">
        <f aca="false">IF(AND(D688=1,L688&lt;0),1,0)</f>
        <v>1</v>
      </c>
      <c r="Q688" s="11" t="n">
        <f aca="false">IF(AND(D688=1,O688&lt;0),1,0)</f>
        <v>1</v>
      </c>
    </row>
    <row r="689" customFormat="false" ht="15" hidden="false" customHeight="false" outlineLevel="0" collapsed="false">
      <c r="A689" s="4" t="s">
        <v>102</v>
      </c>
      <c r="B689" s="4" t="n">
        <v>1</v>
      </c>
      <c r="C689" s="11" t="n">
        <f aca="false">IF(COUNTIF('Scenario inputs'!$A$4:$A$213,Controls!$B$3&amp;"|"&amp;A689)&gt;0,1,0)</f>
        <v>1</v>
      </c>
      <c r="D689" s="11" t="n">
        <f aca="false">IF(AND(C689=1,B689&lt;Controls!$B$12),1,0)</f>
        <v>1</v>
      </c>
      <c r="E689" s="11" t="n">
        <f aca="false">IF(D689=1,SUMPRODUCT((Costs!$B$4:$B$903=A689)*(Costs!$D$4:$D$903="planned")*(Costs!$J$4:$J$903&lt;=B689)*(Costs!$K$4:$K$903&gt;B689)*Costs!$E$4:$E$903),0)</f>
        <v>0</v>
      </c>
      <c r="F689" s="11" t="n">
        <f aca="false">IF(D689=1,SUMIFS(Benefits!$S$4:$S$703,Benefits!$B$4:$B$703,A689,Benefits!$F$4:$F$703,B689,Benefits!$R$4:$R$703,"cash"),0)</f>
        <v>0</v>
      </c>
      <c r="G689" s="11" t="n">
        <f aca="false">IF(D689=1,SUMIFS(Benefits!$S$4:$S$703,Benefits!$B$4:$B$703,A689,Benefits!$F$4:$F$703,B689,Benefits!$R$4:$R$703,"revenue"),0)</f>
        <v>0</v>
      </c>
      <c r="H689" s="11" t="n">
        <f aca="false">IF(D689=1,SUMIFS(Benefits!$S$4:$S$703,Benefits!$B$4:$B$703,A689,Benefits!$F$4:$F$703,B689,Benefits!$R$4:$R$703,"avoided_cost_realised"),0)</f>
        <v>0</v>
      </c>
      <c r="I689" s="11" t="n">
        <f aca="false">IF(D689=1,SUMIFS(Benefits!$S$4:$S$703,Benefits!$B$4:$B$703,A689,Benefits!$F$4:$F$703,B689,Benefits!$R$4:$R$703,"capacity_converted"),0)</f>
        <v>0</v>
      </c>
      <c r="J689" s="11" t="n">
        <f aca="false">SUM(F689:I689)</f>
        <v>0</v>
      </c>
      <c r="K689" s="11" t="n">
        <f aca="false">J689-E689</f>
        <v>0</v>
      </c>
      <c r="L689" s="11" t="n">
        <f aca="false">IF(D689=1,L688+K689,0)</f>
        <v>-14000</v>
      </c>
      <c r="M689" s="11" t="n">
        <f aca="false">IF(D689=1,1/(1+Controls!$B$11)^B689,0)</f>
        <v>0.993607131714549</v>
      </c>
      <c r="N689" s="11" t="n">
        <f aca="false">K689*M689</f>
        <v>0</v>
      </c>
      <c r="O689" s="11" t="n">
        <f aca="false">IF(D689=1,O688+N689,0)</f>
        <v>-14000</v>
      </c>
      <c r="P689" s="11" t="n">
        <f aca="false">IF(AND(D689=1,L689&lt;0),1,0)</f>
        <v>1</v>
      </c>
      <c r="Q689" s="11" t="n">
        <f aca="false">IF(AND(D689=1,O689&lt;0),1,0)</f>
        <v>1</v>
      </c>
    </row>
    <row r="690" customFormat="false" ht="15" hidden="false" customHeight="false" outlineLevel="0" collapsed="false">
      <c r="A690" s="4" t="s">
        <v>102</v>
      </c>
      <c r="B690" s="4" t="n">
        <v>2</v>
      </c>
      <c r="C690" s="11" t="n">
        <f aca="false">IF(COUNTIF('Scenario inputs'!$A$4:$A$213,Controls!$B$3&amp;"|"&amp;A690)&gt;0,1,0)</f>
        <v>1</v>
      </c>
      <c r="D690" s="11" t="n">
        <f aca="false">IF(AND(C690=1,B690&lt;Controls!$B$12),1,0)</f>
        <v>1</v>
      </c>
      <c r="E690" s="11" t="n">
        <f aca="false">IF(D690=1,SUMPRODUCT((Costs!$B$4:$B$903=A690)*(Costs!$D$4:$D$903="planned")*(Costs!$J$4:$J$903&lt;=B690)*(Costs!$K$4:$K$903&gt;B690)*Costs!$E$4:$E$903),0)</f>
        <v>0</v>
      </c>
      <c r="F690" s="11" t="n">
        <f aca="false">IF(D690=1,SUMIFS(Benefits!$S$4:$S$703,Benefits!$B$4:$B$703,A690,Benefits!$F$4:$F$703,B690,Benefits!$R$4:$R$703,"cash"),0)</f>
        <v>0</v>
      </c>
      <c r="G690" s="11" t="n">
        <f aca="false">IF(D690=1,SUMIFS(Benefits!$S$4:$S$703,Benefits!$B$4:$B$703,A690,Benefits!$F$4:$F$703,B690,Benefits!$R$4:$R$703,"revenue"),0)</f>
        <v>0</v>
      </c>
      <c r="H690" s="11" t="n">
        <f aca="false">IF(D690=1,SUMIFS(Benefits!$S$4:$S$703,Benefits!$B$4:$B$703,A690,Benefits!$F$4:$F$703,B690,Benefits!$R$4:$R$703,"avoided_cost_realised"),0)</f>
        <v>0</v>
      </c>
      <c r="I690" s="11" t="n">
        <f aca="false">IF(D690=1,SUMIFS(Benefits!$S$4:$S$703,Benefits!$B$4:$B$703,A690,Benefits!$F$4:$F$703,B690,Benefits!$R$4:$R$703,"capacity_converted"),0)</f>
        <v>0</v>
      </c>
      <c r="J690" s="11" t="n">
        <f aca="false">SUM(F690:I690)</f>
        <v>0</v>
      </c>
      <c r="K690" s="11" t="n">
        <f aca="false">J690-E690</f>
        <v>0</v>
      </c>
      <c r="L690" s="11" t="n">
        <f aca="false">IF(D690=1,L689+K690,0)</f>
        <v>-14000</v>
      </c>
      <c r="M690" s="11" t="n">
        <f aca="false">IF(D690=1,1/(1+Controls!$B$11)^B690,0)</f>
        <v>0.987255132194012</v>
      </c>
      <c r="N690" s="11" t="n">
        <f aca="false">K690*M690</f>
        <v>0</v>
      </c>
      <c r="O690" s="11" t="n">
        <f aca="false">IF(D690=1,O689+N690,0)</f>
        <v>-14000</v>
      </c>
      <c r="P690" s="11" t="n">
        <f aca="false">IF(AND(D690=1,L690&lt;0),1,0)</f>
        <v>1</v>
      </c>
      <c r="Q690" s="11" t="n">
        <f aca="false">IF(AND(D690=1,O690&lt;0),1,0)</f>
        <v>1</v>
      </c>
    </row>
    <row r="691" customFormat="false" ht="15" hidden="false" customHeight="false" outlineLevel="0" collapsed="false">
      <c r="A691" s="4" t="s">
        <v>102</v>
      </c>
      <c r="B691" s="4" t="n">
        <v>3</v>
      </c>
      <c r="C691" s="11" t="n">
        <f aca="false">IF(COUNTIF('Scenario inputs'!$A$4:$A$213,Controls!$B$3&amp;"|"&amp;A691)&gt;0,1,0)</f>
        <v>1</v>
      </c>
      <c r="D691" s="11" t="n">
        <f aca="false">IF(AND(C691=1,B691&lt;Controls!$B$12),1,0)</f>
        <v>1</v>
      </c>
      <c r="E691" s="11" t="n">
        <f aca="false">IF(D691=1,SUMPRODUCT((Costs!$B$4:$B$903=A691)*(Costs!$D$4:$D$903="planned")*(Costs!$J$4:$J$903&lt;=B691)*(Costs!$K$4:$K$903&gt;B691)*Costs!$E$4:$E$903),0)</f>
        <v>0</v>
      </c>
      <c r="F691" s="11" t="n">
        <f aca="false">IF(D691=1,SUMIFS(Benefits!$S$4:$S$703,Benefits!$B$4:$B$703,A691,Benefits!$F$4:$F$703,B691,Benefits!$R$4:$R$703,"cash"),0)</f>
        <v>0</v>
      </c>
      <c r="G691" s="11" t="n">
        <f aca="false">IF(D691=1,SUMIFS(Benefits!$S$4:$S$703,Benefits!$B$4:$B$703,A691,Benefits!$F$4:$F$703,B691,Benefits!$R$4:$R$703,"revenue"),0)</f>
        <v>0</v>
      </c>
      <c r="H691" s="11" t="n">
        <f aca="false">IF(D691=1,SUMIFS(Benefits!$S$4:$S$703,Benefits!$B$4:$B$703,A691,Benefits!$F$4:$F$703,B691,Benefits!$R$4:$R$703,"avoided_cost_realised"),0)</f>
        <v>0</v>
      </c>
      <c r="I691" s="11" t="n">
        <f aca="false">IF(D691=1,SUMIFS(Benefits!$S$4:$S$703,Benefits!$B$4:$B$703,A691,Benefits!$F$4:$F$703,B691,Benefits!$R$4:$R$703,"capacity_converted"),0)</f>
        <v>0</v>
      </c>
      <c r="J691" s="11" t="n">
        <f aca="false">SUM(F691:I691)</f>
        <v>0</v>
      </c>
      <c r="K691" s="11" t="n">
        <f aca="false">J691-E691</f>
        <v>0</v>
      </c>
      <c r="L691" s="11" t="n">
        <f aca="false">IF(D691=1,L690+K691,0)</f>
        <v>-14000</v>
      </c>
      <c r="M691" s="11" t="n">
        <f aca="false">IF(D691=1,1/(1+Controls!$B$11)^B691,0)</f>
        <v>0.98094374016976</v>
      </c>
      <c r="N691" s="11" t="n">
        <f aca="false">K691*M691</f>
        <v>0</v>
      </c>
      <c r="O691" s="11" t="n">
        <f aca="false">IF(D691=1,O690+N691,0)</f>
        <v>-14000</v>
      </c>
      <c r="P691" s="11" t="n">
        <f aca="false">IF(AND(D691=1,L691&lt;0),1,0)</f>
        <v>1</v>
      </c>
      <c r="Q691" s="11" t="n">
        <f aca="false">IF(AND(D691=1,O691&lt;0),1,0)</f>
        <v>1</v>
      </c>
    </row>
    <row r="692" customFormat="false" ht="15" hidden="false" customHeight="false" outlineLevel="0" collapsed="false">
      <c r="A692" s="4" t="s">
        <v>102</v>
      </c>
      <c r="B692" s="4" t="n">
        <v>4</v>
      </c>
      <c r="C692" s="11" t="n">
        <f aca="false">IF(COUNTIF('Scenario inputs'!$A$4:$A$213,Controls!$B$3&amp;"|"&amp;A692)&gt;0,1,0)</f>
        <v>1</v>
      </c>
      <c r="D692" s="11" t="n">
        <f aca="false">IF(AND(C692=1,B692&lt;Controls!$B$12),1,0)</f>
        <v>1</v>
      </c>
      <c r="E692" s="11" t="n">
        <f aca="false">IF(D692=1,SUMPRODUCT((Costs!$B$4:$B$903=A692)*(Costs!$D$4:$D$903="planned")*(Costs!$J$4:$J$903&lt;=B692)*(Costs!$K$4:$K$903&gt;B692)*Costs!$E$4:$E$903),0)</f>
        <v>0</v>
      </c>
      <c r="F692" s="11" t="n">
        <f aca="false">IF(D692=1,SUMIFS(Benefits!$S$4:$S$703,Benefits!$B$4:$B$703,A692,Benefits!$F$4:$F$703,B692,Benefits!$R$4:$R$703,"cash"),0)</f>
        <v>0</v>
      </c>
      <c r="G692" s="11" t="n">
        <f aca="false">IF(D692=1,SUMIFS(Benefits!$S$4:$S$703,Benefits!$B$4:$B$703,A692,Benefits!$F$4:$F$703,B692,Benefits!$R$4:$R$703,"revenue"),0)</f>
        <v>0</v>
      </c>
      <c r="H692" s="11" t="n">
        <f aca="false">IF(D692=1,SUMIFS(Benefits!$S$4:$S$703,Benefits!$B$4:$B$703,A692,Benefits!$F$4:$F$703,B692,Benefits!$R$4:$R$703,"avoided_cost_realised"),0)</f>
        <v>0</v>
      </c>
      <c r="I692" s="11" t="n">
        <f aca="false">IF(D692=1,SUMIFS(Benefits!$S$4:$S$703,Benefits!$B$4:$B$703,A692,Benefits!$F$4:$F$703,B692,Benefits!$R$4:$R$703,"capacity_converted"),0)</f>
        <v>0</v>
      </c>
      <c r="J692" s="11" t="n">
        <f aca="false">SUM(F692:I692)</f>
        <v>0</v>
      </c>
      <c r="K692" s="11" t="n">
        <f aca="false">J692-E692</f>
        <v>0</v>
      </c>
      <c r="L692" s="11" t="n">
        <f aca="false">IF(D692=1,L691+K692,0)</f>
        <v>-14000</v>
      </c>
      <c r="M692" s="11" t="n">
        <f aca="false">IF(D692=1,1/(1+Controls!$B$11)^B692,0)</f>
        <v>0.974672696043417</v>
      </c>
      <c r="N692" s="11" t="n">
        <f aca="false">K692*M692</f>
        <v>0</v>
      </c>
      <c r="O692" s="11" t="n">
        <f aca="false">IF(D692=1,O691+N692,0)</f>
        <v>-14000</v>
      </c>
      <c r="P692" s="11" t="n">
        <f aca="false">IF(AND(D692=1,L692&lt;0),1,0)</f>
        <v>1</v>
      </c>
      <c r="Q692" s="11" t="n">
        <f aca="false">IF(AND(D692=1,O692&lt;0),1,0)</f>
        <v>1</v>
      </c>
    </row>
    <row r="693" customFormat="false" ht="15" hidden="false" customHeight="false" outlineLevel="0" collapsed="false">
      <c r="A693" s="4" t="s">
        <v>102</v>
      </c>
      <c r="B693" s="4" t="n">
        <v>5</v>
      </c>
      <c r="C693" s="11" t="n">
        <f aca="false">IF(COUNTIF('Scenario inputs'!$A$4:$A$213,Controls!$B$3&amp;"|"&amp;A693)&gt;0,1,0)</f>
        <v>1</v>
      </c>
      <c r="D693" s="11" t="n">
        <f aca="false">IF(AND(C693=1,B693&lt;Controls!$B$12),1,0)</f>
        <v>1</v>
      </c>
      <c r="E693" s="11" t="n">
        <f aca="false">IF(D693=1,SUMPRODUCT((Costs!$B$4:$B$903=A693)*(Costs!$D$4:$D$903="planned")*(Costs!$J$4:$J$903&lt;=B693)*(Costs!$K$4:$K$903&gt;B693)*Costs!$E$4:$E$903),0)</f>
        <v>0</v>
      </c>
      <c r="F693" s="11" t="n">
        <f aca="false">IF(D693=1,SUMIFS(Benefits!$S$4:$S$703,Benefits!$B$4:$B$703,A693,Benefits!$F$4:$F$703,B693,Benefits!$R$4:$R$703,"cash"),0)</f>
        <v>0</v>
      </c>
      <c r="G693" s="11" t="n">
        <f aca="false">IF(D693=1,SUMIFS(Benefits!$S$4:$S$703,Benefits!$B$4:$B$703,A693,Benefits!$F$4:$F$703,B693,Benefits!$R$4:$R$703,"revenue"),0)</f>
        <v>0</v>
      </c>
      <c r="H693" s="11" t="n">
        <f aca="false">IF(D693=1,SUMIFS(Benefits!$S$4:$S$703,Benefits!$B$4:$B$703,A693,Benefits!$F$4:$F$703,B693,Benefits!$R$4:$R$703,"avoided_cost_realised"),0)</f>
        <v>0</v>
      </c>
      <c r="I693" s="11" t="n">
        <f aca="false">IF(D693=1,SUMIFS(Benefits!$S$4:$S$703,Benefits!$B$4:$B$703,A693,Benefits!$F$4:$F$703,B693,Benefits!$R$4:$R$703,"capacity_converted"),0)</f>
        <v>0</v>
      </c>
      <c r="J693" s="11" t="n">
        <f aca="false">SUM(F693:I693)</f>
        <v>0</v>
      </c>
      <c r="K693" s="11" t="n">
        <f aca="false">J693-E693</f>
        <v>0</v>
      </c>
      <c r="L693" s="11" t="n">
        <f aca="false">IF(D693=1,L692+K693,0)</f>
        <v>-14000</v>
      </c>
      <c r="M693" s="11" t="n">
        <f aca="false">IF(D693=1,1/(1+Controls!$B$11)^B693,0)</f>
        <v>0.968441741876185</v>
      </c>
      <c r="N693" s="11" t="n">
        <f aca="false">K693*M693</f>
        <v>0</v>
      </c>
      <c r="O693" s="11" t="n">
        <f aca="false">IF(D693=1,O692+N693,0)</f>
        <v>-14000</v>
      </c>
      <c r="P693" s="11" t="n">
        <f aca="false">IF(AND(D693=1,L693&lt;0),1,0)</f>
        <v>1</v>
      </c>
      <c r="Q693" s="11" t="n">
        <f aca="false">IF(AND(D693=1,O693&lt;0),1,0)</f>
        <v>1</v>
      </c>
    </row>
    <row r="694" customFormat="false" ht="15" hidden="false" customHeight="false" outlineLevel="0" collapsed="false">
      <c r="A694" s="4" t="s">
        <v>102</v>
      </c>
      <c r="B694" s="4" t="n">
        <v>6</v>
      </c>
      <c r="C694" s="11" t="n">
        <f aca="false">IF(COUNTIF('Scenario inputs'!$A$4:$A$213,Controls!$B$3&amp;"|"&amp;A694)&gt;0,1,0)</f>
        <v>1</v>
      </c>
      <c r="D694" s="11" t="n">
        <f aca="false">IF(AND(C694=1,B694&lt;Controls!$B$12),1,0)</f>
        <v>1</v>
      </c>
      <c r="E694" s="11" t="n">
        <f aca="false">IF(D694=1,SUMPRODUCT((Costs!$B$4:$B$903=A694)*(Costs!$D$4:$D$903="planned")*(Costs!$J$4:$J$903&lt;=B694)*(Costs!$K$4:$K$903&gt;B694)*Costs!$E$4:$E$903),0)</f>
        <v>0</v>
      </c>
      <c r="F694" s="11" t="n">
        <f aca="false">IF(D694=1,SUMIFS(Benefits!$S$4:$S$703,Benefits!$B$4:$B$703,A694,Benefits!$F$4:$F$703,B694,Benefits!$R$4:$R$703,"cash"),0)</f>
        <v>0</v>
      </c>
      <c r="G694" s="11" t="n">
        <f aca="false">IF(D694=1,SUMIFS(Benefits!$S$4:$S$703,Benefits!$B$4:$B$703,A694,Benefits!$F$4:$F$703,B694,Benefits!$R$4:$R$703,"revenue"),0)</f>
        <v>0</v>
      </c>
      <c r="H694" s="11" t="n">
        <f aca="false">IF(D694=1,SUMIFS(Benefits!$S$4:$S$703,Benefits!$B$4:$B$703,A694,Benefits!$F$4:$F$703,B694,Benefits!$R$4:$R$703,"avoided_cost_realised"),0)</f>
        <v>0</v>
      </c>
      <c r="I694" s="11" t="n">
        <f aca="false">IF(D694=1,SUMIFS(Benefits!$S$4:$S$703,Benefits!$B$4:$B$703,A694,Benefits!$F$4:$F$703,B694,Benefits!$R$4:$R$703,"capacity_converted"),0)</f>
        <v>0</v>
      </c>
      <c r="J694" s="11" t="n">
        <f aca="false">SUM(F694:I694)</f>
        <v>0</v>
      </c>
      <c r="K694" s="11" t="n">
        <f aca="false">J694-E694</f>
        <v>0</v>
      </c>
      <c r="L694" s="11" t="n">
        <f aca="false">IF(D694=1,L693+K694,0)</f>
        <v>-14000</v>
      </c>
      <c r="M694" s="11" t="n">
        <f aca="false">IF(D694=1,1/(1+Controls!$B$11)^B694,0)</f>
        <v>0.962250621378238</v>
      </c>
      <c r="N694" s="11" t="n">
        <f aca="false">K694*M694</f>
        <v>0</v>
      </c>
      <c r="O694" s="11" t="n">
        <f aca="false">IF(D694=1,O693+N694,0)</f>
        <v>-14000</v>
      </c>
      <c r="P694" s="11" t="n">
        <f aca="false">IF(AND(D694=1,L694&lt;0),1,0)</f>
        <v>1</v>
      </c>
      <c r="Q694" s="11" t="n">
        <f aca="false">IF(AND(D694=1,O694&lt;0),1,0)</f>
        <v>1</v>
      </c>
    </row>
    <row r="695" customFormat="false" ht="15" hidden="false" customHeight="false" outlineLevel="0" collapsed="false">
      <c r="A695" s="4" t="s">
        <v>102</v>
      </c>
      <c r="B695" s="4" t="n">
        <v>7</v>
      </c>
      <c r="C695" s="11" t="n">
        <f aca="false">IF(COUNTIF('Scenario inputs'!$A$4:$A$213,Controls!$B$3&amp;"|"&amp;A695)&gt;0,1,0)</f>
        <v>1</v>
      </c>
      <c r="D695" s="11" t="n">
        <f aca="false">IF(AND(C695=1,B695&lt;Controls!$B$12),1,0)</f>
        <v>1</v>
      </c>
      <c r="E695" s="11" t="n">
        <f aca="false">IF(D695=1,SUMPRODUCT((Costs!$B$4:$B$903=A695)*(Costs!$D$4:$D$903="planned")*(Costs!$J$4:$J$903&lt;=B695)*(Costs!$K$4:$K$903&gt;B695)*Costs!$E$4:$E$903),0)</f>
        <v>0</v>
      </c>
      <c r="F695" s="11" t="n">
        <f aca="false">IF(D695=1,SUMIFS(Benefits!$S$4:$S$703,Benefits!$B$4:$B$703,A695,Benefits!$F$4:$F$703,B695,Benefits!$R$4:$R$703,"cash"),0)</f>
        <v>0</v>
      </c>
      <c r="G695" s="11" t="n">
        <f aca="false">IF(D695=1,SUMIFS(Benefits!$S$4:$S$703,Benefits!$B$4:$B$703,A695,Benefits!$F$4:$F$703,B695,Benefits!$R$4:$R$703,"revenue"),0)</f>
        <v>0</v>
      </c>
      <c r="H695" s="11" t="n">
        <f aca="false">IF(D695=1,SUMIFS(Benefits!$S$4:$S$703,Benefits!$B$4:$B$703,A695,Benefits!$F$4:$F$703,B695,Benefits!$R$4:$R$703,"avoided_cost_realised"),0)</f>
        <v>0</v>
      </c>
      <c r="I695" s="11" t="n">
        <f aca="false">IF(D695=1,SUMIFS(Benefits!$S$4:$S$703,Benefits!$B$4:$B$703,A695,Benefits!$F$4:$F$703,B695,Benefits!$R$4:$R$703,"capacity_converted"),0)</f>
        <v>0</v>
      </c>
      <c r="J695" s="11" t="n">
        <f aca="false">SUM(F695:I695)</f>
        <v>0</v>
      </c>
      <c r="K695" s="11" t="n">
        <f aca="false">J695-E695</f>
        <v>0</v>
      </c>
      <c r="L695" s="11" t="n">
        <f aca="false">IF(D695=1,L694+K695,0)</f>
        <v>-14000</v>
      </c>
      <c r="M695" s="11" t="n">
        <f aca="false">IF(D695=1,1/(1+Controls!$B$11)^B695,0)</f>
        <v>0.956099079898173</v>
      </c>
      <c r="N695" s="11" t="n">
        <f aca="false">K695*M695</f>
        <v>0</v>
      </c>
      <c r="O695" s="11" t="n">
        <f aca="false">IF(D695=1,O694+N695,0)</f>
        <v>-14000</v>
      </c>
      <c r="P695" s="11" t="n">
        <f aca="false">IF(AND(D695=1,L695&lt;0),1,0)</f>
        <v>1</v>
      </c>
      <c r="Q695" s="11" t="n">
        <f aca="false">IF(AND(D695=1,O695&lt;0),1,0)</f>
        <v>1</v>
      </c>
    </row>
    <row r="696" customFormat="false" ht="15" hidden="false" customHeight="false" outlineLevel="0" collapsed="false">
      <c r="A696" s="4" t="s">
        <v>102</v>
      </c>
      <c r="B696" s="4" t="n">
        <v>8</v>
      </c>
      <c r="C696" s="11" t="n">
        <f aca="false">IF(COUNTIF('Scenario inputs'!$A$4:$A$213,Controls!$B$3&amp;"|"&amp;A696)&gt;0,1,0)</f>
        <v>1</v>
      </c>
      <c r="D696" s="11" t="n">
        <f aca="false">IF(AND(C696=1,B696&lt;Controls!$B$12),1,0)</f>
        <v>1</v>
      </c>
      <c r="E696" s="11" t="n">
        <f aca="false">IF(D696=1,SUMPRODUCT((Costs!$B$4:$B$903=A696)*(Costs!$D$4:$D$903="planned")*(Costs!$J$4:$J$903&lt;=B696)*(Costs!$K$4:$K$903&gt;B696)*Costs!$E$4:$E$903),0)</f>
        <v>0</v>
      </c>
      <c r="F696" s="11" t="n">
        <f aca="false">IF(D696=1,SUMIFS(Benefits!$S$4:$S$703,Benefits!$B$4:$B$703,A696,Benefits!$F$4:$F$703,B696,Benefits!$R$4:$R$703,"cash"),0)</f>
        <v>0</v>
      </c>
      <c r="G696" s="11" t="n">
        <f aca="false">IF(D696=1,SUMIFS(Benefits!$S$4:$S$703,Benefits!$B$4:$B$703,A696,Benefits!$F$4:$F$703,B696,Benefits!$R$4:$R$703,"revenue"),0)</f>
        <v>0</v>
      </c>
      <c r="H696" s="11" t="n">
        <f aca="false">IF(D696=1,SUMIFS(Benefits!$S$4:$S$703,Benefits!$B$4:$B$703,A696,Benefits!$F$4:$F$703,B696,Benefits!$R$4:$R$703,"avoided_cost_realised"),0)</f>
        <v>0</v>
      </c>
      <c r="I696" s="11" t="n">
        <f aca="false">IF(D696=1,SUMIFS(Benefits!$S$4:$S$703,Benefits!$B$4:$B$703,A696,Benefits!$F$4:$F$703,B696,Benefits!$R$4:$R$703,"capacity_converted"),0)</f>
        <v>0</v>
      </c>
      <c r="J696" s="11" t="n">
        <f aca="false">SUM(F696:I696)</f>
        <v>0</v>
      </c>
      <c r="K696" s="11" t="n">
        <f aca="false">J696-E696</f>
        <v>0</v>
      </c>
      <c r="L696" s="11" t="n">
        <f aca="false">IF(D696=1,L695+K696,0)</f>
        <v>-14000</v>
      </c>
      <c r="M696" s="11" t="n">
        <f aca="false">IF(D696=1,1/(1+Controls!$B$11)^B696,0)</f>
        <v>0.949986864412542</v>
      </c>
      <c r="N696" s="11" t="n">
        <f aca="false">K696*M696</f>
        <v>0</v>
      </c>
      <c r="O696" s="11" t="n">
        <f aca="false">IF(D696=1,O695+N696,0)</f>
        <v>-14000</v>
      </c>
      <c r="P696" s="11" t="n">
        <f aca="false">IF(AND(D696=1,L696&lt;0),1,0)</f>
        <v>1</v>
      </c>
      <c r="Q696" s="11" t="n">
        <f aca="false">IF(AND(D696=1,O696&lt;0),1,0)</f>
        <v>1</v>
      </c>
    </row>
    <row r="697" customFormat="false" ht="15" hidden="false" customHeight="false" outlineLevel="0" collapsed="false">
      <c r="A697" s="4" t="s">
        <v>102</v>
      </c>
      <c r="B697" s="4" t="n">
        <v>9</v>
      </c>
      <c r="C697" s="11" t="n">
        <f aca="false">IF(COUNTIF('Scenario inputs'!$A$4:$A$213,Controls!$B$3&amp;"|"&amp;A697)&gt;0,1,0)</f>
        <v>1</v>
      </c>
      <c r="D697" s="11" t="n">
        <f aca="false">IF(AND(C697=1,B697&lt;Controls!$B$12),1,0)</f>
        <v>1</v>
      </c>
      <c r="E697" s="11" t="n">
        <f aca="false">IF(D697=1,SUMPRODUCT((Costs!$B$4:$B$903=A697)*(Costs!$D$4:$D$903="planned")*(Costs!$J$4:$J$903&lt;=B697)*(Costs!$K$4:$K$903&gt;B697)*Costs!$E$4:$E$903),0)</f>
        <v>0</v>
      </c>
      <c r="F697" s="11" t="n">
        <f aca="false">IF(D697=1,SUMIFS(Benefits!$S$4:$S$703,Benefits!$B$4:$B$703,A697,Benefits!$F$4:$F$703,B697,Benefits!$R$4:$R$703,"cash"),0)</f>
        <v>0</v>
      </c>
      <c r="G697" s="11" t="n">
        <f aca="false">IF(D697=1,SUMIFS(Benefits!$S$4:$S$703,Benefits!$B$4:$B$703,A697,Benefits!$F$4:$F$703,B697,Benefits!$R$4:$R$703,"revenue"),0)</f>
        <v>0</v>
      </c>
      <c r="H697" s="11" t="n">
        <f aca="false">IF(D697=1,SUMIFS(Benefits!$S$4:$S$703,Benefits!$B$4:$B$703,A697,Benefits!$F$4:$F$703,B697,Benefits!$R$4:$R$703,"avoided_cost_realised"),0)</f>
        <v>0</v>
      </c>
      <c r="I697" s="11" t="n">
        <f aca="false">IF(D697=1,SUMIFS(Benefits!$S$4:$S$703,Benefits!$B$4:$B$703,A697,Benefits!$F$4:$F$703,B697,Benefits!$R$4:$R$703,"capacity_converted"),0)</f>
        <v>0</v>
      </c>
      <c r="J697" s="11" t="n">
        <f aca="false">SUM(F697:I697)</f>
        <v>0</v>
      </c>
      <c r="K697" s="11" t="n">
        <f aca="false">J697-E697</f>
        <v>0</v>
      </c>
      <c r="L697" s="11" t="n">
        <f aca="false">IF(D697=1,L696+K697,0)</f>
        <v>-14000</v>
      </c>
      <c r="M697" s="11" t="n">
        <f aca="false">IF(D697=1,1/(1+Controls!$B$11)^B697,0)</f>
        <v>0.943913723515444</v>
      </c>
      <c r="N697" s="11" t="n">
        <f aca="false">K697*M697</f>
        <v>0</v>
      </c>
      <c r="O697" s="11" t="n">
        <f aca="false">IF(D697=1,O696+N697,0)</f>
        <v>-14000</v>
      </c>
      <c r="P697" s="11" t="n">
        <f aca="false">IF(AND(D697=1,L697&lt;0),1,0)</f>
        <v>1</v>
      </c>
      <c r="Q697" s="11" t="n">
        <f aca="false">IF(AND(D697=1,O697&lt;0),1,0)</f>
        <v>1</v>
      </c>
    </row>
    <row r="698" customFormat="false" ht="15" hidden="false" customHeight="false" outlineLevel="0" collapsed="false">
      <c r="A698" s="4" t="s">
        <v>102</v>
      </c>
      <c r="B698" s="4" t="n">
        <v>10</v>
      </c>
      <c r="C698" s="11" t="n">
        <f aca="false">IF(COUNTIF('Scenario inputs'!$A$4:$A$213,Controls!$B$3&amp;"|"&amp;A698)&gt;0,1,0)</f>
        <v>1</v>
      </c>
      <c r="D698" s="11" t="n">
        <f aca="false">IF(AND(C698=1,B698&lt;Controls!$B$12),1,0)</f>
        <v>1</v>
      </c>
      <c r="E698" s="11" t="n">
        <f aca="false">IF(D698=1,SUMPRODUCT((Costs!$B$4:$B$903=A698)*(Costs!$D$4:$D$903="planned")*(Costs!$J$4:$J$903&lt;=B698)*(Costs!$K$4:$K$903&gt;B698)*Costs!$E$4:$E$903),0)</f>
        <v>0</v>
      </c>
      <c r="F698" s="11" t="n">
        <f aca="false">IF(D698=1,SUMIFS(Benefits!$S$4:$S$703,Benefits!$B$4:$B$703,A698,Benefits!$F$4:$F$703,B698,Benefits!$R$4:$R$703,"cash"),0)</f>
        <v>0</v>
      </c>
      <c r="G698" s="11" t="n">
        <f aca="false">IF(D698=1,SUMIFS(Benefits!$S$4:$S$703,Benefits!$B$4:$B$703,A698,Benefits!$F$4:$F$703,B698,Benefits!$R$4:$R$703,"revenue"),0)</f>
        <v>0</v>
      </c>
      <c r="H698" s="11" t="n">
        <f aca="false">IF(D698=1,SUMIFS(Benefits!$S$4:$S$703,Benefits!$B$4:$B$703,A698,Benefits!$F$4:$F$703,B698,Benefits!$R$4:$R$703,"avoided_cost_realised"),0)</f>
        <v>0</v>
      </c>
      <c r="I698" s="11" t="n">
        <f aca="false">IF(D698=1,SUMIFS(Benefits!$S$4:$S$703,Benefits!$B$4:$B$703,A698,Benefits!$F$4:$F$703,B698,Benefits!$R$4:$R$703,"capacity_converted"),0)</f>
        <v>0</v>
      </c>
      <c r="J698" s="11" t="n">
        <f aca="false">SUM(F698:I698)</f>
        <v>0</v>
      </c>
      <c r="K698" s="11" t="n">
        <f aca="false">J698-E698</f>
        <v>0</v>
      </c>
      <c r="L698" s="11" t="n">
        <f aca="false">IF(D698=1,L697+K698,0)</f>
        <v>-14000</v>
      </c>
      <c r="M698" s="11" t="n">
        <f aca="false">IF(D698=1,1/(1+Controls!$B$11)^B698,0)</f>
        <v>0.93787940740818</v>
      </c>
      <c r="N698" s="11" t="n">
        <f aca="false">K698*M698</f>
        <v>0</v>
      </c>
      <c r="O698" s="11" t="n">
        <f aca="false">IF(D698=1,O697+N698,0)</f>
        <v>-14000</v>
      </c>
      <c r="P698" s="11" t="n">
        <f aca="false">IF(AND(D698=1,L698&lt;0),1,0)</f>
        <v>1</v>
      </c>
      <c r="Q698" s="11" t="n">
        <f aca="false">IF(AND(D698=1,O698&lt;0),1,0)</f>
        <v>1</v>
      </c>
    </row>
    <row r="699" customFormat="false" ht="15" hidden="false" customHeight="false" outlineLevel="0" collapsed="false">
      <c r="A699" s="4" t="s">
        <v>102</v>
      </c>
      <c r="B699" s="4" t="n">
        <v>11</v>
      </c>
      <c r="C699" s="11" t="n">
        <f aca="false">IF(COUNTIF('Scenario inputs'!$A$4:$A$213,Controls!$B$3&amp;"|"&amp;A699)&gt;0,1,0)</f>
        <v>1</v>
      </c>
      <c r="D699" s="11" t="n">
        <f aca="false">IF(AND(C699=1,B699&lt;Controls!$B$12),1,0)</f>
        <v>1</v>
      </c>
      <c r="E699" s="11" t="n">
        <f aca="false">IF(D699=1,SUMPRODUCT((Costs!$B$4:$B$903=A699)*(Costs!$D$4:$D$903="planned")*(Costs!$J$4:$J$903&lt;=B699)*(Costs!$K$4:$K$903&gt;B699)*Costs!$E$4:$E$903),0)</f>
        <v>0</v>
      </c>
      <c r="F699" s="11" t="n">
        <f aca="false">IF(D699=1,SUMIFS(Benefits!$S$4:$S$703,Benefits!$B$4:$B$703,A699,Benefits!$F$4:$F$703,B699,Benefits!$R$4:$R$703,"cash"),0)</f>
        <v>0</v>
      </c>
      <c r="G699" s="11" t="n">
        <f aca="false">IF(D699=1,SUMIFS(Benefits!$S$4:$S$703,Benefits!$B$4:$B$703,A699,Benefits!$F$4:$F$703,B699,Benefits!$R$4:$R$703,"revenue"),0)</f>
        <v>0</v>
      </c>
      <c r="H699" s="11" t="n">
        <f aca="false">IF(D699=1,SUMIFS(Benefits!$S$4:$S$703,Benefits!$B$4:$B$703,A699,Benefits!$F$4:$F$703,B699,Benefits!$R$4:$R$703,"avoided_cost_realised"),0)</f>
        <v>0</v>
      </c>
      <c r="I699" s="11" t="n">
        <f aca="false">IF(D699=1,SUMIFS(Benefits!$S$4:$S$703,Benefits!$B$4:$B$703,A699,Benefits!$F$4:$F$703,B699,Benefits!$R$4:$R$703,"capacity_converted"),0)</f>
        <v>0</v>
      </c>
      <c r="J699" s="11" t="n">
        <f aca="false">SUM(F699:I699)</f>
        <v>0</v>
      </c>
      <c r="K699" s="11" t="n">
        <f aca="false">J699-E699</f>
        <v>0</v>
      </c>
      <c r="L699" s="11" t="n">
        <f aca="false">IF(D699=1,L698+K699,0)</f>
        <v>-14000</v>
      </c>
      <c r="M699" s="11" t="n">
        <f aca="false">IF(D699=1,1/(1+Controls!$B$11)^B699,0)</f>
        <v>0.931883667888982</v>
      </c>
      <c r="N699" s="11" t="n">
        <f aca="false">K699*M699</f>
        <v>0</v>
      </c>
      <c r="O699" s="11" t="n">
        <f aca="false">IF(D699=1,O698+N699,0)</f>
        <v>-14000</v>
      </c>
      <c r="P699" s="11" t="n">
        <f aca="false">IF(AND(D699=1,L699&lt;0),1,0)</f>
        <v>1</v>
      </c>
      <c r="Q699" s="11" t="n">
        <f aca="false">IF(AND(D699=1,O699&lt;0),1,0)</f>
        <v>1</v>
      </c>
    </row>
    <row r="700" customFormat="false" ht="15" hidden="false" customHeight="false" outlineLevel="0" collapsed="false">
      <c r="A700" s="4" t="s">
        <v>102</v>
      </c>
      <c r="B700" s="4" t="n">
        <v>12</v>
      </c>
      <c r="C700" s="11" t="n">
        <f aca="false">IF(COUNTIF('Scenario inputs'!$A$4:$A$213,Controls!$B$3&amp;"|"&amp;A700)&gt;0,1,0)</f>
        <v>1</v>
      </c>
      <c r="D700" s="11" t="n">
        <f aca="false">IF(AND(C700=1,B700&lt;Controls!$B$12),1,0)</f>
        <v>1</v>
      </c>
      <c r="E700" s="11" t="n">
        <f aca="false">IF(D700=1,SUMPRODUCT((Costs!$B$4:$B$903=A700)*(Costs!$D$4:$D$903="planned")*(Costs!$J$4:$J$903&lt;=B700)*(Costs!$K$4:$K$903&gt;B700)*Costs!$E$4:$E$903),0)</f>
        <v>162350</v>
      </c>
      <c r="F700" s="11" t="n">
        <f aca="false">IF(D700=1,SUMIFS(Benefits!$S$4:$S$703,Benefits!$B$4:$B$703,A700,Benefits!$F$4:$F$703,B700,Benefits!$R$4:$R$703,"cash"),0)</f>
        <v>0</v>
      </c>
      <c r="G700" s="11" t="n">
        <f aca="false">IF(D700=1,SUMIFS(Benefits!$S$4:$S$703,Benefits!$B$4:$B$703,A700,Benefits!$F$4:$F$703,B700,Benefits!$R$4:$R$703,"revenue"),0)</f>
        <v>0</v>
      </c>
      <c r="H700" s="11" t="n">
        <f aca="false">IF(D700=1,SUMIFS(Benefits!$S$4:$S$703,Benefits!$B$4:$B$703,A700,Benefits!$F$4:$F$703,B700,Benefits!$R$4:$R$703,"avoided_cost_realised"),0)</f>
        <v>0</v>
      </c>
      <c r="I700" s="11" t="n">
        <f aca="false">IF(D700=1,SUMIFS(Benefits!$S$4:$S$703,Benefits!$B$4:$B$703,A700,Benefits!$F$4:$F$703,B700,Benefits!$R$4:$R$703,"capacity_converted"),0)</f>
        <v>0</v>
      </c>
      <c r="J700" s="11" t="n">
        <f aca="false">SUM(F700:I700)</f>
        <v>0</v>
      </c>
      <c r="K700" s="11" t="n">
        <f aca="false">J700-E700</f>
        <v>-162350</v>
      </c>
      <c r="L700" s="11" t="n">
        <f aca="false">IF(D700=1,L699+K700,0)</f>
        <v>-176350</v>
      </c>
      <c r="M700" s="11" t="n">
        <f aca="false">IF(D700=1,1/(1+Controls!$B$11)^B700,0)</f>
        <v>0.925926258342804</v>
      </c>
      <c r="N700" s="11" t="n">
        <f aca="false">K700*M700</f>
        <v>-150324.128041954</v>
      </c>
      <c r="O700" s="11" t="n">
        <f aca="false">IF(D700=1,O699+N700,0)</f>
        <v>-164324.128041954</v>
      </c>
      <c r="P700" s="11" t="n">
        <f aca="false">IF(AND(D700=1,L700&lt;0),1,0)</f>
        <v>1</v>
      </c>
      <c r="Q700" s="11" t="n">
        <f aca="false">IF(AND(D700=1,O700&lt;0),1,0)</f>
        <v>1</v>
      </c>
    </row>
    <row r="701" customFormat="false" ht="15" hidden="false" customHeight="false" outlineLevel="0" collapsed="false">
      <c r="A701" s="4" t="s">
        <v>102</v>
      </c>
      <c r="B701" s="4" t="n">
        <v>13</v>
      </c>
      <c r="C701" s="11" t="n">
        <f aca="false">IF(COUNTIF('Scenario inputs'!$A$4:$A$213,Controls!$B$3&amp;"|"&amp;A701)&gt;0,1,0)</f>
        <v>1</v>
      </c>
      <c r="D701" s="11" t="n">
        <f aca="false">IF(AND(C701=1,B701&lt;Controls!$B$12),1,0)</f>
        <v>1</v>
      </c>
      <c r="E701" s="11" t="n">
        <f aca="false">IF(D701=1,SUMPRODUCT((Costs!$B$4:$B$903=A701)*(Costs!$D$4:$D$903="planned")*(Costs!$J$4:$J$903&lt;=B701)*(Costs!$K$4:$K$903&gt;B701)*Costs!$E$4:$E$903),0)</f>
        <v>174550</v>
      </c>
      <c r="F701" s="11" t="n">
        <f aca="false">IF(D701=1,SUMIFS(Benefits!$S$4:$S$703,Benefits!$B$4:$B$703,A701,Benefits!$F$4:$F$703,B701,Benefits!$R$4:$R$703,"cash"),0)</f>
        <v>0</v>
      </c>
      <c r="G701" s="11" t="n">
        <f aca="false">IF(D701=1,SUMIFS(Benefits!$S$4:$S$703,Benefits!$B$4:$B$703,A701,Benefits!$F$4:$F$703,B701,Benefits!$R$4:$R$703,"revenue"),0)</f>
        <v>0</v>
      </c>
      <c r="H701" s="11" t="n">
        <f aca="false">IF(D701=1,SUMIFS(Benefits!$S$4:$S$703,Benefits!$B$4:$B$703,A701,Benefits!$F$4:$F$703,B701,Benefits!$R$4:$R$703,"avoided_cost_realised"),0)</f>
        <v>0</v>
      </c>
      <c r="I701" s="11" t="n">
        <f aca="false">IF(D701=1,SUMIFS(Benefits!$S$4:$S$703,Benefits!$B$4:$B$703,A701,Benefits!$F$4:$F$703,B701,Benefits!$R$4:$R$703,"capacity_converted"),0)</f>
        <v>0</v>
      </c>
      <c r="J701" s="11" t="n">
        <f aca="false">SUM(F701:I701)</f>
        <v>0</v>
      </c>
      <c r="K701" s="11" t="n">
        <f aca="false">J701-E701</f>
        <v>-174550</v>
      </c>
      <c r="L701" s="11" t="n">
        <f aca="false">IF(D701=1,L700+K701,0)</f>
        <v>-350900</v>
      </c>
      <c r="M701" s="11" t="n">
        <f aca="false">IF(D701=1,1/(1+Controls!$B$11)^B701,0)</f>
        <v>0.920006933731178</v>
      </c>
      <c r="N701" s="11" t="n">
        <f aca="false">K701*M701</f>
        <v>-160587.210282777</v>
      </c>
      <c r="O701" s="11" t="n">
        <f aca="false">IF(D701=1,O700+N701,0)</f>
        <v>-324911.338324731</v>
      </c>
      <c r="P701" s="11" t="n">
        <f aca="false">IF(AND(D701=1,L701&lt;0),1,0)</f>
        <v>1</v>
      </c>
      <c r="Q701" s="11" t="n">
        <f aca="false">IF(AND(D701=1,O701&lt;0),1,0)</f>
        <v>1</v>
      </c>
    </row>
    <row r="702" customFormat="false" ht="15" hidden="false" customHeight="false" outlineLevel="0" collapsed="false">
      <c r="A702" s="4" t="s">
        <v>102</v>
      </c>
      <c r="B702" s="4" t="n">
        <v>14</v>
      </c>
      <c r="C702" s="11" t="n">
        <f aca="false">IF(COUNTIF('Scenario inputs'!$A$4:$A$213,Controls!$B$3&amp;"|"&amp;A702)&gt;0,1,0)</f>
        <v>1</v>
      </c>
      <c r="D702" s="11" t="n">
        <f aca="false">IF(AND(C702=1,B702&lt;Controls!$B$12),1,0)</f>
        <v>1</v>
      </c>
      <c r="E702" s="11" t="n">
        <f aca="false">IF(D702=1,SUMPRODUCT((Costs!$B$4:$B$903=A702)*(Costs!$D$4:$D$903="planned")*(Costs!$J$4:$J$903&lt;=B702)*(Costs!$K$4:$K$903&gt;B702)*Costs!$E$4:$E$903),0)</f>
        <v>65500</v>
      </c>
      <c r="F702" s="11" t="n">
        <f aca="false">IF(D702=1,SUMIFS(Benefits!$S$4:$S$703,Benefits!$B$4:$B$703,A702,Benefits!$F$4:$F$703,B702,Benefits!$R$4:$R$703,"cash"),0)</f>
        <v>0</v>
      </c>
      <c r="G702" s="11" t="n">
        <f aca="false">IF(D702=1,SUMIFS(Benefits!$S$4:$S$703,Benefits!$B$4:$B$703,A702,Benefits!$F$4:$F$703,B702,Benefits!$R$4:$R$703,"revenue"),0)</f>
        <v>0</v>
      </c>
      <c r="H702" s="11" t="n">
        <f aca="false">IF(D702=1,SUMIFS(Benefits!$S$4:$S$703,Benefits!$B$4:$B$703,A702,Benefits!$F$4:$F$703,B702,Benefits!$R$4:$R$703,"avoided_cost_realised"),0)</f>
        <v>0</v>
      </c>
      <c r="I702" s="11" t="n">
        <f aca="false">IF(D702=1,SUMIFS(Benefits!$S$4:$S$703,Benefits!$B$4:$B$703,A702,Benefits!$F$4:$F$703,B702,Benefits!$R$4:$R$703,"capacity_converted"),0)</f>
        <v>0</v>
      </c>
      <c r="J702" s="11" t="n">
        <f aca="false">SUM(F702:I702)</f>
        <v>0</v>
      </c>
      <c r="K702" s="11" t="n">
        <f aca="false">J702-E702</f>
        <v>-65500</v>
      </c>
      <c r="L702" s="11" t="n">
        <f aca="false">IF(D702=1,L701+K702,0)</f>
        <v>-416400</v>
      </c>
      <c r="M702" s="11" t="n">
        <f aca="false">IF(D702=1,1/(1+Controls!$B$11)^B702,0)</f>
        <v>0.914125450582132</v>
      </c>
      <c r="N702" s="11" t="n">
        <f aca="false">K702*M702</f>
        <v>-59875.2170131297</v>
      </c>
      <c r="O702" s="11" t="n">
        <f aca="false">IF(D702=1,O701+N702,0)</f>
        <v>-384786.555337861</v>
      </c>
      <c r="P702" s="11" t="n">
        <f aca="false">IF(AND(D702=1,L702&lt;0),1,0)</f>
        <v>1</v>
      </c>
      <c r="Q702" s="11" t="n">
        <f aca="false">IF(AND(D702=1,O702&lt;0),1,0)</f>
        <v>1</v>
      </c>
    </row>
    <row r="703" customFormat="false" ht="15" hidden="false" customHeight="false" outlineLevel="0" collapsed="false">
      <c r="A703" s="4" t="s">
        <v>102</v>
      </c>
      <c r="B703" s="4" t="n">
        <v>15</v>
      </c>
      <c r="C703" s="11" t="n">
        <f aca="false">IF(COUNTIF('Scenario inputs'!$A$4:$A$213,Controls!$B$3&amp;"|"&amp;A703)&gt;0,1,0)</f>
        <v>1</v>
      </c>
      <c r="D703" s="11" t="n">
        <f aca="false">IF(AND(C703=1,B703&lt;Controls!$B$12),1,0)</f>
        <v>1</v>
      </c>
      <c r="E703" s="11" t="n">
        <f aca="false">IF(D703=1,SUMPRODUCT((Costs!$B$4:$B$903=A703)*(Costs!$D$4:$D$903="planned")*(Costs!$J$4:$J$903&lt;=B703)*(Costs!$K$4:$K$903&gt;B703)*Costs!$E$4:$E$903),0)</f>
        <v>0</v>
      </c>
      <c r="F703" s="11" t="n">
        <f aca="false">IF(D703=1,SUMIFS(Benefits!$S$4:$S$703,Benefits!$B$4:$B$703,A703,Benefits!$F$4:$F$703,B703,Benefits!$R$4:$R$703,"cash"),0)</f>
        <v>0</v>
      </c>
      <c r="G703" s="11" t="n">
        <f aca="false">IF(D703=1,SUMIFS(Benefits!$S$4:$S$703,Benefits!$B$4:$B$703,A703,Benefits!$F$4:$F$703,B703,Benefits!$R$4:$R$703,"revenue"),0)</f>
        <v>0</v>
      </c>
      <c r="H703" s="11" t="n">
        <f aca="false">IF(D703=1,SUMIFS(Benefits!$S$4:$S$703,Benefits!$B$4:$B$703,A703,Benefits!$F$4:$F$703,B703,Benefits!$R$4:$R$703,"avoided_cost_realised"),0)</f>
        <v>0</v>
      </c>
      <c r="I703" s="11" t="n">
        <f aca="false">IF(D703=1,SUMIFS(Benefits!$S$4:$S$703,Benefits!$B$4:$B$703,A703,Benefits!$F$4:$F$703,B703,Benefits!$R$4:$R$703,"capacity_converted"),0)</f>
        <v>0</v>
      </c>
      <c r="J703" s="11" t="n">
        <f aca="false">SUM(F703:I703)</f>
        <v>0</v>
      </c>
      <c r="K703" s="11" t="n">
        <f aca="false">J703-E703</f>
        <v>0</v>
      </c>
      <c r="L703" s="11" t="n">
        <f aca="false">IF(D703=1,L702+K703,0)</f>
        <v>-416400</v>
      </c>
      <c r="M703" s="11" t="n">
        <f aca="false">IF(D703=1,1/(1+Controls!$B$11)^B703,0)</f>
        <v>0.908281566980182</v>
      </c>
      <c r="N703" s="11" t="n">
        <f aca="false">K703*M703</f>
        <v>0</v>
      </c>
      <c r="O703" s="11" t="n">
        <f aca="false">IF(D703=1,O702+N703,0)</f>
        <v>-384786.555337861</v>
      </c>
      <c r="P703" s="11" t="n">
        <f aca="false">IF(AND(D703=1,L703&lt;0),1,0)</f>
        <v>1</v>
      </c>
      <c r="Q703" s="11" t="n">
        <f aca="false">IF(AND(D703=1,O703&lt;0),1,0)</f>
        <v>1</v>
      </c>
    </row>
    <row r="704" customFormat="false" ht="15" hidden="false" customHeight="false" outlineLevel="0" collapsed="false">
      <c r="A704" s="4" t="s">
        <v>102</v>
      </c>
      <c r="B704" s="4" t="n">
        <v>16</v>
      </c>
      <c r="C704" s="11" t="n">
        <f aca="false">IF(COUNTIF('Scenario inputs'!$A$4:$A$213,Controls!$B$3&amp;"|"&amp;A704)&gt;0,1,0)</f>
        <v>1</v>
      </c>
      <c r="D704" s="11" t="n">
        <f aca="false">IF(AND(C704=1,B704&lt;Controls!$B$12),1,0)</f>
        <v>1</v>
      </c>
      <c r="E704" s="11" t="n">
        <f aca="false">IF(D704=1,SUMPRODUCT((Costs!$B$4:$B$903=A704)*(Costs!$D$4:$D$903="planned")*(Costs!$J$4:$J$903&lt;=B704)*(Costs!$K$4:$K$903&gt;B704)*Costs!$E$4:$E$903),0)</f>
        <v>311600</v>
      </c>
      <c r="F704" s="11" t="n">
        <f aca="false">IF(D704=1,SUMIFS(Benefits!$S$4:$S$703,Benefits!$B$4:$B$703,A704,Benefits!$F$4:$F$703,B704,Benefits!$R$4:$R$703,"cash"),0)</f>
        <v>0</v>
      </c>
      <c r="G704" s="11" t="n">
        <f aca="false">IF(D704=1,SUMIFS(Benefits!$S$4:$S$703,Benefits!$B$4:$B$703,A704,Benefits!$F$4:$F$703,B704,Benefits!$R$4:$R$703,"revenue"),0)</f>
        <v>0</v>
      </c>
      <c r="H704" s="11" t="n">
        <f aca="false">IF(D704=1,SUMIFS(Benefits!$S$4:$S$703,Benefits!$B$4:$B$703,A704,Benefits!$F$4:$F$703,B704,Benefits!$R$4:$R$703,"avoided_cost_realised"),0)</f>
        <v>0</v>
      </c>
      <c r="I704" s="11" t="n">
        <f aca="false">IF(D704=1,SUMIFS(Benefits!$S$4:$S$703,Benefits!$B$4:$B$703,A704,Benefits!$F$4:$F$703,B704,Benefits!$R$4:$R$703,"capacity_converted"),0)</f>
        <v>0</v>
      </c>
      <c r="J704" s="11" t="n">
        <f aca="false">SUM(F704:I704)</f>
        <v>0</v>
      </c>
      <c r="K704" s="11" t="n">
        <f aca="false">J704-E704</f>
        <v>-311600</v>
      </c>
      <c r="L704" s="11" t="n">
        <f aca="false">IF(D704=1,L703+K704,0)</f>
        <v>-728000</v>
      </c>
      <c r="M704" s="11" t="n">
        <f aca="false">IF(D704=1,1/(1+Controls!$B$11)^B704,0)</f>
        <v>0.902475042556374</v>
      </c>
      <c r="N704" s="11" t="n">
        <f aca="false">K704*M704</f>
        <v>-281211.223260566</v>
      </c>
      <c r="O704" s="11" t="n">
        <f aca="false">IF(D704=1,O703+N704,0)</f>
        <v>-665997.778598427</v>
      </c>
      <c r="P704" s="11" t="n">
        <f aca="false">IF(AND(D704=1,L704&lt;0),1,0)</f>
        <v>1</v>
      </c>
      <c r="Q704" s="11" t="n">
        <f aca="false">IF(AND(D704=1,O704&lt;0),1,0)</f>
        <v>1</v>
      </c>
    </row>
    <row r="705" customFormat="false" ht="15" hidden="false" customHeight="false" outlineLevel="0" collapsed="false">
      <c r="A705" s="4" t="s">
        <v>102</v>
      </c>
      <c r="B705" s="4" t="n">
        <v>17</v>
      </c>
      <c r="C705" s="11" t="n">
        <f aca="false">IF(COUNTIF('Scenario inputs'!$A$4:$A$213,Controls!$B$3&amp;"|"&amp;A705)&gt;0,1,0)</f>
        <v>1</v>
      </c>
      <c r="D705" s="11" t="n">
        <f aca="false">IF(AND(C705=1,B705&lt;Controls!$B$12),1,0)</f>
        <v>1</v>
      </c>
      <c r="E705" s="11" t="n">
        <f aca="false">IF(D705=1,SUMPRODUCT((Costs!$B$4:$B$903=A705)*(Costs!$D$4:$D$903="planned")*(Costs!$J$4:$J$903&lt;=B705)*(Costs!$K$4:$K$903&gt;B705)*Costs!$E$4:$E$903),0)</f>
        <v>14000</v>
      </c>
      <c r="F705" s="11" t="n">
        <f aca="false">IF(D705=1,SUMIFS(Benefits!$S$4:$S$703,Benefits!$B$4:$B$703,A705,Benefits!$F$4:$F$703,B705,Benefits!$R$4:$R$703,"cash"),0)</f>
        <v>7713.3719</v>
      </c>
      <c r="G705" s="11" t="n">
        <f aca="false">IF(D705=1,SUMIFS(Benefits!$S$4:$S$703,Benefits!$B$4:$B$703,A705,Benefits!$F$4:$F$703,B705,Benefits!$R$4:$R$703,"revenue"),0)</f>
        <v>0</v>
      </c>
      <c r="H705" s="11" t="n">
        <f aca="false">IF(D705=1,SUMIFS(Benefits!$S$4:$S$703,Benefits!$B$4:$B$703,A705,Benefits!$F$4:$F$703,B705,Benefits!$R$4:$R$703,"avoided_cost_realised"),0)</f>
        <v>0</v>
      </c>
      <c r="I705" s="11" t="n">
        <f aca="false">IF(D705=1,SUMIFS(Benefits!$S$4:$S$703,Benefits!$B$4:$B$703,A705,Benefits!$F$4:$F$703,B705,Benefits!$R$4:$R$703,"capacity_converted"),0)</f>
        <v>0</v>
      </c>
      <c r="J705" s="11" t="n">
        <f aca="false">SUM(F705:I705)</f>
        <v>7713.3719</v>
      </c>
      <c r="K705" s="11" t="n">
        <f aca="false">J705-E705</f>
        <v>-6286.6281</v>
      </c>
      <c r="L705" s="11" t="n">
        <f aca="false">IF(D705=1,L704+K705,0)</f>
        <v>-734286.6281</v>
      </c>
      <c r="M705" s="11" t="n">
        <f aca="false">IF(D705=1,1/(1+Controls!$B$11)^B705,0)</f>
        <v>0.896705638478404</v>
      </c>
      <c r="N705" s="11" t="n">
        <f aca="false">K705*M705</f>
        <v>-5637.25486428677</v>
      </c>
      <c r="O705" s="11" t="n">
        <f aca="false">IF(D705=1,O704+N705,0)</f>
        <v>-671635.033462714</v>
      </c>
      <c r="P705" s="11" t="n">
        <f aca="false">IF(AND(D705=1,L705&lt;0),1,0)</f>
        <v>1</v>
      </c>
      <c r="Q705" s="11" t="n">
        <f aca="false">IF(AND(D705=1,O705&lt;0),1,0)</f>
        <v>1</v>
      </c>
    </row>
    <row r="706" customFormat="false" ht="15" hidden="false" customHeight="false" outlineLevel="0" collapsed="false">
      <c r="A706" s="4" t="s">
        <v>102</v>
      </c>
      <c r="B706" s="4" t="n">
        <v>18</v>
      </c>
      <c r="C706" s="11" t="n">
        <f aca="false">IF(COUNTIF('Scenario inputs'!$A$4:$A$213,Controls!$B$3&amp;"|"&amp;A706)&gt;0,1,0)</f>
        <v>1</v>
      </c>
      <c r="D706" s="11" t="n">
        <f aca="false">IF(AND(C706=1,B706&lt;Controls!$B$12),1,0)</f>
        <v>1</v>
      </c>
      <c r="E706" s="11" t="n">
        <f aca="false">IF(D706=1,SUMPRODUCT((Costs!$B$4:$B$903=A706)*(Costs!$D$4:$D$903="planned")*(Costs!$J$4:$J$903&lt;=B706)*(Costs!$K$4:$K$903&gt;B706)*Costs!$E$4:$E$903),0)</f>
        <v>14000</v>
      </c>
      <c r="F706" s="11" t="n">
        <f aca="false">IF(D706=1,SUMIFS(Benefits!$S$4:$S$703,Benefits!$B$4:$B$703,A706,Benefits!$F$4:$F$703,B706,Benefits!$R$4:$R$703,"cash"),0)</f>
        <v>23140</v>
      </c>
      <c r="G706" s="11" t="n">
        <f aca="false">IF(D706=1,SUMIFS(Benefits!$S$4:$S$703,Benefits!$B$4:$B$703,A706,Benefits!$F$4:$F$703,B706,Benefits!$R$4:$R$703,"revenue"),0)</f>
        <v>0</v>
      </c>
      <c r="H706" s="11" t="n">
        <f aca="false">IF(D706=1,SUMIFS(Benefits!$S$4:$S$703,Benefits!$B$4:$B$703,A706,Benefits!$F$4:$F$703,B706,Benefits!$R$4:$R$703,"avoided_cost_realised"),0)</f>
        <v>0</v>
      </c>
      <c r="I706" s="11" t="n">
        <f aca="false">IF(D706=1,SUMIFS(Benefits!$S$4:$S$703,Benefits!$B$4:$B$703,A706,Benefits!$F$4:$F$703,B706,Benefits!$R$4:$R$703,"capacity_converted"),0)</f>
        <v>0</v>
      </c>
      <c r="J706" s="11" t="n">
        <f aca="false">SUM(F706:I706)</f>
        <v>23140</v>
      </c>
      <c r="K706" s="11" t="n">
        <f aca="false">J706-E706</f>
        <v>9140</v>
      </c>
      <c r="L706" s="11" t="n">
        <f aca="false">IF(D706=1,L705+K706,0)</f>
        <v>-725146.6281</v>
      </c>
      <c r="M706" s="11" t="n">
        <f aca="false">IF(D706=1,1/(1+Controls!$B$11)^B706,0)</f>
        <v>0.89097311744079</v>
      </c>
      <c r="N706" s="11" t="n">
        <f aca="false">K706*M706</f>
        <v>8143.49429340882</v>
      </c>
      <c r="O706" s="11" t="n">
        <f aca="false">IF(D706=1,O705+N706,0)</f>
        <v>-663491.539169305</v>
      </c>
      <c r="P706" s="11" t="n">
        <f aca="false">IF(AND(D706=1,L706&lt;0),1,0)</f>
        <v>1</v>
      </c>
      <c r="Q706" s="11" t="n">
        <f aca="false">IF(AND(D706=1,O706&lt;0),1,0)</f>
        <v>1</v>
      </c>
    </row>
    <row r="707" customFormat="false" ht="15" hidden="false" customHeight="false" outlineLevel="0" collapsed="false">
      <c r="A707" s="4" t="s">
        <v>102</v>
      </c>
      <c r="B707" s="4" t="n">
        <v>19</v>
      </c>
      <c r="C707" s="11" t="n">
        <f aca="false">IF(COUNTIF('Scenario inputs'!$A$4:$A$213,Controls!$B$3&amp;"|"&amp;A707)&gt;0,1,0)</f>
        <v>1</v>
      </c>
      <c r="D707" s="11" t="n">
        <f aca="false">IF(AND(C707=1,B707&lt;Controls!$B$12),1,0)</f>
        <v>1</v>
      </c>
      <c r="E707" s="11" t="n">
        <f aca="false">IF(D707=1,SUMPRODUCT((Costs!$B$4:$B$903=A707)*(Costs!$D$4:$D$903="planned")*(Costs!$J$4:$J$903&lt;=B707)*(Costs!$K$4:$K$903&gt;B707)*Costs!$E$4:$E$903),0)</f>
        <v>14000</v>
      </c>
      <c r="F707" s="11" t="n">
        <f aca="false">IF(D707=1,SUMIFS(Benefits!$S$4:$S$703,Benefits!$B$4:$B$703,A707,Benefits!$F$4:$F$703,B707,Benefits!$R$4:$R$703,"cash"),0)</f>
        <v>46280</v>
      </c>
      <c r="G707" s="11" t="n">
        <f aca="false">IF(D707=1,SUMIFS(Benefits!$S$4:$S$703,Benefits!$B$4:$B$703,A707,Benefits!$F$4:$F$703,B707,Benefits!$R$4:$R$703,"revenue"),0)</f>
        <v>0</v>
      </c>
      <c r="H707" s="11" t="n">
        <f aca="false">IF(D707=1,SUMIFS(Benefits!$S$4:$S$703,Benefits!$B$4:$B$703,A707,Benefits!$F$4:$F$703,B707,Benefits!$R$4:$R$703,"avoided_cost_realised"),0)</f>
        <v>0</v>
      </c>
      <c r="I707" s="11" t="n">
        <f aca="false">IF(D707=1,SUMIFS(Benefits!$S$4:$S$703,Benefits!$B$4:$B$703,A707,Benefits!$F$4:$F$703,B707,Benefits!$R$4:$R$703,"capacity_converted"),0)</f>
        <v>0</v>
      </c>
      <c r="J707" s="11" t="n">
        <f aca="false">SUM(F707:I707)</f>
        <v>46280</v>
      </c>
      <c r="K707" s="11" t="n">
        <f aca="false">J707-E707</f>
        <v>32280</v>
      </c>
      <c r="L707" s="11" t="n">
        <f aca="false">IF(D707=1,L706+K707,0)</f>
        <v>-692866.6281</v>
      </c>
      <c r="M707" s="11" t="n">
        <f aca="false">IF(D707=1,1/(1+Controls!$B$11)^B707,0)</f>
        <v>0.885277243655113</v>
      </c>
      <c r="N707" s="11" t="n">
        <f aca="false">K707*M707</f>
        <v>28576.749425187</v>
      </c>
      <c r="O707" s="11" t="n">
        <f aca="false">IF(D707=1,O706+N707,0)</f>
        <v>-634914.789744118</v>
      </c>
      <c r="P707" s="11" t="n">
        <f aca="false">IF(AND(D707=1,L707&lt;0),1,0)</f>
        <v>1</v>
      </c>
      <c r="Q707" s="11" t="n">
        <f aca="false">IF(AND(D707=1,O707&lt;0),1,0)</f>
        <v>1</v>
      </c>
    </row>
    <row r="708" customFormat="false" ht="15" hidden="false" customHeight="false" outlineLevel="0" collapsed="false">
      <c r="A708" s="4" t="s">
        <v>102</v>
      </c>
      <c r="B708" s="4" t="n">
        <v>20</v>
      </c>
      <c r="C708" s="11" t="n">
        <f aca="false">IF(COUNTIF('Scenario inputs'!$A$4:$A$213,Controls!$B$3&amp;"|"&amp;A708)&gt;0,1,0)</f>
        <v>1</v>
      </c>
      <c r="D708" s="11" t="n">
        <f aca="false">IF(AND(C708=1,B708&lt;Controls!$B$12),1,0)</f>
        <v>1</v>
      </c>
      <c r="E708" s="11" t="n">
        <f aca="false">IF(D708=1,SUMPRODUCT((Costs!$B$4:$B$903=A708)*(Costs!$D$4:$D$903="planned")*(Costs!$J$4:$J$903&lt;=B708)*(Costs!$K$4:$K$903&gt;B708)*Costs!$E$4:$E$903),0)</f>
        <v>14000</v>
      </c>
      <c r="F708" s="11" t="n">
        <f aca="false">IF(D708=1,SUMIFS(Benefits!$S$4:$S$703,Benefits!$B$4:$B$703,A708,Benefits!$F$4:$F$703,B708,Benefits!$R$4:$R$703,"cash"),0)</f>
        <v>77133.3719</v>
      </c>
      <c r="G708" s="11" t="n">
        <f aca="false">IF(D708=1,SUMIFS(Benefits!$S$4:$S$703,Benefits!$B$4:$B$703,A708,Benefits!$F$4:$F$703,B708,Benefits!$R$4:$R$703,"revenue"),0)</f>
        <v>0</v>
      </c>
      <c r="H708" s="11" t="n">
        <f aca="false">IF(D708=1,SUMIFS(Benefits!$S$4:$S$703,Benefits!$B$4:$B$703,A708,Benefits!$F$4:$F$703,B708,Benefits!$R$4:$R$703,"avoided_cost_realised"),0)</f>
        <v>0</v>
      </c>
      <c r="I708" s="11" t="n">
        <f aca="false">IF(D708=1,SUMIFS(Benefits!$S$4:$S$703,Benefits!$B$4:$B$703,A708,Benefits!$F$4:$F$703,B708,Benefits!$R$4:$R$703,"capacity_converted"),0)</f>
        <v>0</v>
      </c>
      <c r="J708" s="11" t="n">
        <f aca="false">SUM(F708:I708)</f>
        <v>77133.3719</v>
      </c>
      <c r="K708" s="11" t="n">
        <f aca="false">J708-E708</f>
        <v>63133.3719</v>
      </c>
      <c r="L708" s="11" t="n">
        <f aca="false">IF(D708=1,L707+K708,0)</f>
        <v>-629733.2562</v>
      </c>
      <c r="M708" s="11" t="n">
        <f aca="false">IF(D708=1,1/(1+Controls!$B$11)^B708,0)</f>
        <v>0.879617782840318</v>
      </c>
      <c r="N708" s="11" t="n">
        <f aca="false">K708*M708</f>
        <v>55533.2366139112</v>
      </c>
      <c r="O708" s="11" t="n">
        <f aca="false">IF(D708=1,O707+N708,0)</f>
        <v>-579381.553130207</v>
      </c>
      <c r="P708" s="11" t="n">
        <f aca="false">IF(AND(D708=1,L708&lt;0),1,0)</f>
        <v>1</v>
      </c>
      <c r="Q708" s="11" t="n">
        <f aca="false">IF(AND(D708=1,O708&lt;0),1,0)</f>
        <v>1</v>
      </c>
    </row>
    <row r="709" customFormat="false" ht="15" hidden="false" customHeight="false" outlineLevel="0" collapsed="false">
      <c r="A709" s="4" t="s">
        <v>102</v>
      </c>
      <c r="B709" s="4" t="n">
        <v>21</v>
      </c>
      <c r="C709" s="11" t="n">
        <f aca="false">IF(COUNTIF('Scenario inputs'!$A$4:$A$213,Controls!$B$3&amp;"|"&amp;A709)&gt;0,1,0)</f>
        <v>1</v>
      </c>
      <c r="D709" s="11" t="n">
        <f aca="false">IF(AND(C709=1,B709&lt;Controls!$B$12),1,0)</f>
        <v>1</v>
      </c>
      <c r="E709" s="11" t="n">
        <f aca="false">IF(D709=1,SUMPRODUCT((Costs!$B$4:$B$903=A709)*(Costs!$D$4:$D$903="planned")*(Costs!$J$4:$J$903&lt;=B709)*(Costs!$K$4:$K$903&gt;B709)*Costs!$E$4:$E$903),0)</f>
        <v>14000</v>
      </c>
      <c r="F709" s="11" t="n">
        <f aca="false">IF(D709=1,SUMIFS(Benefits!$S$4:$S$703,Benefits!$B$4:$B$703,A709,Benefits!$F$4:$F$703,B709,Benefits!$R$4:$R$703,"cash"),0)</f>
        <v>115700</v>
      </c>
      <c r="G709" s="11" t="n">
        <f aca="false">IF(D709=1,SUMIFS(Benefits!$S$4:$S$703,Benefits!$B$4:$B$703,A709,Benefits!$F$4:$F$703,B709,Benefits!$R$4:$R$703,"revenue"),0)</f>
        <v>0</v>
      </c>
      <c r="H709" s="11" t="n">
        <f aca="false">IF(D709=1,SUMIFS(Benefits!$S$4:$S$703,Benefits!$B$4:$B$703,A709,Benefits!$F$4:$F$703,B709,Benefits!$R$4:$R$703,"avoided_cost_realised"),0)</f>
        <v>0</v>
      </c>
      <c r="I709" s="11" t="n">
        <f aca="false">IF(D709=1,SUMIFS(Benefits!$S$4:$S$703,Benefits!$B$4:$B$703,A709,Benefits!$F$4:$F$703,B709,Benefits!$R$4:$R$703,"capacity_converted"),0)</f>
        <v>0</v>
      </c>
      <c r="J709" s="11" t="n">
        <f aca="false">SUM(F709:I709)</f>
        <v>115700</v>
      </c>
      <c r="K709" s="11" t="n">
        <f aca="false">J709-E709</f>
        <v>101700</v>
      </c>
      <c r="L709" s="11" t="n">
        <f aca="false">IF(D709=1,L708+K709,0)</f>
        <v>-528033.2562</v>
      </c>
      <c r="M709" s="11" t="n">
        <f aca="false">IF(D709=1,1/(1+Controls!$B$11)^B709,0)</f>
        <v>0.873994502213079</v>
      </c>
      <c r="N709" s="11" t="n">
        <f aca="false">K709*M709</f>
        <v>88885.2408750701</v>
      </c>
      <c r="O709" s="11" t="n">
        <f aca="false">IF(D709=1,O708+N709,0)</f>
        <v>-490496.312255137</v>
      </c>
      <c r="P709" s="11" t="n">
        <f aca="false">IF(AND(D709=1,L709&lt;0),1,0)</f>
        <v>1</v>
      </c>
      <c r="Q709" s="11" t="n">
        <f aca="false">IF(AND(D709=1,O709&lt;0),1,0)</f>
        <v>1</v>
      </c>
    </row>
    <row r="710" customFormat="false" ht="15" hidden="false" customHeight="false" outlineLevel="0" collapsed="false">
      <c r="A710" s="4" t="s">
        <v>102</v>
      </c>
      <c r="B710" s="4" t="n">
        <v>22</v>
      </c>
      <c r="C710" s="11" t="n">
        <f aca="false">IF(COUNTIF('Scenario inputs'!$A$4:$A$213,Controls!$B$3&amp;"|"&amp;A710)&gt;0,1,0)</f>
        <v>1</v>
      </c>
      <c r="D710" s="11" t="n">
        <f aca="false">IF(AND(C710=1,B710&lt;Controls!$B$12),1,0)</f>
        <v>1</v>
      </c>
      <c r="E710" s="11" t="n">
        <f aca="false">IF(D710=1,SUMPRODUCT((Costs!$B$4:$B$903=A710)*(Costs!$D$4:$D$903="planned")*(Costs!$J$4:$J$903&lt;=B710)*(Costs!$K$4:$K$903&gt;B710)*Costs!$E$4:$E$903),0)</f>
        <v>14550</v>
      </c>
      <c r="F710" s="11" t="n">
        <f aca="false">IF(D710=1,SUMIFS(Benefits!$S$4:$S$703,Benefits!$B$4:$B$703,A710,Benefits!$F$4:$F$703,B710,Benefits!$R$4:$R$703,"cash"),0)</f>
        <v>115700</v>
      </c>
      <c r="G710" s="11" t="n">
        <f aca="false">IF(D710=1,SUMIFS(Benefits!$S$4:$S$703,Benefits!$B$4:$B$703,A710,Benefits!$F$4:$F$703,B710,Benefits!$R$4:$R$703,"revenue"),0)</f>
        <v>0</v>
      </c>
      <c r="H710" s="11" t="n">
        <f aca="false">IF(D710=1,SUMIFS(Benefits!$S$4:$S$703,Benefits!$B$4:$B$703,A710,Benefits!$F$4:$F$703,B710,Benefits!$R$4:$R$703,"avoided_cost_realised"),0)</f>
        <v>0</v>
      </c>
      <c r="I710" s="11" t="n">
        <f aca="false">IF(D710=1,SUMIFS(Benefits!$S$4:$S$703,Benefits!$B$4:$B$703,A710,Benefits!$F$4:$F$703,B710,Benefits!$R$4:$R$703,"capacity_converted"),0)</f>
        <v>0</v>
      </c>
      <c r="J710" s="11" t="n">
        <f aca="false">SUM(F710:I710)</f>
        <v>115700</v>
      </c>
      <c r="K710" s="11" t="n">
        <f aca="false">J710-E710</f>
        <v>101150</v>
      </c>
      <c r="L710" s="11" t="n">
        <f aca="false">IF(D710=1,L709+K710,0)</f>
        <v>-426883.2562</v>
      </c>
      <c r="M710" s="11" t="n">
        <f aca="false">IF(D710=1,1/(1+Controls!$B$11)^B710,0)</f>
        <v>0.868407170478222</v>
      </c>
      <c r="N710" s="11" t="n">
        <f aca="false">K710*M710</f>
        <v>87839.3852938722</v>
      </c>
      <c r="O710" s="11" t="n">
        <f aca="false">IF(D710=1,O709+N710,0)</f>
        <v>-402656.926961264</v>
      </c>
      <c r="P710" s="11" t="n">
        <f aca="false">IF(AND(D710=1,L710&lt;0),1,0)</f>
        <v>1</v>
      </c>
      <c r="Q710" s="11" t="n">
        <f aca="false">IF(AND(D710=1,O710&lt;0),1,0)</f>
        <v>1</v>
      </c>
    </row>
    <row r="711" customFormat="false" ht="15" hidden="false" customHeight="false" outlineLevel="0" collapsed="false">
      <c r="A711" s="4" t="s">
        <v>102</v>
      </c>
      <c r="B711" s="4" t="n">
        <v>23</v>
      </c>
      <c r="C711" s="11" t="n">
        <f aca="false">IF(COUNTIF('Scenario inputs'!$A$4:$A$213,Controls!$B$3&amp;"|"&amp;A711)&gt;0,1,0)</f>
        <v>1</v>
      </c>
      <c r="D711" s="11" t="n">
        <f aca="false">IF(AND(C711=1,B711&lt;Controls!$B$12),1,0)</f>
        <v>1</v>
      </c>
      <c r="E711" s="11" t="n">
        <f aca="false">IF(D711=1,SUMPRODUCT((Costs!$B$4:$B$903=A711)*(Costs!$D$4:$D$903="planned")*(Costs!$J$4:$J$903&lt;=B711)*(Costs!$K$4:$K$903&gt;B711)*Costs!$E$4:$E$903),0)</f>
        <v>14550</v>
      </c>
      <c r="F711" s="11" t="n">
        <f aca="false">IF(D711=1,SUMIFS(Benefits!$S$4:$S$703,Benefits!$B$4:$B$703,A711,Benefits!$F$4:$F$703,B711,Benefits!$R$4:$R$703,"cash"),0)</f>
        <v>115700</v>
      </c>
      <c r="G711" s="11" t="n">
        <f aca="false">IF(D711=1,SUMIFS(Benefits!$S$4:$S$703,Benefits!$B$4:$B$703,A711,Benefits!$F$4:$F$703,B711,Benefits!$R$4:$R$703,"revenue"),0)</f>
        <v>0</v>
      </c>
      <c r="H711" s="11" t="n">
        <f aca="false">IF(D711=1,SUMIFS(Benefits!$S$4:$S$703,Benefits!$B$4:$B$703,A711,Benefits!$F$4:$F$703,B711,Benefits!$R$4:$R$703,"avoided_cost_realised"),0)</f>
        <v>0</v>
      </c>
      <c r="I711" s="11" t="n">
        <f aca="false">IF(D711=1,SUMIFS(Benefits!$S$4:$S$703,Benefits!$B$4:$B$703,A711,Benefits!$F$4:$F$703,B711,Benefits!$R$4:$R$703,"capacity_converted"),0)</f>
        <v>0</v>
      </c>
      <c r="J711" s="11" t="n">
        <f aca="false">SUM(F711:I711)</f>
        <v>115700</v>
      </c>
      <c r="K711" s="11" t="n">
        <f aca="false">J711-E711</f>
        <v>101150</v>
      </c>
      <c r="L711" s="11" t="n">
        <f aca="false">IF(D711=1,L710+K711,0)</f>
        <v>-325733.2562</v>
      </c>
      <c r="M711" s="11" t="n">
        <f aca="false">IF(D711=1,1/(1+Controls!$B$11)^B711,0)</f>
        <v>0.862855557819213</v>
      </c>
      <c r="N711" s="11" t="n">
        <f aca="false">K711*M711</f>
        <v>87277.8396734134</v>
      </c>
      <c r="O711" s="11" t="n">
        <f aca="false">IF(D711=1,O710+N711,0)</f>
        <v>-315379.087287851</v>
      </c>
      <c r="P711" s="11" t="n">
        <f aca="false">IF(AND(D711=1,L711&lt;0),1,0)</f>
        <v>1</v>
      </c>
      <c r="Q711" s="11" t="n">
        <f aca="false">IF(AND(D711=1,O711&lt;0),1,0)</f>
        <v>1</v>
      </c>
    </row>
    <row r="712" customFormat="false" ht="15" hidden="false" customHeight="false" outlineLevel="0" collapsed="false">
      <c r="A712" s="4" t="s">
        <v>102</v>
      </c>
      <c r="B712" s="4" t="n">
        <v>24</v>
      </c>
      <c r="C712" s="11" t="n">
        <f aca="false">IF(COUNTIF('Scenario inputs'!$A$4:$A$213,Controls!$B$3&amp;"|"&amp;A712)&gt;0,1,0)</f>
        <v>1</v>
      </c>
      <c r="D712" s="11" t="n">
        <f aca="false">IF(AND(C712=1,B712&lt;Controls!$B$12),1,0)</f>
        <v>1</v>
      </c>
      <c r="E712" s="11" t="n">
        <f aca="false">IF(D712=1,SUMPRODUCT((Costs!$B$4:$B$903=A712)*(Costs!$D$4:$D$903="planned")*(Costs!$J$4:$J$903&lt;=B712)*(Costs!$K$4:$K$903&gt;B712)*Costs!$E$4:$E$903),0)</f>
        <v>14550</v>
      </c>
      <c r="F712" s="11" t="n">
        <f aca="false">IF(D712=1,SUMIFS(Benefits!$S$4:$S$703,Benefits!$B$4:$B$703,A712,Benefits!$F$4:$F$703,B712,Benefits!$R$4:$R$703,"cash"),0)</f>
        <v>115700</v>
      </c>
      <c r="G712" s="11" t="n">
        <f aca="false">IF(D712=1,SUMIFS(Benefits!$S$4:$S$703,Benefits!$B$4:$B$703,A712,Benefits!$F$4:$F$703,B712,Benefits!$R$4:$R$703,"revenue"),0)</f>
        <v>0</v>
      </c>
      <c r="H712" s="11" t="n">
        <f aca="false">IF(D712=1,SUMIFS(Benefits!$S$4:$S$703,Benefits!$B$4:$B$703,A712,Benefits!$F$4:$F$703,B712,Benefits!$R$4:$R$703,"avoided_cost_realised"),0)</f>
        <v>0</v>
      </c>
      <c r="I712" s="11" t="n">
        <f aca="false">IF(D712=1,SUMIFS(Benefits!$S$4:$S$703,Benefits!$B$4:$B$703,A712,Benefits!$F$4:$F$703,B712,Benefits!$R$4:$R$703,"capacity_converted"),0)</f>
        <v>0</v>
      </c>
      <c r="J712" s="11" t="n">
        <f aca="false">SUM(F712:I712)</f>
        <v>115700</v>
      </c>
      <c r="K712" s="11" t="n">
        <f aca="false">J712-E712</f>
        <v>101150</v>
      </c>
      <c r="L712" s="11" t="n">
        <f aca="false">IF(D712=1,L711+K712,0)</f>
        <v>-224583.2562</v>
      </c>
      <c r="M712" s="11" t="n">
        <f aca="false">IF(D712=1,1/(1+Controls!$B$11)^B712,0)</f>
        <v>0.857339435888705</v>
      </c>
      <c r="N712" s="11" t="n">
        <f aca="false">K712*M712</f>
        <v>86719.8839401425</v>
      </c>
      <c r="O712" s="11" t="n">
        <f aca="false">IF(D712=1,O711+N712,0)</f>
        <v>-228659.203347709</v>
      </c>
      <c r="P712" s="11" t="n">
        <f aca="false">IF(AND(D712=1,L712&lt;0),1,0)</f>
        <v>1</v>
      </c>
      <c r="Q712" s="11" t="n">
        <f aca="false">IF(AND(D712=1,O712&lt;0),1,0)</f>
        <v>1</v>
      </c>
    </row>
    <row r="713" customFormat="false" ht="15" hidden="false" customHeight="false" outlineLevel="0" collapsed="false">
      <c r="A713" s="4" t="s">
        <v>102</v>
      </c>
      <c r="B713" s="4" t="n">
        <v>25</v>
      </c>
      <c r="C713" s="11" t="n">
        <f aca="false">IF(COUNTIF('Scenario inputs'!$A$4:$A$213,Controls!$B$3&amp;"|"&amp;A713)&gt;0,1,0)</f>
        <v>1</v>
      </c>
      <c r="D713" s="11" t="n">
        <f aca="false">IF(AND(C713=1,B713&lt;Controls!$B$12),1,0)</f>
        <v>1</v>
      </c>
      <c r="E713" s="11" t="n">
        <f aca="false">IF(D713=1,SUMPRODUCT((Costs!$B$4:$B$903=A713)*(Costs!$D$4:$D$903="planned")*(Costs!$J$4:$J$903&lt;=B713)*(Costs!$K$4:$K$903&gt;B713)*Costs!$E$4:$E$903),0)</f>
        <v>14550</v>
      </c>
      <c r="F713" s="11" t="n">
        <f aca="false">IF(D713=1,SUMIFS(Benefits!$S$4:$S$703,Benefits!$B$4:$B$703,A713,Benefits!$F$4:$F$703,B713,Benefits!$R$4:$R$703,"cash"),0)</f>
        <v>115700</v>
      </c>
      <c r="G713" s="11" t="n">
        <f aca="false">IF(D713=1,SUMIFS(Benefits!$S$4:$S$703,Benefits!$B$4:$B$703,A713,Benefits!$F$4:$F$703,B713,Benefits!$R$4:$R$703,"revenue"),0)</f>
        <v>0</v>
      </c>
      <c r="H713" s="11" t="n">
        <f aca="false">IF(D713=1,SUMIFS(Benefits!$S$4:$S$703,Benefits!$B$4:$B$703,A713,Benefits!$F$4:$F$703,B713,Benefits!$R$4:$R$703,"avoided_cost_realised"),0)</f>
        <v>0</v>
      </c>
      <c r="I713" s="11" t="n">
        <f aca="false">IF(D713=1,SUMIFS(Benefits!$S$4:$S$703,Benefits!$B$4:$B$703,A713,Benefits!$F$4:$F$703,B713,Benefits!$R$4:$R$703,"capacity_converted"),0)</f>
        <v>0</v>
      </c>
      <c r="J713" s="11" t="n">
        <f aca="false">SUM(F713:I713)</f>
        <v>115700</v>
      </c>
      <c r="K713" s="11" t="n">
        <f aca="false">J713-E713</f>
        <v>101150</v>
      </c>
      <c r="L713" s="11" t="n">
        <f aca="false">IF(D713=1,L712+K713,0)</f>
        <v>-123433.2562</v>
      </c>
      <c r="M713" s="11" t="n">
        <f aca="false">IF(D713=1,1/(1+Controls!$B$11)^B713,0)</f>
        <v>0.851858577799146</v>
      </c>
      <c r="N713" s="11" t="n">
        <f aca="false">K713*M713</f>
        <v>86165.4951443836</v>
      </c>
      <c r="O713" s="11" t="n">
        <f aca="false">IF(D713=1,O712+N713,0)</f>
        <v>-142493.708203325</v>
      </c>
      <c r="P713" s="11" t="n">
        <f aca="false">IF(AND(D713=1,L713&lt;0),1,0)</f>
        <v>1</v>
      </c>
      <c r="Q713" s="11" t="n">
        <f aca="false">IF(AND(D713=1,O713&lt;0),1,0)</f>
        <v>1</v>
      </c>
    </row>
    <row r="714" customFormat="false" ht="15" hidden="false" customHeight="false" outlineLevel="0" collapsed="false">
      <c r="A714" s="4" t="s">
        <v>102</v>
      </c>
      <c r="B714" s="4" t="n">
        <v>26</v>
      </c>
      <c r="C714" s="11" t="n">
        <f aca="false">IF(COUNTIF('Scenario inputs'!$A$4:$A$213,Controls!$B$3&amp;"|"&amp;A714)&gt;0,1,0)</f>
        <v>1</v>
      </c>
      <c r="D714" s="11" t="n">
        <f aca="false">IF(AND(C714=1,B714&lt;Controls!$B$12),1,0)</f>
        <v>1</v>
      </c>
      <c r="E714" s="11" t="n">
        <f aca="false">IF(D714=1,SUMPRODUCT((Costs!$B$4:$B$903=A714)*(Costs!$D$4:$D$903="planned")*(Costs!$J$4:$J$903&lt;=B714)*(Costs!$K$4:$K$903&gt;B714)*Costs!$E$4:$E$903),0)</f>
        <v>14550</v>
      </c>
      <c r="F714" s="11" t="n">
        <f aca="false">IF(D714=1,SUMIFS(Benefits!$S$4:$S$703,Benefits!$B$4:$B$703,A714,Benefits!$F$4:$F$703,B714,Benefits!$R$4:$R$703,"cash"),0)</f>
        <v>115700</v>
      </c>
      <c r="G714" s="11" t="n">
        <f aca="false">IF(D714=1,SUMIFS(Benefits!$S$4:$S$703,Benefits!$B$4:$B$703,A714,Benefits!$F$4:$F$703,B714,Benefits!$R$4:$R$703,"revenue"),0)</f>
        <v>0</v>
      </c>
      <c r="H714" s="11" t="n">
        <f aca="false">IF(D714=1,SUMIFS(Benefits!$S$4:$S$703,Benefits!$B$4:$B$703,A714,Benefits!$F$4:$F$703,B714,Benefits!$R$4:$R$703,"avoided_cost_realised"),0)</f>
        <v>0</v>
      </c>
      <c r="I714" s="11" t="n">
        <f aca="false">IF(D714=1,SUMIFS(Benefits!$S$4:$S$703,Benefits!$B$4:$B$703,A714,Benefits!$F$4:$F$703,B714,Benefits!$R$4:$R$703,"capacity_converted"),0)</f>
        <v>0</v>
      </c>
      <c r="J714" s="11" t="n">
        <f aca="false">SUM(F714:I714)</f>
        <v>115700</v>
      </c>
      <c r="K714" s="11" t="n">
        <f aca="false">J714-E714</f>
        <v>101150</v>
      </c>
      <c r="L714" s="11" t="n">
        <f aca="false">IF(D714=1,L713+K714,0)</f>
        <v>-22283.2561999999</v>
      </c>
      <c r="M714" s="11" t="n">
        <f aca="false">IF(D714=1,1/(1+Controls!$B$11)^B714,0)</f>
        <v>0.846412758113444</v>
      </c>
      <c r="N714" s="11" t="n">
        <f aca="false">K714*M714</f>
        <v>85614.6504831748</v>
      </c>
      <c r="O714" s="11" t="n">
        <f aca="false">IF(D714=1,O713+N714,0)</f>
        <v>-56879.0577201501</v>
      </c>
      <c r="P714" s="11" t="n">
        <f aca="false">IF(AND(D714=1,L714&lt;0),1,0)</f>
        <v>1</v>
      </c>
      <c r="Q714" s="11" t="n">
        <f aca="false">IF(AND(D714=1,O714&lt;0),1,0)</f>
        <v>1</v>
      </c>
    </row>
    <row r="715" customFormat="false" ht="15" hidden="false" customHeight="false" outlineLevel="0" collapsed="false">
      <c r="A715" s="4" t="s">
        <v>102</v>
      </c>
      <c r="B715" s="4" t="n">
        <v>27</v>
      </c>
      <c r="C715" s="11" t="n">
        <f aca="false">IF(COUNTIF('Scenario inputs'!$A$4:$A$213,Controls!$B$3&amp;"|"&amp;A715)&gt;0,1,0)</f>
        <v>1</v>
      </c>
      <c r="D715" s="11" t="n">
        <f aca="false">IF(AND(C715=1,B715&lt;Controls!$B$12),1,0)</f>
        <v>1</v>
      </c>
      <c r="E715" s="11" t="n">
        <f aca="false">IF(D715=1,SUMPRODUCT((Costs!$B$4:$B$903=A715)*(Costs!$D$4:$D$903="planned")*(Costs!$J$4:$J$903&lt;=B715)*(Costs!$K$4:$K$903&gt;B715)*Costs!$E$4:$E$903),0)</f>
        <v>14550</v>
      </c>
      <c r="F715" s="11" t="n">
        <f aca="false">IF(D715=1,SUMIFS(Benefits!$S$4:$S$703,Benefits!$B$4:$B$703,A715,Benefits!$F$4:$F$703,B715,Benefits!$R$4:$R$703,"cash"),0)</f>
        <v>115700</v>
      </c>
      <c r="G715" s="11" t="n">
        <f aca="false">IF(D715=1,SUMIFS(Benefits!$S$4:$S$703,Benefits!$B$4:$B$703,A715,Benefits!$F$4:$F$703,B715,Benefits!$R$4:$R$703,"revenue"),0)</f>
        <v>0</v>
      </c>
      <c r="H715" s="11" t="n">
        <f aca="false">IF(D715=1,SUMIFS(Benefits!$S$4:$S$703,Benefits!$B$4:$B$703,A715,Benefits!$F$4:$F$703,B715,Benefits!$R$4:$R$703,"avoided_cost_realised"),0)</f>
        <v>0</v>
      </c>
      <c r="I715" s="11" t="n">
        <f aca="false">IF(D715=1,SUMIFS(Benefits!$S$4:$S$703,Benefits!$B$4:$B$703,A715,Benefits!$F$4:$F$703,B715,Benefits!$R$4:$R$703,"capacity_converted"),0)</f>
        <v>0</v>
      </c>
      <c r="J715" s="11" t="n">
        <f aca="false">SUM(F715:I715)</f>
        <v>115700</v>
      </c>
      <c r="K715" s="11" t="n">
        <f aca="false">J715-E715</f>
        <v>101150</v>
      </c>
      <c r="L715" s="11" t="n">
        <f aca="false">IF(D715=1,L714+K715,0)</f>
        <v>78866.7438000001</v>
      </c>
      <c r="M715" s="11" t="n">
        <f aca="false">IF(D715=1,1/(1+Controls!$B$11)^B715,0)</f>
        <v>0.841001752835699</v>
      </c>
      <c r="N715" s="11" t="n">
        <f aca="false">K715*M715</f>
        <v>85067.3272993309</v>
      </c>
      <c r="O715" s="11" t="n">
        <f aca="false">IF(D715=1,O714+N715,0)</f>
        <v>28188.2695791808</v>
      </c>
      <c r="P715" s="11" t="n">
        <f aca="false">IF(AND(D715=1,L715&lt;0),1,0)</f>
        <v>0</v>
      </c>
      <c r="Q715" s="11" t="n">
        <f aca="false">IF(AND(D715=1,O715&lt;0),1,0)</f>
        <v>0</v>
      </c>
    </row>
    <row r="716" customFormat="false" ht="15" hidden="false" customHeight="false" outlineLevel="0" collapsed="false">
      <c r="A716" s="4" t="s">
        <v>102</v>
      </c>
      <c r="B716" s="4" t="n">
        <v>28</v>
      </c>
      <c r="C716" s="11" t="n">
        <f aca="false">IF(COUNTIF('Scenario inputs'!$A$4:$A$213,Controls!$B$3&amp;"|"&amp;A716)&gt;0,1,0)</f>
        <v>1</v>
      </c>
      <c r="D716" s="11" t="n">
        <f aca="false">IF(AND(C716=1,B716&lt;Controls!$B$12),1,0)</f>
        <v>1</v>
      </c>
      <c r="E716" s="11" t="n">
        <f aca="false">IF(D716=1,SUMPRODUCT((Costs!$B$4:$B$903=A716)*(Costs!$D$4:$D$903="planned")*(Costs!$J$4:$J$903&lt;=B716)*(Costs!$K$4:$K$903&gt;B716)*Costs!$E$4:$E$903),0)</f>
        <v>14550</v>
      </c>
      <c r="F716" s="11" t="n">
        <f aca="false">IF(D716=1,SUMIFS(Benefits!$S$4:$S$703,Benefits!$B$4:$B$703,A716,Benefits!$F$4:$F$703,B716,Benefits!$R$4:$R$703,"cash"),0)</f>
        <v>115700</v>
      </c>
      <c r="G716" s="11" t="n">
        <f aca="false">IF(D716=1,SUMIFS(Benefits!$S$4:$S$703,Benefits!$B$4:$B$703,A716,Benefits!$F$4:$F$703,B716,Benefits!$R$4:$R$703,"revenue"),0)</f>
        <v>0</v>
      </c>
      <c r="H716" s="11" t="n">
        <f aca="false">IF(D716=1,SUMIFS(Benefits!$S$4:$S$703,Benefits!$B$4:$B$703,A716,Benefits!$F$4:$F$703,B716,Benefits!$R$4:$R$703,"avoided_cost_realised"),0)</f>
        <v>0</v>
      </c>
      <c r="I716" s="11" t="n">
        <f aca="false">IF(D716=1,SUMIFS(Benefits!$S$4:$S$703,Benefits!$B$4:$B$703,A716,Benefits!$F$4:$F$703,B716,Benefits!$R$4:$R$703,"capacity_converted"),0)</f>
        <v>0</v>
      </c>
      <c r="J716" s="11" t="n">
        <f aca="false">SUM(F716:I716)</f>
        <v>115700</v>
      </c>
      <c r="K716" s="11" t="n">
        <f aca="false">J716-E716</f>
        <v>101150</v>
      </c>
      <c r="L716" s="11" t="n">
        <f aca="false">IF(D716=1,L715+K716,0)</f>
        <v>180016.7438</v>
      </c>
      <c r="M716" s="11" t="n">
        <f aca="false">IF(D716=1,1/(1+Controls!$B$11)^B716,0)</f>
        <v>0.835625339401986</v>
      </c>
      <c r="N716" s="11" t="n">
        <f aca="false">K716*M716</f>
        <v>84523.5030805109</v>
      </c>
      <c r="O716" s="11" t="n">
        <f aca="false">IF(D716=1,O715+N716,0)</f>
        <v>112711.772659692</v>
      </c>
      <c r="P716" s="11" t="n">
        <f aca="false">IF(AND(D716=1,L716&lt;0),1,0)</f>
        <v>0</v>
      </c>
      <c r="Q716" s="11" t="n">
        <f aca="false">IF(AND(D716=1,O716&lt;0),1,0)</f>
        <v>0</v>
      </c>
    </row>
    <row r="717" customFormat="false" ht="15" hidden="false" customHeight="false" outlineLevel="0" collapsed="false">
      <c r="A717" s="4" t="s">
        <v>102</v>
      </c>
      <c r="B717" s="4" t="n">
        <v>29</v>
      </c>
      <c r="C717" s="11" t="n">
        <f aca="false">IF(COUNTIF('Scenario inputs'!$A$4:$A$213,Controls!$B$3&amp;"|"&amp;A717)&gt;0,1,0)</f>
        <v>1</v>
      </c>
      <c r="D717" s="11" t="n">
        <f aca="false">IF(AND(C717=1,B717&lt;Controls!$B$12),1,0)</f>
        <v>1</v>
      </c>
      <c r="E717" s="11" t="n">
        <f aca="false">IF(D717=1,SUMPRODUCT((Costs!$B$4:$B$903=A717)*(Costs!$D$4:$D$903="planned")*(Costs!$J$4:$J$903&lt;=B717)*(Costs!$K$4:$K$903&gt;B717)*Costs!$E$4:$E$903),0)</f>
        <v>0</v>
      </c>
      <c r="F717" s="11" t="n">
        <f aca="false">IF(D717=1,SUMIFS(Benefits!$S$4:$S$703,Benefits!$B$4:$B$703,A717,Benefits!$F$4:$F$703,B717,Benefits!$R$4:$R$703,"cash"),0)</f>
        <v>0</v>
      </c>
      <c r="G717" s="11" t="n">
        <f aca="false">IF(D717=1,SUMIFS(Benefits!$S$4:$S$703,Benefits!$B$4:$B$703,A717,Benefits!$F$4:$F$703,B717,Benefits!$R$4:$R$703,"revenue"),0)</f>
        <v>0</v>
      </c>
      <c r="H717" s="11" t="n">
        <f aca="false">IF(D717=1,SUMIFS(Benefits!$S$4:$S$703,Benefits!$B$4:$B$703,A717,Benefits!$F$4:$F$703,B717,Benefits!$R$4:$R$703,"avoided_cost_realised"),0)</f>
        <v>0</v>
      </c>
      <c r="I717" s="11" t="n">
        <f aca="false">IF(D717=1,SUMIFS(Benefits!$S$4:$S$703,Benefits!$B$4:$B$703,A717,Benefits!$F$4:$F$703,B717,Benefits!$R$4:$R$703,"capacity_converted"),0)</f>
        <v>0</v>
      </c>
      <c r="J717" s="11" t="n">
        <f aca="false">SUM(F717:I717)</f>
        <v>0</v>
      </c>
      <c r="K717" s="11" t="n">
        <f aca="false">J717-E717</f>
        <v>0</v>
      </c>
      <c r="L717" s="11" t="n">
        <f aca="false">IF(D717=1,L716+K717,0)</f>
        <v>180016.7438</v>
      </c>
      <c r="M717" s="11" t="n">
        <f aca="false">IF(D717=1,1/(1+Controls!$B$11)^B717,0)</f>
        <v>0.830283296671204</v>
      </c>
      <c r="N717" s="11" t="n">
        <f aca="false">K717*M717</f>
        <v>0</v>
      </c>
      <c r="O717" s="11" t="n">
        <f aca="false">IF(D717=1,O716+N717,0)</f>
        <v>112711.772659692</v>
      </c>
      <c r="P717" s="11" t="n">
        <f aca="false">IF(AND(D717=1,L717&lt;0),1,0)</f>
        <v>0</v>
      </c>
      <c r="Q717" s="11" t="n">
        <f aca="false">IF(AND(D717=1,O717&lt;0),1,0)</f>
        <v>0</v>
      </c>
    </row>
    <row r="718" customFormat="false" ht="15" hidden="false" customHeight="false" outlineLevel="0" collapsed="false">
      <c r="A718" s="4" t="s">
        <v>102</v>
      </c>
      <c r="B718" s="4" t="n">
        <v>30</v>
      </c>
      <c r="C718" s="11" t="n">
        <f aca="false">IF(COUNTIF('Scenario inputs'!$A$4:$A$213,Controls!$B$3&amp;"|"&amp;A718)&gt;0,1,0)</f>
        <v>1</v>
      </c>
      <c r="D718" s="11" t="n">
        <f aca="false">IF(AND(C718=1,B718&lt;Controls!$B$12),1,0)</f>
        <v>1</v>
      </c>
      <c r="E718" s="11" t="n">
        <f aca="false">IF(D718=1,SUMPRODUCT((Costs!$B$4:$B$903=A718)*(Costs!$D$4:$D$903="planned")*(Costs!$J$4:$J$903&lt;=B718)*(Costs!$K$4:$K$903&gt;B718)*Costs!$E$4:$E$903),0)</f>
        <v>0</v>
      </c>
      <c r="F718" s="11" t="n">
        <f aca="false">IF(D718=1,SUMIFS(Benefits!$S$4:$S$703,Benefits!$B$4:$B$703,A718,Benefits!$F$4:$F$703,B718,Benefits!$R$4:$R$703,"cash"),0)</f>
        <v>0</v>
      </c>
      <c r="G718" s="11" t="n">
        <f aca="false">IF(D718=1,SUMIFS(Benefits!$S$4:$S$703,Benefits!$B$4:$B$703,A718,Benefits!$F$4:$F$703,B718,Benefits!$R$4:$R$703,"revenue"),0)</f>
        <v>0</v>
      </c>
      <c r="H718" s="11" t="n">
        <f aca="false">IF(D718=1,SUMIFS(Benefits!$S$4:$S$703,Benefits!$B$4:$B$703,A718,Benefits!$F$4:$F$703,B718,Benefits!$R$4:$R$703,"avoided_cost_realised"),0)</f>
        <v>0</v>
      </c>
      <c r="I718" s="11" t="n">
        <f aca="false">IF(D718=1,SUMIFS(Benefits!$S$4:$S$703,Benefits!$B$4:$B$703,A718,Benefits!$F$4:$F$703,B718,Benefits!$R$4:$R$703,"capacity_converted"),0)</f>
        <v>0</v>
      </c>
      <c r="J718" s="11" t="n">
        <f aca="false">SUM(F718:I718)</f>
        <v>0</v>
      </c>
      <c r="K718" s="11" t="n">
        <f aca="false">J718-E718</f>
        <v>0</v>
      </c>
      <c r="L718" s="11" t="n">
        <f aca="false">IF(D718=1,L717+K718,0)</f>
        <v>180016.7438</v>
      </c>
      <c r="M718" s="11" t="n">
        <f aca="false">IF(D718=1,1/(1+Controls!$B$11)^B718,0)</f>
        <v>0.824975404915974</v>
      </c>
      <c r="N718" s="11" t="n">
        <f aca="false">K718*M718</f>
        <v>0</v>
      </c>
      <c r="O718" s="11" t="n">
        <f aca="false">IF(D718=1,O717+N718,0)</f>
        <v>112711.772659692</v>
      </c>
      <c r="P718" s="11" t="n">
        <f aca="false">IF(AND(D718=1,L718&lt;0),1,0)</f>
        <v>0</v>
      </c>
      <c r="Q718" s="11" t="n">
        <f aca="false">IF(AND(D718=1,O718&lt;0),1,0)</f>
        <v>0</v>
      </c>
    </row>
    <row r="719" customFormat="false" ht="15" hidden="false" customHeight="false" outlineLevel="0" collapsed="false">
      <c r="A719" s="4" t="s">
        <v>102</v>
      </c>
      <c r="B719" s="4" t="n">
        <v>31</v>
      </c>
      <c r="C719" s="11" t="n">
        <f aca="false">IF(COUNTIF('Scenario inputs'!$A$4:$A$213,Controls!$B$3&amp;"|"&amp;A719)&gt;0,1,0)</f>
        <v>1</v>
      </c>
      <c r="D719" s="11" t="n">
        <f aca="false">IF(AND(C719=1,B719&lt;Controls!$B$12),1,0)</f>
        <v>1</v>
      </c>
      <c r="E719" s="11" t="n">
        <f aca="false">IF(D719=1,SUMPRODUCT((Costs!$B$4:$B$903=A719)*(Costs!$D$4:$D$903="planned")*(Costs!$J$4:$J$903&lt;=B719)*(Costs!$K$4:$K$903&gt;B719)*Costs!$E$4:$E$903),0)</f>
        <v>0</v>
      </c>
      <c r="F719" s="11" t="n">
        <f aca="false">IF(D719=1,SUMIFS(Benefits!$S$4:$S$703,Benefits!$B$4:$B$703,A719,Benefits!$F$4:$F$703,B719,Benefits!$R$4:$R$703,"cash"),0)</f>
        <v>0</v>
      </c>
      <c r="G719" s="11" t="n">
        <f aca="false">IF(D719=1,SUMIFS(Benefits!$S$4:$S$703,Benefits!$B$4:$B$703,A719,Benefits!$F$4:$F$703,B719,Benefits!$R$4:$R$703,"revenue"),0)</f>
        <v>0</v>
      </c>
      <c r="H719" s="11" t="n">
        <f aca="false">IF(D719=1,SUMIFS(Benefits!$S$4:$S$703,Benefits!$B$4:$B$703,A719,Benefits!$F$4:$F$703,B719,Benefits!$R$4:$R$703,"avoided_cost_realised"),0)</f>
        <v>0</v>
      </c>
      <c r="I719" s="11" t="n">
        <f aca="false">IF(D719=1,SUMIFS(Benefits!$S$4:$S$703,Benefits!$B$4:$B$703,A719,Benefits!$F$4:$F$703,B719,Benefits!$R$4:$R$703,"capacity_converted"),0)</f>
        <v>0</v>
      </c>
      <c r="J719" s="11" t="n">
        <f aca="false">SUM(F719:I719)</f>
        <v>0</v>
      </c>
      <c r="K719" s="11" t="n">
        <f aca="false">J719-E719</f>
        <v>0</v>
      </c>
      <c r="L719" s="11" t="n">
        <f aca="false">IF(D719=1,L718+K719,0)</f>
        <v>180016.7438</v>
      </c>
      <c r="M719" s="11" t="n">
        <f aca="false">IF(D719=1,1/(1+Controls!$B$11)^B719,0)</f>
        <v>0.81970144581361</v>
      </c>
      <c r="N719" s="11" t="n">
        <f aca="false">K719*M719</f>
        <v>0</v>
      </c>
      <c r="O719" s="11" t="n">
        <f aca="false">IF(D719=1,O718+N719,0)</f>
        <v>112711.772659692</v>
      </c>
      <c r="P719" s="11" t="n">
        <f aca="false">IF(AND(D719=1,L719&lt;0),1,0)</f>
        <v>0</v>
      </c>
      <c r="Q719" s="11" t="n">
        <f aca="false">IF(AND(D719=1,O719&lt;0),1,0)</f>
        <v>0</v>
      </c>
    </row>
    <row r="720" customFormat="false" ht="15" hidden="false" customHeight="false" outlineLevel="0" collapsed="false">
      <c r="A720" s="4" t="s">
        <v>102</v>
      </c>
      <c r="B720" s="4" t="n">
        <v>32</v>
      </c>
      <c r="C720" s="11" t="n">
        <f aca="false">IF(COUNTIF('Scenario inputs'!$A$4:$A$213,Controls!$B$3&amp;"|"&amp;A720)&gt;0,1,0)</f>
        <v>1</v>
      </c>
      <c r="D720" s="11" t="n">
        <f aca="false">IF(AND(C720=1,B720&lt;Controls!$B$12),1,0)</f>
        <v>1</v>
      </c>
      <c r="E720" s="11" t="n">
        <f aca="false">IF(D720=1,SUMPRODUCT((Costs!$B$4:$B$903=A720)*(Costs!$D$4:$D$903="planned")*(Costs!$J$4:$J$903&lt;=B720)*(Costs!$K$4:$K$903&gt;B720)*Costs!$E$4:$E$903),0)</f>
        <v>0</v>
      </c>
      <c r="F720" s="11" t="n">
        <f aca="false">IF(D720=1,SUMIFS(Benefits!$S$4:$S$703,Benefits!$B$4:$B$703,A720,Benefits!$F$4:$F$703,B720,Benefits!$R$4:$R$703,"cash"),0)</f>
        <v>0</v>
      </c>
      <c r="G720" s="11" t="n">
        <f aca="false">IF(D720=1,SUMIFS(Benefits!$S$4:$S$703,Benefits!$B$4:$B$703,A720,Benefits!$F$4:$F$703,B720,Benefits!$R$4:$R$703,"revenue"),0)</f>
        <v>0</v>
      </c>
      <c r="H720" s="11" t="n">
        <f aca="false">IF(D720=1,SUMIFS(Benefits!$S$4:$S$703,Benefits!$B$4:$B$703,A720,Benefits!$F$4:$F$703,B720,Benefits!$R$4:$R$703,"avoided_cost_realised"),0)</f>
        <v>0</v>
      </c>
      <c r="I720" s="11" t="n">
        <f aca="false">IF(D720=1,SUMIFS(Benefits!$S$4:$S$703,Benefits!$B$4:$B$703,A720,Benefits!$F$4:$F$703,B720,Benefits!$R$4:$R$703,"capacity_converted"),0)</f>
        <v>0</v>
      </c>
      <c r="J720" s="11" t="n">
        <f aca="false">SUM(F720:I720)</f>
        <v>0</v>
      </c>
      <c r="K720" s="11" t="n">
        <f aca="false">J720-E720</f>
        <v>0</v>
      </c>
      <c r="L720" s="11" t="n">
        <f aca="false">IF(D720=1,L719+K720,0)</f>
        <v>180016.7438</v>
      </c>
      <c r="M720" s="11" t="n">
        <f aca="false">IF(D720=1,1/(1+Controls!$B$11)^B720,0)</f>
        <v>0.814461202437129</v>
      </c>
      <c r="N720" s="11" t="n">
        <f aca="false">K720*M720</f>
        <v>0</v>
      </c>
      <c r="O720" s="11" t="n">
        <f aca="false">IF(D720=1,O719+N720,0)</f>
        <v>112711.772659692</v>
      </c>
      <c r="P720" s="11" t="n">
        <f aca="false">IF(AND(D720=1,L720&lt;0),1,0)</f>
        <v>0</v>
      </c>
      <c r="Q720" s="11" t="n">
        <f aca="false">IF(AND(D720=1,O720&lt;0),1,0)</f>
        <v>0</v>
      </c>
    </row>
    <row r="721" customFormat="false" ht="15" hidden="false" customHeight="false" outlineLevel="0" collapsed="false">
      <c r="A721" s="4" t="s">
        <v>102</v>
      </c>
      <c r="B721" s="4" t="n">
        <v>33</v>
      </c>
      <c r="C721" s="11" t="n">
        <f aca="false">IF(COUNTIF('Scenario inputs'!$A$4:$A$213,Controls!$B$3&amp;"|"&amp;A721)&gt;0,1,0)</f>
        <v>1</v>
      </c>
      <c r="D721" s="11" t="n">
        <f aca="false">IF(AND(C721=1,B721&lt;Controls!$B$12),1,0)</f>
        <v>1</v>
      </c>
      <c r="E721" s="11" t="n">
        <f aca="false">IF(D721=1,SUMPRODUCT((Costs!$B$4:$B$903=A721)*(Costs!$D$4:$D$903="planned")*(Costs!$J$4:$J$903&lt;=B721)*(Costs!$K$4:$K$903&gt;B721)*Costs!$E$4:$E$903),0)</f>
        <v>0</v>
      </c>
      <c r="F721" s="11" t="n">
        <f aca="false">IF(D721=1,SUMIFS(Benefits!$S$4:$S$703,Benefits!$B$4:$B$703,A721,Benefits!$F$4:$F$703,B721,Benefits!$R$4:$R$703,"cash"),0)</f>
        <v>0</v>
      </c>
      <c r="G721" s="11" t="n">
        <f aca="false">IF(D721=1,SUMIFS(Benefits!$S$4:$S$703,Benefits!$B$4:$B$703,A721,Benefits!$F$4:$F$703,B721,Benefits!$R$4:$R$703,"revenue"),0)</f>
        <v>0</v>
      </c>
      <c r="H721" s="11" t="n">
        <f aca="false">IF(D721=1,SUMIFS(Benefits!$S$4:$S$703,Benefits!$B$4:$B$703,A721,Benefits!$F$4:$F$703,B721,Benefits!$R$4:$R$703,"avoided_cost_realised"),0)</f>
        <v>0</v>
      </c>
      <c r="I721" s="11" t="n">
        <f aca="false">IF(D721=1,SUMIFS(Benefits!$S$4:$S$703,Benefits!$B$4:$B$703,A721,Benefits!$F$4:$F$703,B721,Benefits!$R$4:$R$703,"capacity_converted"),0)</f>
        <v>0</v>
      </c>
      <c r="J721" s="11" t="n">
        <f aca="false">SUM(F721:I721)</f>
        <v>0</v>
      </c>
      <c r="K721" s="11" t="n">
        <f aca="false">J721-E721</f>
        <v>0</v>
      </c>
      <c r="L721" s="11" t="n">
        <f aca="false">IF(D721=1,L720+K721,0)</f>
        <v>180016.7438</v>
      </c>
      <c r="M721" s="11" t="n">
        <f aca="false">IF(D721=1,1/(1+Controls!$B$11)^B721,0)</f>
        <v>0.809254459246338</v>
      </c>
      <c r="N721" s="11" t="n">
        <f aca="false">K721*M721</f>
        <v>0</v>
      </c>
      <c r="O721" s="11" t="n">
        <f aca="false">IF(D721=1,O720+N721,0)</f>
        <v>112711.772659692</v>
      </c>
      <c r="P721" s="11" t="n">
        <f aca="false">IF(AND(D721=1,L721&lt;0),1,0)</f>
        <v>0</v>
      </c>
      <c r="Q721" s="11" t="n">
        <f aca="false">IF(AND(D721=1,O721&lt;0),1,0)</f>
        <v>0</v>
      </c>
    </row>
    <row r="722" customFormat="false" ht="15" hidden="false" customHeight="false" outlineLevel="0" collapsed="false">
      <c r="A722" s="4" t="s">
        <v>102</v>
      </c>
      <c r="B722" s="4" t="n">
        <v>34</v>
      </c>
      <c r="C722" s="11" t="n">
        <f aca="false">IF(COUNTIF('Scenario inputs'!$A$4:$A$213,Controls!$B$3&amp;"|"&amp;A722)&gt;0,1,0)</f>
        <v>1</v>
      </c>
      <c r="D722" s="11" t="n">
        <f aca="false">IF(AND(C722=1,B722&lt;Controls!$B$12),1,0)</f>
        <v>1</v>
      </c>
      <c r="E722" s="11" t="n">
        <f aca="false">IF(D722=1,SUMPRODUCT((Costs!$B$4:$B$903=A722)*(Costs!$D$4:$D$903="planned")*(Costs!$J$4:$J$903&lt;=B722)*(Costs!$K$4:$K$903&gt;B722)*Costs!$E$4:$E$903),0)</f>
        <v>0</v>
      </c>
      <c r="F722" s="11" t="n">
        <f aca="false">IF(D722=1,SUMIFS(Benefits!$S$4:$S$703,Benefits!$B$4:$B$703,A722,Benefits!$F$4:$F$703,B722,Benefits!$R$4:$R$703,"cash"),0)</f>
        <v>0</v>
      </c>
      <c r="G722" s="11" t="n">
        <f aca="false">IF(D722=1,SUMIFS(Benefits!$S$4:$S$703,Benefits!$B$4:$B$703,A722,Benefits!$F$4:$F$703,B722,Benefits!$R$4:$R$703,"revenue"),0)</f>
        <v>0</v>
      </c>
      <c r="H722" s="11" t="n">
        <f aca="false">IF(D722=1,SUMIFS(Benefits!$S$4:$S$703,Benefits!$B$4:$B$703,A722,Benefits!$F$4:$F$703,B722,Benefits!$R$4:$R$703,"avoided_cost_realised"),0)</f>
        <v>0</v>
      </c>
      <c r="I722" s="11" t="n">
        <f aca="false">IF(D722=1,SUMIFS(Benefits!$S$4:$S$703,Benefits!$B$4:$B$703,A722,Benefits!$F$4:$F$703,B722,Benefits!$R$4:$R$703,"capacity_converted"),0)</f>
        <v>0</v>
      </c>
      <c r="J722" s="11" t="n">
        <f aca="false">SUM(F722:I722)</f>
        <v>0</v>
      </c>
      <c r="K722" s="11" t="n">
        <f aca="false">J722-E722</f>
        <v>0</v>
      </c>
      <c r="L722" s="11" t="n">
        <f aca="false">IF(D722=1,L721+K722,0)</f>
        <v>180016.7438</v>
      </c>
      <c r="M722" s="11" t="n">
        <f aca="false">IF(D722=1,1/(1+Controls!$B$11)^B722,0)</f>
        <v>0.804081002078962</v>
      </c>
      <c r="N722" s="11" t="n">
        <f aca="false">K722*M722</f>
        <v>0</v>
      </c>
      <c r="O722" s="11" t="n">
        <f aca="false">IF(D722=1,O721+N722,0)</f>
        <v>112711.772659692</v>
      </c>
      <c r="P722" s="11" t="n">
        <f aca="false">IF(AND(D722=1,L722&lt;0),1,0)</f>
        <v>0</v>
      </c>
      <c r="Q722" s="11" t="n">
        <f aca="false">IF(AND(D722=1,O722&lt;0),1,0)</f>
        <v>0</v>
      </c>
    </row>
    <row r="723" customFormat="false" ht="15" hidden="false" customHeight="false" outlineLevel="0" collapsed="false">
      <c r="A723" s="4" t="s">
        <v>102</v>
      </c>
      <c r="B723" s="4" t="n">
        <v>35</v>
      </c>
      <c r="C723" s="11" t="n">
        <f aca="false">IF(COUNTIF('Scenario inputs'!$A$4:$A$213,Controls!$B$3&amp;"|"&amp;A723)&gt;0,1,0)</f>
        <v>1</v>
      </c>
      <c r="D723" s="11" t="n">
        <f aca="false">IF(AND(C723=1,B723&lt;Controls!$B$12),1,0)</f>
        <v>1</v>
      </c>
      <c r="E723" s="11" t="n">
        <f aca="false">IF(D723=1,SUMPRODUCT((Costs!$B$4:$B$903=A723)*(Costs!$D$4:$D$903="planned")*(Costs!$J$4:$J$903&lt;=B723)*(Costs!$K$4:$K$903&gt;B723)*Costs!$E$4:$E$903),0)</f>
        <v>0</v>
      </c>
      <c r="F723" s="11" t="n">
        <f aca="false">IF(D723=1,SUMIFS(Benefits!$S$4:$S$703,Benefits!$B$4:$B$703,A723,Benefits!$F$4:$F$703,B723,Benefits!$R$4:$R$703,"cash"),0)</f>
        <v>0</v>
      </c>
      <c r="G723" s="11" t="n">
        <f aca="false">IF(D723=1,SUMIFS(Benefits!$S$4:$S$703,Benefits!$B$4:$B$703,A723,Benefits!$F$4:$F$703,B723,Benefits!$R$4:$R$703,"revenue"),0)</f>
        <v>0</v>
      </c>
      <c r="H723" s="11" t="n">
        <f aca="false">IF(D723=1,SUMIFS(Benefits!$S$4:$S$703,Benefits!$B$4:$B$703,A723,Benefits!$F$4:$F$703,B723,Benefits!$R$4:$R$703,"avoided_cost_realised"),0)</f>
        <v>0</v>
      </c>
      <c r="I723" s="11" t="n">
        <f aca="false">IF(D723=1,SUMIFS(Benefits!$S$4:$S$703,Benefits!$B$4:$B$703,A723,Benefits!$F$4:$F$703,B723,Benefits!$R$4:$R$703,"capacity_converted"),0)</f>
        <v>0</v>
      </c>
      <c r="J723" s="11" t="n">
        <f aca="false">SUM(F723:I723)</f>
        <v>0</v>
      </c>
      <c r="K723" s="11" t="n">
        <f aca="false">J723-E723</f>
        <v>0</v>
      </c>
      <c r="L723" s="11" t="n">
        <f aca="false">IF(D723=1,L722+K723,0)</f>
        <v>180016.7438</v>
      </c>
      <c r="M723" s="11" t="n">
        <f aca="false">IF(D723=1,1/(1+Controls!$B$11)^B723,0)</f>
        <v>0.798940618141837</v>
      </c>
      <c r="N723" s="11" t="n">
        <f aca="false">K723*M723</f>
        <v>0</v>
      </c>
      <c r="O723" s="11" t="n">
        <f aca="false">IF(D723=1,O722+N723,0)</f>
        <v>112711.772659692</v>
      </c>
      <c r="P723" s="11" t="n">
        <f aca="false">IF(AND(D723=1,L723&lt;0),1,0)</f>
        <v>0</v>
      </c>
      <c r="Q723" s="11" t="n">
        <f aca="false">IF(AND(D723=1,O723&lt;0),1,0)</f>
        <v>0</v>
      </c>
    </row>
    <row r="724" customFormat="false" ht="15" hidden="false" customHeight="false" outlineLevel="0" collapsed="false">
      <c r="A724" s="4" t="s">
        <v>103</v>
      </c>
      <c r="B724" s="4" t="n">
        <v>0</v>
      </c>
      <c r="C724" s="11" t="n">
        <f aca="false">IF(COUNTIF('Scenario inputs'!$A$4:$A$213,Controls!$B$3&amp;"|"&amp;A724)&gt;0,1,0)</f>
        <v>1</v>
      </c>
      <c r="D724" s="11" t="n">
        <f aca="false">IF(AND(C724=1,B724&lt;Controls!$B$12),1,0)</f>
        <v>1</v>
      </c>
      <c r="E724" s="11" t="n">
        <f aca="false">IF(D724=1,SUMPRODUCT((Costs!$B$4:$B$903=A724)*(Costs!$D$4:$D$903="planned")*(Costs!$J$4:$J$903&lt;=B724)*(Costs!$K$4:$K$903&gt;B724)*Costs!$E$4:$E$903),0)</f>
        <v>6000</v>
      </c>
      <c r="F724" s="11" t="n">
        <f aca="false">IF(D724=1,SUMIFS(Benefits!$S$4:$S$703,Benefits!$B$4:$B$703,A724,Benefits!$F$4:$F$703,B724,Benefits!$R$4:$R$703,"cash"),0)</f>
        <v>0</v>
      </c>
      <c r="G724" s="11" t="n">
        <f aca="false">IF(D724=1,SUMIFS(Benefits!$S$4:$S$703,Benefits!$B$4:$B$703,A724,Benefits!$F$4:$F$703,B724,Benefits!$R$4:$R$703,"revenue"),0)</f>
        <v>0</v>
      </c>
      <c r="H724" s="11" t="n">
        <f aca="false">IF(D724=1,SUMIFS(Benefits!$S$4:$S$703,Benefits!$B$4:$B$703,A724,Benefits!$F$4:$F$703,B724,Benefits!$R$4:$R$703,"avoided_cost_realised"),0)</f>
        <v>0</v>
      </c>
      <c r="I724" s="11" t="n">
        <f aca="false">IF(D724=1,SUMIFS(Benefits!$S$4:$S$703,Benefits!$B$4:$B$703,A724,Benefits!$F$4:$F$703,B724,Benefits!$R$4:$R$703,"capacity_converted"),0)</f>
        <v>0</v>
      </c>
      <c r="J724" s="11" t="n">
        <f aca="false">SUM(F724:I724)</f>
        <v>0</v>
      </c>
      <c r="K724" s="11" t="n">
        <f aca="false">J724-E724</f>
        <v>-6000</v>
      </c>
      <c r="L724" s="11" t="n">
        <f aca="false">IF(D724=1,K724,0)</f>
        <v>-6000</v>
      </c>
      <c r="M724" s="11" t="n">
        <f aca="false">IF(D724=1,1/(1+Controls!$B$11)^B724,0)</f>
        <v>1</v>
      </c>
      <c r="N724" s="11" t="n">
        <f aca="false">K724*M724</f>
        <v>-6000</v>
      </c>
      <c r="O724" s="11" t="n">
        <f aca="false">IF(D724=1,N724,0)</f>
        <v>-6000</v>
      </c>
      <c r="P724" s="11" t="n">
        <f aca="false">IF(AND(D724=1,L724&lt;0),1,0)</f>
        <v>1</v>
      </c>
      <c r="Q724" s="11" t="n">
        <f aca="false">IF(AND(D724=1,O724&lt;0),1,0)</f>
        <v>1</v>
      </c>
    </row>
    <row r="725" customFormat="false" ht="15" hidden="false" customHeight="false" outlineLevel="0" collapsed="false">
      <c r="A725" s="4" t="s">
        <v>103</v>
      </c>
      <c r="B725" s="4" t="n">
        <v>1</v>
      </c>
      <c r="C725" s="11" t="n">
        <f aca="false">IF(COUNTIF('Scenario inputs'!$A$4:$A$213,Controls!$B$3&amp;"|"&amp;A725)&gt;0,1,0)</f>
        <v>1</v>
      </c>
      <c r="D725" s="11" t="n">
        <f aca="false">IF(AND(C725=1,B725&lt;Controls!$B$12),1,0)</f>
        <v>1</v>
      </c>
      <c r="E725" s="11" t="n">
        <f aca="false">IF(D725=1,SUMPRODUCT((Costs!$B$4:$B$903=A725)*(Costs!$D$4:$D$903="planned")*(Costs!$J$4:$J$903&lt;=B725)*(Costs!$K$4:$K$903&gt;B725)*Costs!$E$4:$E$903),0)</f>
        <v>0</v>
      </c>
      <c r="F725" s="11" t="n">
        <f aca="false">IF(D725=1,SUMIFS(Benefits!$S$4:$S$703,Benefits!$B$4:$B$703,A725,Benefits!$F$4:$F$703,B725,Benefits!$R$4:$R$703,"cash"),0)</f>
        <v>0</v>
      </c>
      <c r="G725" s="11" t="n">
        <f aca="false">IF(D725=1,SUMIFS(Benefits!$S$4:$S$703,Benefits!$B$4:$B$703,A725,Benefits!$F$4:$F$703,B725,Benefits!$R$4:$R$703,"revenue"),0)</f>
        <v>0</v>
      </c>
      <c r="H725" s="11" t="n">
        <f aca="false">IF(D725=1,SUMIFS(Benefits!$S$4:$S$703,Benefits!$B$4:$B$703,A725,Benefits!$F$4:$F$703,B725,Benefits!$R$4:$R$703,"avoided_cost_realised"),0)</f>
        <v>0</v>
      </c>
      <c r="I725" s="11" t="n">
        <f aca="false">IF(D725=1,SUMIFS(Benefits!$S$4:$S$703,Benefits!$B$4:$B$703,A725,Benefits!$F$4:$F$703,B725,Benefits!$R$4:$R$703,"capacity_converted"),0)</f>
        <v>0</v>
      </c>
      <c r="J725" s="11" t="n">
        <f aca="false">SUM(F725:I725)</f>
        <v>0</v>
      </c>
      <c r="K725" s="11" t="n">
        <f aca="false">J725-E725</f>
        <v>0</v>
      </c>
      <c r="L725" s="11" t="n">
        <f aca="false">IF(D725=1,L724+K725,0)</f>
        <v>-6000</v>
      </c>
      <c r="M725" s="11" t="n">
        <f aca="false">IF(D725=1,1/(1+Controls!$B$11)^B725,0)</f>
        <v>0.993607131714549</v>
      </c>
      <c r="N725" s="11" t="n">
        <f aca="false">K725*M725</f>
        <v>0</v>
      </c>
      <c r="O725" s="11" t="n">
        <f aca="false">IF(D725=1,O724+N725,0)</f>
        <v>-6000</v>
      </c>
      <c r="P725" s="11" t="n">
        <f aca="false">IF(AND(D725=1,L725&lt;0),1,0)</f>
        <v>1</v>
      </c>
      <c r="Q725" s="11" t="n">
        <f aca="false">IF(AND(D725=1,O725&lt;0),1,0)</f>
        <v>1</v>
      </c>
    </row>
    <row r="726" customFormat="false" ht="15" hidden="false" customHeight="false" outlineLevel="0" collapsed="false">
      <c r="A726" s="4" t="s">
        <v>103</v>
      </c>
      <c r="B726" s="4" t="n">
        <v>2</v>
      </c>
      <c r="C726" s="11" t="n">
        <f aca="false">IF(COUNTIF('Scenario inputs'!$A$4:$A$213,Controls!$B$3&amp;"|"&amp;A726)&gt;0,1,0)</f>
        <v>1</v>
      </c>
      <c r="D726" s="11" t="n">
        <f aca="false">IF(AND(C726=1,B726&lt;Controls!$B$12),1,0)</f>
        <v>1</v>
      </c>
      <c r="E726" s="11" t="n">
        <f aca="false">IF(D726=1,SUMPRODUCT((Costs!$B$4:$B$903=A726)*(Costs!$D$4:$D$903="planned")*(Costs!$J$4:$J$903&lt;=B726)*(Costs!$K$4:$K$903&gt;B726)*Costs!$E$4:$E$903),0)</f>
        <v>0</v>
      </c>
      <c r="F726" s="11" t="n">
        <f aca="false">IF(D726=1,SUMIFS(Benefits!$S$4:$S$703,Benefits!$B$4:$B$703,A726,Benefits!$F$4:$F$703,B726,Benefits!$R$4:$R$703,"cash"),0)</f>
        <v>0</v>
      </c>
      <c r="G726" s="11" t="n">
        <f aca="false">IF(D726=1,SUMIFS(Benefits!$S$4:$S$703,Benefits!$B$4:$B$703,A726,Benefits!$F$4:$F$703,B726,Benefits!$R$4:$R$703,"revenue"),0)</f>
        <v>0</v>
      </c>
      <c r="H726" s="11" t="n">
        <f aca="false">IF(D726=1,SUMIFS(Benefits!$S$4:$S$703,Benefits!$B$4:$B$703,A726,Benefits!$F$4:$F$703,B726,Benefits!$R$4:$R$703,"avoided_cost_realised"),0)</f>
        <v>0</v>
      </c>
      <c r="I726" s="11" t="n">
        <f aca="false">IF(D726=1,SUMIFS(Benefits!$S$4:$S$703,Benefits!$B$4:$B$703,A726,Benefits!$F$4:$F$703,B726,Benefits!$R$4:$R$703,"capacity_converted"),0)</f>
        <v>0</v>
      </c>
      <c r="J726" s="11" t="n">
        <f aca="false">SUM(F726:I726)</f>
        <v>0</v>
      </c>
      <c r="K726" s="11" t="n">
        <f aca="false">J726-E726</f>
        <v>0</v>
      </c>
      <c r="L726" s="11" t="n">
        <f aca="false">IF(D726=1,L725+K726,0)</f>
        <v>-6000</v>
      </c>
      <c r="M726" s="11" t="n">
        <f aca="false">IF(D726=1,1/(1+Controls!$B$11)^B726,0)</f>
        <v>0.987255132194012</v>
      </c>
      <c r="N726" s="11" t="n">
        <f aca="false">K726*M726</f>
        <v>0</v>
      </c>
      <c r="O726" s="11" t="n">
        <f aca="false">IF(D726=1,O725+N726,0)</f>
        <v>-6000</v>
      </c>
      <c r="P726" s="11" t="n">
        <f aca="false">IF(AND(D726=1,L726&lt;0),1,0)</f>
        <v>1</v>
      </c>
      <c r="Q726" s="11" t="n">
        <f aca="false">IF(AND(D726=1,O726&lt;0),1,0)</f>
        <v>1</v>
      </c>
    </row>
    <row r="727" customFormat="false" ht="15" hidden="false" customHeight="false" outlineLevel="0" collapsed="false">
      <c r="A727" s="4" t="s">
        <v>103</v>
      </c>
      <c r="B727" s="4" t="n">
        <v>3</v>
      </c>
      <c r="C727" s="11" t="n">
        <f aca="false">IF(COUNTIF('Scenario inputs'!$A$4:$A$213,Controls!$B$3&amp;"|"&amp;A727)&gt;0,1,0)</f>
        <v>1</v>
      </c>
      <c r="D727" s="11" t="n">
        <f aca="false">IF(AND(C727=1,B727&lt;Controls!$B$12),1,0)</f>
        <v>1</v>
      </c>
      <c r="E727" s="11" t="n">
        <f aca="false">IF(D727=1,SUMPRODUCT((Costs!$B$4:$B$903=A727)*(Costs!$D$4:$D$903="planned")*(Costs!$J$4:$J$903&lt;=B727)*(Costs!$K$4:$K$903&gt;B727)*Costs!$E$4:$E$903),0)</f>
        <v>0</v>
      </c>
      <c r="F727" s="11" t="n">
        <f aca="false">IF(D727=1,SUMIFS(Benefits!$S$4:$S$703,Benefits!$B$4:$B$703,A727,Benefits!$F$4:$F$703,B727,Benefits!$R$4:$R$703,"cash"),0)</f>
        <v>0</v>
      </c>
      <c r="G727" s="11" t="n">
        <f aca="false">IF(D727=1,SUMIFS(Benefits!$S$4:$S$703,Benefits!$B$4:$B$703,A727,Benefits!$F$4:$F$703,B727,Benefits!$R$4:$R$703,"revenue"),0)</f>
        <v>0</v>
      </c>
      <c r="H727" s="11" t="n">
        <f aca="false">IF(D727=1,SUMIFS(Benefits!$S$4:$S$703,Benefits!$B$4:$B$703,A727,Benefits!$F$4:$F$703,B727,Benefits!$R$4:$R$703,"avoided_cost_realised"),0)</f>
        <v>0</v>
      </c>
      <c r="I727" s="11" t="n">
        <f aca="false">IF(D727=1,SUMIFS(Benefits!$S$4:$S$703,Benefits!$B$4:$B$703,A727,Benefits!$F$4:$F$703,B727,Benefits!$R$4:$R$703,"capacity_converted"),0)</f>
        <v>0</v>
      </c>
      <c r="J727" s="11" t="n">
        <f aca="false">SUM(F727:I727)</f>
        <v>0</v>
      </c>
      <c r="K727" s="11" t="n">
        <f aca="false">J727-E727</f>
        <v>0</v>
      </c>
      <c r="L727" s="11" t="n">
        <f aca="false">IF(D727=1,L726+K727,0)</f>
        <v>-6000</v>
      </c>
      <c r="M727" s="11" t="n">
        <f aca="false">IF(D727=1,1/(1+Controls!$B$11)^B727,0)</f>
        <v>0.98094374016976</v>
      </c>
      <c r="N727" s="11" t="n">
        <f aca="false">K727*M727</f>
        <v>0</v>
      </c>
      <c r="O727" s="11" t="n">
        <f aca="false">IF(D727=1,O726+N727,0)</f>
        <v>-6000</v>
      </c>
      <c r="P727" s="11" t="n">
        <f aca="false">IF(AND(D727=1,L727&lt;0),1,0)</f>
        <v>1</v>
      </c>
      <c r="Q727" s="11" t="n">
        <f aca="false">IF(AND(D727=1,O727&lt;0),1,0)</f>
        <v>1</v>
      </c>
    </row>
    <row r="728" customFormat="false" ht="15" hidden="false" customHeight="false" outlineLevel="0" collapsed="false">
      <c r="A728" s="4" t="s">
        <v>103</v>
      </c>
      <c r="B728" s="4" t="n">
        <v>4</v>
      </c>
      <c r="C728" s="11" t="n">
        <f aca="false">IF(COUNTIF('Scenario inputs'!$A$4:$A$213,Controls!$B$3&amp;"|"&amp;A728)&gt;0,1,0)</f>
        <v>1</v>
      </c>
      <c r="D728" s="11" t="n">
        <f aca="false">IF(AND(C728=1,B728&lt;Controls!$B$12),1,0)</f>
        <v>1</v>
      </c>
      <c r="E728" s="11" t="n">
        <f aca="false">IF(D728=1,SUMPRODUCT((Costs!$B$4:$B$903=A728)*(Costs!$D$4:$D$903="planned")*(Costs!$J$4:$J$903&lt;=B728)*(Costs!$K$4:$K$903&gt;B728)*Costs!$E$4:$E$903),0)</f>
        <v>0</v>
      </c>
      <c r="F728" s="11" t="n">
        <f aca="false">IF(D728=1,SUMIFS(Benefits!$S$4:$S$703,Benefits!$B$4:$B$703,A728,Benefits!$F$4:$F$703,B728,Benefits!$R$4:$R$703,"cash"),0)</f>
        <v>0</v>
      </c>
      <c r="G728" s="11" t="n">
        <f aca="false">IF(D728=1,SUMIFS(Benefits!$S$4:$S$703,Benefits!$B$4:$B$703,A728,Benefits!$F$4:$F$703,B728,Benefits!$R$4:$R$703,"revenue"),0)</f>
        <v>0</v>
      </c>
      <c r="H728" s="11" t="n">
        <f aca="false">IF(D728=1,SUMIFS(Benefits!$S$4:$S$703,Benefits!$B$4:$B$703,A728,Benefits!$F$4:$F$703,B728,Benefits!$R$4:$R$703,"avoided_cost_realised"),0)</f>
        <v>0</v>
      </c>
      <c r="I728" s="11" t="n">
        <f aca="false">IF(D728=1,SUMIFS(Benefits!$S$4:$S$703,Benefits!$B$4:$B$703,A728,Benefits!$F$4:$F$703,B728,Benefits!$R$4:$R$703,"capacity_converted"),0)</f>
        <v>0</v>
      </c>
      <c r="J728" s="11" t="n">
        <f aca="false">SUM(F728:I728)</f>
        <v>0</v>
      </c>
      <c r="K728" s="11" t="n">
        <f aca="false">J728-E728</f>
        <v>0</v>
      </c>
      <c r="L728" s="11" t="n">
        <f aca="false">IF(D728=1,L727+K728,0)</f>
        <v>-6000</v>
      </c>
      <c r="M728" s="11" t="n">
        <f aca="false">IF(D728=1,1/(1+Controls!$B$11)^B728,0)</f>
        <v>0.974672696043417</v>
      </c>
      <c r="N728" s="11" t="n">
        <f aca="false">K728*M728</f>
        <v>0</v>
      </c>
      <c r="O728" s="11" t="n">
        <f aca="false">IF(D728=1,O727+N728,0)</f>
        <v>-6000</v>
      </c>
      <c r="P728" s="11" t="n">
        <f aca="false">IF(AND(D728=1,L728&lt;0),1,0)</f>
        <v>1</v>
      </c>
      <c r="Q728" s="11" t="n">
        <f aca="false">IF(AND(D728=1,O728&lt;0),1,0)</f>
        <v>1</v>
      </c>
    </row>
    <row r="729" customFormat="false" ht="15" hidden="false" customHeight="false" outlineLevel="0" collapsed="false">
      <c r="A729" s="4" t="s">
        <v>103</v>
      </c>
      <c r="B729" s="4" t="n">
        <v>5</v>
      </c>
      <c r="C729" s="11" t="n">
        <f aca="false">IF(COUNTIF('Scenario inputs'!$A$4:$A$213,Controls!$B$3&amp;"|"&amp;A729)&gt;0,1,0)</f>
        <v>1</v>
      </c>
      <c r="D729" s="11" t="n">
        <f aca="false">IF(AND(C729=1,B729&lt;Controls!$B$12),1,0)</f>
        <v>1</v>
      </c>
      <c r="E729" s="11" t="n">
        <f aca="false">IF(D729=1,SUMPRODUCT((Costs!$B$4:$B$903=A729)*(Costs!$D$4:$D$903="planned")*(Costs!$J$4:$J$903&lt;=B729)*(Costs!$K$4:$K$903&gt;B729)*Costs!$E$4:$E$903),0)</f>
        <v>0</v>
      </c>
      <c r="F729" s="11" t="n">
        <f aca="false">IF(D729=1,SUMIFS(Benefits!$S$4:$S$703,Benefits!$B$4:$B$703,A729,Benefits!$F$4:$F$703,B729,Benefits!$R$4:$R$703,"cash"),0)</f>
        <v>0</v>
      </c>
      <c r="G729" s="11" t="n">
        <f aca="false">IF(D729=1,SUMIFS(Benefits!$S$4:$S$703,Benefits!$B$4:$B$703,A729,Benefits!$F$4:$F$703,B729,Benefits!$R$4:$R$703,"revenue"),0)</f>
        <v>0</v>
      </c>
      <c r="H729" s="11" t="n">
        <f aca="false">IF(D729=1,SUMIFS(Benefits!$S$4:$S$703,Benefits!$B$4:$B$703,A729,Benefits!$F$4:$F$703,B729,Benefits!$R$4:$R$703,"avoided_cost_realised"),0)</f>
        <v>0</v>
      </c>
      <c r="I729" s="11" t="n">
        <f aca="false">IF(D729=1,SUMIFS(Benefits!$S$4:$S$703,Benefits!$B$4:$B$703,A729,Benefits!$F$4:$F$703,B729,Benefits!$R$4:$R$703,"capacity_converted"),0)</f>
        <v>0</v>
      </c>
      <c r="J729" s="11" t="n">
        <f aca="false">SUM(F729:I729)</f>
        <v>0</v>
      </c>
      <c r="K729" s="11" t="n">
        <f aca="false">J729-E729</f>
        <v>0</v>
      </c>
      <c r="L729" s="11" t="n">
        <f aca="false">IF(D729=1,L728+K729,0)</f>
        <v>-6000</v>
      </c>
      <c r="M729" s="11" t="n">
        <f aca="false">IF(D729=1,1/(1+Controls!$B$11)^B729,0)</f>
        <v>0.968441741876185</v>
      </c>
      <c r="N729" s="11" t="n">
        <f aca="false">K729*M729</f>
        <v>0</v>
      </c>
      <c r="O729" s="11" t="n">
        <f aca="false">IF(D729=1,O728+N729,0)</f>
        <v>-6000</v>
      </c>
      <c r="P729" s="11" t="n">
        <f aca="false">IF(AND(D729=1,L729&lt;0),1,0)</f>
        <v>1</v>
      </c>
      <c r="Q729" s="11" t="n">
        <f aca="false">IF(AND(D729=1,O729&lt;0),1,0)</f>
        <v>1</v>
      </c>
    </row>
    <row r="730" customFormat="false" ht="15" hidden="false" customHeight="false" outlineLevel="0" collapsed="false">
      <c r="A730" s="4" t="s">
        <v>103</v>
      </c>
      <c r="B730" s="4" t="n">
        <v>6</v>
      </c>
      <c r="C730" s="11" t="n">
        <f aca="false">IF(COUNTIF('Scenario inputs'!$A$4:$A$213,Controls!$B$3&amp;"|"&amp;A730)&gt;0,1,0)</f>
        <v>1</v>
      </c>
      <c r="D730" s="11" t="n">
        <f aca="false">IF(AND(C730=1,B730&lt;Controls!$B$12),1,0)</f>
        <v>1</v>
      </c>
      <c r="E730" s="11" t="n">
        <f aca="false">IF(D730=1,SUMPRODUCT((Costs!$B$4:$B$903=A730)*(Costs!$D$4:$D$903="planned")*(Costs!$J$4:$J$903&lt;=B730)*(Costs!$K$4:$K$903&gt;B730)*Costs!$E$4:$E$903),0)</f>
        <v>0</v>
      </c>
      <c r="F730" s="11" t="n">
        <f aca="false">IF(D730=1,SUMIFS(Benefits!$S$4:$S$703,Benefits!$B$4:$B$703,A730,Benefits!$F$4:$F$703,B730,Benefits!$R$4:$R$703,"cash"),0)</f>
        <v>0</v>
      </c>
      <c r="G730" s="11" t="n">
        <f aca="false">IF(D730=1,SUMIFS(Benefits!$S$4:$S$703,Benefits!$B$4:$B$703,A730,Benefits!$F$4:$F$703,B730,Benefits!$R$4:$R$703,"revenue"),0)</f>
        <v>0</v>
      </c>
      <c r="H730" s="11" t="n">
        <f aca="false">IF(D730=1,SUMIFS(Benefits!$S$4:$S$703,Benefits!$B$4:$B$703,A730,Benefits!$F$4:$F$703,B730,Benefits!$R$4:$R$703,"avoided_cost_realised"),0)</f>
        <v>0</v>
      </c>
      <c r="I730" s="11" t="n">
        <f aca="false">IF(D730=1,SUMIFS(Benefits!$S$4:$S$703,Benefits!$B$4:$B$703,A730,Benefits!$F$4:$F$703,B730,Benefits!$R$4:$R$703,"capacity_converted"),0)</f>
        <v>0</v>
      </c>
      <c r="J730" s="11" t="n">
        <f aca="false">SUM(F730:I730)</f>
        <v>0</v>
      </c>
      <c r="K730" s="11" t="n">
        <f aca="false">J730-E730</f>
        <v>0</v>
      </c>
      <c r="L730" s="11" t="n">
        <f aca="false">IF(D730=1,L729+K730,0)</f>
        <v>-6000</v>
      </c>
      <c r="M730" s="11" t="n">
        <f aca="false">IF(D730=1,1/(1+Controls!$B$11)^B730,0)</f>
        <v>0.962250621378238</v>
      </c>
      <c r="N730" s="11" t="n">
        <f aca="false">K730*M730</f>
        <v>0</v>
      </c>
      <c r="O730" s="11" t="n">
        <f aca="false">IF(D730=1,O729+N730,0)</f>
        <v>-6000</v>
      </c>
      <c r="P730" s="11" t="n">
        <f aca="false">IF(AND(D730=1,L730&lt;0),1,0)</f>
        <v>1</v>
      </c>
      <c r="Q730" s="11" t="n">
        <f aca="false">IF(AND(D730=1,O730&lt;0),1,0)</f>
        <v>1</v>
      </c>
    </row>
    <row r="731" customFormat="false" ht="15" hidden="false" customHeight="false" outlineLevel="0" collapsed="false">
      <c r="A731" s="4" t="s">
        <v>103</v>
      </c>
      <c r="B731" s="4" t="n">
        <v>7</v>
      </c>
      <c r="C731" s="11" t="n">
        <f aca="false">IF(COUNTIF('Scenario inputs'!$A$4:$A$213,Controls!$B$3&amp;"|"&amp;A731)&gt;0,1,0)</f>
        <v>1</v>
      </c>
      <c r="D731" s="11" t="n">
        <f aca="false">IF(AND(C731=1,B731&lt;Controls!$B$12),1,0)</f>
        <v>1</v>
      </c>
      <c r="E731" s="11" t="n">
        <f aca="false">IF(D731=1,SUMPRODUCT((Costs!$B$4:$B$903=A731)*(Costs!$D$4:$D$903="planned")*(Costs!$J$4:$J$903&lt;=B731)*(Costs!$K$4:$K$903&gt;B731)*Costs!$E$4:$E$903),0)</f>
        <v>0</v>
      </c>
      <c r="F731" s="11" t="n">
        <f aca="false">IF(D731=1,SUMIFS(Benefits!$S$4:$S$703,Benefits!$B$4:$B$703,A731,Benefits!$F$4:$F$703,B731,Benefits!$R$4:$R$703,"cash"),0)</f>
        <v>0</v>
      </c>
      <c r="G731" s="11" t="n">
        <f aca="false">IF(D731=1,SUMIFS(Benefits!$S$4:$S$703,Benefits!$B$4:$B$703,A731,Benefits!$F$4:$F$703,B731,Benefits!$R$4:$R$703,"revenue"),0)</f>
        <v>0</v>
      </c>
      <c r="H731" s="11" t="n">
        <f aca="false">IF(D731=1,SUMIFS(Benefits!$S$4:$S$703,Benefits!$B$4:$B$703,A731,Benefits!$F$4:$F$703,B731,Benefits!$R$4:$R$703,"avoided_cost_realised"),0)</f>
        <v>0</v>
      </c>
      <c r="I731" s="11" t="n">
        <f aca="false">IF(D731=1,SUMIFS(Benefits!$S$4:$S$703,Benefits!$B$4:$B$703,A731,Benefits!$F$4:$F$703,B731,Benefits!$R$4:$R$703,"capacity_converted"),0)</f>
        <v>0</v>
      </c>
      <c r="J731" s="11" t="n">
        <f aca="false">SUM(F731:I731)</f>
        <v>0</v>
      </c>
      <c r="K731" s="11" t="n">
        <f aca="false">J731-E731</f>
        <v>0</v>
      </c>
      <c r="L731" s="11" t="n">
        <f aca="false">IF(D731=1,L730+K731,0)</f>
        <v>-6000</v>
      </c>
      <c r="M731" s="11" t="n">
        <f aca="false">IF(D731=1,1/(1+Controls!$B$11)^B731,0)</f>
        <v>0.956099079898173</v>
      </c>
      <c r="N731" s="11" t="n">
        <f aca="false">K731*M731</f>
        <v>0</v>
      </c>
      <c r="O731" s="11" t="n">
        <f aca="false">IF(D731=1,O730+N731,0)</f>
        <v>-6000</v>
      </c>
      <c r="P731" s="11" t="n">
        <f aca="false">IF(AND(D731=1,L731&lt;0),1,0)</f>
        <v>1</v>
      </c>
      <c r="Q731" s="11" t="n">
        <f aca="false">IF(AND(D731=1,O731&lt;0),1,0)</f>
        <v>1</v>
      </c>
    </row>
    <row r="732" customFormat="false" ht="15" hidden="false" customHeight="false" outlineLevel="0" collapsed="false">
      <c r="A732" s="4" t="s">
        <v>103</v>
      </c>
      <c r="B732" s="4" t="n">
        <v>8</v>
      </c>
      <c r="C732" s="11" t="n">
        <f aca="false">IF(COUNTIF('Scenario inputs'!$A$4:$A$213,Controls!$B$3&amp;"|"&amp;A732)&gt;0,1,0)</f>
        <v>1</v>
      </c>
      <c r="D732" s="11" t="n">
        <f aca="false">IF(AND(C732=1,B732&lt;Controls!$B$12),1,0)</f>
        <v>1</v>
      </c>
      <c r="E732" s="11" t="n">
        <f aca="false">IF(D732=1,SUMPRODUCT((Costs!$B$4:$B$903=A732)*(Costs!$D$4:$D$903="planned")*(Costs!$J$4:$J$903&lt;=B732)*(Costs!$K$4:$K$903&gt;B732)*Costs!$E$4:$E$903),0)</f>
        <v>0</v>
      </c>
      <c r="F732" s="11" t="n">
        <f aca="false">IF(D732=1,SUMIFS(Benefits!$S$4:$S$703,Benefits!$B$4:$B$703,A732,Benefits!$F$4:$F$703,B732,Benefits!$R$4:$R$703,"cash"),0)</f>
        <v>0</v>
      </c>
      <c r="G732" s="11" t="n">
        <f aca="false">IF(D732=1,SUMIFS(Benefits!$S$4:$S$703,Benefits!$B$4:$B$703,A732,Benefits!$F$4:$F$703,B732,Benefits!$R$4:$R$703,"revenue"),0)</f>
        <v>0</v>
      </c>
      <c r="H732" s="11" t="n">
        <f aca="false">IF(D732=1,SUMIFS(Benefits!$S$4:$S$703,Benefits!$B$4:$B$703,A732,Benefits!$F$4:$F$703,B732,Benefits!$R$4:$R$703,"avoided_cost_realised"),0)</f>
        <v>0</v>
      </c>
      <c r="I732" s="11" t="n">
        <f aca="false">IF(D732=1,SUMIFS(Benefits!$S$4:$S$703,Benefits!$B$4:$B$703,A732,Benefits!$F$4:$F$703,B732,Benefits!$R$4:$R$703,"capacity_converted"),0)</f>
        <v>0</v>
      </c>
      <c r="J732" s="11" t="n">
        <f aca="false">SUM(F732:I732)</f>
        <v>0</v>
      </c>
      <c r="K732" s="11" t="n">
        <f aca="false">J732-E732</f>
        <v>0</v>
      </c>
      <c r="L732" s="11" t="n">
        <f aca="false">IF(D732=1,L731+K732,0)</f>
        <v>-6000</v>
      </c>
      <c r="M732" s="11" t="n">
        <f aca="false">IF(D732=1,1/(1+Controls!$B$11)^B732,0)</f>
        <v>0.949986864412542</v>
      </c>
      <c r="N732" s="11" t="n">
        <f aca="false">K732*M732</f>
        <v>0</v>
      </c>
      <c r="O732" s="11" t="n">
        <f aca="false">IF(D732=1,O731+N732,0)</f>
        <v>-6000</v>
      </c>
      <c r="P732" s="11" t="n">
        <f aca="false">IF(AND(D732=1,L732&lt;0),1,0)</f>
        <v>1</v>
      </c>
      <c r="Q732" s="11" t="n">
        <f aca="false">IF(AND(D732=1,O732&lt;0),1,0)</f>
        <v>1</v>
      </c>
    </row>
    <row r="733" customFormat="false" ht="15" hidden="false" customHeight="false" outlineLevel="0" collapsed="false">
      <c r="A733" s="4" t="s">
        <v>103</v>
      </c>
      <c r="B733" s="4" t="n">
        <v>9</v>
      </c>
      <c r="C733" s="11" t="n">
        <f aca="false">IF(COUNTIF('Scenario inputs'!$A$4:$A$213,Controls!$B$3&amp;"|"&amp;A733)&gt;0,1,0)</f>
        <v>1</v>
      </c>
      <c r="D733" s="11" t="n">
        <f aca="false">IF(AND(C733=1,B733&lt;Controls!$B$12),1,0)</f>
        <v>1</v>
      </c>
      <c r="E733" s="11" t="n">
        <f aca="false">IF(D733=1,SUMPRODUCT((Costs!$B$4:$B$903=A733)*(Costs!$D$4:$D$903="planned")*(Costs!$J$4:$J$903&lt;=B733)*(Costs!$K$4:$K$903&gt;B733)*Costs!$E$4:$E$903),0)</f>
        <v>0</v>
      </c>
      <c r="F733" s="11" t="n">
        <f aca="false">IF(D733=1,SUMIFS(Benefits!$S$4:$S$703,Benefits!$B$4:$B$703,A733,Benefits!$F$4:$F$703,B733,Benefits!$R$4:$R$703,"cash"),0)</f>
        <v>0</v>
      </c>
      <c r="G733" s="11" t="n">
        <f aca="false">IF(D733=1,SUMIFS(Benefits!$S$4:$S$703,Benefits!$B$4:$B$703,A733,Benefits!$F$4:$F$703,B733,Benefits!$R$4:$R$703,"revenue"),0)</f>
        <v>0</v>
      </c>
      <c r="H733" s="11" t="n">
        <f aca="false">IF(D733=1,SUMIFS(Benefits!$S$4:$S$703,Benefits!$B$4:$B$703,A733,Benefits!$F$4:$F$703,B733,Benefits!$R$4:$R$703,"avoided_cost_realised"),0)</f>
        <v>0</v>
      </c>
      <c r="I733" s="11" t="n">
        <f aca="false">IF(D733=1,SUMIFS(Benefits!$S$4:$S$703,Benefits!$B$4:$B$703,A733,Benefits!$F$4:$F$703,B733,Benefits!$R$4:$R$703,"capacity_converted"),0)</f>
        <v>0</v>
      </c>
      <c r="J733" s="11" t="n">
        <f aca="false">SUM(F733:I733)</f>
        <v>0</v>
      </c>
      <c r="K733" s="11" t="n">
        <f aca="false">J733-E733</f>
        <v>0</v>
      </c>
      <c r="L733" s="11" t="n">
        <f aca="false">IF(D733=1,L732+K733,0)</f>
        <v>-6000</v>
      </c>
      <c r="M733" s="11" t="n">
        <f aca="false">IF(D733=1,1/(1+Controls!$B$11)^B733,0)</f>
        <v>0.943913723515444</v>
      </c>
      <c r="N733" s="11" t="n">
        <f aca="false">K733*M733</f>
        <v>0</v>
      </c>
      <c r="O733" s="11" t="n">
        <f aca="false">IF(D733=1,O732+N733,0)</f>
        <v>-6000</v>
      </c>
      <c r="P733" s="11" t="n">
        <f aca="false">IF(AND(D733=1,L733&lt;0),1,0)</f>
        <v>1</v>
      </c>
      <c r="Q733" s="11" t="n">
        <f aca="false">IF(AND(D733=1,O733&lt;0),1,0)</f>
        <v>1</v>
      </c>
    </row>
    <row r="734" customFormat="false" ht="15" hidden="false" customHeight="false" outlineLevel="0" collapsed="false">
      <c r="A734" s="4" t="s">
        <v>103</v>
      </c>
      <c r="B734" s="4" t="n">
        <v>10</v>
      </c>
      <c r="C734" s="11" t="n">
        <f aca="false">IF(COUNTIF('Scenario inputs'!$A$4:$A$213,Controls!$B$3&amp;"|"&amp;A734)&gt;0,1,0)</f>
        <v>1</v>
      </c>
      <c r="D734" s="11" t="n">
        <f aca="false">IF(AND(C734=1,B734&lt;Controls!$B$12),1,0)</f>
        <v>1</v>
      </c>
      <c r="E734" s="11" t="n">
        <f aca="false">IF(D734=1,SUMPRODUCT((Costs!$B$4:$B$903=A734)*(Costs!$D$4:$D$903="planned")*(Costs!$J$4:$J$903&lt;=B734)*(Costs!$K$4:$K$903&gt;B734)*Costs!$E$4:$E$903),0)</f>
        <v>0</v>
      </c>
      <c r="F734" s="11" t="n">
        <f aca="false">IF(D734=1,SUMIFS(Benefits!$S$4:$S$703,Benefits!$B$4:$B$703,A734,Benefits!$F$4:$F$703,B734,Benefits!$R$4:$R$703,"cash"),0)</f>
        <v>0</v>
      </c>
      <c r="G734" s="11" t="n">
        <f aca="false">IF(D734=1,SUMIFS(Benefits!$S$4:$S$703,Benefits!$B$4:$B$703,A734,Benefits!$F$4:$F$703,B734,Benefits!$R$4:$R$703,"revenue"),0)</f>
        <v>0</v>
      </c>
      <c r="H734" s="11" t="n">
        <f aca="false">IF(D734=1,SUMIFS(Benefits!$S$4:$S$703,Benefits!$B$4:$B$703,A734,Benefits!$F$4:$F$703,B734,Benefits!$R$4:$R$703,"avoided_cost_realised"),0)</f>
        <v>0</v>
      </c>
      <c r="I734" s="11" t="n">
        <f aca="false">IF(D734=1,SUMIFS(Benefits!$S$4:$S$703,Benefits!$B$4:$B$703,A734,Benefits!$F$4:$F$703,B734,Benefits!$R$4:$R$703,"capacity_converted"),0)</f>
        <v>0</v>
      </c>
      <c r="J734" s="11" t="n">
        <f aca="false">SUM(F734:I734)</f>
        <v>0</v>
      </c>
      <c r="K734" s="11" t="n">
        <f aca="false">J734-E734</f>
        <v>0</v>
      </c>
      <c r="L734" s="11" t="n">
        <f aca="false">IF(D734=1,L733+K734,0)</f>
        <v>-6000</v>
      </c>
      <c r="M734" s="11" t="n">
        <f aca="false">IF(D734=1,1/(1+Controls!$B$11)^B734,0)</f>
        <v>0.93787940740818</v>
      </c>
      <c r="N734" s="11" t="n">
        <f aca="false">K734*M734</f>
        <v>0</v>
      </c>
      <c r="O734" s="11" t="n">
        <f aca="false">IF(D734=1,O733+N734,0)</f>
        <v>-6000</v>
      </c>
      <c r="P734" s="11" t="n">
        <f aca="false">IF(AND(D734=1,L734&lt;0),1,0)</f>
        <v>1</v>
      </c>
      <c r="Q734" s="11" t="n">
        <f aca="false">IF(AND(D734=1,O734&lt;0),1,0)</f>
        <v>1</v>
      </c>
    </row>
    <row r="735" customFormat="false" ht="15" hidden="false" customHeight="false" outlineLevel="0" collapsed="false">
      <c r="A735" s="4" t="s">
        <v>103</v>
      </c>
      <c r="B735" s="4" t="n">
        <v>11</v>
      </c>
      <c r="C735" s="11" t="n">
        <f aca="false">IF(COUNTIF('Scenario inputs'!$A$4:$A$213,Controls!$B$3&amp;"|"&amp;A735)&gt;0,1,0)</f>
        <v>1</v>
      </c>
      <c r="D735" s="11" t="n">
        <f aca="false">IF(AND(C735=1,B735&lt;Controls!$B$12),1,0)</f>
        <v>1</v>
      </c>
      <c r="E735" s="11" t="n">
        <f aca="false">IF(D735=1,SUMPRODUCT((Costs!$B$4:$B$903=A735)*(Costs!$D$4:$D$903="planned")*(Costs!$J$4:$J$903&lt;=B735)*(Costs!$K$4:$K$903&gt;B735)*Costs!$E$4:$E$903),0)</f>
        <v>0</v>
      </c>
      <c r="F735" s="11" t="n">
        <f aca="false">IF(D735=1,SUMIFS(Benefits!$S$4:$S$703,Benefits!$B$4:$B$703,A735,Benefits!$F$4:$F$703,B735,Benefits!$R$4:$R$703,"cash"),0)</f>
        <v>0</v>
      </c>
      <c r="G735" s="11" t="n">
        <f aca="false">IF(D735=1,SUMIFS(Benefits!$S$4:$S$703,Benefits!$B$4:$B$703,A735,Benefits!$F$4:$F$703,B735,Benefits!$R$4:$R$703,"revenue"),0)</f>
        <v>0</v>
      </c>
      <c r="H735" s="11" t="n">
        <f aca="false">IF(D735=1,SUMIFS(Benefits!$S$4:$S$703,Benefits!$B$4:$B$703,A735,Benefits!$F$4:$F$703,B735,Benefits!$R$4:$R$703,"avoided_cost_realised"),0)</f>
        <v>0</v>
      </c>
      <c r="I735" s="11" t="n">
        <f aca="false">IF(D735=1,SUMIFS(Benefits!$S$4:$S$703,Benefits!$B$4:$B$703,A735,Benefits!$F$4:$F$703,B735,Benefits!$R$4:$R$703,"capacity_converted"),0)</f>
        <v>0</v>
      </c>
      <c r="J735" s="11" t="n">
        <f aca="false">SUM(F735:I735)</f>
        <v>0</v>
      </c>
      <c r="K735" s="11" t="n">
        <f aca="false">J735-E735</f>
        <v>0</v>
      </c>
      <c r="L735" s="11" t="n">
        <f aca="false">IF(D735=1,L734+K735,0)</f>
        <v>-6000</v>
      </c>
      <c r="M735" s="11" t="n">
        <f aca="false">IF(D735=1,1/(1+Controls!$B$11)^B735,0)</f>
        <v>0.931883667888982</v>
      </c>
      <c r="N735" s="11" t="n">
        <f aca="false">K735*M735</f>
        <v>0</v>
      </c>
      <c r="O735" s="11" t="n">
        <f aca="false">IF(D735=1,O734+N735,0)</f>
        <v>-6000</v>
      </c>
      <c r="P735" s="11" t="n">
        <f aca="false">IF(AND(D735=1,L735&lt;0),1,0)</f>
        <v>1</v>
      </c>
      <c r="Q735" s="11" t="n">
        <f aca="false">IF(AND(D735=1,O735&lt;0),1,0)</f>
        <v>1</v>
      </c>
    </row>
    <row r="736" customFormat="false" ht="15" hidden="false" customHeight="false" outlineLevel="0" collapsed="false">
      <c r="A736" s="4" t="s">
        <v>103</v>
      </c>
      <c r="B736" s="4" t="n">
        <v>12</v>
      </c>
      <c r="C736" s="11" t="n">
        <f aca="false">IF(COUNTIF('Scenario inputs'!$A$4:$A$213,Controls!$B$3&amp;"|"&amp;A736)&gt;0,1,0)</f>
        <v>1</v>
      </c>
      <c r="D736" s="11" t="n">
        <f aca="false">IF(AND(C736=1,B736&lt;Controls!$B$12),1,0)</f>
        <v>1</v>
      </c>
      <c r="E736" s="11" t="n">
        <f aca="false">IF(D736=1,SUMPRODUCT((Costs!$B$4:$B$903=A736)*(Costs!$D$4:$D$903="planned")*(Costs!$J$4:$J$903&lt;=B736)*(Costs!$K$4:$K$903&gt;B736)*Costs!$E$4:$E$903),0)</f>
        <v>0</v>
      </c>
      <c r="F736" s="11" t="n">
        <f aca="false">IF(D736=1,SUMIFS(Benefits!$S$4:$S$703,Benefits!$B$4:$B$703,A736,Benefits!$F$4:$F$703,B736,Benefits!$R$4:$R$703,"cash"),0)</f>
        <v>0</v>
      </c>
      <c r="G736" s="11" t="n">
        <f aca="false">IF(D736=1,SUMIFS(Benefits!$S$4:$S$703,Benefits!$B$4:$B$703,A736,Benefits!$F$4:$F$703,B736,Benefits!$R$4:$R$703,"revenue"),0)</f>
        <v>0</v>
      </c>
      <c r="H736" s="11" t="n">
        <f aca="false">IF(D736=1,SUMIFS(Benefits!$S$4:$S$703,Benefits!$B$4:$B$703,A736,Benefits!$F$4:$F$703,B736,Benefits!$R$4:$R$703,"avoided_cost_realised"),0)</f>
        <v>0</v>
      </c>
      <c r="I736" s="11" t="n">
        <f aca="false">IF(D736=1,SUMIFS(Benefits!$S$4:$S$703,Benefits!$B$4:$B$703,A736,Benefits!$F$4:$F$703,B736,Benefits!$R$4:$R$703,"capacity_converted"),0)</f>
        <v>0</v>
      </c>
      <c r="J736" s="11" t="n">
        <f aca="false">SUM(F736:I736)</f>
        <v>0</v>
      </c>
      <c r="K736" s="11" t="n">
        <f aca="false">J736-E736</f>
        <v>0</v>
      </c>
      <c r="L736" s="11" t="n">
        <f aca="false">IF(D736=1,L735+K736,0)</f>
        <v>-6000</v>
      </c>
      <c r="M736" s="11" t="n">
        <f aca="false">IF(D736=1,1/(1+Controls!$B$11)^B736,0)</f>
        <v>0.925926258342804</v>
      </c>
      <c r="N736" s="11" t="n">
        <f aca="false">K736*M736</f>
        <v>0</v>
      </c>
      <c r="O736" s="11" t="n">
        <f aca="false">IF(D736=1,O735+N736,0)</f>
        <v>-6000</v>
      </c>
      <c r="P736" s="11" t="n">
        <f aca="false">IF(AND(D736=1,L736&lt;0),1,0)</f>
        <v>1</v>
      </c>
      <c r="Q736" s="11" t="n">
        <f aca="false">IF(AND(D736=1,O736&lt;0),1,0)</f>
        <v>1</v>
      </c>
    </row>
    <row r="737" customFormat="false" ht="15" hidden="false" customHeight="false" outlineLevel="0" collapsed="false">
      <c r="A737" s="4" t="s">
        <v>103</v>
      </c>
      <c r="B737" s="4" t="n">
        <v>13</v>
      </c>
      <c r="C737" s="11" t="n">
        <f aca="false">IF(COUNTIF('Scenario inputs'!$A$4:$A$213,Controls!$B$3&amp;"|"&amp;A737)&gt;0,1,0)</f>
        <v>1</v>
      </c>
      <c r="D737" s="11" t="n">
        <f aca="false">IF(AND(C737=1,B737&lt;Controls!$B$12),1,0)</f>
        <v>1</v>
      </c>
      <c r="E737" s="11" t="n">
        <f aca="false">IF(D737=1,SUMPRODUCT((Costs!$B$4:$B$903=A737)*(Costs!$D$4:$D$903="planned")*(Costs!$J$4:$J$903&lt;=B737)*(Costs!$K$4:$K$903&gt;B737)*Costs!$E$4:$E$903),0)</f>
        <v>0</v>
      </c>
      <c r="F737" s="11" t="n">
        <f aca="false">IF(D737=1,SUMIFS(Benefits!$S$4:$S$703,Benefits!$B$4:$B$703,A737,Benefits!$F$4:$F$703,B737,Benefits!$R$4:$R$703,"cash"),0)</f>
        <v>0</v>
      </c>
      <c r="G737" s="11" t="n">
        <f aca="false">IF(D737=1,SUMIFS(Benefits!$S$4:$S$703,Benefits!$B$4:$B$703,A737,Benefits!$F$4:$F$703,B737,Benefits!$R$4:$R$703,"revenue"),0)</f>
        <v>0</v>
      </c>
      <c r="H737" s="11" t="n">
        <f aca="false">IF(D737=1,SUMIFS(Benefits!$S$4:$S$703,Benefits!$B$4:$B$703,A737,Benefits!$F$4:$F$703,B737,Benefits!$R$4:$R$703,"avoided_cost_realised"),0)</f>
        <v>0</v>
      </c>
      <c r="I737" s="11" t="n">
        <f aca="false">IF(D737=1,SUMIFS(Benefits!$S$4:$S$703,Benefits!$B$4:$B$703,A737,Benefits!$F$4:$F$703,B737,Benefits!$R$4:$R$703,"capacity_converted"),0)</f>
        <v>0</v>
      </c>
      <c r="J737" s="11" t="n">
        <f aca="false">SUM(F737:I737)</f>
        <v>0</v>
      </c>
      <c r="K737" s="11" t="n">
        <f aca="false">J737-E737</f>
        <v>0</v>
      </c>
      <c r="L737" s="11" t="n">
        <f aca="false">IF(D737=1,L736+K737,0)</f>
        <v>-6000</v>
      </c>
      <c r="M737" s="11" t="n">
        <f aca="false">IF(D737=1,1/(1+Controls!$B$11)^B737,0)</f>
        <v>0.920006933731178</v>
      </c>
      <c r="N737" s="11" t="n">
        <f aca="false">K737*M737</f>
        <v>0</v>
      </c>
      <c r="O737" s="11" t="n">
        <f aca="false">IF(D737=1,O736+N737,0)</f>
        <v>-6000</v>
      </c>
      <c r="P737" s="11" t="n">
        <f aca="false">IF(AND(D737=1,L737&lt;0),1,0)</f>
        <v>1</v>
      </c>
      <c r="Q737" s="11" t="n">
        <f aca="false">IF(AND(D737=1,O737&lt;0),1,0)</f>
        <v>1</v>
      </c>
    </row>
    <row r="738" customFormat="false" ht="15" hidden="false" customHeight="false" outlineLevel="0" collapsed="false">
      <c r="A738" s="4" t="s">
        <v>103</v>
      </c>
      <c r="B738" s="4" t="n">
        <v>14</v>
      </c>
      <c r="C738" s="11" t="n">
        <f aca="false">IF(COUNTIF('Scenario inputs'!$A$4:$A$213,Controls!$B$3&amp;"|"&amp;A738)&gt;0,1,0)</f>
        <v>1</v>
      </c>
      <c r="D738" s="11" t="n">
        <f aca="false">IF(AND(C738=1,B738&lt;Controls!$B$12),1,0)</f>
        <v>1</v>
      </c>
      <c r="E738" s="11" t="n">
        <f aca="false">IF(D738=1,SUMPRODUCT((Costs!$B$4:$B$903=A738)*(Costs!$D$4:$D$903="planned")*(Costs!$J$4:$J$903&lt;=B738)*(Costs!$K$4:$K$903&gt;B738)*Costs!$E$4:$E$903),0)</f>
        <v>0</v>
      </c>
      <c r="F738" s="11" t="n">
        <f aca="false">IF(D738=1,SUMIFS(Benefits!$S$4:$S$703,Benefits!$B$4:$B$703,A738,Benefits!$F$4:$F$703,B738,Benefits!$R$4:$R$703,"cash"),0)</f>
        <v>0</v>
      </c>
      <c r="G738" s="11" t="n">
        <f aca="false">IF(D738=1,SUMIFS(Benefits!$S$4:$S$703,Benefits!$B$4:$B$703,A738,Benefits!$F$4:$F$703,B738,Benefits!$R$4:$R$703,"revenue"),0)</f>
        <v>0</v>
      </c>
      <c r="H738" s="11" t="n">
        <f aca="false">IF(D738=1,SUMIFS(Benefits!$S$4:$S$703,Benefits!$B$4:$B$703,A738,Benefits!$F$4:$F$703,B738,Benefits!$R$4:$R$703,"avoided_cost_realised"),0)</f>
        <v>0</v>
      </c>
      <c r="I738" s="11" t="n">
        <f aca="false">IF(D738=1,SUMIFS(Benefits!$S$4:$S$703,Benefits!$B$4:$B$703,A738,Benefits!$F$4:$F$703,B738,Benefits!$R$4:$R$703,"capacity_converted"),0)</f>
        <v>0</v>
      </c>
      <c r="J738" s="11" t="n">
        <f aca="false">SUM(F738:I738)</f>
        <v>0</v>
      </c>
      <c r="K738" s="11" t="n">
        <f aca="false">J738-E738</f>
        <v>0</v>
      </c>
      <c r="L738" s="11" t="n">
        <f aca="false">IF(D738=1,L737+K738,0)</f>
        <v>-6000</v>
      </c>
      <c r="M738" s="11" t="n">
        <f aca="false">IF(D738=1,1/(1+Controls!$B$11)^B738,0)</f>
        <v>0.914125450582132</v>
      </c>
      <c r="N738" s="11" t="n">
        <f aca="false">K738*M738</f>
        <v>0</v>
      </c>
      <c r="O738" s="11" t="n">
        <f aca="false">IF(D738=1,O737+N738,0)</f>
        <v>-6000</v>
      </c>
      <c r="P738" s="11" t="n">
        <f aca="false">IF(AND(D738=1,L738&lt;0),1,0)</f>
        <v>1</v>
      </c>
      <c r="Q738" s="11" t="n">
        <f aca="false">IF(AND(D738=1,O738&lt;0),1,0)</f>
        <v>1</v>
      </c>
    </row>
    <row r="739" customFormat="false" ht="15" hidden="false" customHeight="false" outlineLevel="0" collapsed="false">
      <c r="A739" s="4" t="s">
        <v>103</v>
      </c>
      <c r="B739" s="4" t="n">
        <v>15</v>
      </c>
      <c r="C739" s="11" t="n">
        <f aca="false">IF(COUNTIF('Scenario inputs'!$A$4:$A$213,Controls!$B$3&amp;"|"&amp;A739)&gt;0,1,0)</f>
        <v>1</v>
      </c>
      <c r="D739" s="11" t="n">
        <f aca="false">IF(AND(C739=1,B739&lt;Controls!$B$12),1,0)</f>
        <v>1</v>
      </c>
      <c r="E739" s="11" t="n">
        <f aca="false">IF(D739=1,SUMPRODUCT((Costs!$B$4:$B$903=A739)*(Costs!$D$4:$D$903="planned")*(Costs!$J$4:$J$903&lt;=B739)*(Costs!$K$4:$K$903&gt;B739)*Costs!$E$4:$E$903),0)</f>
        <v>0</v>
      </c>
      <c r="F739" s="11" t="n">
        <f aca="false">IF(D739=1,SUMIFS(Benefits!$S$4:$S$703,Benefits!$B$4:$B$703,A739,Benefits!$F$4:$F$703,B739,Benefits!$R$4:$R$703,"cash"),0)</f>
        <v>0</v>
      </c>
      <c r="G739" s="11" t="n">
        <f aca="false">IF(D739=1,SUMIFS(Benefits!$S$4:$S$703,Benefits!$B$4:$B$703,A739,Benefits!$F$4:$F$703,B739,Benefits!$R$4:$R$703,"revenue"),0)</f>
        <v>0</v>
      </c>
      <c r="H739" s="11" t="n">
        <f aca="false">IF(D739=1,SUMIFS(Benefits!$S$4:$S$703,Benefits!$B$4:$B$703,A739,Benefits!$F$4:$F$703,B739,Benefits!$R$4:$R$703,"avoided_cost_realised"),0)</f>
        <v>0</v>
      </c>
      <c r="I739" s="11" t="n">
        <f aca="false">IF(D739=1,SUMIFS(Benefits!$S$4:$S$703,Benefits!$B$4:$B$703,A739,Benefits!$F$4:$F$703,B739,Benefits!$R$4:$R$703,"capacity_converted"),0)</f>
        <v>0</v>
      </c>
      <c r="J739" s="11" t="n">
        <f aca="false">SUM(F739:I739)</f>
        <v>0</v>
      </c>
      <c r="K739" s="11" t="n">
        <f aca="false">J739-E739</f>
        <v>0</v>
      </c>
      <c r="L739" s="11" t="n">
        <f aca="false">IF(D739=1,L738+K739,0)</f>
        <v>-6000</v>
      </c>
      <c r="M739" s="11" t="n">
        <f aca="false">IF(D739=1,1/(1+Controls!$B$11)^B739,0)</f>
        <v>0.908281566980182</v>
      </c>
      <c r="N739" s="11" t="n">
        <f aca="false">K739*M739</f>
        <v>0</v>
      </c>
      <c r="O739" s="11" t="n">
        <f aca="false">IF(D739=1,O738+N739,0)</f>
        <v>-6000</v>
      </c>
      <c r="P739" s="11" t="n">
        <f aca="false">IF(AND(D739=1,L739&lt;0),1,0)</f>
        <v>1</v>
      </c>
      <c r="Q739" s="11" t="n">
        <f aca="false">IF(AND(D739=1,O739&lt;0),1,0)</f>
        <v>1</v>
      </c>
    </row>
    <row r="740" customFormat="false" ht="15" hidden="false" customHeight="false" outlineLevel="0" collapsed="false">
      <c r="A740" s="4" t="s">
        <v>103</v>
      </c>
      <c r="B740" s="4" t="n">
        <v>16</v>
      </c>
      <c r="C740" s="11" t="n">
        <f aca="false">IF(COUNTIF('Scenario inputs'!$A$4:$A$213,Controls!$B$3&amp;"|"&amp;A740)&gt;0,1,0)</f>
        <v>1</v>
      </c>
      <c r="D740" s="11" t="n">
        <f aca="false">IF(AND(C740=1,B740&lt;Controls!$B$12),1,0)</f>
        <v>1</v>
      </c>
      <c r="E740" s="11" t="n">
        <f aca="false">IF(D740=1,SUMPRODUCT((Costs!$B$4:$B$903=A740)*(Costs!$D$4:$D$903="planned")*(Costs!$J$4:$J$903&lt;=B740)*(Costs!$K$4:$K$903&gt;B740)*Costs!$E$4:$E$903),0)</f>
        <v>90800</v>
      </c>
      <c r="F740" s="11" t="n">
        <f aca="false">IF(D740=1,SUMIFS(Benefits!$S$4:$S$703,Benefits!$B$4:$B$703,A740,Benefits!$F$4:$F$703,B740,Benefits!$R$4:$R$703,"cash"),0)</f>
        <v>0</v>
      </c>
      <c r="G740" s="11" t="n">
        <f aca="false">IF(D740=1,SUMIFS(Benefits!$S$4:$S$703,Benefits!$B$4:$B$703,A740,Benefits!$F$4:$F$703,B740,Benefits!$R$4:$R$703,"revenue"),0)</f>
        <v>0</v>
      </c>
      <c r="H740" s="11" t="n">
        <f aca="false">IF(D740=1,SUMIFS(Benefits!$S$4:$S$703,Benefits!$B$4:$B$703,A740,Benefits!$F$4:$F$703,B740,Benefits!$R$4:$R$703,"avoided_cost_realised"),0)</f>
        <v>0</v>
      </c>
      <c r="I740" s="11" t="n">
        <f aca="false">IF(D740=1,SUMIFS(Benefits!$S$4:$S$703,Benefits!$B$4:$B$703,A740,Benefits!$F$4:$F$703,B740,Benefits!$R$4:$R$703,"capacity_converted"),0)</f>
        <v>0</v>
      </c>
      <c r="J740" s="11" t="n">
        <f aca="false">SUM(F740:I740)</f>
        <v>0</v>
      </c>
      <c r="K740" s="11" t="n">
        <f aca="false">J740-E740</f>
        <v>-90800</v>
      </c>
      <c r="L740" s="11" t="n">
        <f aca="false">IF(D740=1,L739+K740,0)</f>
        <v>-96800</v>
      </c>
      <c r="M740" s="11" t="n">
        <f aca="false">IF(D740=1,1/(1+Controls!$B$11)^B740,0)</f>
        <v>0.902475042556374</v>
      </c>
      <c r="N740" s="11" t="n">
        <f aca="false">K740*M740</f>
        <v>-81944.7338641188</v>
      </c>
      <c r="O740" s="11" t="n">
        <f aca="false">IF(D740=1,O739+N740,0)</f>
        <v>-87944.7338641188</v>
      </c>
      <c r="P740" s="11" t="n">
        <f aca="false">IF(AND(D740=1,L740&lt;0),1,0)</f>
        <v>1</v>
      </c>
      <c r="Q740" s="11" t="n">
        <f aca="false">IF(AND(D740=1,O740&lt;0),1,0)</f>
        <v>1</v>
      </c>
    </row>
    <row r="741" customFormat="false" ht="15" hidden="false" customHeight="false" outlineLevel="0" collapsed="false">
      <c r="A741" s="4" t="s">
        <v>103</v>
      </c>
      <c r="B741" s="4" t="n">
        <v>17</v>
      </c>
      <c r="C741" s="11" t="n">
        <f aca="false">IF(COUNTIF('Scenario inputs'!$A$4:$A$213,Controls!$B$3&amp;"|"&amp;A741)&gt;0,1,0)</f>
        <v>1</v>
      </c>
      <c r="D741" s="11" t="n">
        <f aca="false">IF(AND(C741=1,B741&lt;Controls!$B$12),1,0)</f>
        <v>1</v>
      </c>
      <c r="E741" s="11" t="n">
        <f aca="false">IF(D741=1,SUMPRODUCT((Costs!$B$4:$B$903=A741)*(Costs!$D$4:$D$903="planned")*(Costs!$J$4:$J$903&lt;=B741)*(Costs!$K$4:$K$903&gt;B741)*Costs!$E$4:$E$903),0)</f>
        <v>117950</v>
      </c>
      <c r="F741" s="11" t="n">
        <f aca="false">IF(D741=1,SUMIFS(Benefits!$S$4:$S$703,Benefits!$B$4:$B$703,A741,Benefits!$F$4:$F$703,B741,Benefits!$R$4:$R$703,"cash"),0)</f>
        <v>0</v>
      </c>
      <c r="G741" s="11" t="n">
        <f aca="false">IF(D741=1,SUMIFS(Benefits!$S$4:$S$703,Benefits!$B$4:$B$703,A741,Benefits!$F$4:$F$703,B741,Benefits!$R$4:$R$703,"revenue"),0)</f>
        <v>0</v>
      </c>
      <c r="H741" s="11" t="n">
        <f aca="false">IF(D741=1,SUMIFS(Benefits!$S$4:$S$703,Benefits!$B$4:$B$703,A741,Benefits!$F$4:$F$703,B741,Benefits!$R$4:$R$703,"avoided_cost_realised"),0)</f>
        <v>0</v>
      </c>
      <c r="I741" s="11" t="n">
        <f aca="false">IF(D741=1,SUMIFS(Benefits!$S$4:$S$703,Benefits!$B$4:$B$703,A741,Benefits!$F$4:$F$703,B741,Benefits!$R$4:$R$703,"capacity_converted"),0)</f>
        <v>0</v>
      </c>
      <c r="J741" s="11" t="n">
        <f aca="false">SUM(F741:I741)</f>
        <v>0</v>
      </c>
      <c r="K741" s="11" t="n">
        <f aca="false">J741-E741</f>
        <v>-117950</v>
      </c>
      <c r="L741" s="11" t="n">
        <f aca="false">IF(D741=1,L740+K741,0)</f>
        <v>-214750</v>
      </c>
      <c r="M741" s="11" t="n">
        <f aca="false">IF(D741=1,1/(1+Controls!$B$11)^B741,0)</f>
        <v>0.896705638478404</v>
      </c>
      <c r="N741" s="11" t="n">
        <f aca="false">K741*M741</f>
        <v>-105766.430058528</v>
      </c>
      <c r="O741" s="11" t="n">
        <f aca="false">IF(D741=1,O740+N741,0)</f>
        <v>-193711.163922647</v>
      </c>
      <c r="P741" s="11" t="n">
        <f aca="false">IF(AND(D741=1,L741&lt;0),1,0)</f>
        <v>1</v>
      </c>
      <c r="Q741" s="11" t="n">
        <f aca="false">IF(AND(D741=1,O741&lt;0),1,0)</f>
        <v>1</v>
      </c>
    </row>
    <row r="742" customFormat="false" ht="15" hidden="false" customHeight="false" outlineLevel="0" collapsed="false">
      <c r="A742" s="4" t="s">
        <v>103</v>
      </c>
      <c r="B742" s="4" t="n">
        <v>18</v>
      </c>
      <c r="C742" s="11" t="n">
        <f aca="false">IF(COUNTIF('Scenario inputs'!$A$4:$A$213,Controls!$B$3&amp;"|"&amp;A742)&gt;0,1,0)</f>
        <v>1</v>
      </c>
      <c r="D742" s="11" t="n">
        <f aca="false">IF(AND(C742=1,B742&lt;Controls!$B$12),1,0)</f>
        <v>1</v>
      </c>
      <c r="E742" s="11" t="n">
        <f aca="false">IF(D742=1,SUMPRODUCT((Costs!$B$4:$B$903=A742)*(Costs!$D$4:$D$903="planned")*(Costs!$J$4:$J$903&lt;=B742)*(Costs!$K$4:$K$903&gt;B742)*Costs!$E$4:$E$903),0)</f>
        <v>32500</v>
      </c>
      <c r="F742" s="11" t="n">
        <f aca="false">IF(D742=1,SUMIFS(Benefits!$S$4:$S$703,Benefits!$B$4:$B$703,A742,Benefits!$F$4:$F$703,B742,Benefits!$R$4:$R$703,"cash"),0)</f>
        <v>0</v>
      </c>
      <c r="G742" s="11" t="n">
        <f aca="false">IF(D742=1,SUMIFS(Benefits!$S$4:$S$703,Benefits!$B$4:$B$703,A742,Benefits!$F$4:$F$703,B742,Benefits!$R$4:$R$703,"revenue"),0)</f>
        <v>0</v>
      </c>
      <c r="H742" s="11" t="n">
        <f aca="false">IF(D742=1,SUMIFS(Benefits!$S$4:$S$703,Benefits!$B$4:$B$703,A742,Benefits!$F$4:$F$703,B742,Benefits!$R$4:$R$703,"avoided_cost_realised"),0)</f>
        <v>0</v>
      </c>
      <c r="I742" s="11" t="n">
        <f aca="false">IF(D742=1,SUMIFS(Benefits!$S$4:$S$703,Benefits!$B$4:$B$703,A742,Benefits!$F$4:$F$703,B742,Benefits!$R$4:$R$703,"capacity_converted"),0)</f>
        <v>0</v>
      </c>
      <c r="J742" s="11" t="n">
        <f aca="false">SUM(F742:I742)</f>
        <v>0</v>
      </c>
      <c r="K742" s="11" t="n">
        <f aca="false">J742-E742</f>
        <v>-32500</v>
      </c>
      <c r="L742" s="11" t="n">
        <f aca="false">IF(D742=1,L741+K742,0)</f>
        <v>-247250</v>
      </c>
      <c r="M742" s="11" t="n">
        <f aca="false">IF(D742=1,1/(1+Controls!$B$11)^B742,0)</f>
        <v>0.89097311744079</v>
      </c>
      <c r="N742" s="11" t="n">
        <f aca="false">K742*M742</f>
        <v>-28956.6263168257</v>
      </c>
      <c r="O742" s="11" t="n">
        <f aca="false">IF(D742=1,O741+N742,0)</f>
        <v>-222667.790239472</v>
      </c>
      <c r="P742" s="11" t="n">
        <f aca="false">IF(AND(D742=1,L742&lt;0),1,0)</f>
        <v>1</v>
      </c>
      <c r="Q742" s="11" t="n">
        <f aca="false">IF(AND(D742=1,O742&lt;0),1,0)</f>
        <v>1</v>
      </c>
    </row>
    <row r="743" customFormat="false" ht="15" hidden="false" customHeight="false" outlineLevel="0" collapsed="false">
      <c r="A743" s="4" t="s">
        <v>103</v>
      </c>
      <c r="B743" s="4" t="n">
        <v>19</v>
      </c>
      <c r="C743" s="11" t="n">
        <f aca="false">IF(COUNTIF('Scenario inputs'!$A$4:$A$213,Controls!$B$3&amp;"|"&amp;A743)&gt;0,1,0)</f>
        <v>1</v>
      </c>
      <c r="D743" s="11" t="n">
        <f aca="false">IF(AND(C743=1,B743&lt;Controls!$B$12),1,0)</f>
        <v>1</v>
      </c>
      <c r="E743" s="11" t="n">
        <f aca="false">IF(D743=1,SUMPRODUCT((Costs!$B$4:$B$903=A743)*(Costs!$D$4:$D$903="planned")*(Costs!$J$4:$J$903&lt;=B743)*(Costs!$K$4:$K$903&gt;B743)*Costs!$E$4:$E$903),0)</f>
        <v>64750</v>
      </c>
      <c r="F743" s="11" t="n">
        <f aca="false">IF(D743=1,SUMIFS(Benefits!$S$4:$S$703,Benefits!$B$4:$B$703,A743,Benefits!$F$4:$F$703,B743,Benefits!$R$4:$R$703,"cash"),0)</f>
        <v>0</v>
      </c>
      <c r="G743" s="11" t="n">
        <f aca="false">IF(D743=1,SUMIFS(Benefits!$S$4:$S$703,Benefits!$B$4:$B$703,A743,Benefits!$F$4:$F$703,B743,Benefits!$R$4:$R$703,"revenue"),0)</f>
        <v>0</v>
      </c>
      <c r="H743" s="11" t="n">
        <f aca="false">IF(D743=1,SUMIFS(Benefits!$S$4:$S$703,Benefits!$B$4:$B$703,A743,Benefits!$F$4:$F$703,B743,Benefits!$R$4:$R$703,"avoided_cost_realised"),0)</f>
        <v>0</v>
      </c>
      <c r="I743" s="11" t="n">
        <f aca="false">IF(D743=1,SUMIFS(Benefits!$S$4:$S$703,Benefits!$B$4:$B$703,A743,Benefits!$F$4:$F$703,B743,Benefits!$R$4:$R$703,"capacity_converted"),0)</f>
        <v>0</v>
      </c>
      <c r="J743" s="11" t="n">
        <f aca="false">SUM(F743:I743)</f>
        <v>0</v>
      </c>
      <c r="K743" s="11" t="n">
        <f aca="false">J743-E743</f>
        <v>-64750</v>
      </c>
      <c r="L743" s="11" t="n">
        <f aca="false">IF(D743=1,L742+K743,0)</f>
        <v>-312000</v>
      </c>
      <c r="M743" s="11" t="n">
        <f aca="false">IF(D743=1,1/(1+Controls!$B$11)^B743,0)</f>
        <v>0.885277243655113</v>
      </c>
      <c r="N743" s="11" t="n">
        <f aca="false">K743*M743</f>
        <v>-57321.7015266686</v>
      </c>
      <c r="O743" s="11" t="n">
        <f aca="false">IF(D743=1,O742+N743,0)</f>
        <v>-279989.491766141</v>
      </c>
      <c r="P743" s="11" t="n">
        <f aca="false">IF(AND(D743=1,L743&lt;0),1,0)</f>
        <v>1</v>
      </c>
      <c r="Q743" s="11" t="n">
        <f aca="false">IF(AND(D743=1,O743&lt;0),1,0)</f>
        <v>1</v>
      </c>
    </row>
    <row r="744" customFormat="false" ht="15" hidden="false" customHeight="false" outlineLevel="0" collapsed="false">
      <c r="A744" s="4" t="s">
        <v>103</v>
      </c>
      <c r="B744" s="4" t="n">
        <v>20</v>
      </c>
      <c r="C744" s="11" t="n">
        <f aca="false">IF(COUNTIF('Scenario inputs'!$A$4:$A$213,Controls!$B$3&amp;"|"&amp;A744)&gt;0,1,0)</f>
        <v>1</v>
      </c>
      <c r="D744" s="11" t="n">
        <f aca="false">IF(AND(C744=1,B744&lt;Controls!$B$12),1,0)</f>
        <v>1</v>
      </c>
      <c r="E744" s="11" t="n">
        <f aca="false">IF(D744=1,SUMPRODUCT((Costs!$B$4:$B$903=A744)*(Costs!$D$4:$D$903="planned")*(Costs!$J$4:$J$903&lt;=B744)*(Costs!$K$4:$K$903&gt;B744)*Costs!$E$4:$E$903),0)</f>
        <v>6000</v>
      </c>
      <c r="F744" s="11" t="n">
        <f aca="false">IF(D744=1,SUMIFS(Benefits!$S$4:$S$703,Benefits!$B$4:$B$703,A744,Benefits!$F$4:$F$703,B744,Benefits!$R$4:$R$703,"cash"),0)</f>
        <v>0</v>
      </c>
      <c r="G744" s="11" t="n">
        <f aca="false">IF(D744=1,SUMIFS(Benefits!$S$4:$S$703,Benefits!$B$4:$B$703,A744,Benefits!$F$4:$F$703,B744,Benefits!$R$4:$R$703,"revenue"),0)</f>
        <v>0</v>
      </c>
      <c r="H744" s="11" t="n">
        <f aca="false">IF(D744=1,SUMIFS(Benefits!$S$4:$S$703,Benefits!$B$4:$B$703,A744,Benefits!$F$4:$F$703,B744,Benefits!$R$4:$R$703,"avoided_cost_realised"),0)</f>
        <v>0</v>
      </c>
      <c r="I744" s="11" t="n">
        <f aca="false">IF(D744=1,SUMIFS(Benefits!$S$4:$S$703,Benefits!$B$4:$B$703,A744,Benefits!$F$4:$F$703,B744,Benefits!$R$4:$R$703,"capacity_converted"),0)</f>
        <v>0</v>
      </c>
      <c r="J744" s="11" t="n">
        <f aca="false">SUM(F744:I744)</f>
        <v>0</v>
      </c>
      <c r="K744" s="11" t="n">
        <f aca="false">J744-E744</f>
        <v>-6000</v>
      </c>
      <c r="L744" s="11" t="n">
        <f aca="false">IF(D744=1,L743+K744,0)</f>
        <v>-318000</v>
      </c>
      <c r="M744" s="11" t="n">
        <f aca="false">IF(D744=1,1/(1+Controls!$B$11)^B744,0)</f>
        <v>0.879617782840318</v>
      </c>
      <c r="N744" s="11" t="n">
        <f aca="false">K744*M744</f>
        <v>-5277.70669704191</v>
      </c>
      <c r="O744" s="11" t="n">
        <f aca="false">IF(D744=1,O743+N744,0)</f>
        <v>-285267.198463183</v>
      </c>
      <c r="P744" s="11" t="n">
        <f aca="false">IF(AND(D744=1,L744&lt;0),1,0)</f>
        <v>1</v>
      </c>
      <c r="Q744" s="11" t="n">
        <f aca="false">IF(AND(D744=1,O744&lt;0),1,0)</f>
        <v>1</v>
      </c>
    </row>
    <row r="745" customFormat="false" ht="15" hidden="false" customHeight="false" outlineLevel="0" collapsed="false">
      <c r="A745" s="4" t="s">
        <v>103</v>
      </c>
      <c r="B745" s="4" t="n">
        <v>21</v>
      </c>
      <c r="C745" s="11" t="n">
        <f aca="false">IF(COUNTIF('Scenario inputs'!$A$4:$A$213,Controls!$B$3&amp;"|"&amp;A745)&gt;0,1,0)</f>
        <v>1</v>
      </c>
      <c r="D745" s="11" t="n">
        <f aca="false">IF(AND(C745=1,B745&lt;Controls!$B$12),1,0)</f>
        <v>1</v>
      </c>
      <c r="E745" s="11" t="n">
        <f aca="false">IF(D745=1,SUMPRODUCT((Costs!$B$4:$B$903=A745)*(Costs!$D$4:$D$903="planned")*(Costs!$J$4:$J$903&lt;=B745)*(Costs!$K$4:$K$903&gt;B745)*Costs!$E$4:$E$903),0)</f>
        <v>6000</v>
      </c>
      <c r="F745" s="11" t="n">
        <f aca="false">IF(D745=1,SUMIFS(Benefits!$S$4:$S$703,Benefits!$B$4:$B$703,A745,Benefits!$F$4:$F$703,B745,Benefits!$R$4:$R$703,"cash"),0)</f>
        <v>0</v>
      </c>
      <c r="G745" s="11" t="n">
        <f aca="false">IF(D745=1,SUMIFS(Benefits!$S$4:$S$703,Benefits!$B$4:$B$703,A745,Benefits!$F$4:$F$703,B745,Benefits!$R$4:$R$703,"revenue"),0)</f>
        <v>0</v>
      </c>
      <c r="H745" s="11" t="n">
        <f aca="false">IF(D745=1,SUMIFS(Benefits!$S$4:$S$703,Benefits!$B$4:$B$703,A745,Benefits!$F$4:$F$703,B745,Benefits!$R$4:$R$703,"avoided_cost_realised"),0)</f>
        <v>0</v>
      </c>
      <c r="I745" s="11" t="n">
        <f aca="false">IF(D745=1,SUMIFS(Benefits!$S$4:$S$703,Benefits!$B$4:$B$703,A745,Benefits!$F$4:$F$703,B745,Benefits!$R$4:$R$703,"capacity_converted"),0)</f>
        <v>0</v>
      </c>
      <c r="J745" s="11" t="n">
        <f aca="false">SUM(F745:I745)</f>
        <v>0</v>
      </c>
      <c r="K745" s="11" t="n">
        <f aca="false">J745-E745</f>
        <v>-6000</v>
      </c>
      <c r="L745" s="11" t="n">
        <f aca="false">IF(D745=1,L744+K745,0)</f>
        <v>-324000</v>
      </c>
      <c r="M745" s="11" t="n">
        <f aca="false">IF(D745=1,1/(1+Controls!$B$11)^B745,0)</f>
        <v>0.873994502213079</v>
      </c>
      <c r="N745" s="11" t="n">
        <f aca="false">K745*M745</f>
        <v>-5243.96701327847</v>
      </c>
      <c r="O745" s="11" t="n">
        <f aca="false">IF(D745=1,O744+N745,0)</f>
        <v>-290511.165476461</v>
      </c>
      <c r="P745" s="11" t="n">
        <f aca="false">IF(AND(D745=1,L745&lt;0),1,0)</f>
        <v>1</v>
      </c>
      <c r="Q745" s="11" t="n">
        <f aca="false">IF(AND(D745=1,O745&lt;0),1,0)</f>
        <v>1</v>
      </c>
    </row>
    <row r="746" customFormat="false" ht="15" hidden="false" customHeight="false" outlineLevel="0" collapsed="false">
      <c r="A746" s="4" t="s">
        <v>103</v>
      </c>
      <c r="B746" s="4" t="n">
        <v>22</v>
      </c>
      <c r="C746" s="11" t="n">
        <f aca="false">IF(COUNTIF('Scenario inputs'!$A$4:$A$213,Controls!$B$3&amp;"|"&amp;A746)&gt;0,1,0)</f>
        <v>1</v>
      </c>
      <c r="D746" s="11" t="n">
        <f aca="false">IF(AND(C746=1,B746&lt;Controls!$B$12),1,0)</f>
        <v>1</v>
      </c>
      <c r="E746" s="11" t="n">
        <f aca="false">IF(D746=1,SUMPRODUCT((Costs!$B$4:$B$903=A746)*(Costs!$D$4:$D$903="planned")*(Costs!$J$4:$J$903&lt;=B746)*(Costs!$K$4:$K$903&gt;B746)*Costs!$E$4:$E$903),0)</f>
        <v>6000</v>
      </c>
      <c r="F746" s="11" t="n">
        <f aca="false">IF(D746=1,SUMIFS(Benefits!$S$4:$S$703,Benefits!$B$4:$B$703,A746,Benefits!$F$4:$F$703,B746,Benefits!$R$4:$R$703,"cash"),0)</f>
        <v>0</v>
      </c>
      <c r="G746" s="11" t="n">
        <f aca="false">IF(D746=1,SUMIFS(Benefits!$S$4:$S$703,Benefits!$B$4:$B$703,A746,Benefits!$F$4:$F$703,B746,Benefits!$R$4:$R$703,"revenue"),0)</f>
        <v>0</v>
      </c>
      <c r="H746" s="11" t="n">
        <f aca="false">IF(D746=1,SUMIFS(Benefits!$S$4:$S$703,Benefits!$B$4:$B$703,A746,Benefits!$F$4:$F$703,B746,Benefits!$R$4:$R$703,"avoided_cost_realised"),0)</f>
        <v>0</v>
      </c>
      <c r="I746" s="11" t="n">
        <f aca="false">IF(D746=1,SUMIFS(Benefits!$S$4:$S$703,Benefits!$B$4:$B$703,A746,Benefits!$F$4:$F$703,B746,Benefits!$R$4:$R$703,"capacity_converted"),0)</f>
        <v>0</v>
      </c>
      <c r="J746" s="11" t="n">
        <f aca="false">SUM(F746:I746)</f>
        <v>0</v>
      </c>
      <c r="K746" s="11" t="n">
        <f aca="false">J746-E746</f>
        <v>-6000</v>
      </c>
      <c r="L746" s="11" t="n">
        <f aca="false">IF(D746=1,L745+K746,0)</f>
        <v>-330000</v>
      </c>
      <c r="M746" s="11" t="n">
        <f aca="false">IF(D746=1,1/(1+Controls!$B$11)^B746,0)</f>
        <v>0.868407170478222</v>
      </c>
      <c r="N746" s="11" t="n">
        <f aca="false">K746*M746</f>
        <v>-5210.44302286933</v>
      </c>
      <c r="O746" s="11" t="n">
        <f aca="false">IF(D746=1,O745+N746,0)</f>
        <v>-295721.60849933</v>
      </c>
      <c r="P746" s="11" t="n">
        <f aca="false">IF(AND(D746=1,L746&lt;0),1,0)</f>
        <v>1</v>
      </c>
      <c r="Q746" s="11" t="n">
        <f aca="false">IF(AND(D746=1,O746&lt;0),1,0)</f>
        <v>1</v>
      </c>
    </row>
    <row r="747" customFormat="false" ht="15" hidden="false" customHeight="false" outlineLevel="0" collapsed="false">
      <c r="A747" s="4" t="s">
        <v>103</v>
      </c>
      <c r="B747" s="4" t="n">
        <v>23</v>
      </c>
      <c r="C747" s="11" t="n">
        <f aca="false">IF(COUNTIF('Scenario inputs'!$A$4:$A$213,Controls!$B$3&amp;"|"&amp;A747)&gt;0,1,0)</f>
        <v>1</v>
      </c>
      <c r="D747" s="11" t="n">
        <f aca="false">IF(AND(C747=1,B747&lt;Controls!$B$12),1,0)</f>
        <v>1</v>
      </c>
      <c r="E747" s="11" t="n">
        <f aca="false">IF(D747=1,SUMPRODUCT((Costs!$B$4:$B$903=A747)*(Costs!$D$4:$D$903="planned")*(Costs!$J$4:$J$903&lt;=B747)*(Costs!$K$4:$K$903&gt;B747)*Costs!$E$4:$E$903),0)</f>
        <v>6000</v>
      </c>
      <c r="F747" s="11" t="n">
        <f aca="false">IF(D747=1,SUMIFS(Benefits!$S$4:$S$703,Benefits!$B$4:$B$703,A747,Benefits!$F$4:$F$703,B747,Benefits!$R$4:$R$703,"cash"),0)</f>
        <v>0</v>
      </c>
      <c r="G747" s="11" t="n">
        <f aca="false">IF(D747=1,SUMIFS(Benefits!$S$4:$S$703,Benefits!$B$4:$B$703,A747,Benefits!$F$4:$F$703,B747,Benefits!$R$4:$R$703,"revenue"),0)</f>
        <v>0</v>
      </c>
      <c r="H747" s="11" t="n">
        <f aca="false">IF(D747=1,SUMIFS(Benefits!$S$4:$S$703,Benefits!$B$4:$B$703,A747,Benefits!$F$4:$F$703,B747,Benefits!$R$4:$R$703,"avoided_cost_realised"),0)</f>
        <v>0</v>
      </c>
      <c r="I747" s="11" t="n">
        <f aca="false">IF(D747=1,SUMIFS(Benefits!$S$4:$S$703,Benefits!$B$4:$B$703,A747,Benefits!$F$4:$F$703,B747,Benefits!$R$4:$R$703,"capacity_converted"),0)</f>
        <v>0</v>
      </c>
      <c r="J747" s="11" t="n">
        <f aca="false">SUM(F747:I747)</f>
        <v>0</v>
      </c>
      <c r="K747" s="11" t="n">
        <f aca="false">J747-E747</f>
        <v>-6000</v>
      </c>
      <c r="L747" s="11" t="n">
        <f aca="false">IF(D747=1,L746+K747,0)</f>
        <v>-336000</v>
      </c>
      <c r="M747" s="11" t="n">
        <f aca="false">IF(D747=1,1/(1+Controls!$B$11)^B747,0)</f>
        <v>0.862855557819213</v>
      </c>
      <c r="N747" s="11" t="n">
        <f aca="false">K747*M747</f>
        <v>-5177.13334691528</v>
      </c>
      <c r="O747" s="11" t="n">
        <f aca="false">IF(D747=1,O746+N747,0)</f>
        <v>-300898.741846246</v>
      </c>
      <c r="P747" s="11" t="n">
        <f aca="false">IF(AND(D747=1,L747&lt;0),1,0)</f>
        <v>1</v>
      </c>
      <c r="Q747" s="11" t="n">
        <f aca="false">IF(AND(D747=1,O747&lt;0),1,0)</f>
        <v>1</v>
      </c>
    </row>
    <row r="748" customFormat="false" ht="15" hidden="false" customHeight="false" outlineLevel="0" collapsed="false">
      <c r="A748" s="4" t="s">
        <v>103</v>
      </c>
      <c r="B748" s="4" t="n">
        <v>24</v>
      </c>
      <c r="C748" s="11" t="n">
        <f aca="false">IF(COUNTIF('Scenario inputs'!$A$4:$A$213,Controls!$B$3&amp;"|"&amp;A748)&gt;0,1,0)</f>
        <v>1</v>
      </c>
      <c r="D748" s="11" t="n">
        <f aca="false">IF(AND(C748=1,B748&lt;Controls!$B$12),1,0)</f>
        <v>1</v>
      </c>
      <c r="E748" s="11" t="n">
        <f aca="false">IF(D748=1,SUMPRODUCT((Costs!$B$4:$B$903=A748)*(Costs!$D$4:$D$903="planned")*(Costs!$J$4:$J$903&lt;=B748)*(Costs!$K$4:$K$903&gt;B748)*Costs!$E$4:$E$903),0)</f>
        <v>6000</v>
      </c>
      <c r="F748" s="11" t="n">
        <f aca="false">IF(D748=1,SUMIFS(Benefits!$S$4:$S$703,Benefits!$B$4:$B$703,A748,Benefits!$F$4:$F$703,B748,Benefits!$R$4:$R$703,"cash"),0)</f>
        <v>0</v>
      </c>
      <c r="G748" s="11" t="n">
        <f aca="false">IF(D748=1,SUMIFS(Benefits!$S$4:$S$703,Benefits!$B$4:$B$703,A748,Benefits!$F$4:$F$703,B748,Benefits!$R$4:$R$703,"revenue"),0)</f>
        <v>0</v>
      </c>
      <c r="H748" s="11" t="n">
        <f aca="false">IF(D748=1,SUMIFS(Benefits!$S$4:$S$703,Benefits!$B$4:$B$703,A748,Benefits!$F$4:$F$703,B748,Benefits!$R$4:$R$703,"avoided_cost_realised"),0)</f>
        <v>0</v>
      </c>
      <c r="I748" s="11" t="n">
        <f aca="false">IF(D748=1,SUMIFS(Benefits!$S$4:$S$703,Benefits!$B$4:$B$703,A748,Benefits!$F$4:$F$703,B748,Benefits!$R$4:$R$703,"capacity_converted"),0)</f>
        <v>0</v>
      </c>
      <c r="J748" s="11" t="n">
        <f aca="false">SUM(F748:I748)</f>
        <v>0</v>
      </c>
      <c r="K748" s="11" t="n">
        <f aca="false">J748-E748</f>
        <v>-6000</v>
      </c>
      <c r="L748" s="11" t="n">
        <f aca="false">IF(D748=1,L747+K748,0)</f>
        <v>-342000</v>
      </c>
      <c r="M748" s="11" t="n">
        <f aca="false">IF(D748=1,1/(1+Controls!$B$11)^B748,0)</f>
        <v>0.857339435888705</v>
      </c>
      <c r="N748" s="11" t="n">
        <f aca="false">K748*M748</f>
        <v>-5144.03661533223</v>
      </c>
      <c r="O748" s="11" t="n">
        <f aca="false">IF(D748=1,O747+N748,0)</f>
        <v>-306042.778461578</v>
      </c>
      <c r="P748" s="11" t="n">
        <f aca="false">IF(AND(D748=1,L748&lt;0),1,0)</f>
        <v>1</v>
      </c>
      <c r="Q748" s="11" t="n">
        <f aca="false">IF(AND(D748=1,O748&lt;0),1,0)</f>
        <v>1</v>
      </c>
    </row>
    <row r="749" customFormat="false" ht="15" hidden="false" customHeight="false" outlineLevel="0" collapsed="false">
      <c r="A749" s="4" t="s">
        <v>103</v>
      </c>
      <c r="B749" s="4" t="n">
        <v>25</v>
      </c>
      <c r="C749" s="11" t="n">
        <f aca="false">IF(COUNTIF('Scenario inputs'!$A$4:$A$213,Controls!$B$3&amp;"|"&amp;A749)&gt;0,1,0)</f>
        <v>1</v>
      </c>
      <c r="D749" s="11" t="n">
        <f aca="false">IF(AND(C749=1,B749&lt;Controls!$B$12),1,0)</f>
        <v>1</v>
      </c>
      <c r="E749" s="11" t="n">
        <f aca="false">IF(D749=1,SUMPRODUCT((Costs!$B$4:$B$903=A749)*(Costs!$D$4:$D$903="planned")*(Costs!$J$4:$J$903&lt;=B749)*(Costs!$K$4:$K$903&gt;B749)*Costs!$E$4:$E$903),0)</f>
        <v>6200</v>
      </c>
      <c r="F749" s="11" t="n">
        <f aca="false">IF(D749=1,SUMIFS(Benefits!$S$4:$S$703,Benefits!$B$4:$B$703,A749,Benefits!$F$4:$F$703,B749,Benefits!$R$4:$R$703,"cash"),0)</f>
        <v>0</v>
      </c>
      <c r="G749" s="11" t="n">
        <f aca="false">IF(D749=1,SUMIFS(Benefits!$S$4:$S$703,Benefits!$B$4:$B$703,A749,Benefits!$F$4:$F$703,B749,Benefits!$R$4:$R$703,"revenue"),0)</f>
        <v>0</v>
      </c>
      <c r="H749" s="11" t="n">
        <f aca="false">IF(D749=1,SUMIFS(Benefits!$S$4:$S$703,Benefits!$B$4:$B$703,A749,Benefits!$F$4:$F$703,B749,Benefits!$R$4:$R$703,"avoided_cost_realised"),0)</f>
        <v>0</v>
      </c>
      <c r="I749" s="11" t="n">
        <f aca="false">IF(D749=1,SUMIFS(Benefits!$S$4:$S$703,Benefits!$B$4:$B$703,A749,Benefits!$F$4:$F$703,B749,Benefits!$R$4:$R$703,"capacity_converted"),0)</f>
        <v>0</v>
      </c>
      <c r="J749" s="11" t="n">
        <f aca="false">SUM(F749:I749)</f>
        <v>0</v>
      </c>
      <c r="K749" s="11" t="n">
        <f aca="false">J749-E749</f>
        <v>-6200</v>
      </c>
      <c r="L749" s="11" t="n">
        <f aca="false">IF(D749=1,L748+K749,0)</f>
        <v>-348200</v>
      </c>
      <c r="M749" s="11" t="n">
        <f aca="false">IF(D749=1,1/(1+Controls!$B$11)^B749,0)</f>
        <v>0.851858577799146</v>
      </c>
      <c r="N749" s="11" t="n">
        <f aca="false">K749*M749</f>
        <v>-5281.5231823547</v>
      </c>
      <c r="O749" s="11" t="n">
        <f aca="false">IF(D749=1,O748+N749,0)</f>
        <v>-311324.301643933</v>
      </c>
      <c r="P749" s="11" t="n">
        <f aca="false">IF(AND(D749=1,L749&lt;0),1,0)</f>
        <v>1</v>
      </c>
      <c r="Q749" s="11" t="n">
        <f aca="false">IF(AND(D749=1,O749&lt;0),1,0)</f>
        <v>1</v>
      </c>
    </row>
    <row r="750" customFormat="false" ht="15" hidden="false" customHeight="false" outlineLevel="0" collapsed="false">
      <c r="A750" s="4" t="s">
        <v>103</v>
      </c>
      <c r="B750" s="4" t="n">
        <v>26</v>
      </c>
      <c r="C750" s="11" t="n">
        <f aca="false">IF(COUNTIF('Scenario inputs'!$A$4:$A$213,Controls!$B$3&amp;"|"&amp;A750)&gt;0,1,0)</f>
        <v>1</v>
      </c>
      <c r="D750" s="11" t="n">
        <f aca="false">IF(AND(C750=1,B750&lt;Controls!$B$12),1,0)</f>
        <v>1</v>
      </c>
      <c r="E750" s="11" t="n">
        <f aca="false">IF(D750=1,SUMPRODUCT((Costs!$B$4:$B$903=A750)*(Costs!$D$4:$D$903="planned")*(Costs!$J$4:$J$903&lt;=B750)*(Costs!$K$4:$K$903&gt;B750)*Costs!$E$4:$E$903),0)</f>
        <v>6200</v>
      </c>
      <c r="F750" s="11" t="n">
        <f aca="false">IF(D750=1,SUMIFS(Benefits!$S$4:$S$703,Benefits!$B$4:$B$703,A750,Benefits!$F$4:$F$703,B750,Benefits!$R$4:$R$703,"cash"),0)</f>
        <v>0</v>
      </c>
      <c r="G750" s="11" t="n">
        <f aca="false">IF(D750=1,SUMIFS(Benefits!$S$4:$S$703,Benefits!$B$4:$B$703,A750,Benefits!$F$4:$F$703,B750,Benefits!$R$4:$R$703,"revenue"),0)</f>
        <v>0</v>
      </c>
      <c r="H750" s="11" t="n">
        <f aca="false">IF(D750=1,SUMIFS(Benefits!$S$4:$S$703,Benefits!$B$4:$B$703,A750,Benefits!$F$4:$F$703,B750,Benefits!$R$4:$R$703,"avoided_cost_realised"),0)</f>
        <v>0</v>
      </c>
      <c r="I750" s="11" t="n">
        <f aca="false">IF(D750=1,SUMIFS(Benefits!$S$4:$S$703,Benefits!$B$4:$B$703,A750,Benefits!$F$4:$F$703,B750,Benefits!$R$4:$R$703,"capacity_converted"),0)</f>
        <v>0</v>
      </c>
      <c r="J750" s="11" t="n">
        <f aca="false">SUM(F750:I750)</f>
        <v>0</v>
      </c>
      <c r="K750" s="11" t="n">
        <f aca="false">J750-E750</f>
        <v>-6200</v>
      </c>
      <c r="L750" s="11" t="n">
        <f aca="false">IF(D750=1,L749+K750,0)</f>
        <v>-354400</v>
      </c>
      <c r="M750" s="11" t="n">
        <f aca="false">IF(D750=1,1/(1+Controls!$B$11)^B750,0)</f>
        <v>0.846412758113444</v>
      </c>
      <c r="N750" s="11" t="n">
        <f aca="false">K750*M750</f>
        <v>-5247.75910030335</v>
      </c>
      <c r="O750" s="11" t="n">
        <f aca="false">IF(D750=1,O749+N750,0)</f>
        <v>-316572.060744236</v>
      </c>
      <c r="P750" s="11" t="n">
        <f aca="false">IF(AND(D750=1,L750&lt;0),1,0)</f>
        <v>1</v>
      </c>
      <c r="Q750" s="11" t="n">
        <f aca="false">IF(AND(D750=1,O750&lt;0),1,0)</f>
        <v>1</v>
      </c>
    </row>
    <row r="751" customFormat="false" ht="15" hidden="false" customHeight="false" outlineLevel="0" collapsed="false">
      <c r="A751" s="4" t="s">
        <v>103</v>
      </c>
      <c r="B751" s="4" t="n">
        <v>27</v>
      </c>
      <c r="C751" s="11" t="n">
        <f aca="false">IF(COUNTIF('Scenario inputs'!$A$4:$A$213,Controls!$B$3&amp;"|"&amp;A751)&gt;0,1,0)</f>
        <v>1</v>
      </c>
      <c r="D751" s="11" t="n">
        <f aca="false">IF(AND(C751=1,B751&lt;Controls!$B$12),1,0)</f>
        <v>1</v>
      </c>
      <c r="E751" s="11" t="n">
        <f aca="false">IF(D751=1,SUMPRODUCT((Costs!$B$4:$B$903=A751)*(Costs!$D$4:$D$903="planned")*(Costs!$J$4:$J$903&lt;=B751)*(Costs!$K$4:$K$903&gt;B751)*Costs!$E$4:$E$903),0)</f>
        <v>6200</v>
      </c>
      <c r="F751" s="11" t="n">
        <f aca="false">IF(D751=1,SUMIFS(Benefits!$S$4:$S$703,Benefits!$B$4:$B$703,A751,Benefits!$F$4:$F$703,B751,Benefits!$R$4:$R$703,"cash"),0)</f>
        <v>0</v>
      </c>
      <c r="G751" s="11" t="n">
        <f aca="false">IF(D751=1,SUMIFS(Benefits!$S$4:$S$703,Benefits!$B$4:$B$703,A751,Benefits!$F$4:$F$703,B751,Benefits!$R$4:$R$703,"revenue"),0)</f>
        <v>0</v>
      </c>
      <c r="H751" s="11" t="n">
        <f aca="false">IF(D751=1,SUMIFS(Benefits!$S$4:$S$703,Benefits!$B$4:$B$703,A751,Benefits!$F$4:$F$703,B751,Benefits!$R$4:$R$703,"avoided_cost_realised"),0)</f>
        <v>0</v>
      </c>
      <c r="I751" s="11" t="n">
        <f aca="false">IF(D751=1,SUMIFS(Benefits!$S$4:$S$703,Benefits!$B$4:$B$703,A751,Benefits!$F$4:$F$703,B751,Benefits!$R$4:$R$703,"capacity_converted"),0)</f>
        <v>0</v>
      </c>
      <c r="J751" s="11" t="n">
        <f aca="false">SUM(F751:I751)</f>
        <v>0</v>
      </c>
      <c r="K751" s="11" t="n">
        <f aca="false">J751-E751</f>
        <v>-6200</v>
      </c>
      <c r="L751" s="11" t="n">
        <f aca="false">IF(D751=1,L750+K751,0)</f>
        <v>-360600</v>
      </c>
      <c r="M751" s="11" t="n">
        <f aca="false">IF(D751=1,1/(1+Controls!$B$11)^B751,0)</f>
        <v>0.841001752835699</v>
      </c>
      <c r="N751" s="11" t="n">
        <f aca="false">K751*M751</f>
        <v>-5214.21086758133</v>
      </c>
      <c r="O751" s="11" t="n">
        <f aca="false">IF(D751=1,O750+N751,0)</f>
        <v>-321786.271611817</v>
      </c>
      <c r="P751" s="11" t="n">
        <f aca="false">IF(AND(D751=1,L751&lt;0),1,0)</f>
        <v>1</v>
      </c>
      <c r="Q751" s="11" t="n">
        <f aca="false">IF(AND(D751=1,O751&lt;0),1,0)</f>
        <v>1</v>
      </c>
    </row>
    <row r="752" customFormat="false" ht="15" hidden="false" customHeight="false" outlineLevel="0" collapsed="false">
      <c r="A752" s="4" t="s">
        <v>103</v>
      </c>
      <c r="B752" s="4" t="n">
        <v>28</v>
      </c>
      <c r="C752" s="11" t="n">
        <f aca="false">IF(COUNTIF('Scenario inputs'!$A$4:$A$213,Controls!$B$3&amp;"|"&amp;A752)&gt;0,1,0)</f>
        <v>1</v>
      </c>
      <c r="D752" s="11" t="n">
        <f aca="false">IF(AND(C752=1,B752&lt;Controls!$B$12),1,0)</f>
        <v>1</v>
      </c>
      <c r="E752" s="11" t="n">
        <f aca="false">IF(D752=1,SUMPRODUCT((Costs!$B$4:$B$903=A752)*(Costs!$D$4:$D$903="planned")*(Costs!$J$4:$J$903&lt;=B752)*(Costs!$K$4:$K$903&gt;B752)*Costs!$E$4:$E$903),0)</f>
        <v>6200</v>
      </c>
      <c r="F752" s="11" t="n">
        <f aca="false">IF(D752=1,SUMIFS(Benefits!$S$4:$S$703,Benefits!$B$4:$B$703,A752,Benefits!$F$4:$F$703,B752,Benefits!$R$4:$R$703,"cash"),0)</f>
        <v>0</v>
      </c>
      <c r="G752" s="11" t="n">
        <f aca="false">IF(D752=1,SUMIFS(Benefits!$S$4:$S$703,Benefits!$B$4:$B$703,A752,Benefits!$F$4:$F$703,B752,Benefits!$R$4:$R$703,"revenue"),0)</f>
        <v>0</v>
      </c>
      <c r="H752" s="11" t="n">
        <f aca="false">IF(D752=1,SUMIFS(Benefits!$S$4:$S$703,Benefits!$B$4:$B$703,A752,Benefits!$F$4:$F$703,B752,Benefits!$R$4:$R$703,"avoided_cost_realised"),0)</f>
        <v>0</v>
      </c>
      <c r="I752" s="11" t="n">
        <f aca="false">IF(D752=1,SUMIFS(Benefits!$S$4:$S$703,Benefits!$B$4:$B$703,A752,Benefits!$F$4:$F$703,B752,Benefits!$R$4:$R$703,"capacity_converted"),0)</f>
        <v>0</v>
      </c>
      <c r="J752" s="11" t="n">
        <f aca="false">SUM(F752:I752)</f>
        <v>0</v>
      </c>
      <c r="K752" s="11" t="n">
        <f aca="false">J752-E752</f>
        <v>-6200</v>
      </c>
      <c r="L752" s="11" t="n">
        <f aca="false">IF(D752=1,L751+K752,0)</f>
        <v>-366800</v>
      </c>
      <c r="M752" s="11" t="n">
        <f aca="false">IF(D752=1,1/(1+Controls!$B$11)^B752,0)</f>
        <v>0.835625339401986</v>
      </c>
      <c r="N752" s="11" t="n">
        <f aca="false">K752*M752</f>
        <v>-5180.87710429232</v>
      </c>
      <c r="O752" s="11" t="n">
        <f aca="false">IF(D752=1,O751+N752,0)</f>
        <v>-326967.14871611</v>
      </c>
      <c r="P752" s="11" t="n">
        <f aca="false">IF(AND(D752=1,L752&lt;0),1,0)</f>
        <v>1</v>
      </c>
      <c r="Q752" s="11" t="n">
        <f aca="false">IF(AND(D752=1,O752&lt;0),1,0)</f>
        <v>1</v>
      </c>
    </row>
    <row r="753" customFormat="false" ht="15" hidden="false" customHeight="false" outlineLevel="0" collapsed="false">
      <c r="A753" s="4" t="s">
        <v>103</v>
      </c>
      <c r="B753" s="4" t="n">
        <v>29</v>
      </c>
      <c r="C753" s="11" t="n">
        <f aca="false">IF(COUNTIF('Scenario inputs'!$A$4:$A$213,Controls!$B$3&amp;"|"&amp;A753)&gt;0,1,0)</f>
        <v>1</v>
      </c>
      <c r="D753" s="11" t="n">
        <f aca="false">IF(AND(C753=1,B753&lt;Controls!$B$12),1,0)</f>
        <v>1</v>
      </c>
      <c r="E753" s="11" t="n">
        <f aca="false">IF(D753=1,SUMPRODUCT((Costs!$B$4:$B$903=A753)*(Costs!$D$4:$D$903="planned")*(Costs!$J$4:$J$903&lt;=B753)*(Costs!$K$4:$K$903&gt;B753)*Costs!$E$4:$E$903),0)</f>
        <v>6200</v>
      </c>
      <c r="F753" s="11" t="n">
        <f aca="false">IF(D753=1,SUMIFS(Benefits!$S$4:$S$703,Benefits!$B$4:$B$703,A753,Benefits!$F$4:$F$703,B753,Benefits!$R$4:$R$703,"cash"),0)</f>
        <v>0</v>
      </c>
      <c r="G753" s="11" t="n">
        <f aca="false">IF(D753=1,SUMIFS(Benefits!$S$4:$S$703,Benefits!$B$4:$B$703,A753,Benefits!$F$4:$F$703,B753,Benefits!$R$4:$R$703,"revenue"),0)</f>
        <v>0</v>
      </c>
      <c r="H753" s="11" t="n">
        <f aca="false">IF(D753=1,SUMIFS(Benefits!$S$4:$S$703,Benefits!$B$4:$B$703,A753,Benefits!$F$4:$F$703,B753,Benefits!$R$4:$R$703,"avoided_cost_realised"),0)</f>
        <v>0</v>
      </c>
      <c r="I753" s="11" t="n">
        <f aca="false">IF(D753=1,SUMIFS(Benefits!$S$4:$S$703,Benefits!$B$4:$B$703,A753,Benefits!$F$4:$F$703,B753,Benefits!$R$4:$R$703,"capacity_converted"),0)</f>
        <v>0</v>
      </c>
      <c r="J753" s="11" t="n">
        <f aca="false">SUM(F753:I753)</f>
        <v>0</v>
      </c>
      <c r="K753" s="11" t="n">
        <f aca="false">J753-E753</f>
        <v>-6200</v>
      </c>
      <c r="L753" s="11" t="n">
        <f aca="false">IF(D753=1,L752+K753,0)</f>
        <v>-373000</v>
      </c>
      <c r="M753" s="11" t="n">
        <f aca="false">IF(D753=1,1/(1+Controls!$B$11)^B753,0)</f>
        <v>0.830283296671204</v>
      </c>
      <c r="N753" s="11" t="n">
        <f aca="false">K753*M753</f>
        <v>-5147.75643936146</v>
      </c>
      <c r="O753" s="11" t="n">
        <f aca="false">IF(D753=1,O752+N753,0)</f>
        <v>-332114.905155471</v>
      </c>
      <c r="P753" s="11" t="n">
        <f aca="false">IF(AND(D753=1,L753&lt;0),1,0)</f>
        <v>1</v>
      </c>
      <c r="Q753" s="11" t="n">
        <f aca="false">IF(AND(D753=1,O753&lt;0),1,0)</f>
        <v>1</v>
      </c>
    </row>
    <row r="754" customFormat="false" ht="15" hidden="false" customHeight="false" outlineLevel="0" collapsed="false">
      <c r="A754" s="4" t="s">
        <v>103</v>
      </c>
      <c r="B754" s="4" t="n">
        <v>30</v>
      </c>
      <c r="C754" s="11" t="n">
        <f aca="false">IF(COUNTIF('Scenario inputs'!$A$4:$A$213,Controls!$B$3&amp;"|"&amp;A754)&gt;0,1,0)</f>
        <v>1</v>
      </c>
      <c r="D754" s="11" t="n">
        <f aca="false">IF(AND(C754=1,B754&lt;Controls!$B$12),1,0)</f>
        <v>1</v>
      </c>
      <c r="E754" s="11" t="n">
        <f aca="false">IF(D754=1,SUMPRODUCT((Costs!$B$4:$B$903=A754)*(Costs!$D$4:$D$903="planned")*(Costs!$J$4:$J$903&lt;=B754)*(Costs!$K$4:$K$903&gt;B754)*Costs!$E$4:$E$903),0)</f>
        <v>6200</v>
      </c>
      <c r="F754" s="11" t="n">
        <f aca="false">IF(D754=1,SUMIFS(Benefits!$S$4:$S$703,Benefits!$B$4:$B$703,A754,Benefits!$F$4:$F$703,B754,Benefits!$R$4:$R$703,"cash"),0)</f>
        <v>0</v>
      </c>
      <c r="G754" s="11" t="n">
        <f aca="false">IF(D754=1,SUMIFS(Benefits!$S$4:$S$703,Benefits!$B$4:$B$703,A754,Benefits!$F$4:$F$703,B754,Benefits!$R$4:$R$703,"revenue"),0)</f>
        <v>0</v>
      </c>
      <c r="H754" s="11" t="n">
        <f aca="false">IF(D754=1,SUMIFS(Benefits!$S$4:$S$703,Benefits!$B$4:$B$703,A754,Benefits!$F$4:$F$703,B754,Benefits!$R$4:$R$703,"avoided_cost_realised"),0)</f>
        <v>0</v>
      </c>
      <c r="I754" s="11" t="n">
        <f aca="false">IF(D754=1,SUMIFS(Benefits!$S$4:$S$703,Benefits!$B$4:$B$703,A754,Benefits!$F$4:$F$703,B754,Benefits!$R$4:$R$703,"capacity_converted"),0)</f>
        <v>0</v>
      </c>
      <c r="J754" s="11" t="n">
        <f aca="false">SUM(F754:I754)</f>
        <v>0</v>
      </c>
      <c r="K754" s="11" t="n">
        <f aca="false">J754-E754</f>
        <v>-6200</v>
      </c>
      <c r="L754" s="11" t="n">
        <f aca="false">IF(D754=1,L753+K754,0)</f>
        <v>-379200</v>
      </c>
      <c r="M754" s="11" t="n">
        <f aca="false">IF(D754=1,1/(1+Controls!$B$11)^B754,0)</f>
        <v>0.824975404915974</v>
      </c>
      <c r="N754" s="11" t="n">
        <f aca="false">K754*M754</f>
        <v>-5114.84751047904</v>
      </c>
      <c r="O754" s="11" t="n">
        <f aca="false">IF(D754=1,O753+N754,0)</f>
        <v>-337229.75266595</v>
      </c>
      <c r="P754" s="11" t="n">
        <f aca="false">IF(AND(D754=1,L754&lt;0),1,0)</f>
        <v>1</v>
      </c>
      <c r="Q754" s="11" t="n">
        <f aca="false">IF(AND(D754=1,O754&lt;0),1,0)</f>
        <v>1</v>
      </c>
    </row>
    <row r="755" customFormat="false" ht="15" hidden="false" customHeight="false" outlineLevel="0" collapsed="false">
      <c r="A755" s="4" t="s">
        <v>103</v>
      </c>
      <c r="B755" s="4" t="n">
        <v>31</v>
      </c>
      <c r="C755" s="11" t="n">
        <f aca="false">IF(COUNTIF('Scenario inputs'!$A$4:$A$213,Controls!$B$3&amp;"|"&amp;A755)&gt;0,1,0)</f>
        <v>1</v>
      </c>
      <c r="D755" s="11" t="n">
        <f aca="false">IF(AND(C755=1,B755&lt;Controls!$B$12),1,0)</f>
        <v>1</v>
      </c>
      <c r="E755" s="11" t="n">
        <f aca="false">IF(D755=1,SUMPRODUCT((Costs!$B$4:$B$903=A755)*(Costs!$D$4:$D$903="planned")*(Costs!$J$4:$J$903&lt;=B755)*(Costs!$K$4:$K$903&gt;B755)*Costs!$E$4:$E$903),0)</f>
        <v>0</v>
      </c>
      <c r="F755" s="11" t="n">
        <f aca="false">IF(D755=1,SUMIFS(Benefits!$S$4:$S$703,Benefits!$B$4:$B$703,A755,Benefits!$F$4:$F$703,B755,Benefits!$R$4:$R$703,"cash"),0)</f>
        <v>0</v>
      </c>
      <c r="G755" s="11" t="n">
        <f aca="false">IF(D755=1,SUMIFS(Benefits!$S$4:$S$703,Benefits!$B$4:$B$703,A755,Benefits!$F$4:$F$703,B755,Benefits!$R$4:$R$703,"revenue"),0)</f>
        <v>0</v>
      </c>
      <c r="H755" s="11" t="n">
        <f aca="false">IF(D755=1,SUMIFS(Benefits!$S$4:$S$703,Benefits!$B$4:$B$703,A755,Benefits!$F$4:$F$703,B755,Benefits!$R$4:$R$703,"avoided_cost_realised"),0)</f>
        <v>0</v>
      </c>
      <c r="I755" s="11" t="n">
        <f aca="false">IF(D755=1,SUMIFS(Benefits!$S$4:$S$703,Benefits!$B$4:$B$703,A755,Benefits!$F$4:$F$703,B755,Benefits!$R$4:$R$703,"capacity_converted"),0)</f>
        <v>0</v>
      </c>
      <c r="J755" s="11" t="n">
        <f aca="false">SUM(F755:I755)</f>
        <v>0</v>
      </c>
      <c r="K755" s="11" t="n">
        <f aca="false">J755-E755</f>
        <v>0</v>
      </c>
      <c r="L755" s="11" t="n">
        <f aca="false">IF(D755=1,L754+K755,0)</f>
        <v>-379200</v>
      </c>
      <c r="M755" s="11" t="n">
        <f aca="false">IF(D755=1,1/(1+Controls!$B$11)^B755,0)</f>
        <v>0.81970144581361</v>
      </c>
      <c r="N755" s="11" t="n">
        <f aca="false">K755*M755</f>
        <v>0</v>
      </c>
      <c r="O755" s="11" t="n">
        <f aca="false">IF(D755=1,O754+N755,0)</f>
        <v>-337229.75266595</v>
      </c>
      <c r="P755" s="11" t="n">
        <f aca="false">IF(AND(D755=1,L755&lt;0),1,0)</f>
        <v>1</v>
      </c>
      <c r="Q755" s="11" t="n">
        <f aca="false">IF(AND(D755=1,O755&lt;0),1,0)</f>
        <v>1</v>
      </c>
    </row>
    <row r="756" customFormat="false" ht="15" hidden="false" customHeight="false" outlineLevel="0" collapsed="false">
      <c r="A756" s="4" t="s">
        <v>103</v>
      </c>
      <c r="B756" s="4" t="n">
        <v>32</v>
      </c>
      <c r="C756" s="11" t="n">
        <f aca="false">IF(COUNTIF('Scenario inputs'!$A$4:$A$213,Controls!$B$3&amp;"|"&amp;A756)&gt;0,1,0)</f>
        <v>1</v>
      </c>
      <c r="D756" s="11" t="n">
        <f aca="false">IF(AND(C756=1,B756&lt;Controls!$B$12),1,0)</f>
        <v>1</v>
      </c>
      <c r="E756" s="11" t="n">
        <f aca="false">IF(D756=1,SUMPRODUCT((Costs!$B$4:$B$903=A756)*(Costs!$D$4:$D$903="planned")*(Costs!$J$4:$J$903&lt;=B756)*(Costs!$K$4:$K$903&gt;B756)*Costs!$E$4:$E$903),0)</f>
        <v>0</v>
      </c>
      <c r="F756" s="11" t="n">
        <f aca="false">IF(D756=1,SUMIFS(Benefits!$S$4:$S$703,Benefits!$B$4:$B$703,A756,Benefits!$F$4:$F$703,B756,Benefits!$R$4:$R$703,"cash"),0)</f>
        <v>0</v>
      </c>
      <c r="G756" s="11" t="n">
        <f aca="false">IF(D756=1,SUMIFS(Benefits!$S$4:$S$703,Benefits!$B$4:$B$703,A756,Benefits!$F$4:$F$703,B756,Benefits!$R$4:$R$703,"revenue"),0)</f>
        <v>0</v>
      </c>
      <c r="H756" s="11" t="n">
        <f aca="false">IF(D756=1,SUMIFS(Benefits!$S$4:$S$703,Benefits!$B$4:$B$703,A756,Benefits!$F$4:$F$703,B756,Benefits!$R$4:$R$703,"avoided_cost_realised"),0)</f>
        <v>0</v>
      </c>
      <c r="I756" s="11" t="n">
        <f aca="false">IF(D756=1,SUMIFS(Benefits!$S$4:$S$703,Benefits!$B$4:$B$703,A756,Benefits!$F$4:$F$703,B756,Benefits!$R$4:$R$703,"capacity_converted"),0)</f>
        <v>0</v>
      </c>
      <c r="J756" s="11" t="n">
        <f aca="false">SUM(F756:I756)</f>
        <v>0</v>
      </c>
      <c r="K756" s="11" t="n">
        <f aca="false">J756-E756</f>
        <v>0</v>
      </c>
      <c r="L756" s="11" t="n">
        <f aca="false">IF(D756=1,L755+K756,0)</f>
        <v>-379200</v>
      </c>
      <c r="M756" s="11" t="n">
        <f aca="false">IF(D756=1,1/(1+Controls!$B$11)^B756,0)</f>
        <v>0.814461202437129</v>
      </c>
      <c r="N756" s="11" t="n">
        <f aca="false">K756*M756</f>
        <v>0</v>
      </c>
      <c r="O756" s="11" t="n">
        <f aca="false">IF(D756=1,O755+N756,0)</f>
        <v>-337229.75266595</v>
      </c>
      <c r="P756" s="11" t="n">
        <f aca="false">IF(AND(D756=1,L756&lt;0),1,0)</f>
        <v>1</v>
      </c>
      <c r="Q756" s="11" t="n">
        <f aca="false">IF(AND(D756=1,O756&lt;0),1,0)</f>
        <v>1</v>
      </c>
    </row>
    <row r="757" customFormat="false" ht="15" hidden="false" customHeight="false" outlineLevel="0" collapsed="false">
      <c r="A757" s="4" t="s">
        <v>103</v>
      </c>
      <c r="B757" s="4" t="n">
        <v>33</v>
      </c>
      <c r="C757" s="11" t="n">
        <f aca="false">IF(COUNTIF('Scenario inputs'!$A$4:$A$213,Controls!$B$3&amp;"|"&amp;A757)&gt;0,1,0)</f>
        <v>1</v>
      </c>
      <c r="D757" s="11" t="n">
        <f aca="false">IF(AND(C757=1,B757&lt;Controls!$B$12),1,0)</f>
        <v>1</v>
      </c>
      <c r="E757" s="11" t="n">
        <f aca="false">IF(D757=1,SUMPRODUCT((Costs!$B$4:$B$903=A757)*(Costs!$D$4:$D$903="planned")*(Costs!$J$4:$J$903&lt;=B757)*(Costs!$K$4:$K$903&gt;B757)*Costs!$E$4:$E$903),0)</f>
        <v>0</v>
      </c>
      <c r="F757" s="11" t="n">
        <f aca="false">IF(D757=1,SUMIFS(Benefits!$S$4:$S$703,Benefits!$B$4:$B$703,A757,Benefits!$F$4:$F$703,B757,Benefits!$R$4:$R$703,"cash"),0)</f>
        <v>0</v>
      </c>
      <c r="G757" s="11" t="n">
        <f aca="false">IF(D757=1,SUMIFS(Benefits!$S$4:$S$703,Benefits!$B$4:$B$703,A757,Benefits!$F$4:$F$703,B757,Benefits!$R$4:$R$703,"revenue"),0)</f>
        <v>0</v>
      </c>
      <c r="H757" s="11" t="n">
        <f aca="false">IF(D757=1,SUMIFS(Benefits!$S$4:$S$703,Benefits!$B$4:$B$703,A757,Benefits!$F$4:$F$703,B757,Benefits!$R$4:$R$703,"avoided_cost_realised"),0)</f>
        <v>0</v>
      </c>
      <c r="I757" s="11" t="n">
        <f aca="false">IF(D757=1,SUMIFS(Benefits!$S$4:$S$703,Benefits!$B$4:$B$703,A757,Benefits!$F$4:$F$703,B757,Benefits!$R$4:$R$703,"capacity_converted"),0)</f>
        <v>0</v>
      </c>
      <c r="J757" s="11" t="n">
        <f aca="false">SUM(F757:I757)</f>
        <v>0</v>
      </c>
      <c r="K757" s="11" t="n">
        <f aca="false">J757-E757</f>
        <v>0</v>
      </c>
      <c r="L757" s="11" t="n">
        <f aca="false">IF(D757=1,L756+K757,0)</f>
        <v>-379200</v>
      </c>
      <c r="M757" s="11" t="n">
        <f aca="false">IF(D757=1,1/(1+Controls!$B$11)^B757,0)</f>
        <v>0.809254459246338</v>
      </c>
      <c r="N757" s="11" t="n">
        <f aca="false">K757*M757</f>
        <v>0</v>
      </c>
      <c r="O757" s="11" t="n">
        <f aca="false">IF(D757=1,O756+N757,0)</f>
        <v>-337229.75266595</v>
      </c>
      <c r="P757" s="11" t="n">
        <f aca="false">IF(AND(D757=1,L757&lt;0),1,0)</f>
        <v>1</v>
      </c>
      <c r="Q757" s="11" t="n">
        <f aca="false">IF(AND(D757=1,O757&lt;0),1,0)</f>
        <v>1</v>
      </c>
    </row>
    <row r="758" customFormat="false" ht="15" hidden="false" customHeight="false" outlineLevel="0" collapsed="false">
      <c r="A758" s="4" t="s">
        <v>103</v>
      </c>
      <c r="B758" s="4" t="n">
        <v>34</v>
      </c>
      <c r="C758" s="11" t="n">
        <f aca="false">IF(COUNTIF('Scenario inputs'!$A$4:$A$213,Controls!$B$3&amp;"|"&amp;A758)&gt;0,1,0)</f>
        <v>1</v>
      </c>
      <c r="D758" s="11" t="n">
        <f aca="false">IF(AND(C758=1,B758&lt;Controls!$B$12),1,0)</f>
        <v>1</v>
      </c>
      <c r="E758" s="11" t="n">
        <f aca="false">IF(D758=1,SUMPRODUCT((Costs!$B$4:$B$903=A758)*(Costs!$D$4:$D$903="planned")*(Costs!$J$4:$J$903&lt;=B758)*(Costs!$K$4:$K$903&gt;B758)*Costs!$E$4:$E$903),0)</f>
        <v>0</v>
      </c>
      <c r="F758" s="11" t="n">
        <f aca="false">IF(D758=1,SUMIFS(Benefits!$S$4:$S$703,Benefits!$B$4:$B$703,A758,Benefits!$F$4:$F$703,B758,Benefits!$R$4:$R$703,"cash"),0)</f>
        <v>0</v>
      </c>
      <c r="G758" s="11" t="n">
        <f aca="false">IF(D758=1,SUMIFS(Benefits!$S$4:$S$703,Benefits!$B$4:$B$703,A758,Benefits!$F$4:$F$703,B758,Benefits!$R$4:$R$703,"revenue"),0)</f>
        <v>0</v>
      </c>
      <c r="H758" s="11" t="n">
        <f aca="false">IF(D758=1,SUMIFS(Benefits!$S$4:$S$703,Benefits!$B$4:$B$703,A758,Benefits!$F$4:$F$703,B758,Benefits!$R$4:$R$703,"avoided_cost_realised"),0)</f>
        <v>0</v>
      </c>
      <c r="I758" s="11" t="n">
        <f aca="false">IF(D758=1,SUMIFS(Benefits!$S$4:$S$703,Benefits!$B$4:$B$703,A758,Benefits!$F$4:$F$703,B758,Benefits!$R$4:$R$703,"capacity_converted"),0)</f>
        <v>0</v>
      </c>
      <c r="J758" s="11" t="n">
        <f aca="false">SUM(F758:I758)</f>
        <v>0</v>
      </c>
      <c r="K758" s="11" t="n">
        <f aca="false">J758-E758</f>
        <v>0</v>
      </c>
      <c r="L758" s="11" t="n">
        <f aca="false">IF(D758=1,L757+K758,0)</f>
        <v>-379200</v>
      </c>
      <c r="M758" s="11" t="n">
        <f aca="false">IF(D758=1,1/(1+Controls!$B$11)^B758,0)</f>
        <v>0.804081002078962</v>
      </c>
      <c r="N758" s="11" t="n">
        <f aca="false">K758*M758</f>
        <v>0</v>
      </c>
      <c r="O758" s="11" t="n">
        <f aca="false">IF(D758=1,O757+N758,0)</f>
        <v>-337229.75266595</v>
      </c>
      <c r="P758" s="11" t="n">
        <f aca="false">IF(AND(D758=1,L758&lt;0),1,0)</f>
        <v>1</v>
      </c>
      <c r="Q758" s="11" t="n">
        <f aca="false">IF(AND(D758=1,O758&lt;0),1,0)</f>
        <v>1</v>
      </c>
    </row>
    <row r="759" customFormat="false" ht="15" hidden="false" customHeight="false" outlineLevel="0" collapsed="false">
      <c r="A759" s="4" t="s">
        <v>103</v>
      </c>
      <c r="B759" s="4" t="n">
        <v>35</v>
      </c>
      <c r="C759" s="11" t="n">
        <f aca="false">IF(COUNTIF('Scenario inputs'!$A$4:$A$213,Controls!$B$3&amp;"|"&amp;A759)&gt;0,1,0)</f>
        <v>1</v>
      </c>
      <c r="D759" s="11" t="n">
        <f aca="false">IF(AND(C759=1,B759&lt;Controls!$B$12),1,0)</f>
        <v>1</v>
      </c>
      <c r="E759" s="11" t="n">
        <f aca="false">IF(D759=1,SUMPRODUCT((Costs!$B$4:$B$903=A759)*(Costs!$D$4:$D$903="planned")*(Costs!$J$4:$J$903&lt;=B759)*(Costs!$K$4:$K$903&gt;B759)*Costs!$E$4:$E$903),0)</f>
        <v>0</v>
      </c>
      <c r="F759" s="11" t="n">
        <f aca="false">IF(D759=1,SUMIFS(Benefits!$S$4:$S$703,Benefits!$B$4:$B$703,A759,Benefits!$F$4:$F$703,B759,Benefits!$R$4:$R$703,"cash"),0)</f>
        <v>0</v>
      </c>
      <c r="G759" s="11" t="n">
        <f aca="false">IF(D759=1,SUMIFS(Benefits!$S$4:$S$703,Benefits!$B$4:$B$703,A759,Benefits!$F$4:$F$703,B759,Benefits!$R$4:$R$703,"revenue"),0)</f>
        <v>0</v>
      </c>
      <c r="H759" s="11" t="n">
        <f aca="false">IF(D759=1,SUMIFS(Benefits!$S$4:$S$703,Benefits!$B$4:$B$703,A759,Benefits!$F$4:$F$703,B759,Benefits!$R$4:$R$703,"avoided_cost_realised"),0)</f>
        <v>0</v>
      </c>
      <c r="I759" s="11" t="n">
        <f aca="false">IF(D759=1,SUMIFS(Benefits!$S$4:$S$703,Benefits!$B$4:$B$703,A759,Benefits!$F$4:$F$703,B759,Benefits!$R$4:$R$703,"capacity_converted"),0)</f>
        <v>0</v>
      </c>
      <c r="J759" s="11" t="n">
        <f aca="false">SUM(F759:I759)</f>
        <v>0</v>
      </c>
      <c r="K759" s="11" t="n">
        <f aca="false">J759-E759</f>
        <v>0</v>
      </c>
      <c r="L759" s="11" t="n">
        <f aca="false">IF(D759=1,L758+K759,0)</f>
        <v>-379200</v>
      </c>
      <c r="M759" s="11" t="n">
        <f aca="false">IF(D759=1,1/(1+Controls!$B$11)^B759,0)</f>
        <v>0.798940618141837</v>
      </c>
      <c r="N759" s="11" t="n">
        <f aca="false">K759*M759</f>
        <v>0</v>
      </c>
      <c r="O759" s="11" t="n">
        <f aca="false">IF(D759=1,O758+N759,0)</f>
        <v>-337229.75266595</v>
      </c>
      <c r="P759" s="11" t="n">
        <f aca="false">IF(AND(D759=1,L759&lt;0),1,0)</f>
        <v>1</v>
      </c>
      <c r="Q759" s="11" t="n">
        <f aca="false">IF(AND(D759=1,O759&lt;0),1,0)</f>
        <v>1</v>
      </c>
    </row>
    <row r="760" customFormat="false" ht="15" hidden="false" customHeight="false" outlineLevel="0" collapsed="false">
      <c r="A760" s="4" t="s">
        <v>104</v>
      </c>
      <c r="B760" s="4" t="n">
        <v>0</v>
      </c>
      <c r="C760" s="11" t="n">
        <f aca="false">IF(COUNTIF('Scenario inputs'!$A$4:$A$213,Controls!$B$3&amp;"|"&amp;A760)&gt;0,1,0)</f>
        <v>1</v>
      </c>
      <c r="D760" s="11" t="n">
        <f aca="false">IF(AND(C760=1,B760&lt;Controls!$B$12),1,0)</f>
        <v>1</v>
      </c>
      <c r="E760" s="11" t="n">
        <f aca="false">IF(D760=1,SUMPRODUCT((Costs!$B$4:$B$903=A760)*(Costs!$D$4:$D$903="planned")*(Costs!$J$4:$J$903&lt;=B760)*(Costs!$K$4:$K$903&gt;B760)*Costs!$E$4:$E$903),0)</f>
        <v>11000</v>
      </c>
      <c r="F760" s="11" t="n">
        <f aca="false">IF(D760=1,SUMIFS(Benefits!$S$4:$S$703,Benefits!$B$4:$B$703,A760,Benefits!$F$4:$F$703,B760,Benefits!$R$4:$R$703,"cash"),0)</f>
        <v>0</v>
      </c>
      <c r="G760" s="11" t="n">
        <f aca="false">IF(D760=1,SUMIFS(Benefits!$S$4:$S$703,Benefits!$B$4:$B$703,A760,Benefits!$F$4:$F$703,B760,Benefits!$R$4:$R$703,"revenue"),0)</f>
        <v>0</v>
      </c>
      <c r="H760" s="11" t="n">
        <f aca="false">IF(D760=1,SUMIFS(Benefits!$S$4:$S$703,Benefits!$B$4:$B$703,A760,Benefits!$F$4:$F$703,B760,Benefits!$R$4:$R$703,"avoided_cost_realised"),0)</f>
        <v>0</v>
      </c>
      <c r="I760" s="11" t="n">
        <f aca="false">IF(D760=1,SUMIFS(Benefits!$S$4:$S$703,Benefits!$B$4:$B$703,A760,Benefits!$F$4:$F$703,B760,Benefits!$R$4:$R$703,"capacity_converted"),0)</f>
        <v>0</v>
      </c>
      <c r="J760" s="11" t="n">
        <f aca="false">SUM(F760:I760)</f>
        <v>0</v>
      </c>
      <c r="K760" s="11" t="n">
        <f aca="false">J760-E760</f>
        <v>-11000</v>
      </c>
      <c r="L760" s="11" t="n">
        <f aca="false">IF(D760=1,K760,0)</f>
        <v>-11000</v>
      </c>
      <c r="M760" s="11" t="n">
        <f aca="false">IF(D760=1,1/(1+Controls!$B$11)^B760,0)</f>
        <v>1</v>
      </c>
      <c r="N760" s="11" t="n">
        <f aca="false">K760*M760</f>
        <v>-11000</v>
      </c>
      <c r="O760" s="11" t="n">
        <f aca="false">IF(D760=1,N760,0)</f>
        <v>-11000</v>
      </c>
      <c r="P760" s="11" t="n">
        <f aca="false">IF(AND(D760=1,L760&lt;0),1,0)</f>
        <v>1</v>
      </c>
      <c r="Q760" s="11" t="n">
        <f aca="false">IF(AND(D760=1,O760&lt;0),1,0)</f>
        <v>1</v>
      </c>
    </row>
    <row r="761" customFormat="false" ht="15" hidden="false" customHeight="false" outlineLevel="0" collapsed="false">
      <c r="A761" s="4" t="s">
        <v>104</v>
      </c>
      <c r="B761" s="4" t="n">
        <v>1</v>
      </c>
      <c r="C761" s="11" t="n">
        <f aca="false">IF(COUNTIF('Scenario inputs'!$A$4:$A$213,Controls!$B$3&amp;"|"&amp;A761)&gt;0,1,0)</f>
        <v>1</v>
      </c>
      <c r="D761" s="11" t="n">
        <f aca="false">IF(AND(C761=1,B761&lt;Controls!$B$12),1,0)</f>
        <v>1</v>
      </c>
      <c r="E761" s="11" t="n">
        <f aca="false">IF(D761=1,SUMPRODUCT((Costs!$B$4:$B$903=A761)*(Costs!$D$4:$D$903="planned")*(Costs!$J$4:$J$903&lt;=B761)*(Costs!$K$4:$K$903&gt;B761)*Costs!$E$4:$E$903),0)</f>
        <v>0</v>
      </c>
      <c r="F761" s="11" t="n">
        <f aca="false">IF(D761=1,SUMIFS(Benefits!$S$4:$S$703,Benefits!$B$4:$B$703,A761,Benefits!$F$4:$F$703,B761,Benefits!$R$4:$R$703,"cash"),0)</f>
        <v>0</v>
      </c>
      <c r="G761" s="11" t="n">
        <f aca="false">IF(D761=1,SUMIFS(Benefits!$S$4:$S$703,Benefits!$B$4:$B$703,A761,Benefits!$F$4:$F$703,B761,Benefits!$R$4:$R$703,"revenue"),0)</f>
        <v>0</v>
      </c>
      <c r="H761" s="11" t="n">
        <f aca="false">IF(D761=1,SUMIFS(Benefits!$S$4:$S$703,Benefits!$B$4:$B$703,A761,Benefits!$F$4:$F$703,B761,Benefits!$R$4:$R$703,"avoided_cost_realised"),0)</f>
        <v>0</v>
      </c>
      <c r="I761" s="11" t="n">
        <f aca="false">IF(D761=1,SUMIFS(Benefits!$S$4:$S$703,Benefits!$B$4:$B$703,A761,Benefits!$F$4:$F$703,B761,Benefits!$R$4:$R$703,"capacity_converted"),0)</f>
        <v>0</v>
      </c>
      <c r="J761" s="11" t="n">
        <f aca="false">SUM(F761:I761)</f>
        <v>0</v>
      </c>
      <c r="K761" s="11" t="n">
        <f aca="false">J761-E761</f>
        <v>0</v>
      </c>
      <c r="L761" s="11" t="n">
        <f aca="false">IF(D761=1,L760+K761,0)</f>
        <v>-11000</v>
      </c>
      <c r="M761" s="11" t="n">
        <f aca="false">IF(D761=1,1/(1+Controls!$B$11)^B761,0)</f>
        <v>0.993607131714549</v>
      </c>
      <c r="N761" s="11" t="n">
        <f aca="false">K761*M761</f>
        <v>0</v>
      </c>
      <c r="O761" s="11" t="n">
        <f aca="false">IF(D761=1,O760+N761,0)</f>
        <v>-11000</v>
      </c>
      <c r="P761" s="11" t="n">
        <f aca="false">IF(AND(D761=1,L761&lt;0),1,0)</f>
        <v>1</v>
      </c>
      <c r="Q761" s="11" t="n">
        <f aca="false">IF(AND(D761=1,O761&lt;0),1,0)</f>
        <v>1</v>
      </c>
    </row>
    <row r="762" customFormat="false" ht="15" hidden="false" customHeight="false" outlineLevel="0" collapsed="false">
      <c r="A762" s="4" t="s">
        <v>104</v>
      </c>
      <c r="B762" s="4" t="n">
        <v>2</v>
      </c>
      <c r="C762" s="11" t="n">
        <f aca="false">IF(COUNTIF('Scenario inputs'!$A$4:$A$213,Controls!$B$3&amp;"|"&amp;A762)&gt;0,1,0)</f>
        <v>1</v>
      </c>
      <c r="D762" s="11" t="n">
        <f aca="false">IF(AND(C762=1,B762&lt;Controls!$B$12),1,0)</f>
        <v>1</v>
      </c>
      <c r="E762" s="11" t="n">
        <f aca="false">IF(D762=1,SUMPRODUCT((Costs!$B$4:$B$903=A762)*(Costs!$D$4:$D$903="planned")*(Costs!$J$4:$J$903&lt;=B762)*(Costs!$K$4:$K$903&gt;B762)*Costs!$E$4:$E$903),0)</f>
        <v>0</v>
      </c>
      <c r="F762" s="11" t="n">
        <f aca="false">IF(D762=1,SUMIFS(Benefits!$S$4:$S$703,Benefits!$B$4:$B$703,A762,Benefits!$F$4:$F$703,B762,Benefits!$R$4:$R$703,"cash"),0)</f>
        <v>0</v>
      </c>
      <c r="G762" s="11" t="n">
        <f aca="false">IF(D762=1,SUMIFS(Benefits!$S$4:$S$703,Benefits!$B$4:$B$703,A762,Benefits!$F$4:$F$703,B762,Benefits!$R$4:$R$703,"revenue"),0)</f>
        <v>0</v>
      </c>
      <c r="H762" s="11" t="n">
        <f aca="false">IF(D762=1,SUMIFS(Benefits!$S$4:$S$703,Benefits!$B$4:$B$703,A762,Benefits!$F$4:$F$703,B762,Benefits!$R$4:$R$703,"avoided_cost_realised"),0)</f>
        <v>0</v>
      </c>
      <c r="I762" s="11" t="n">
        <f aca="false">IF(D762=1,SUMIFS(Benefits!$S$4:$S$703,Benefits!$B$4:$B$703,A762,Benefits!$F$4:$F$703,B762,Benefits!$R$4:$R$703,"capacity_converted"),0)</f>
        <v>0</v>
      </c>
      <c r="J762" s="11" t="n">
        <f aca="false">SUM(F762:I762)</f>
        <v>0</v>
      </c>
      <c r="K762" s="11" t="n">
        <f aca="false">J762-E762</f>
        <v>0</v>
      </c>
      <c r="L762" s="11" t="n">
        <f aca="false">IF(D762=1,L761+K762,0)</f>
        <v>-11000</v>
      </c>
      <c r="M762" s="11" t="n">
        <f aca="false">IF(D762=1,1/(1+Controls!$B$11)^B762,0)</f>
        <v>0.987255132194012</v>
      </c>
      <c r="N762" s="11" t="n">
        <f aca="false">K762*M762</f>
        <v>0</v>
      </c>
      <c r="O762" s="11" t="n">
        <f aca="false">IF(D762=1,O761+N762,0)</f>
        <v>-11000</v>
      </c>
      <c r="P762" s="11" t="n">
        <f aca="false">IF(AND(D762=1,L762&lt;0),1,0)</f>
        <v>1</v>
      </c>
      <c r="Q762" s="11" t="n">
        <f aca="false">IF(AND(D762=1,O762&lt;0),1,0)</f>
        <v>1</v>
      </c>
    </row>
    <row r="763" customFormat="false" ht="15" hidden="false" customHeight="false" outlineLevel="0" collapsed="false">
      <c r="A763" s="4" t="s">
        <v>104</v>
      </c>
      <c r="B763" s="4" t="n">
        <v>3</v>
      </c>
      <c r="C763" s="11" t="n">
        <f aca="false">IF(COUNTIF('Scenario inputs'!$A$4:$A$213,Controls!$B$3&amp;"|"&amp;A763)&gt;0,1,0)</f>
        <v>1</v>
      </c>
      <c r="D763" s="11" t="n">
        <f aca="false">IF(AND(C763=1,B763&lt;Controls!$B$12),1,0)</f>
        <v>1</v>
      </c>
      <c r="E763" s="11" t="n">
        <f aca="false">IF(D763=1,SUMPRODUCT((Costs!$B$4:$B$903=A763)*(Costs!$D$4:$D$903="planned")*(Costs!$J$4:$J$903&lt;=B763)*(Costs!$K$4:$K$903&gt;B763)*Costs!$E$4:$E$903),0)</f>
        <v>0</v>
      </c>
      <c r="F763" s="11" t="n">
        <f aca="false">IF(D763=1,SUMIFS(Benefits!$S$4:$S$703,Benefits!$B$4:$B$703,A763,Benefits!$F$4:$F$703,B763,Benefits!$R$4:$R$703,"cash"),0)</f>
        <v>0</v>
      </c>
      <c r="G763" s="11" t="n">
        <f aca="false">IF(D763=1,SUMIFS(Benefits!$S$4:$S$703,Benefits!$B$4:$B$703,A763,Benefits!$F$4:$F$703,B763,Benefits!$R$4:$R$703,"revenue"),0)</f>
        <v>0</v>
      </c>
      <c r="H763" s="11" t="n">
        <f aca="false">IF(D763=1,SUMIFS(Benefits!$S$4:$S$703,Benefits!$B$4:$B$703,A763,Benefits!$F$4:$F$703,B763,Benefits!$R$4:$R$703,"avoided_cost_realised"),0)</f>
        <v>0</v>
      </c>
      <c r="I763" s="11" t="n">
        <f aca="false">IF(D763=1,SUMIFS(Benefits!$S$4:$S$703,Benefits!$B$4:$B$703,A763,Benefits!$F$4:$F$703,B763,Benefits!$R$4:$R$703,"capacity_converted"),0)</f>
        <v>0</v>
      </c>
      <c r="J763" s="11" t="n">
        <f aca="false">SUM(F763:I763)</f>
        <v>0</v>
      </c>
      <c r="K763" s="11" t="n">
        <f aca="false">J763-E763</f>
        <v>0</v>
      </c>
      <c r="L763" s="11" t="n">
        <f aca="false">IF(D763=1,L762+K763,0)</f>
        <v>-11000</v>
      </c>
      <c r="M763" s="11" t="n">
        <f aca="false">IF(D763=1,1/(1+Controls!$B$11)^B763,0)</f>
        <v>0.98094374016976</v>
      </c>
      <c r="N763" s="11" t="n">
        <f aca="false">K763*M763</f>
        <v>0</v>
      </c>
      <c r="O763" s="11" t="n">
        <f aca="false">IF(D763=1,O762+N763,0)</f>
        <v>-11000</v>
      </c>
      <c r="P763" s="11" t="n">
        <f aca="false">IF(AND(D763=1,L763&lt;0),1,0)</f>
        <v>1</v>
      </c>
      <c r="Q763" s="11" t="n">
        <f aca="false">IF(AND(D763=1,O763&lt;0),1,0)</f>
        <v>1</v>
      </c>
    </row>
    <row r="764" customFormat="false" ht="15" hidden="false" customHeight="false" outlineLevel="0" collapsed="false">
      <c r="A764" s="4" t="s">
        <v>104</v>
      </c>
      <c r="B764" s="4" t="n">
        <v>4</v>
      </c>
      <c r="C764" s="11" t="n">
        <f aca="false">IF(COUNTIF('Scenario inputs'!$A$4:$A$213,Controls!$B$3&amp;"|"&amp;A764)&gt;0,1,0)</f>
        <v>1</v>
      </c>
      <c r="D764" s="11" t="n">
        <f aca="false">IF(AND(C764=1,B764&lt;Controls!$B$12),1,0)</f>
        <v>1</v>
      </c>
      <c r="E764" s="11" t="n">
        <f aca="false">IF(D764=1,SUMPRODUCT((Costs!$B$4:$B$903=A764)*(Costs!$D$4:$D$903="planned")*(Costs!$J$4:$J$903&lt;=B764)*(Costs!$K$4:$K$903&gt;B764)*Costs!$E$4:$E$903),0)</f>
        <v>0</v>
      </c>
      <c r="F764" s="11" t="n">
        <f aca="false">IF(D764=1,SUMIFS(Benefits!$S$4:$S$703,Benefits!$B$4:$B$703,A764,Benefits!$F$4:$F$703,B764,Benefits!$R$4:$R$703,"cash"),0)</f>
        <v>0</v>
      </c>
      <c r="G764" s="11" t="n">
        <f aca="false">IF(D764=1,SUMIFS(Benefits!$S$4:$S$703,Benefits!$B$4:$B$703,A764,Benefits!$F$4:$F$703,B764,Benefits!$R$4:$R$703,"revenue"),0)</f>
        <v>0</v>
      </c>
      <c r="H764" s="11" t="n">
        <f aca="false">IF(D764=1,SUMIFS(Benefits!$S$4:$S$703,Benefits!$B$4:$B$703,A764,Benefits!$F$4:$F$703,B764,Benefits!$R$4:$R$703,"avoided_cost_realised"),0)</f>
        <v>0</v>
      </c>
      <c r="I764" s="11" t="n">
        <f aca="false">IF(D764=1,SUMIFS(Benefits!$S$4:$S$703,Benefits!$B$4:$B$703,A764,Benefits!$F$4:$F$703,B764,Benefits!$R$4:$R$703,"capacity_converted"),0)</f>
        <v>0</v>
      </c>
      <c r="J764" s="11" t="n">
        <f aca="false">SUM(F764:I764)</f>
        <v>0</v>
      </c>
      <c r="K764" s="11" t="n">
        <f aca="false">J764-E764</f>
        <v>0</v>
      </c>
      <c r="L764" s="11" t="n">
        <f aca="false">IF(D764=1,L763+K764,0)</f>
        <v>-11000</v>
      </c>
      <c r="M764" s="11" t="n">
        <f aca="false">IF(D764=1,1/(1+Controls!$B$11)^B764,0)</f>
        <v>0.974672696043417</v>
      </c>
      <c r="N764" s="11" t="n">
        <f aca="false">K764*M764</f>
        <v>0</v>
      </c>
      <c r="O764" s="11" t="n">
        <f aca="false">IF(D764=1,O763+N764,0)</f>
        <v>-11000</v>
      </c>
      <c r="P764" s="11" t="n">
        <f aca="false">IF(AND(D764=1,L764&lt;0),1,0)</f>
        <v>1</v>
      </c>
      <c r="Q764" s="11" t="n">
        <f aca="false">IF(AND(D764=1,O764&lt;0),1,0)</f>
        <v>1</v>
      </c>
    </row>
    <row r="765" customFormat="false" ht="15" hidden="false" customHeight="false" outlineLevel="0" collapsed="false">
      <c r="A765" s="4" t="s">
        <v>104</v>
      </c>
      <c r="B765" s="4" t="n">
        <v>5</v>
      </c>
      <c r="C765" s="11" t="n">
        <f aca="false">IF(COUNTIF('Scenario inputs'!$A$4:$A$213,Controls!$B$3&amp;"|"&amp;A765)&gt;0,1,0)</f>
        <v>1</v>
      </c>
      <c r="D765" s="11" t="n">
        <f aca="false">IF(AND(C765=1,B765&lt;Controls!$B$12),1,0)</f>
        <v>1</v>
      </c>
      <c r="E765" s="11" t="n">
        <f aca="false">IF(D765=1,SUMPRODUCT((Costs!$B$4:$B$903=A765)*(Costs!$D$4:$D$903="planned")*(Costs!$J$4:$J$903&lt;=B765)*(Costs!$K$4:$K$903&gt;B765)*Costs!$E$4:$E$903),0)</f>
        <v>0</v>
      </c>
      <c r="F765" s="11" t="n">
        <f aca="false">IF(D765=1,SUMIFS(Benefits!$S$4:$S$703,Benefits!$B$4:$B$703,A765,Benefits!$F$4:$F$703,B765,Benefits!$R$4:$R$703,"cash"),0)</f>
        <v>0</v>
      </c>
      <c r="G765" s="11" t="n">
        <f aca="false">IF(D765=1,SUMIFS(Benefits!$S$4:$S$703,Benefits!$B$4:$B$703,A765,Benefits!$F$4:$F$703,B765,Benefits!$R$4:$R$703,"revenue"),0)</f>
        <v>0</v>
      </c>
      <c r="H765" s="11" t="n">
        <f aca="false">IF(D765=1,SUMIFS(Benefits!$S$4:$S$703,Benefits!$B$4:$B$703,A765,Benefits!$F$4:$F$703,B765,Benefits!$R$4:$R$703,"avoided_cost_realised"),0)</f>
        <v>0</v>
      </c>
      <c r="I765" s="11" t="n">
        <f aca="false">IF(D765=1,SUMIFS(Benefits!$S$4:$S$703,Benefits!$B$4:$B$703,A765,Benefits!$F$4:$F$703,B765,Benefits!$R$4:$R$703,"capacity_converted"),0)</f>
        <v>0</v>
      </c>
      <c r="J765" s="11" t="n">
        <f aca="false">SUM(F765:I765)</f>
        <v>0</v>
      </c>
      <c r="K765" s="11" t="n">
        <f aca="false">J765-E765</f>
        <v>0</v>
      </c>
      <c r="L765" s="11" t="n">
        <f aca="false">IF(D765=1,L764+K765,0)</f>
        <v>-11000</v>
      </c>
      <c r="M765" s="11" t="n">
        <f aca="false">IF(D765=1,1/(1+Controls!$B$11)^B765,0)</f>
        <v>0.968441741876185</v>
      </c>
      <c r="N765" s="11" t="n">
        <f aca="false">K765*M765</f>
        <v>0</v>
      </c>
      <c r="O765" s="11" t="n">
        <f aca="false">IF(D765=1,O764+N765,0)</f>
        <v>-11000</v>
      </c>
      <c r="P765" s="11" t="n">
        <f aca="false">IF(AND(D765=1,L765&lt;0),1,0)</f>
        <v>1</v>
      </c>
      <c r="Q765" s="11" t="n">
        <f aca="false">IF(AND(D765=1,O765&lt;0),1,0)</f>
        <v>1</v>
      </c>
    </row>
    <row r="766" customFormat="false" ht="15" hidden="false" customHeight="false" outlineLevel="0" collapsed="false">
      <c r="A766" s="4" t="s">
        <v>104</v>
      </c>
      <c r="B766" s="4" t="n">
        <v>6</v>
      </c>
      <c r="C766" s="11" t="n">
        <f aca="false">IF(COUNTIF('Scenario inputs'!$A$4:$A$213,Controls!$B$3&amp;"|"&amp;A766)&gt;0,1,0)</f>
        <v>1</v>
      </c>
      <c r="D766" s="11" t="n">
        <f aca="false">IF(AND(C766=1,B766&lt;Controls!$B$12),1,0)</f>
        <v>1</v>
      </c>
      <c r="E766" s="11" t="n">
        <f aca="false">IF(D766=1,SUMPRODUCT((Costs!$B$4:$B$903=A766)*(Costs!$D$4:$D$903="planned")*(Costs!$J$4:$J$903&lt;=B766)*(Costs!$K$4:$K$903&gt;B766)*Costs!$E$4:$E$903),0)</f>
        <v>0</v>
      </c>
      <c r="F766" s="11" t="n">
        <f aca="false">IF(D766=1,SUMIFS(Benefits!$S$4:$S$703,Benefits!$B$4:$B$703,A766,Benefits!$F$4:$F$703,B766,Benefits!$R$4:$R$703,"cash"),0)</f>
        <v>0</v>
      </c>
      <c r="G766" s="11" t="n">
        <f aca="false">IF(D766=1,SUMIFS(Benefits!$S$4:$S$703,Benefits!$B$4:$B$703,A766,Benefits!$F$4:$F$703,B766,Benefits!$R$4:$R$703,"revenue"),0)</f>
        <v>0</v>
      </c>
      <c r="H766" s="11" t="n">
        <f aca="false">IF(D766=1,SUMIFS(Benefits!$S$4:$S$703,Benefits!$B$4:$B$703,A766,Benefits!$F$4:$F$703,B766,Benefits!$R$4:$R$703,"avoided_cost_realised"),0)</f>
        <v>0</v>
      </c>
      <c r="I766" s="11" t="n">
        <f aca="false">IF(D766=1,SUMIFS(Benefits!$S$4:$S$703,Benefits!$B$4:$B$703,A766,Benefits!$F$4:$F$703,B766,Benefits!$R$4:$R$703,"capacity_converted"),0)</f>
        <v>0</v>
      </c>
      <c r="J766" s="11" t="n">
        <f aca="false">SUM(F766:I766)</f>
        <v>0</v>
      </c>
      <c r="K766" s="11" t="n">
        <f aca="false">J766-E766</f>
        <v>0</v>
      </c>
      <c r="L766" s="11" t="n">
        <f aca="false">IF(D766=1,L765+K766,0)</f>
        <v>-11000</v>
      </c>
      <c r="M766" s="11" t="n">
        <f aca="false">IF(D766=1,1/(1+Controls!$B$11)^B766,0)</f>
        <v>0.962250621378238</v>
      </c>
      <c r="N766" s="11" t="n">
        <f aca="false">K766*M766</f>
        <v>0</v>
      </c>
      <c r="O766" s="11" t="n">
        <f aca="false">IF(D766=1,O765+N766,0)</f>
        <v>-11000</v>
      </c>
      <c r="P766" s="11" t="n">
        <f aca="false">IF(AND(D766=1,L766&lt;0),1,0)</f>
        <v>1</v>
      </c>
      <c r="Q766" s="11" t="n">
        <f aca="false">IF(AND(D766=1,O766&lt;0),1,0)</f>
        <v>1</v>
      </c>
    </row>
    <row r="767" customFormat="false" ht="15" hidden="false" customHeight="false" outlineLevel="0" collapsed="false">
      <c r="A767" s="4" t="s">
        <v>104</v>
      </c>
      <c r="B767" s="4" t="n">
        <v>7</v>
      </c>
      <c r="C767" s="11" t="n">
        <f aca="false">IF(COUNTIF('Scenario inputs'!$A$4:$A$213,Controls!$B$3&amp;"|"&amp;A767)&gt;0,1,0)</f>
        <v>1</v>
      </c>
      <c r="D767" s="11" t="n">
        <f aca="false">IF(AND(C767=1,B767&lt;Controls!$B$12),1,0)</f>
        <v>1</v>
      </c>
      <c r="E767" s="11" t="n">
        <f aca="false">IF(D767=1,SUMPRODUCT((Costs!$B$4:$B$903=A767)*(Costs!$D$4:$D$903="planned")*(Costs!$J$4:$J$903&lt;=B767)*(Costs!$K$4:$K$903&gt;B767)*Costs!$E$4:$E$903),0)</f>
        <v>0</v>
      </c>
      <c r="F767" s="11" t="n">
        <f aca="false">IF(D767=1,SUMIFS(Benefits!$S$4:$S$703,Benefits!$B$4:$B$703,A767,Benefits!$F$4:$F$703,B767,Benefits!$R$4:$R$703,"cash"),0)</f>
        <v>0</v>
      </c>
      <c r="G767" s="11" t="n">
        <f aca="false">IF(D767=1,SUMIFS(Benefits!$S$4:$S$703,Benefits!$B$4:$B$703,A767,Benefits!$F$4:$F$703,B767,Benefits!$R$4:$R$703,"revenue"),0)</f>
        <v>0</v>
      </c>
      <c r="H767" s="11" t="n">
        <f aca="false">IF(D767=1,SUMIFS(Benefits!$S$4:$S$703,Benefits!$B$4:$B$703,A767,Benefits!$F$4:$F$703,B767,Benefits!$R$4:$R$703,"avoided_cost_realised"),0)</f>
        <v>0</v>
      </c>
      <c r="I767" s="11" t="n">
        <f aca="false">IF(D767=1,SUMIFS(Benefits!$S$4:$S$703,Benefits!$B$4:$B$703,A767,Benefits!$F$4:$F$703,B767,Benefits!$R$4:$R$703,"capacity_converted"),0)</f>
        <v>0</v>
      </c>
      <c r="J767" s="11" t="n">
        <f aca="false">SUM(F767:I767)</f>
        <v>0</v>
      </c>
      <c r="K767" s="11" t="n">
        <f aca="false">J767-E767</f>
        <v>0</v>
      </c>
      <c r="L767" s="11" t="n">
        <f aca="false">IF(D767=1,L766+K767,0)</f>
        <v>-11000</v>
      </c>
      <c r="M767" s="11" t="n">
        <f aca="false">IF(D767=1,1/(1+Controls!$B$11)^B767,0)</f>
        <v>0.956099079898173</v>
      </c>
      <c r="N767" s="11" t="n">
        <f aca="false">K767*M767</f>
        <v>0</v>
      </c>
      <c r="O767" s="11" t="n">
        <f aca="false">IF(D767=1,O766+N767,0)</f>
        <v>-11000</v>
      </c>
      <c r="P767" s="11" t="n">
        <f aca="false">IF(AND(D767=1,L767&lt;0),1,0)</f>
        <v>1</v>
      </c>
      <c r="Q767" s="11" t="n">
        <f aca="false">IF(AND(D767=1,O767&lt;0),1,0)</f>
        <v>1</v>
      </c>
    </row>
    <row r="768" customFormat="false" ht="15" hidden="false" customHeight="false" outlineLevel="0" collapsed="false">
      <c r="A768" s="4" t="s">
        <v>104</v>
      </c>
      <c r="B768" s="4" t="n">
        <v>8</v>
      </c>
      <c r="C768" s="11" t="n">
        <f aca="false">IF(COUNTIF('Scenario inputs'!$A$4:$A$213,Controls!$B$3&amp;"|"&amp;A768)&gt;0,1,0)</f>
        <v>1</v>
      </c>
      <c r="D768" s="11" t="n">
        <f aca="false">IF(AND(C768=1,B768&lt;Controls!$B$12),1,0)</f>
        <v>1</v>
      </c>
      <c r="E768" s="11" t="n">
        <f aca="false">IF(D768=1,SUMPRODUCT((Costs!$B$4:$B$903=A768)*(Costs!$D$4:$D$903="planned")*(Costs!$J$4:$J$903&lt;=B768)*(Costs!$K$4:$K$903&gt;B768)*Costs!$E$4:$E$903),0)</f>
        <v>0</v>
      </c>
      <c r="F768" s="11" t="n">
        <f aca="false">IF(D768=1,SUMIFS(Benefits!$S$4:$S$703,Benefits!$B$4:$B$703,A768,Benefits!$F$4:$F$703,B768,Benefits!$R$4:$R$703,"cash"),0)</f>
        <v>0</v>
      </c>
      <c r="G768" s="11" t="n">
        <f aca="false">IF(D768=1,SUMIFS(Benefits!$S$4:$S$703,Benefits!$B$4:$B$703,A768,Benefits!$F$4:$F$703,B768,Benefits!$R$4:$R$703,"revenue"),0)</f>
        <v>0</v>
      </c>
      <c r="H768" s="11" t="n">
        <f aca="false">IF(D768=1,SUMIFS(Benefits!$S$4:$S$703,Benefits!$B$4:$B$703,A768,Benefits!$F$4:$F$703,B768,Benefits!$R$4:$R$703,"avoided_cost_realised"),0)</f>
        <v>0</v>
      </c>
      <c r="I768" s="11" t="n">
        <f aca="false">IF(D768=1,SUMIFS(Benefits!$S$4:$S$703,Benefits!$B$4:$B$703,A768,Benefits!$F$4:$F$703,B768,Benefits!$R$4:$R$703,"capacity_converted"),0)</f>
        <v>0</v>
      </c>
      <c r="J768" s="11" t="n">
        <f aca="false">SUM(F768:I768)</f>
        <v>0</v>
      </c>
      <c r="K768" s="11" t="n">
        <f aca="false">J768-E768</f>
        <v>0</v>
      </c>
      <c r="L768" s="11" t="n">
        <f aca="false">IF(D768=1,L767+K768,0)</f>
        <v>-11000</v>
      </c>
      <c r="M768" s="11" t="n">
        <f aca="false">IF(D768=1,1/(1+Controls!$B$11)^B768,0)</f>
        <v>0.949986864412542</v>
      </c>
      <c r="N768" s="11" t="n">
        <f aca="false">K768*M768</f>
        <v>0</v>
      </c>
      <c r="O768" s="11" t="n">
        <f aca="false">IF(D768=1,O767+N768,0)</f>
        <v>-11000</v>
      </c>
      <c r="P768" s="11" t="n">
        <f aca="false">IF(AND(D768=1,L768&lt;0),1,0)</f>
        <v>1</v>
      </c>
      <c r="Q768" s="11" t="n">
        <f aca="false">IF(AND(D768=1,O768&lt;0),1,0)</f>
        <v>1</v>
      </c>
    </row>
    <row r="769" customFormat="false" ht="15" hidden="false" customHeight="false" outlineLevel="0" collapsed="false">
      <c r="A769" s="4" t="s">
        <v>104</v>
      </c>
      <c r="B769" s="4" t="n">
        <v>9</v>
      </c>
      <c r="C769" s="11" t="n">
        <f aca="false">IF(COUNTIF('Scenario inputs'!$A$4:$A$213,Controls!$B$3&amp;"|"&amp;A769)&gt;0,1,0)</f>
        <v>1</v>
      </c>
      <c r="D769" s="11" t="n">
        <f aca="false">IF(AND(C769=1,B769&lt;Controls!$B$12),1,0)</f>
        <v>1</v>
      </c>
      <c r="E769" s="11" t="n">
        <f aca="false">IF(D769=1,SUMPRODUCT((Costs!$B$4:$B$903=A769)*(Costs!$D$4:$D$903="planned")*(Costs!$J$4:$J$903&lt;=B769)*(Costs!$K$4:$K$903&gt;B769)*Costs!$E$4:$E$903),0)</f>
        <v>0</v>
      </c>
      <c r="F769" s="11" t="n">
        <f aca="false">IF(D769=1,SUMIFS(Benefits!$S$4:$S$703,Benefits!$B$4:$B$703,A769,Benefits!$F$4:$F$703,B769,Benefits!$R$4:$R$703,"cash"),0)</f>
        <v>0</v>
      </c>
      <c r="G769" s="11" t="n">
        <f aca="false">IF(D769=1,SUMIFS(Benefits!$S$4:$S$703,Benefits!$B$4:$B$703,A769,Benefits!$F$4:$F$703,B769,Benefits!$R$4:$R$703,"revenue"),0)</f>
        <v>0</v>
      </c>
      <c r="H769" s="11" t="n">
        <f aca="false">IF(D769=1,SUMIFS(Benefits!$S$4:$S$703,Benefits!$B$4:$B$703,A769,Benefits!$F$4:$F$703,B769,Benefits!$R$4:$R$703,"avoided_cost_realised"),0)</f>
        <v>0</v>
      </c>
      <c r="I769" s="11" t="n">
        <f aca="false">IF(D769=1,SUMIFS(Benefits!$S$4:$S$703,Benefits!$B$4:$B$703,A769,Benefits!$F$4:$F$703,B769,Benefits!$R$4:$R$703,"capacity_converted"),0)</f>
        <v>0</v>
      </c>
      <c r="J769" s="11" t="n">
        <f aca="false">SUM(F769:I769)</f>
        <v>0</v>
      </c>
      <c r="K769" s="11" t="n">
        <f aca="false">J769-E769</f>
        <v>0</v>
      </c>
      <c r="L769" s="11" t="n">
        <f aca="false">IF(D769=1,L768+K769,0)</f>
        <v>-11000</v>
      </c>
      <c r="M769" s="11" t="n">
        <f aca="false">IF(D769=1,1/(1+Controls!$B$11)^B769,0)</f>
        <v>0.943913723515444</v>
      </c>
      <c r="N769" s="11" t="n">
        <f aca="false">K769*M769</f>
        <v>0</v>
      </c>
      <c r="O769" s="11" t="n">
        <f aca="false">IF(D769=1,O768+N769,0)</f>
        <v>-11000</v>
      </c>
      <c r="P769" s="11" t="n">
        <f aca="false">IF(AND(D769=1,L769&lt;0),1,0)</f>
        <v>1</v>
      </c>
      <c r="Q769" s="11" t="n">
        <f aca="false">IF(AND(D769=1,O769&lt;0),1,0)</f>
        <v>1</v>
      </c>
    </row>
    <row r="770" customFormat="false" ht="15" hidden="false" customHeight="false" outlineLevel="0" collapsed="false">
      <c r="A770" s="4" t="s">
        <v>104</v>
      </c>
      <c r="B770" s="4" t="n">
        <v>10</v>
      </c>
      <c r="C770" s="11" t="n">
        <f aca="false">IF(COUNTIF('Scenario inputs'!$A$4:$A$213,Controls!$B$3&amp;"|"&amp;A770)&gt;0,1,0)</f>
        <v>1</v>
      </c>
      <c r="D770" s="11" t="n">
        <f aca="false">IF(AND(C770=1,B770&lt;Controls!$B$12),1,0)</f>
        <v>1</v>
      </c>
      <c r="E770" s="11" t="n">
        <f aca="false">IF(D770=1,SUMPRODUCT((Costs!$B$4:$B$903=A770)*(Costs!$D$4:$D$903="planned")*(Costs!$J$4:$J$903&lt;=B770)*(Costs!$K$4:$K$903&gt;B770)*Costs!$E$4:$E$903),0)</f>
        <v>0</v>
      </c>
      <c r="F770" s="11" t="n">
        <f aca="false">IF(D770=1,SUMIFS(Benefits!$S$4:$S$703,Benefits!$B$4:$B$703,A770,Benefits!$F$4:$F$703,B770,Benefits!$R$4:$R$703,"cash"),0)</f>
        <v>0</v>
      </c>
      <c r="G770" s="11" t="n">
        <f aca="false">IF(D770=1,SUMIFS(Benefits!$S$4:$S$703,Benefits!$B$4:$B$703,A770,Benefits!$F$4:$F$703,B770,Benefits!$R$4:$R$703,"revenue"),0)</f>
        <v>0</v>
      </c>
      <c r="H770" s="11" t="n">
        <f aca="false">IF(D770=1,SUMIFS(Benefits!$S$4:$S$703,Benefits!$B$4:$B$703,A770,Benefits!$F$4:$F$703,B770,Benefits!$R$4:$R$703,"avoided_cost_realised"),0)</f>
        <v>0</v>
      </c>
      <c r="I770" s="11" t="n">
        <f aca="false">IF(D770=1,SUMIFS(Benefits!$S$4:$S$703,Benefits!$B$4:$B$703,A770,Benefits!$F$4:$F$703,B770,Benefits!$R$4:$R$703,"capacity_converted"),0)</f>
        <v>0</v>
      </c>
      <c r="J770" s="11" t="n">
        <f aca="false">SUM(F770:I770)</f>
        <v>0</v>
      </c>
      <c r="K770" s="11" t="n">
        <f aca="false">J770-E770</f>
        <v>0</v>
      </c>
      <c r="L770" s="11" t="n">
        <f aca="false">IF(D770=1,L769+K770,0)</f>
        <v>-11000</v>
      </c>
      <c r="M770" s="11" t="n">
        <f aca="false">IF(D770=1,1/(1+Controls!$B$11)^B770,0)</f>
        <v>0.93787940740818</v>
      </c>
      <c r="N770" s="11" t="n">
        <f aca="false">K770*M770</f>
        <v>0</v>
      </c>
      <c r="O770" s="11" t="n">
        <f aca="false">IF(D770=1,O769+N770,0)</f>
        <v>-11000</v>
      </c>
      <c r="P770" s="11" t="n">
        <f aca="false">IF(AND(D770=1,L770&lt;0),1,0)</f>
        <v>1</v>
      </c>
      <c r="Q770" s="11" t="n">
        <f aca="false">IF(AND(D770=1,O770&lt;0),1,0)</f>
        <v>1</v>
      </c>
    </row>
    <row r="771" customFormat="false" ht="15" hidden="false" customHeight="false" outlineLevel="0" collapsed="false">
      <c r="A771" s="4" t="s">
        <v>104</v>
      </c>
      <c r="B771" s="4" t="n">
        <v>11</v>
      </c>
      <c r="C771" s="11" t="n">
        <f aca="false">IF(COUNTIF('Scenario inputs'!$A$4:$A$213,Controls!$B$3&amp;"|"&amp;A771)&gt;0,1,0)</f>
        <v>1</v>
      </c>
      <c r="D771" s="11" t="n">
        <f aca="false">IF(AND(C771=1,B771&lt;Controls!$B$12),1,0)</f>
        <v>1</v>
      </c>
      <c r="E771" s="11" t="n">
        <f aca="false">IF(D771=1,SUMPRODUCT((Costs!$B$4:$B$903=A771)*(Costs!$D$4:$D$903="planned")*(Costs!$J$4:$J$903&lt;=B771)*(Costs!$K$4:$K$903&gt;B771)*Costs!$E$4:$E$903),0)</f>
        <v>0</v>
      </c>
      <c r="F771" s="11" t="n">
        <f aca="false">IF(D771=1,SUMIFS(Benefits!$S$4:$S$703,Benefits!$B$4:$B$703,A771,Benefits!$F$4:$F$703,B771,Benefits!$R$4:$R$703,"cash"),0)</f>
        <v>0</v>
      </c>
      <c r="G771" s="11" t="n">
        <f aca="false">IF(D771=1,SUMIFS(Benefits!$S$4:$S$703,Benefits!$B$4:$B$703,A771,Benefits!$F$4:$F$703,B771,Benefits!$R$4:$R$703,"revenue"),0)</f>
        <v>0</v>
      </c>
      <c r="H771" s="11" t="n">
        <f aca="false">IF(D771=1,SUMIFS(Benefits!$S$4:$S$703,Benefits!$B$4:$B$703,A771,Benefits!$F$4:$F$703,B771,Benefits!$R$4:$R$703,"avoided_cost_realised"),0)</f>
        <v>0</v>
      </c>
      <c r="I771" s="11" t="n">
        <f aca="false">IF(D771=1,SUMIFS(Benefits!$S$4:$S$703,Benefits!$B$4:$B$703,A771,Benefits!$F$4:$F$703,B771,Benefits!$R$4:$R$703,"capacity_converted"),0)</f>
        <v>0</v>
      </c>
      <c r="J771" s="11" t="n">
        <f aca="false">SUM(F771:I771)</f>
        <v>0</v>
      </c>
      <c r="K771" s="11" t="n">
        <f aca="false">J771-E771</f>
        <v>0</v>
      </c>
      <c r="L771" s="11" t="n">
        <f aca="false">IF(D771=1,L770+K771,0)</f>
        <v>-11000</v>
      </c>
      <c r="M771" s="11" t="n">
        <f aca="false">IF(D771=1,1/(1+Controls!$B$11)^B771,0)</f>
        <v>0.931883667888982</v>
      </c>
      <c r="N771" s="11" t="n">
        <f aca="false">K771*M771</f>
        <v>0</v>
      </c>
      <c r="O771" s="11" t="n">
        <f aca="false">IF(D771=1,O770+N771,0)</f>
        <v>-11000</v>
      </c>
      <c r="P771" s="11" t="n">
        <f aca="false">IF(AND(D771=1,L771&lt;0),1,0)</f>
        <v>1</v>
      </c>
      <c r="Q771" s="11" t="n">
        <f aca="false">IF(AND(D771=1,O771&lt;0),1,0)</f>
        <v>1</v>
      </c>
    </row>
    <row r="772" customFormat="false" ht="15" hidden="false" customHeight="false" outlineLevel="0" collapsed="false">
      <c r="A772" s="4" t="s">
        <v>104</v>
      </c>
      <c r="B772" s="4" t="n">
        <v>12</v>
      </c>
      <c r="C772" s="11" t="n">
        <f aca="false">IF(COUNTIF('Scenario inputs'!$A$4:$A$213,Controls!$B$3&amp;"|"&amp;A772)&gt;0,1,0)</f>
        <v>1</v>
      </c>
      <c r="D772" s="11" t="n">
        <f aca="false">IF(AND(C772=1,B772&lt;Controls!$B$12),1,0)</f>
        <v>1</v>
      </c>
      <c r="E772" s="11" t="n">
        <f aca="false">IF(D772=1,SUMPRODUCT((Costs!$B$4:$B$903=A772)*(Costs!$D$4:$D$903="planned")*(Costs!$J$4:$J$903&lt;=B772)*(Costs!$K$4:$K$903&gt;B772)*Costs!$E$4:$E$903),0)</f>
        <v>0</v>
      </c>
      <c r="F772" s="11" t="n">
        <f aca="false">IF(D772=1,SUMIFS(Benefits!$S$4:$S$703,Benefits!$B$4:$B$703,A772,Benefits!$F$4:$F$703,B772,Benefits!$R$4:$R$703,"cash"),0)</f>
        <v>0</v>
      </c>
      <c r="G772" s="11" t="n">
        <f aca="false">IF(D772=1,SUMIFS(Benefits!$S$4:$S$703,Benefits!$B$4:$B$703,A772,Benefits!$F$4:$F$703,B772,Benefits!$R$4:$R$703,"revenue"),0)</f>
        <v>0</v>
      </c>
      <c r="H772" s="11" t="n">
        <f aca="false">IF(D772=1,SUMIFS(Benefits!$S$4:$S$703,Benefits!$B$4:$B$703,A772,Benefits!$F$4:$F$703,B772,Benefits!$R$4:$R$703,"avoided_cost_realised"),0)</f>
        <v>0</v>
      </c>
      <c r="I772" s="11" t="n">
        <f aca="false">IF(D772=1,SUMIFS(Benefits!$S$4:$S$703,Benefits!$B$4:$B$703,A772,Benefits!$F$4:$F$703,B772,Benefits!$R$4:$R$703,"capacity_converted"),0)</f>
        <v>0</v>
      </c>
      <c r="J772" s="11" t="n">
        <f aca="false">SUM(F772:I772)</f>
        <v>0</v>
      </c>
      <c r="K772" s="11" t="n">
        <f aca="false">J772-E772</f>
        <v>0</v>
      </c>
      <c r="L772" s="11" t="n">
        <f aca="false">IF(D772=1,L771+K772,0)</f>
        <v>-11000</v>
      </c>
      <c r="M772" s="11" t="n">
        <f aca="false">IF(D772=1,1/(1+Controls!$B$11)^B772,0)</f>
        <v>0.925926258342804</v>
      </c>
      <c r="N772" s="11" t="n">
        <f aca="false">K772*M772</f>
        <v>0</v>
      </c>
      <c r="O772" s="11" t="n">
        <f aca="false">IF(D772=1,O771+N772,0)</f>
        <v>-11000</v>
      </c>
      <c r="P772" s="11" t="n">
        <f aca="false">IF(AND(D772=1,L772&lt;0),1,0)</f>
        <v>1</v>
      </c>
      <c r="Q772" s="11" t="n">
        <f aca="false">IF(AND(D772=1,O772&lt;0),1,0)</f>
        <v>1</v>
      </c>
    </row>
    <row r="773" customFormat="false" ht="15" hidden="false" customHeight="false" outlineLevel="0" collapsed="false">
      <c r="A773" s="4" t="s">
        <v>104</v>
      </c>
      <c r="B773" s="4" t="n">
        <v>13</v>
      </c>
      <c r="C773" s="11" t="n">
        <f aca="false">IF(COUNTIF('Scenario inputs'!$A$4:$A$213,Controls!$B$3&amp;"|"&amp;A773)&gt;0,1,0)</f>
        <v>1</v>
      </c>
      <c r="D773" s="11" t="n">
        <f aca="false">IF(AND(C773=1,B773&lt;Controls!$B$12),1,0)</f>
        <v>1</v>
      </c>
      <c r="E773" s="11" t="n">
        <f aca="false">IF(D773=1,SUMPRODUCT((Costs!$B$4:$B$903=A773)*(Costs!$D$4:$D$903="planned")*(Costs!$J$4:$J$903&lt;=B773)*(Costs!$K$4:$K$903&gt;B773)*Costs!$E$4:$E$903),0)</f>
        <v>0</v>
      </c>
      <c r="F773" s="11" t="n">
        <f aca="false">IF(D773=1,SUMIFS(Benefits!$S$4:$S$703,Benefits!$B$4:$B$703,A773,Benefits!$F$4:$F$703,B773,Benefits!$R$4:$R$703,"cash"),0)</f>
        <v>0</v>
      </c>
      <c r="G773" s="11" t="n">
        <f aca="false">IF(D773=1,SUMIFS(Benefits!$S$4:$S$703,Benefits!$B$4:$B$703,A773,Benefits!$F$4:$F$703,B773,Benefits!$R$4:$R$703,"revenue"),0)</f>
        <v>0</v>
      </c>
      <c r="H773" s="11" t="n">
        <f aca="false">IF(D773=1,SUMIFS(Benefits!$S$4:$S$703,Benefits!$B$4:$B$703,A773,Benefits!$F$4:$F$703,B773,Benefits!$R$4:$R$703,"avoided_cost_realised"),0)</f>
        <v>0</v>
      </c>
      <c r="I773" s="11" t="n">
        <f aca="false">IF(D773=1,SUMIFS(Benefits!$S$4:$S$703,Benefits!$B$4:$B$703,A773,Benefits!$F$4:$F$703,B773,Benefits!$R$4:$R$703,"capacity_converted"),0)</f>
        <v>0</v>
      </c>
      <c r="J773" s="11" t="n">
        <f aca="false">SUM(F773:I773)</f>
        <v>0</v>
      </c>
      <c r="K773" s="11" t="n">
        <f aca="false">J773-E773</f>
        <v>0</v>
      </c>
      <c r="L773" s="11" t="n">
        <f aca="false">IF(D773=1,L772+K773,0)</f>
        <v>-11000</v>
      </c>
      <c r="M773" s="11" t="n">
        <f aca="false">IF(D773=1,1/(1+Controls!$B$11)^B773,0)</f>
        <v>0.920006933731178</v>
      </c>
      <c r="N773" s="11" t="n">
        <f aca="false">K773*M773</f>
        <v>0</v>
      </c>
      <c r="O773" s="11" t="n">
        <f aca="false">IF(D773=1,O772+N773,0)</f>
        <v>-11000</v>
      </c>
      <c r="P773" s="11" t="n">
        <f aca="false">IF(AND(D773=1,L773&lt;0),1,0)</f>
        <v>1</v>
      </c>
      <c r="Q773" s="11" t="n">
        <f aca="false">IF(AND(D773=1,O773&lt;0),1,0)</f>
        <v>1</v>
      </c>
    </row>
    <row r="774" customFormat="false" ht="15" hidden="false" customHeight="false" outlineLevel="0" collapsed="false">
      <c r="A774" s="4" t="s">
        <v>104</v>
      </c>
      <c r="B774" s="4" t="n">
        <v>14</v>
      </c>
      <c r="C774" s="11" t="n">
        <f aca="false">IF(COUNTIF('Scenario inputs'!$A$4:$A$213,Controls!$B$3&amp;"|"&amp;A774)&gt;0,1,0)</f>
        <v>1</v>
      </c>
      <c r="D774" s="11" t="n">
        <f aca="false">IF(AND(C774=1,B774&lt;Controls!$B$12),1,0)</f>
        <v>1</v>
      </c>
      <c r="E774" s="11" t="n">
        <f aca="false">IF(D774=1,SUMPRODUCT((Costs!$B$4:$B$903=A774)*(Costs!$D$4:$D$903="planned")*(Costs!$J$4:$J$903&lt;=B774)*(Costs!$K$4:$K$903&gt;B774)*Costs!$E$4:$E$903),0)</f>
        <v>0</v>
      </c>
      <c r="F774" s="11" t="n">
        <f aca="false">IF(D774=1,SUMIFS(Benefits!$S$4:$S$703,Benefits!$B$4:$B$703,A774,Benefits!$F$4:$F$703,B774,Benefits!$R$4:$R$703,"cash"),0)</f>
        <v>0</v>
      </c>
      <c r="G774" s="11" t="n">
        <f aca="false">IF(D774=1,SUMIFS(Benefits!$S$4:$S$703,Benefits!$B$4:$B$703,A774,Benefits!$F$4:$F$703,B774,Benefits!$R$4:$R$703,"revenue"),0)</f>
        <v>0</v>
      </c>
      <c r="H774" s="11" t="n">
        <f aca="false">IF(D774=1,SUMIFS(Benefits!$S$4:$S$703,Benefits!$B$4:$B$703,A774,Benefits!$F$4:$F$703,B774,Benefits!$R$4:$R$703,"avoided_cost_realised"),0)</f>
        <v>0</v>
      </c>
      <c r="I774" s="11" t="n">
        <f aca="false">IF(D774=1,SUMIFS(Benefits!$S$4:$S$703,Benefits!$B$4:$B$703,A774,Benefits!$F$4:$F$703,B774,Benefits!$R$4:$R$703,"capacity_converted"),0)</f>
        <v>0</v>
      </c>
      <c r="J774" s="11" t="n">
        <f aca="false">SUM(F774:I774)</f>
        <v>0</v>
      </c>
      <c r="K774" s="11" t="n">
        <f aca="false">J774-E774</f>
        <v>0</v>
      </c>
      <c r="L774" s="11" t="n">
        <f aca="false">IF(D774=1,L773+K774,0)</f>
        <v>-11000</v>
      </c>
      <c r="M774" s="11" t="n">
        <f aca="false">IF(D774=1,1/(1+Controls!$B$11)^B774,0)</f>
        <v>0.914125450582132</v>
      </c>
      <c r="N774" s="11" t="n">
        <f aca="false">K774*M774</f>
        <v>0</v>
      </c>
      <c r="O774" s="11" t="n">
        <f aca="false">IF(D774=1,O773+N774,0)</f>
        <v>-11000</v>
      </c>
      <c r="P774" s="11" t="n">
        <f aca="false">IF(AND(D774=1,L774&lt;0),1,0)</f>
        <v>1</v>
      </c>
      <c r="Q774" s="11" t="n">
        <f aca="false">IF(AND(D774=1,O774&lt;0),1,0)</f>
        <v>1</v>
      </c>
    </row>
    <row r="775" customFormat="false" ht="15" hidden="false" customHeight="false" outlineLevel="0" collapsed="false">
      <c r="A775" s="4" t="s">
        <v>104</v>
      </c>
      <c r="B775" s="4" t="n">
        <v>15</v>
      </c>
      <c r="C775" s="11" t="n">
        <f aca="false">IF(COUNTIF('Scenario inputs'!$A$4:$A$213,Controls!$B$3&amp;"|"&amp;A775)&gt;0,1,0)</f>
        <v>1</v>
      </c>
      <c r="D775" s="11" t="n">
        <f aca="false">IF(AND(C775=1,B775&lt;Controls!$B$12),1,0)</f>
        <v>1</v>
      </c>
      <c r="E775" s="11" t="n">
        <f aca="false">IF(D775=1,SUMPRODUCT((Costs!$B$4:$B$903=A775)*(Costs!$D$4:$D$903="planned")*(Costs!$J$4:$J$903&lt;=B775)*(Costs!$K$4:$K$903&gt;B775)*Costs!$E$4:$E$903),0)</f>
        <v>0</v>
      </c>
      <c r="F775" s="11" t="n">
        <f aca="false">IF(D775=1,SUMIFS(Benefits!$S$4:$S$703,Benefits!$B$4:$B$703,A775,Benefits!$F$4:$F$703,B775,Benefits!$R$4:$R$703,"cash"),0)</f>
        <v>0</v>
      </c>
      <c r="G775" s="11" t="n">
        <f aca="false">IF(D775=1,SUMIFS(Benefits!$S$4:$S$703,Benefits!$B$4:$B$703,A775,Benefits!$F$4:$F$703,B775,Benefits!$R$4:$R$703,"revenue"),0)</f>
        <v>0</v>
      </c>
      <c r="H775" s="11" t="n">
        <f aca="false">IF(D775=1,SUMIFS(Benefits!$S$4:$S$703,Benefits!$B$4:$B$703,A775,Benefits!$F$4:$F$703,B775,Benefits!$R$4:$R$703,"avoided_cost_realised"),0)</f>
        <v>0</v>
      </c>
      <c r="I775" s="11" t="n">
        <f aca="false">IF(D775=1,SUMIFS(Benefits!$S$4:$S$703,Benefits!$B$4:$B$703,A775,Benefits!$F$4:$F$703,B775,Benefits!$R$4:$R$703,"capacity_converted"),0)</f>
        <v>0</v>
      </c>
      <c r="J775" s="11" t="n">
        <f aca="false">SUM(F775:I775)</f>
        <v>0</v>
      </c>
      <c r="K775" s="11" t="n">
        <f aca="false">J775-E775</f>
        <v>0</v>
      </c>
      <c r="L775" s="11" t="n">
        <f aca="false">IF(D775=1,L774+K775,0)</f>
        <v>-11000</v>
      </c>
      <c r="M775" s="11" t="n">
        <f aca="false">IF(D775=1,1/(1+Controls!$B$11)^B775,0)</f>
        <v>0.908281566980182</v>
      </c>
      <c r="N775" s="11" t="n">
        <f aca="false">K775*M775</f>
        <v>0</v>
      </c>
      <c r="O775" s="11" t="n">
        <f aca="false">IF(D775=1,O774+N775,0)</f>
        <v>-11000</v>
      </c>
      <c r="P775" s="11" t="n">
        <f aca="false">IF(AND(D775=1,L775&lt;0),1,0)</f>
        <v>1</v>
      </c>
      <c r="Q775" s="11" t="n">
        <f aca="false">IF(AND(D775=1,O775&lt;0),1,0)</f>
        <v>1</v>
      </c>
    </row>
    <row r="776" customFormat="false" ht="15" hidden="false" customHeight="false" outlineLevel="0" collapsed="false">
      <c r="A776" s="4" t="s">
        <v>104</v>
      </c>
      <c r="B776" s="4" t="n">
        <v>16</v>
      </c>
      <c r="C776" s="11" t="n">
        <f aca="false">IF(COUNTIF('Scenario inputs'!$A$4:$A$213,Controls!$B$3&amp;"|"&amp;A776)&gt;0,1,0)</f>
        <v>1</v>
      </c>
      <c r="D776" s="11" t="n">
        <f aca="false">IF(AND(C776=1,B776&lt;Controls!$B$12),1,0)</f>
        <v>1</v>
      </c>
      <c r="E776" s="11" t="n">
        <f aca="false">IF(D776=1,SUMPRODUCT((Costs!$B$4:$B$903=A776)*(Costs!$D$4:$D$903="planned")*(Costs!$J$4:$J$903&lt;=B776)*(Costs!$K$4:$K$903&gt;B776)*Costs!$E$4:$E$903),0)</f>
        <v>0</v>
      </c>
      <c r="F776" s="11" t="n">
        <f aca="false">IF(D776=1,SUMIFS(Benefits!$S$4:$S$703,Benefits!$B$4:$B$703,A776,Benefits!$F$4:$F$703,B776,Benefits!$R$4:$R$703,"cash"),0)</f>
        <v>0</v>
      </c>
      <c r="G776" s="11" t="n">
        <f aca="false">IF(D776=1,SUMIFS(Benefits!$S$4:$S$703,Benefits!$B$4:$B$703,A776,Benefits!$F$4:$F$703,B776,Benefits!$R$4:$R$703,"revenue"),0)</f>
        <v>0</v>
      </c>
      <c r="H776" s="11" t="n">
        <f aca="false">IF(D776=1,SUMIFS(Benefits!$S$4:$S$703,Benefits!$B$4:$B$703,A776,Benefits!$F$4:$F$703,B776,Benefits!$R$4:$R$703,"avoided_cost_realised"),0)</f>
        <v>0</v>
      </c>
      <c r="I776" s="11" t="n">
        <f aca="false">IF(D776=1,SUMIFS(Benefits!$S$4:$S$703,Benefits!$B$4:$B$703,A776,Benefits!$F$4:$F$703,B776,Benefits!$R$4:$R$703,"capacity_converted"),0)</f>
        <v>0</v>
      </c>
      <c r="J776" s="11" t="n">
        <f aca="false">SUM(F776:I776)</f>
        <v>0</v>
      </c>
      <c r="K776" s="11" t="n">
        <f aca="false">J776-E776</f>
        <v>0</v>
      </c>
      <c r="L776" s="11" t="n">
        <f aca="false">IF(D776=1,L775+K776,0)</f>
        <v>-11000</v>
      </c>
      <c r="M776" s="11" t="n">
        <f aca="false">IF(D776=1,1/(1+Controls!$B$11)^B776,0)</f>
        <v>0.902475042556374</v>
      </c>
      <c r="N776" s="11" t="n">
        <f aca="false">K776*M776</f>
        <v>0</v>
      </c>
      <c r="O776" s="11" t="n">
        <f aca="false">IF(D776=1,O775+N776,0)</f>
        <v>-11000</v>
      </c>
      <c r="P776" s="11" t="n">
        <f aca="false">IF(AND(D776=1,L776&lt;0),1,0)</f>
        <v>1</v>
      </c>
      <c r="Q776" s="11" t="n">
        <f aca="false">IF(AND(D776=1,O776&lt;0),1,0)</f>
        <v>1</v>
      </c>
    </row>
    <row r="777" customFormat="false" ht="15" hidden="false" customHeight="false" outlineLevel="0" collapsed="false">
      <c r="A777" s="4" t="s">
        <v>104</v>
      </c>
      <c r="B777" s="4" t="n">
        <v>17</v>
      </c>
      <c r="C777" s="11" t="n">
        <f aca="false">IF(COUNTIF('Scenario inputs'!$A$4:$A$213,Controls!$B$3&amp;"|"&amp;A777)&gt;0,1,0)</f>
        <v>1</v>
      </c>
      <c r="D777" s="11" t="n">
        <f aca="false">IF(AND(C777=1,B777&lt;Controls!$B$12),1,0)</f>
        <v>1</v>
      </c>
      <c r="E777" s="11" t="n">
        <f aca="false">IF(D777=1,SUMPRODUCT((Costs!$B$4:$B$903=A777)*(Costs!$D$4:$D$903="planned")*(Costs!$J$4:$J$903&lt;=B777)*(Costs!$K$4:$K$903&gt;B777)*Costs!$E$4:$E$903),0)</f>
        <v>0</v>
      </c>
      <c r="F777" s="11" t="n">
        <f aca="false">IF(D777=1,SUMIFS(Benefits!$S$4:$S$703,Benefits!$B$4:$B$703,A777,Benefits!$F$4:$F$703,B777,Benefits!$R$4:$R$703,"cash"),0)</f>
        <v>0</v>
      </c>
      <c r="G777" s="11" t="n">
        <f aca="false">IF(D777=1,SUMIFS(Benefits!$S$4:$S$703,Benefits!$B$4:$B$703,A777,Benefits!$F$4:$F$703,B777,Benefits!$R$4:$R$703,"revenue"),0)</f>
        <v>0</v>
      </c>
      <c r="H777" s="11" t="n">
        <f aca="false">IF(D777=1,SUMIFS(Benefits!$S$4:$S$703,Benefits!$B$4:$B$703,A777,Benefits!$F$4:$F$703,B777,Benefits!$R$4:$R$703,"avoided_cost_realised"),0)</f>
        <v>0</v>
      </c>
      <c r="I777" s="11" t="n">
        <f aca="false">IF(D777=1,SUMIFS(Benefits!$S$4:$S$703,Benefits!$B$4:$B$703,A777,Benefits!$F$4:$F$703,B777,Benefits!$R$4:$R$703,"capacity_converted"),0)</f>
        <v>0</v>
      </c>
      <c r="J777" s="11" t="n">
        <f aca="false">SUM(F777:I777)</f>
        <v>0</v>
      </c>
      <c r="K777" s="11" t="n">
        <f aca="false">J777-E777</f>
        <v>0</v>
      </c>
      <c r="L777" s="11" t="n">
        <f aca="false">IF(D777=1,L776+K777,0)</f>
        <v>-11000</v>
      </c>
      <c r="M777" s="11" t="n">
        <f aca="false">IF(D777=1,1/(1+Controls!$B$11)^B777,0)</f>
        <v>0.896705638478404</v>
      </c>
      <c r="N777" s="11" t="n">
        <f aca="false">K777*M777</f>
        <v>0</v>
      </c>
      <c r="O777" s="11" t="n">
        <f aca="false">IF(D777=1,O776+N777,0)</f>
        <v>-11000</v>
      </c>
      <c r="P777" s="11" t="n">
        <f aca="false">IF(AND(D777=1,L777&lt;0),1,0)</f>
        <v>1</v>
      </c>
      <c r="Q777" s="11" t="n">
        <f aca="false">IF(AND(D777=1,O777&lt;0),1,0)</f>
        <v>1</v>
      </c>
    </row>
    <row r="778" customFormat="false" ht="15" hidden="false" customHeight="false" outlineLevel="0" collapsed="false">
      <c r="A778" s="4" t="s">
        <v>104</v>
      </c>
      <c r="B778" s="4" t="n">
        <v>18</v>
      </c>
      <c r="C778" s="11" t="n">
        <f aca="false">IF(COUNTIF('Scenario inputs'!$A$4:$A$213,Controls!$B$3&amp;"|"&amp;A778)&gt;0,1,0)</f>
        <v>1</v>
      </c>
      <c r="D778" s="11" t="n">
        <f aca="false">IF(AND(C778=1,B778&lt;Controls!$B$12),1,0)</f>
        <v>1</v>
      </c>
      <c r="E778" s="11" t="n">
        <f aca="false">IF(D778=1,SUMPRODUCT((Costs!$B$4:$B$903=A778)*(Costs!$D$4:$D$903="planned")*(Costs!$J$4:$J$903&lt;=B778)*(Costs!$K$4:$K$903&gt;B778)*Costs!$E$4:$E$903),0)</f>
        <v>33650</v>
      </c>
      <c r="F778" s="11" t="n">
        <f aca="false">IF(D778=1,SUMIFS(Benefits!$S$4:$S$703,Benefits!$B$4:$B$703,A778,Benefits!$F$4:$F$703,B778,Benefits!$R$4:$R$703,"cash"),0)</f>
        <v>0</v>
      </c>
      <c r="G778" s="11" t="n">
        <f aca="false">IF(D778=1,SUMIFS(Benefits!$S$4:$S$703,Benefits!$B$4:$B$703,A778,Benefits!$F$4:$F$703,B778,Benefits!$R$4:$R$703,"revenue"),0)</f>
        <v>0</v>
      </c>
      <c r="H778" s="11" t="n">
        <f aca="false">IF(D778=1,SUMIFS(Benefits!$S$4:$S$703,Benefits!$B$4:$B$703,A778,Benefits!$F$4:$F$703,B778,Benefits!$R$4:$R$703,"avoided_cost_realised"),0)</f>
        <v>0</v>
      </c>
      <c r="I778" s="11" t="n">
        <f aca="false">IF(D778=1,SUMIFS(Benefits!$S$4:$S$703,Benefits!$B$4:$B$703,A778,Benefits!$F$4:$F$703,B778,Benefits!$R$4:$R$703,"capacity_converted"),0)</f>
        <v>0</v>
      </c>
      <c r="J778" s="11" t="n">
        <f aca="false">SUM(F778:I778)</f>
        <v>0</v>
      </c>
      <c r="K778" s="11" t="n">
        <f aca="false">J778-E778</f>
        <v>-33650</v>
      </c>
      <c r="L778" s="11" t="n">
        <f aca="false">IF(D778=1,L777+K778,0)</f>
        <v>-44650</v>
      </c>
      <c r="M778" s="11" t="n">
        <f aca="false">IF(D778=1,1/(1+Controls!$B$11)^B778,0)</f>
        <v>0.89097311744079</v>
      </c>
      <c r="N778" s="11" t="n">
        <f aca="false">K778*M778</f>
        <v>-29981.2454018826</v>
      </c>
      <c r="O778" s="11" t="n">
        <f aca="false">IF(D778=1,O777+N778,0)</f>
        <v>-40981.2454018826</v>
      </c>
      <c r="P778" s="11" t="n">
        <f aca="false">IF(AND(D778=1,L778&lt;0),1,0)</f>
        <v>1</v>
      </c>
      <c r="Q778" s="11" t="n">
        <f aca="false">IF(AND(D778=1,O778&lt;0),1,0)</f>
        <v>1</v>
      </c>
    </row>
    <row r="779" customFormat="false" ht="15" hidden="false" customHeight="false" outlineLevel="0" collapsed="false">
      <c r="A779" s="4" t="s">
        <v>104</v>
      </c>
      <c r="B779" s="4" t="n">
        <v>19</v>
      </c>
      <c r="C779" s="11" t="n">
        <f aca="false">IF(COUNTIF('Scenario inputs'!$A$4:$A$213,Controls!$B$3&amp;"|"&amp;A779)&gt;0,1,0)</f>
        <v>1</v>
      </c>
      <c r="D779" s="11" t="n">
        <f aca="false">IF(AND(C779=1,B779&lt;Controls!$B$12),1,0)</f>
        <v>1</v>
      </c>
      <c r="E779" s="11" t="n">
        <f aca="false">IF(D779=1,SUMPRODUCT((Costs!$B$4:$B$903=A779)*(Costs!$D$4:$D$903="planned")*(Costs!$J$4:$J$903&lt;=B779)*(Costs!$K$4:$K$903&gt;B779)*Costs!$E$4:$E$903),0)</f>
        <v>0</v>
      </c>
      <c r="F779" s="11" t="n">
        <f aca="false">IF(D779=1,SUMIFS(Benefits!$S$4:$S$703,Benefits!$B$4:$B$703,A779,Benefits!$F$4:$F$703,B779,Benefits!$R$4:$R$703,"cash"),0)</f>
        <v>0</v>
      </c>
      <c r="G779" s="11" t="n">
        <f aca="false">IF(D779=1,SUMIFS(Benefits!$S$4:$S$703,Benefits!$B$4:$B$703,A779,Benefits!$F$4:$F$703,B779,Benefits!$R$4:$R$703,"revenue"),0)</f>
        <v>0</v>
      </c>
      <c r="H779" s="11" t="n">
        <f aca="false">IF(D779=1,SUMIFS(Benefits!$S$4:$S$703,Benefits!$B$4:$B$703,A779,Benefits!$F$4:$F$703,B779,Benefits!$R$4:$R$703,"avoided_cost_realised"),0)</f>
        <v>0</v>
      </c>
      <c r="I779" s="11" t="n">
        <f aca="false">IF(D779=1,SUMIFS(Benefits!$S$4:$S$703,Benefits!$B$4:$B$703,A779,Benefits!$F$4:$F$703,B779,Benefits!$R$4:$R$703,"capacity_converted"),0)</f>
        <v>0</v>
      </c>
      <c r="J779" s="11" t="n">
        <f aca="false">SUM(F779:I779)</f>
        <v>0</v>
      </c>
      <c r="K779" s="11" t="n">
        <f aca="false">J779-E779</f>
        <v>0</v>
      </c>
      <c r="L779" s="11" t="n">
        <f aca="false">IF(D779=1,L778+K779,0)</f>
        <v>-44650</v>
      </c>
      <c r="M779" s="11" t="n">
        <f aca="false">IF(D779=1,1/(1+Controls!$B$11)^B779,0)</f>
        <v>0.885277243655113</v>
      </c>
      <c r="N779" s="11" t="n">
        <f aca="false">K779*M779</f>
        <v>0</v>
      </c>
      <c r="O779" s="11" t="n">
        <f aca="false">IF(D779=1,O778+N779,0)</f>
        <v>-40981.2454018826</v>
      </c>
      <c r="P779" s="11" t="n">
        <f aca="false">IF(AND(D779=1,L779&lt;0),1,0)</f>
        <v>1</v>
      </c>
      <c r="Q779" s="11" t="n">
        <f aca="false">IF(AND(D779=1,O779&lt;0),1,0)</f>
        <v>1</v>
      </c>
    </row>
    <row r="780" customFormat="false" ht="15" hidden="false" customHeight="false" outlineLevel="0" collapsed="false">
      <c r="A780" s="4" t="s">
        <v>104</v>
      </c>
      <c r="B780" s="4" t="n">
        <v>20</v>
      </c>
      <c r="C780" s="11" t="n">
        <f aca="false">IF(COUNTIF('Scenario inputs'!$A$4:$A$213,Controls!$B$3&amp;"|"&amp;A780)&gt;0,1,0)</f>
        <v>1</v>
      </c>
      <c r="D780" s="11" t="n">
        <f aca="false">IF(AND(C780=1,B780&lt;Controls!$B$12),1,0)</f>
        <v>1</v>
      </c>
      <c r="E780" s="11" t="n">
        <f aca="false">IF(D780=1,SUMPRODUCT((Costs!$B$4:$B$903=A780)*(Costs!$D$4:$D$903="planned")*(Costs!$J$4:$J$903&lt;=B780)*(Costs!$K$4:$K$903&gt;B780)*Costs!$E$4:$E$903),0)</f>
        <v>51000</v>
      </c>
      <c r="F780" s="11" t="n">
        <f aca="false">IF(D780=1,SUMIFS(Benefits!$S$4:$S$703,Benefits!$B$4:$B$703,A780,Benefits!$F$4:$F$703,B780,Benefits!$R$4:$R$703,"cash"),0)</f>
        <v>0</v>
      </c>
      <c r="G780" s="11" t="n">
        <f aca="false">IF(D780=1,SUMIFS(Benefits!$S$4:$S$703,Benefits!$B$4:$B$703,A780,Benefits!$F$4:$F$703,B780,Benefits!$R$4:$R$703,"revenue"),0)</f>
        <v>0</v>
      </c>
      <c r="H780" s="11" t="n">
        <f aca="false">IF(D780=1,SUMIFS(Benefits!$S$4:$S$703,Benefits!$B$4:$B$703,A780,Benefits!$F$4:$F$703,B780,Benefits!$R$4:$R$703,"avoided_cost_realised"),0)</f>
        <v>0</v>
      </c>
      <c r="I780" s="11" t="n">
        <f aca="false">IF(D780=1,SUMIFS(Benefits!$S$4:$S$703,Benefits!$B$4:$B$703,A780,Benefits!$F$4:$F$703,B780,Benefits!$R$4:$R$703,"capacity_converted"),0)</f>
        <v>0</v>
      </c>
      <c r="J780" s="11" t="n">
        <f aca="false">SUM(F780:I780)</f>
        <v>0</v>
      </c>
      <c r="K780" s="11" t="n">
        <f aca="false">J780-E780</f>
        <v>-51000</v>
      </c>
      <c r="L780" s="11" t="n">
        <f aca="false">IF(D780=1,L779+K780,0)</f>
        <v>-95650</v>
      </c>
      <c r="M780" s="11" t="n">
        <f aca="false">IF(D780=1,1/(1+Controls!$B$11)^B780,0)</f>
        <v>0.879617782840318</v>
      </c>
      <c r="N780" s="11" t="n">
        <f aca="false">K780*M780</f>
        <v>-44860.5069248562</v>
      </c>
      <c r="O780" s="11" t="n">
        <f aca="false">IF(D780=1,O779+N780,0)</f>
        <v>-85841.7523267388</v>
      </c>
      <c r="P780" s="11" t="n">
        <f aca="false">IF(AND(D780=1,L780&lt;0),1,0)</f>
        <v>1</v>
      </c>
      <c r="Q780" s="11" t="n">
        <f aca="false">IF(AND(D780=1,O780&lt;0),1,0)</f>
        <v>1</v>
      </c>
    </row>
    <row r="781" customFormat="false" ht="15" hidden="false" customHeight="false" outlineLevel="0" collapsed="false">
      <c r="A781" s="4" t="s">
        <v>104</v>
      </c>
      <c r="B781" s="4" t="n">
        <v>21</v>
      </c>
      <c r="C781" s="11" t="n">
        <f aca="false">IF(COUNTIF('Scenario inputs'!$A$4:$A$213,Controls!$B$3&amp;"|"&amp;A781)&gt;0,1,0)</f>
        <v>1</v>
      </c>
      <c r="D781" s="11" t="n">
        <f aca="false">IF(AND(C781=1,B781&lt;Controls!$B$12),1,0)</f>
        <v>1</v>
      </c>
      <c r="E781" s="11" t="n">
        <f aca="false">IF(D781=1,SUMPRODUCT((Costs!$B$4:$B$903=A781)*(Costs!$D$4:$D$903="planned")*(Costs!$J$4:$J$903&lt;=B781)*(Costs!$K$4:$K$903&gt;B781)*Costs!$E$4:$E$903),0)</f>
        <v>66250</v>
      </c>
      <c r="F781" s="11" t="n">
        <f aca="false">IF(D781=1,SUMIFS(Benefits!$S$4:$S$703,Benefits!$B$4:$B$703,A781,Benefits!$F$4:$F$703,B781,Benefits!$R$4:$R$703,"cash"),0)</f>
        <v>0</v>
      </c>
      <c r="G781" s="11" t="n">
        <f aca="false">IF(D781=1,SUMIFS(Benefits!$S$4:$S$703,Benefits!$B$4:$B$703,A781,Benefits!$F$4:$F$703,B781,Benefits!$R$4:$R$703,"revenue"),0)</f>
        <v>0</v>
      </c>
      <c r="H781" s="11" t="n">
        <f aca="false">IF(D781=1,SUMIFS(Benefits!$S$4:$S$703,Benefits!$B$4:$B$703,A781,Benefits!$F$4:$F$703,B781,Benefits!$R$4:$R$703,"avoided_cost_realised"),0)</f>
        <v>0</v>
      </c>
      <c r="I781" s="11" t="n">
        <f aca="false">IF(D781=1,SUMIFS(Benefits!$S$4:$S$703,Benefits!$B$4:$B$703,A781,Benefits!$F$4:$F$703,B781,Benefits!$R$4:$R$703,"capacity_converted"),0)</f>
        <v>0</v>
      </c>
      <c r="J781" s="11" t="n">
        <f aca="false">SUM(F781:I781)</f>
        <v>0</v>
      </c>
      <c r="K781" s="11" t="n">
        <f aca="false">J781-E781</f>
        <v>-66250</v>
      </c>
      <c r="L781" s="11" t="n">
        <f aca="false">IF(D781=1,L780+K781,0)</f>
        <v>-161900</v>
      </c>
      <c r="M781" s="11" t="n">
        <f aca="false">IF(D781=1,1/(1+Controls!$B$11)^B781,0)</f>
        <v>0.873994502213079</v>
      </c>
      <c r="N781" s="11" t="n">
        <f aca="false">K781*M781</f>
        <v>-57902.1357716165</v>
      </c>
      <c r="O781" s="11" t="n">
        <f aca="false">IF(D781=1,O780+N781,0)</f>
        <v>-143743.888098355</v>
      </c>
      <c r="P781" s="11" t="n">
        <f aca="false">IF(AND(D781=1,L781&lt;0),1,0)</f>
        <v>1</v>
      </c>
      <c r="Q781" s="11" t="n">
        <f aca="false">IF(AND(D781=1,O781&lt;0),1,0)</f>
        <v>1</v>
      </c>
    </row>
    <row r="782" customFormat="false" ht="15" hidden="false" customHeight="false" outlineLevel="0" collapsed="false">
      <c r="A782" s="4" t="s">
        <v>104</v>
      </c>
      <c r="B782" s="4" t="n">
        <v>22</v>
      </c>
      <c r="C782" s="11" t="n">
        <f aca="false">IF(COUNTIF('Scenario inputs'!$A$4:$A$213,Controls!$B$3&amp;"|"&amp;A782)&gt;0,1,0)</f>
        <v>1</v>
      </c>
      <c r="D782" s="11" t="n">
        <f aca="false">IF(AND(C782=1,B782&lt;Controls!$B$12),1,0)</f>
        <v>1</v>
      </c>
      <c r="E782" s="11" t="n">
        <f aca="false">IF(D782=1,SUMPRODUCT((Costs!$B$4:$B$903=A782)*(Costs!$D$4:$D$903="planned")*(Costs!$J$4:$J$903&lt;=B782)*(Costs!$K$4:$K$903&gt;B782)*Costs!$E$4:$E$903),0)</f>
        <v>211350</v>
      </c>
      <c r="F782" s="11" t="n">
        <f aca="false">IF(D782=1,SUMIFS(Benefits!$S$4:$S$703,Benefits!$B$4:$B$703,A782,Benefits!$F$4:$F$703,B782,Benefits!$R$4:$R$703,"cash"),0)</f>
        <v>0</v>
      </c>
      <c r="G782" s="11" t="n">
        <f aca="false">IF(D782=1,SUMIFS(Benefits!$S$4:$S$703,Benefits!$B$4:$B$703,A782,Benefits!$F$4:$F$703,B782,Benefits!$R$4:$R$703,"revenue"),0)</f>
        <v>0</v>
      </c>
      <c r="H782" s="11" t="n">
        <f aca="false">IF(D782=1,SUMIFS(Benefits!$S$4:$S$703,Benefits!$B$4:$B$703,A782,Benefits!$F$4:$F$703,B782,Benefits!$R$4:$R$703,"avoided_cost_realised"),0)</f>
        <v>0</v>
      </c>
      <c r="I782" s="11" t="n">
        <f aca="false">IF(D782=1,SUMIFS(Benefits!$S$4:$S$703,Benefits!$B$4:$B$703,A782,Benefits!$F$4:$F$703,B782,Benefits!$R$4:$R$703,"capacity_converted"),0)</f>
        <v>0</v>
      </c>
      <c r="J782" s="11" t="n">
        <f aca="false">SUM(F782:I782)</f>
        <v>0</v>
      </c>
      <c r="K782" s="11" t="n">
        <f aca="false">J782-E782</f>
        <v>-211350</v>
      </c>
      <c r="L782" s="11" t="n">
        <f aca="false">IF(D782=1,L781+K782,0)</f>
        <v>-373250</v>
      </c>
      <c r="M782" s="11" t="n">
        <f aca="false">IF(D782=1,1/(1+Controls!$B$11)^B782,0)</f>
        <v>0.868407170478222</v>
      </c>
      <c r="N782" s="11" t="n">
        <f aca="false">K782*M782</f>
        <v>-183537.855480572</v>
      </c>
      <c r="O782" s="11" t="n">
        <f aca="false">IF(D782=1,O781+N782,0)</f>
        <v>-327281.743578928</v>
      </c>
      <c r="P782" s="11" t="n">
        <f aca="false">IF(AND(D782=1,L782&lt;0),1,0)</f>
        <v>1</v>
      </c>
      <c r="Q782" s="11" t="n">
        <f aca="false">IF(AND(D782=1,O782&lt;0),1,0)</f>
        <v>1</v>
      </c>
    </row>
    <row r="783" customFormat="false" ht="15" hidden="false" customHeight="false" outlineLevel="0" collapsed="false">
      <c r="A783" s="4" t="s">
        <v>104</v>
      </c>
      <c r="B783" s="4" t="n">
        <v>23</v>
      </c>
      <c r="C783" s="11" t="n">
        <f aca="false">IF(COUNTIF('Scenario inputs'!$A$4:$A$213,Controls!$B$3&amp;"|"&amp;A783)&gt;0,1,0)</f>
        <v>1</v>
      </c>
      <c r="D783" s="11" t="n">
        <f aca="false">IF(AND(C783=1,B783&lt;Controls!$B$12),1,0)</f>
        <v>1</v>
      </c>
      <c r="E783" s="11" t="n">
        <f aca="false">IF(D783=1,SUMPRODUCT((Costs!$B$4:$B$903=A783)*(Costs!$D$4:$D$903="planned")*(Costs!$J$4:$J$903&lt;=B783)*(Costs!$K$4:$K$903&gt;B783)*Costs!$E$4:$E$903),0)</f>
        <v>132750</v>
      </c>
      <c r="F783" s="11" t="n">
        <f aca="false">IF(D783=1,SUMIFS(Benefits!$S$4:$S$703,Benefits!$B$4:$B$703,A783,Benefits!$F$4:$F$703,B783,Benefits!$R$4:$R$703,"cash"),0)</f>
        <v>0</v>
      </c>
      <c r="G783" s="11" t="n">
        <f aca="false">IF(D783=1,SUMIFS(Benefits!$S$4:$S$703,Benefits!$B$4:$B$703,A783,Benefits!$F$4:$F$703,B783,Benefits!$R$4:$R$703,"revenue"),0)</f>
        <v>0</v>
      </c>
      <c r="H783" s="11" t="n">
        <f aca="false">IF(D783=1,SUMIFS(Benefits!$S$4:$S$703,Benefits!$B$4:$B$703,A783,Benefits!$F$4:$F$703,B783,Benefits!$R$4:$R$703,"avoided_cost_realised"),0)</f>
        <v>0</v>
      </c>
      <c r="I783" s="11" t="n">
        <f aca="false">IF(D783=1,SUMIFS(Benefits!$S$4:$S$703,Benefits!$B$4:$B$703,A783,Benefits!$F$4:$F$703,B783,Benefits!$R$4:$R$703,"capacity_converted"),0)</f>
        <v>0</v>
      </c>
      <c r="J783" s="11" t="n">
        <f aca="false">SUM(F783:I783)</f>
        <v>0</v>
      </c>
      <c r="K783" s="11" t="n">
        <f aca="false">J783-E783</f>
        <v>-132750</v>
      </c>
      <c r="L783" s="11" t="n">
        <f aca="false">IF(D783=1,L782+K783,0)</f>
        <v>-506000</v>
      </c>
      <c r="M783" s="11" t="n">
        <f aca="false">IF(D783=1,1/(1+Controls!$B$11)^B783,0)</f>
        <v>0.862855557819213</v>
      </c>
      <c r="N783" s="11" t="n">
        <f aca="false">K783*M783</f>
        <v>-114544.075300501</v>
      </c>
      <c r="O783" s="11" t="n">
        <f aca="false">IF(D783=1,O782+N783,0)</f>
        <v>-441825.818879428</v>
      </c>
      <c r="P783" s="11" t="n">
        <f aca="false">IF(AND(D783=1,L783&lt;0),1,0)</f>
        <v>1</v>
      </c>
      <c r="Q783" s="11" t="n">
        <f aca="false">IF(AND(D783=1,O783&lt;0),1,0)</f>
        <v>1</v>
      </c>
    </row>
    <row r="784" customFormat="false" ht="15" hidden="false" customHeight="false" outlineLevel="0" collapsed="false">
      <c r="A784" s="4" t="s">
        <v>104</v>
      </c>
      <c r="B784" s="4" t="n">
        <v>24</v>
      </c>
      <c r="C784" s="11" t="n">
        <f aca="false">IF(COUNTIF('Scenario inputs'!$A$4:$A$213,Controls!$B$3&amp;"|"&amp;A784)&gt;0,1,0)</f>
        <v>1</v>
      </c>
      <c r="D784" s="11" t="n">
        <f aca="false">IF(AND(C784=1,B784&lt;Controls!$B$12),1,0)</f>
        <v>1</v>
      </c>
      <c r="E784" s="11" t="n">
        <f aca="false">IF(D784=1,SUMPRODUCT((Costs!$B$4:$B$903=A784)*(Costs!$D$4:$D$903="planned")*(Costs!$J$4:$J$903&lt;=B784)*(Costs!$K$4:$K$903&gt;B784)*Costs!$E$4:$E$903),0)</f>
        <v>66000</v>
      </c>
      <c r="F784" s="11" t="n">
        <f aca="false">IF(D784=1,SUMIFS(Benefits!$S$4:$S$703,Benefits!$B$4:$B$703,A784,Benefits!$F$4:$F$703,B784,Benefits!$R$4:$R$703,"cash"),0)</f>
        <v>0</v>
      </c>
      <c r="G784" s="11" t="n">
        <f aca="false">IF(D784=1,SUMIFS(Benefits!$S$4:$S$703,Benefits!$B$4:$B$703,A784,Benefits!$F$4:$F$703,B784,Benefits!$R$4:$R$703,"revenue"),0)</f>
        <v>0</v>
      </c>
      <c r="H784" s="11" t="n">
        <f aca="false">IF(D784=1,SUMIFS(Benefits!$S$4:$S$703,Benefits!$B$4:$B$703,A784,Benefits!$F$4:$F$703,B784,Benefits!$R$4:$R$703,"avoided_cost_realised"),0)</f>
        <v>0</v>
      </c>
      <c r="I784" s="11" t="n">
        <f aca="false">IF(D784=1,SUMIFS(Benefits!$S$4:$S$703,Benefits!$B$4:$B$703,A784,Benefits!$F$4:$F$703,B784,Benefits!$R$4:$R$703,"capacity_converted"),0)</f>
        <v>0</v>
      </c>
      <c r="J784" s="11" t="n">
        <f aca="false">SUM(F784:I784)</f>
        <v>0</v>
      </c>
      <c r="K784" s="11" t="n">
        <f aca="false">J784-E784</f>
        <v>-66000</v>
      </c>
      <c r="L784" s="11" t="n">
        <f aca="false">IF(D784=1,L783+K784,0)</f>
        <v>-572000</v>
      </c>
      <c r="M784" s="11" t="n">
        <f aca="false">IF(D784=1,1/(1+Controls!$B$11)^B784,0)</f>
        <v>0.857339435888705</v>
      </c>
      <c r="N784" s="11" t="n">
        <f aca="false">K784*M784</f>
        <v>-56584.4027686545</v>
      </c>
      <c r="O784" s="11" t="n">
        <f aca="false">IF(D784=1,O783+N784,0)</f>
        <v>-498410.221648083</v>
      </c>
      <c r="P784" s="11" t="n">
        <f aca="false">IF(AND(D784=1,L784&lt;0),1,0)</f>
        <v>1</v>
      </c>
      <c r="Q784" s="11" t="n">
        <f aca="false">IF(AND(D784=1,O784&lt;0),1,0)</f>
        <v>1</v>
      </c>
    </row>
    <row r="785" customFormat="false" ht="15" hidden="false" customHeight="false" outlineLevel="0" collapsed="false">
      <c r="A785" s="4" t="s">
        <v>104</v>
      </c>
      <c r="B785" s="4" t="n">
        <v>25</v>
      </c>
      <c r="C785" s="11" t="n">
        <f aca="false">IF(COUNTIF('Scenario inputs'!$A$4:$A$213,Controls!$B$3&amp;"|"&amp;A785)&gt;0,1,0)</f>
        <v>1</v>
      </c>
      <c r="D785" s="11" t="n">
        <f aca="false">IF(AND(C785=1,B785&lt;Controls!$B$12),1,0)</f>
        <v>1</v>
      </c>
      <c r="E785" s="11" t="n">
        <f aca="false">IF(D785=1,SUMPRODUCT((Costs!$B$4:$B$903=A785)*(Costs!$D$4:$D$903="planned")*(Costs!$J$4:$J$903&lt;=B785)*(Costs!$K$4:$K$903&gt;B785)*Costs!$E$4:$E$903),0)</f>
        <v>11000</v>
      </c>
      <c r="F785" s="11" t="n">
        <f aca="false">IF(D785=1,SUMIFS(Benefits!$S$4:$S$703,Benefits!$B$4:$B$703,A785,Benefits!$F$4:$F$703,B785,Benefits!$R$4:$R$703,"cash"),0)</f>
        <v>5863.36265</v>
      </c>
      <c r="G785" s="11" t="n">
        <f aca="false">IF(D785=1,SUMIFS(Benefits!$S$4:$S$703,Benefits!$B$4:$B$703,A785,Benefits!$F$4:$F$703,B785,Benefits!$R$4:$R$703,"revenue"),0)</f>
        <v>0</v>
      </c>
      <c r="H785" s="11" t="n">
        <f aca="false">IF(D785=1,SUMIFS(Benefits!$S$4:$S$703,Benefits!$B$4:$B$703,A785,Benefits!$F$4:$F$703,B785,Benefits!$R$4:$R$703,"avoided_cost_realised"),0)</f>
        <v>0</v>
      </c>
      <c r="I785" s="11" t="n">
        <f aca="false">IF(D785=1,SUMIFS(Benefits!$S$4:$S$703,Benefits!$B$4:$B$703,A785,Benefits!$F$4:$F$703,B785,Benefits!$R$4:$R$703,"capacity_converted"),0)</f>
        <v>0</v>
      </c>
      <c r="J785" s="11" t="n">
        <f aca="false">SUM(F785:I785)</f>
        <v>5863.36265</v>
      </c>
      <c r="K785" s="11" t="n">
        <f aca="false">J785-E785</f>
        <v>-5136.63735</v>
      </c>
      <c r="L785" s="11" t="n">
        <f aca="false">IF(D785=1,L784+K785,0)</f>
        <v>-577136.63735</v>
      </c>
      <c r="M785" s="11" t="n">
        <f aca="false">IF(D785=1,1/(1+Controls!$B$11)^B785,0)</f>
        <v>0.851858577799146</v>
      </c>
      <c r="N785" s="11" t="n">
        <f aca="false">K785*M785</f>
        <v>-4375.68858764097</v>
      </c>
      <c r="O785" s="11" t="n">
        <f aca="false">IF(D785=1,O784+N785,0)</f>
        <v>-502785.910235724</v>
      </c>
      <c r="P785" s="11" t="n">
        <f aca="false">IF(AND(D785=1,L785&lt;0),1,0)</f>
        <v>1</v>
      </c>
      <c r="Q785" s="11" t="n">
        <f aca="false">IF(AND(D785=1,O785&lt;0),1,0)</f>
        <v>1</v>
      </c>
    </row>
    <row r="786" customFormat="false" ht="15" hidden="false" customHeight="false" outlineLevel="0" collapsed="false">
      <c r="A786" s="4" t="s">
        <v>104</v>
      </c>
      <c r="B786" s="4" t="n">
        <v>26</v>
      </c>
      <c r="C786" s="11" t="n">
        <f aca="false">IF(COUNTIF('Scenario inputs'!$A$4:$A$213,Controls!$B$3&amp;"|"&amp;A786)&gt;0,1,0)</f>
        <v>1</v>
      </c>
      <c r="D786" s="11" t="n">
        <f aca="false">IF(AND(C786=1,B786&lt;Controls!$B$12),1,0)</f>
        <v>1</v>
      </c>
      <c r="E786" s="11" t="n">
        <f aca="false">IF(D786=1,SUMPRODUCT((Costs!$B$4:$B$903=A786)*(Costs!$D$4:$D$903="planned")*(Costs!$J$4:$J$903&lt;=B786)*(Costs!$K$4:$K$903&gt;B786)*Costs!$E$4:$E$903),0)</f>
        <v>11000</v>
      </c>
      <c r="F786" s="11" t="n">
        <f aca="false">IF(D786=1,SUMIFS(Benefits!$S$4:$S$703,Benefits!$B$4:$B$703,A786,Benefits!$F$4:$F$703,B786,Benefits!$R$4:$R$703,"cash"),0)</f>
        <v>17590</v>
      </c>
      <c r="G786" s="11" t="n">
        <f aca="false">IF(D786=1,SUMIFS(Benefits!$S$4:$S$703,Benefits!$B$4:$B$703,A786,Benefits!$F$4:$F$703,B786,Benefits!$R$4:$R$703,"revenue"),0)</f>
        <v>0</v>
      </c>
      <c r="H786" s="11" t="n">
        <f aca="false">IF(D786=1,SUMIFS(Benefits!$S$4:$S$703,Benefits!$B$4:$B$703,A786,Benefits!$F$4:$F$703,B786,Benefits!$R$4:$R$703,"avoided_cost_realised"),0)</f>
        <v>0</v>
      </c>
      <c r="I786" s="11" t="n">
        <f aca="false">IF(D786=1,SUMIFS(Benefits!$S$4:$S$703,Benefits!$B$4:$B$703,A786,Benefits!$F$4:$F$703,B786,Benefits!$R$4:$R$703,"capacity_converted"),0)</f>
        <v>0</v>
      </c>
      <c r="J786" s="11" t="n">
        <f aca="false">SUM(F786:I786)</f>
        <v>17590</v>
      </c>
      <c r="K786" s="11" t="n">
        <f aca="false">J786-E786</f>
        <v>6590</v>
      </c>
      <c r="L786" s="11" t="n">
        <f aca="false">IF(D786=1,L785+K786,0)</f>
        <v>-570546.63735</v>
      </c>
      <c r="M786" s="11" t="n">
        <f aca="false">IF(D786=1,1/(1+Controls!$B$11)^B786,0)</f>
        <v>0.846412758113444</v>
      </c>
      <c r="N786" s="11" t="n">
        <f aca="false">K786*M786</f>
        <v>5577.86007596759</v>
      </c>
      <c r="O786" s="11" t="n">
        <f aca="false">IF(D786=1,O785+N786,0)</f>
        <v>-497208.050159756</v>
      </c>
      <c r="P786" s="11" t="n">
        <f aca="false">IF(AND(D786=1,L786&lt;0),1,0)</f>
        <v>1</v>
      </c>
      <c r="Q786" s="11" t="n">
        <f aca="false">IF(AND(D786=1,O786&lt;0),1,0)</f>
        <v>1</v>
      </c>
    </row>
    <row r="787" customFormat="false" ht="15" hidden="false" customHeight="false" outlineLevel="0" collapsed="false">
      <c r="A787" s="4" t="s">
        <v>104</v>
      </c>
      <c r="B787" s="4" t="n">
        <v>27</v>
      </c>
      <c r="C787" s="11" t="n">
        <f aca="false">IF(COUNTIF('Scenario inputs'!$A$4:$A$213,Controls!$B$3&amp;"|"&amp;A787)&gt;0,1,0)</f>
        <v>1</v>
      </c>
      <c r="D787" s="11" t="n">
        <f aca="false">IF(AND(C787=1,B787&lt;Controls!$B$12),1,0)</f>
        <v>1</v>
      </c>
      <c r="E787" s="11" t="n">
        <f aca="false">IF(D787=1,SUMPRODUCT((Costs!$B$4:$B$903=A787)*(Costs!$D$4:$D$903="planned")*(Costs!$J$4:$J$903&lt;=B787)*(Costs!$K$4:$K$903&gt;B787)*Costs!$E$4:$E$903),0)</f>
        <v>11000</v>
      </c>
      <c r="F787" s="11" t="n">
        <f aca="false">IF(D787=1,SUMIFS(Benefits!$S$4:$S$703,Benefits!$B$4:$B$703,A787,Benefits!$F$4:$F$703,B787,Benefits!$R$4:$R$703,"cash"),0)</f>
        <v>35180</v>
      </c>
      <c r="G787" s="11" t="n">
        <f aca="false">IF(D787=1,SUMIFS(Benefits!$S$4:$S$703,Benefits!$B$4:$B$703,A787,Benefits!$F$4:$F$703,B787,Benefits!$R$4:$R$703,"revenue"),0)</f>
        <v>0</v>
      </c>
      <c r="H787" s="11" t="n">
        <f aca="false">IF(D787=1,SUMIFS(Benefits!$S$4:$S$703,Benefits!$B$4:$B$703,A787,Benefits!$F$4:$F$703,B787,Benefits!$R$4:$R$703,"avoided_cost_realised"),0)</f>
        <v>0</v>
      </c>
      <c r="I787" s="11" t="n">
        <f aca="false">IF(D787=1,SUMIFS(Benefits!$S$4:$S$703,Benefits!$B$4:$B$703,A787,Benefits!$F$4:$F$703,B787,Benefits!$R$4:$R$703,"capacity_converted"),0)</f>
        <v>0</v>
      </c>
      <c r="J787" s="11" t="n">
        <f aca="false">SUM(F787:I787)</f>
        <v>35180</v>
      </c>
      <c r="K787" s="11" t="n">
        <f aca="false">J787-E787</f>
        <v>24180</v>
      </c>
      <c r="L787" s="11" t="n">
        <f aca="false">IF(D787=1,L786+K787,0)</f>
        <v>-546366.63735</v>
      </c>
      <c r="M787" s="11" t="n">
        <f aca="false">IF(D787=1,1/(1+Controls!$B$11)^B787,0)</f>
        <v>0.841001752835699</v>
      </c>
      <c r="N787" s="11" t="n">
        <f aca="false">K787*M787</f>
        <v>20335.4223835672</v>
      </c>
      <c r="O787" s="11" t="n">
        <f aca="false">IF(D787=1,O786+N787,0)</f>
        <v>-476872.627776189</v>
      </c>
      <c r="P787" s="11" t="n">
        <f aca="false">IF(AND(D787=1,L787&lt;0),1,0)</f>
        <v>1</v>
      </c>
      <c r="Q787" s="11" t="n">
        <f aca="false">IF(AND(D787=1,O787&lt;0),1,0)</f>
        <v>1</v>
      </c>
    </row>
    <row r="788" customFormat="false" ht="15" hidden="false" customHeight="false" outlineLevel="0" collapsed="false">
      <c r="A788" s="4" t="s">
        <v>104</v>
      </c>
      <c r="B788" s="4" t="n">
        <v>28</v>
      </c>
      <c r="C788" s="11" t="n">
        <f aca="false">IF(COUNTIF('Scenario inputs'!$A$4:$A$213,Controls!$B$3&amp;"|"&amp;A788)&gt;0,1,0)</f>
        <v>1</v>
      </c>
      <c r="D788" s="11" t="n">
        <f aca="false">IF(AND(C788=1,B788&lt;Controls!$B$12),1,0)</f>
        <v>1</v>
      </c>
      <c r="E788" s="11" t="n">
        <f aca="false">IF(D788=1,SUMPRODUCT((Costs!$B$4:$B$903=A788)*(Costs!$D$4:$D$903="planned")*(Costs!$J$4:$J$903&lt;=B788)*(Costs!$K$4:$K$903&gt;B788)*Costs!$E$4:$E$903),0)</f>
        <v>11000</v>
      </c>
      <c r="F788" s="11" t="n">
        <f aca="false">IF(D788=1,SUMIFS(Benefits!$S$4:$S$703,Benefits!$B$4:$B$703,A788,Benefits!$F$4:$F$703,B788,Benefits!$R$4:$R$703,"cash"),0)</f>
        <v>58633.36265</v>
      </c>
      <c r="G788" s="11" t="n">
        <f aca="false">IF(D788=1,SUMIFS(Benefits!$S$4:$S$703,Benefits!$B$4:$B$703,A788,Benefits!$F$4:$F$703,B788,Benefits!$R$4:$R$703,"revenue"),0)</f>
        <v>0</v>
      </c>
      <c r="H788" s="11" t="n">
        <f aca="false">IF(D788=1,SUMIFS(Benefits!$S$4:$S$703,Benefits!$B$4:$B$703,A788,Benefits!$F$4:$F$703,B788,Benefits!$R$4:$R$703,"avoided_cost_realised"),0)</f>
        <v>0</v>
      </c>
      <c r="I788" s="11" t="n">
        <f aca="false">IF(D788=1,SUMIFS(Benefits!$S$4:$S$703,Benefits!$B$4:$B$703,A788,Benefits!$F$4:$F$703,B788,Benefits!$R$4:$R$703,"capacity_converted"),0)</f>
        <v>0</v>
      </c>
      <c r="J788" s="11" t="n">
        <f aca="false">SUM(F788:I788)</f>
        <v>58633.36265</v>
      </c>
      <c r="K788" s="11" t="n">
        <f aca="false">J788-E788</f>
        <v>47633.36265</v>
      </c>
      <c r="L788" s="11" t="n">
        <f aca="false">IF(D788=1,L787+K788,0)</f>
        <v>-498733.2747</v>
      </c>
      <c r="M788" s="11" t="n">
        <f aca="false">IF(D788=1,1/(1+Controls!$B$11)^B788,0)</f>
        <v>0.835625339401986</v>
      </c>
      <c r="N788" s="11" t="n">
        <f aca="false">K788*M788</f>
        <v>39803.6448312642</v>
      </c>
      <c r="O788" s="11" t="n">
        <f aca="false">IF(D788=1,O787+N788,0)</f>
        <v>-437068.982944925</v>
      </c>
      <c r="P788" s="11" t="n">
        <f aca="false">IF(AND(D788=1,L788&lt;0),1,0)</f>
        <v>1</v>
      </c>
      <c r="Q788" s="11" t="n">
        <f aca="false">IF(AND(D788=1,O788&lt;0),1,0)</f>
        <v>1</v>
      </c>
    </row>
    <row r="789" customFormat="false" ht="15" hidden="false" customHeight="false" outlineLevel="0" collapsed="false">
      <c r="A789" s="4" t="s">
        <v>104</v>
      </c>
      <c r="B789" s="4" t="n">
        <v>29</v>
      </c>
      <c r="C789" s="11" t="n">
        <f aca="false">IF(COUNTIF('Scenario inputs'!$A$4:$A$213,Controls!$B$3&amp;"|"&amp;A789)&gt;0,1,0)</f>
        <v>1</v>
      </c>
      <c r="D789" s="11" t="n">
        <f aca="false">IF(AND(C789=1,B789&lt;Controls!$B$12),1,0)</f>
        <v>1</v>
      </c>
      <c r="E789" s="11" t="n">
        <f aca="false">IF(D789=1,SUMPRODUCT((Costs!$B$4:$B$903=A789)*(Costs!$D$4:$D$903="planned")*(Costs!$J$4:$J$903&lt;=B789)*(Costs!$K$4:$K$903&gt;B789)*Costs!$E$4:$E$903),0)</f>
        <v>11000</v>
      </c>
      <c r="F789" s="11" t="n">
        <f aca="false">IF(D789=1,SUMIFS(Benefits!$S$4:$S$703,Benefits!$B$4:$B$703,A789,Benefits!$F$4:$F$703,B789,Benefits!$R$4:$R$703,"cash"),0)</f>
        <v>87950</v>
      </c>
      <c r="G789" s="11" t="n">
        <f aca="false">IF(D789=1,SUMIFS(Benefits!$S$4:$S$703,Benefits!$B$4:$B$703,A789,Benefits!$F$4:$F$703,B789,Benefits!$R$4:$R$703,"revenue"),0)</f>
        <v>0</v>
      </c>
      <c r="H789" s="11" t="n">
        <f aca="false">IF(D789=1,SUMIFS(Benefits!$S$4:$S$703,Benefits!$B$4:$B$703,A789,Benefits!$F$4:$F$703,B789,Benefits!$R$4:$R$703,"avoided_cost_realised"),0)</f>
        <v>0</v>
      </c>
      <c r="I789" s="11" t="n">
        <f aca="false">IF(D789=1,SUMIFS(Benefits!$S$4:$S$703,Benefits!$B$4:$B$703,A789,Benefits!$F$4:$F$703,B789,Benefits!$R$4:$R$703,"capacity_converted"),0)</f>
        <v>0</v>
      </c>
      <c r="J789" s="11" t="n">
        <f aca="false">SUM(F789:I789)</f>
        <v>87950</v>
      </c>
      <c r="K789" s="11" t="n">
        <f aca="false">J789-E789</f>
        <v>76950</v>
      </c>
      <c r="L789" s="11" t="n">
        <f aca="false">IF(D789=1,L788+K789,0)</f>
        <v>-421783.2747</v>
      </c>
      <c r="M789" s="11" t="n">
        <f aca="false">IF(D789=1,1/(1+Controls!$B$11)^B789,0)</f>
        <v>0.830283296671204</v>
      </c>
      <c r="N789" s="11" t="n">
        <f aca="false">K789*M789</f>
        <v>63890.2996788491</v>
      </c>
      <c r="O789" s="11" t="n">
        <f aca="false">IF(D789=1,O788+N789,0)</f>
        <v>-373178.683266076</v>
      </c>
      <c r="P789" s="11" t="n">
        <f aca="false">IF(AND(D789=1,L789&lt;0),1,0)</f>
        <v>1</v>
      </c>
      <c r="Q789" s="11" t="n">
        <f aca="false">IF(AND(D789=1,O789&lt;0),1,0)</f>
        <v>1</v>
      </c>
    </row>
    <row r="790" customFormat="false" ht="15" hidden="false" customHeight="false" outlineLevel="0" collapsed="false">
      <c r="A790" s="4" t="s">
        <v>104</v>
      </c>
      <c r="B790" s="4" t="n">
        <v>30</v>
      </c>
      <c r="C790" s="11" t="n">
        <f aca="false">IF(COUNTIF('Scenario inputs'!$A$4:$A$213,Controls!$B$3&amp;"|"&amp;A790)&gt;0,1,0)</f>
        <v>1</v>
      </c>
      <c r="D790" s="11" t="n">
        <f aca="false">IF(AND(C790=1,B790&lt;Controls!$B$12),1,0)</f>
        <v>1</v>
      </c>
      <c r="E790" s="11" t="n">
        <f aca="false">IF(D790=1,SUMPRODUCT((Costs!$B$4:$B$903=A790)*(Costs!$D$4:$D$903="planned")*(Costs!$J$4:$J$903&lt;=B790)*(Costs!$K$4:$K$903&gt;B790)*Costs!$E$4:$E$903),0)</f>
        <v>11400</v>
      </c>
      <c r="F790" s="11" t="n">
        <f aca="false">IF(D790=1,SUMIFS(Benefits!$S$4:$S$703,Benefits!$B$4:$B$703,A790,Benefits!$F$4:$F$703,B790,Benefits!$R$4:$R$703,"cash"),0)</f>
        <v>87950</v>
      </c>
      <c r="G790" s="11" t="n">
        <f aca="false">IF(D790=1,SUMIFS(Benefits!$S$4:$S$703,Benefits!$B$4:$B$703,A790,Benefits!$F$4:$F$703,B790,Benefits!$R$4:$R$703,"revenue"),0)</f>
        <v>0</v>
      </c>
      <c r="H790" s="11" t="n">
        <f aca="false">IF(D790=1,SUMIFS(Benefits!$S$4:$S$703,Benefits!$B$4:$B$703,A790,Benefits!$F$4:$F$703,B790,Benefits!$R$4:$R$703,"avoided_cost_realised"),0)</f>
        <v>0</v>
      </c>
      <c r="I790" s="11" t="n">
        <f aca="false">IF(D790=1,SUMIFS(Benefits!$S$4:$S$703,Benefits!$B$4:$B$703,A790,Benefits!$F$4:$F$703,B790,Benefits!$R$4:$R$703,"capacity_converted"),0)</f>
        <v>0</v>
      </c>
      <c r="J790" s="11" t="n">
        <f aca="false">SUM(F790:I790)</f>
        <v>87950</v>
      </c>
      <c r="K790" s="11" t="n">
        <f aca="false">J790-E790</f>
        <v>76550</v>
      </c>
      <c r="L790" s="11" t="n">
        <f aca="false">IF(D790=1,L789+K790,0)</f>
        <v>-345233.2747</v>
      </c>
      <c r="M790" s="11" t="n">
        <f aca="false">IF(D790=1,1/(1+Controls!$B$11)^B790,0)</f>
        <v>0.824975404915974</v>
      </c>
      <c r="N790" s="11" t="n">
        <f aca="false">K790*M790</f>
        <v>63151.8672463178</v>
      </c>
      <c r="O790" s="11" t="n">
        <f aca="false">IF(D790=1,O789+N790,0)</f>
        <v>-310026.816019758</v>
      </c>
      <c r="P790" s="11" t="n">
        <f aca="false">IF(AND(D790=1,L790&lt;0),1,0)</f>
        <v>1</v>
      </c>
      <c r="Q790" s="11" t="n">
        <f aca="false">IF(AND(D790=1,O790&lt;0),1,0)</f>
        <v>1</v>
      </c>
    </row>
    <row r="791" customFormat="false" ht="15" hidden="false" customHeight="false" outlineLevel="0" collapsed="false">
      <c r="A791" s="4" t="s">
        <v>104</v>
      </c>
      <c r="B791" s="4" t="n">
        <v>31</v>
      </c>
      <c r="C791" s="11" t="n">
        <f aca="false">IF(COUNTIF('Scenario inputs'!$A$4:$A$213,Controls!$B$3&amp;"|"&amp;A791)&gt;0,1,0)</f>
        <v>1</v>
      </c>
      <c r="D791" s="11" t="n">
        <f aca="false">IF(AND(C791=1,B791&lt;Controls!$B$12),1,0)</f>
        <v>1</v>
      </c>
      <c r="E791" s="11" t="n">
        <f aca="false">IF(D791=1,SUMPRODUCT((Costs!$B$4:$B$903=A791)*(Costs!$D$4:$D$903="planned")*(Costs!$J$4:$J$903&lt;=B791)*(Costs!$K$4:$K$903&gt;B791)*Costs!$E$4:$E$903),0)</f>
        <v>11400</v>
      </c>
      <c r="F791" s="11" t="n">
        <f aca="false">IF(D791=1,SUMIFS(Benefits!$S$4:$S$703,Benefits!$B$4:$B$703,A791,Benefits!$F$4:$F$703,B791,Benefits!$R$4:$R$703,"cash"),0)</f>
        <v>87950</v>
      </c>
      <c r="G791" s="11" t="n">
        <f aca="false">IF(D791=1,SUMIFS(Benefits!$S$4:$S$703,Benefits!$B$4:$B$703,A791,Benefits!$F$4:$F$703,B791,Benefits!$R$4:$R$703,"revenue"),0)</f>
        <v>0</v>
      </c>
      <c r="H791" s="11" t="n">
        <f aca="false">IF(D791=1,SUMIFS(Benefits!$S$4:$S$703,Benefits!$B$4:$B$703,A791,Benefits!$F$4:$F$703,B791,Benefits!$R$4:$R$703,"avoided_cost_realised"),0)</f>
        <v>0</v>
      </c>
      <c r="I791" s="11" t="n">
        <f aca="false">IF(D791=1,SUMIFS(Benefits!$S$4:$S$703,Benefits!$B$4:$B$703,A791,Benefits!$F$4:$F$703,B791,Benefits!$R$4:$R$703,"capacity_converted"),0)</f>
        <v>0</v>
      </c>
      <c r="J791" s="11" t="n">
        <f aca="false">SUM(F791:I791)</f>
        <v>87950</v>
      </c>
      <c r="K791" s="11" t="n">
        <f aca="false">J791-E791</f>
        <v>76550</v>
      </c>
      <c r="L791" s="11" t="n">
        <f aca="false">IF(D791=1,L790+K791,0)</f>
        <v>-268683.2747</v>
      </c>
      <c r="M791" s="11" t="n">
        <f aca="false">IF(D791=1,1/(1+Controls!$B$11)^B791,0)</f>
        <v>0.81970144581361</v>
      </c>
      <c r="N791" s="11" t="n">
        <f aca="false">K791*M791</f>
        <v>62748.1456770318</v>
      </c>
      <c r="O791" s="11" t="n">
        <f aca="false">IF(D791=1,O790+N791,0)</f>
        <v>-247278.670342726</v>
      </c>
      <c r="P791" s="11" t="n">
        <f aca="false">IF(AND(D791=1,L791&lt;0),1,0)</f>
        <v>1</v>
      </c>
      <c r="Q791" s="11" t="n">
        <f aca="false">IF(AND(D791=1,O791&lt;0),1,0)</f>
        <v>1</v>
      </c>
    </row>
    <row r="792" customFormat="false" ht="15" hidden="false" customHeight="false" outlineLevel="0" collapsed="false">
      <c r="A792" s="4" t="s">
        <v>104</v>
      </c>
      <c r="B792" s="4" t="n">
        <v>32</v>
      </c>
      <c r="C792" s="11" t="n">
        <f aca="false">IF(COUNTIF('Scenario inputs'!$A$4:$A$213,Controls!$B$3&amp;"|"&amp;A792)&gt;0,1,0)</f>
        <v>1</v>
      </c>
      <c r="D792" s="11" t="n">
        <f aca="false">IF(AND(C792=1,B792&lt;Controls!$B$12),1,0)</f>
        <v>1</v>
      </c>
      <c r="E792" s="11" t="n">
        <f aca="false">IF(D792=1,SUMPRODUCT((Costs!$B$4:$B$903=A792)*(Costs!$D$4:$D$903="planned")*(Costs!$J$4:$J$903&lt;=B792)*(Costs!$K$4:$K$903&gt;B792)*Costs!$E$4:$E$903),0)</f>
        <v>11400</v>
      </c>
      <c r="F792" s="11" t="n">
        <f aca="false">IF(D792=1,SUMIFS(Benefits!$S$4:$S$703,Benefits!$B$4:$B$703,A792,Benefits!$F$4:$F$703,B792,Benefits!$R$4:$R$703,"cash"),0)</f>
        <v>87950</v>
      </c>
      <c r="G792" s="11" t="n">
        <f aca="false">IF(D792=1,SUMIFS(Benefits!$S$4:$S$703,Benefits!$B$4:$B$703,A792,Benefits!$F$4:$F$703,B792,Benefits!$R$4:$R$703,"revenue"),0)</f>
        <v>0</v>
      </c>
      <c r="H792" s="11" t="n">
        <f aca="false">IF(D792=1,SUMIFS(Benefits!$S$4:$S$703,Benefits!$B$4:$B$703,A792,Benefits!$F$4:$F$703,B792,Benefits!$R$4:$R$703,"avoided_cost_realised"),0)</f>
        <v>0</v>
      </c>
      <c r="I792" s="11" t="n">
        <f aca="false">IF(D792=1,SUMIFS(Benefits!$S$4:$S$703,Benefits!$B$4:$B$703,A792,Benefits!$F$4:$F$703,B792,Benefits!$R$4:$R$703,"capacity_converted"),0)</f>
        <v>0</v>
      </c>
      <c r="J792" s="11" t="n">
        <f aca="false">SUM(F792:I792)</f>
        <v>87950</v>
      </c>
      <c r="K792" s="11" t="n">
        <f aca="false">J792-E792</f>
        <v>76550</v>
      </c>
      <c r="L792" s="11" t="n">
        <f aca="false">IF(D792=1,L791+K792,0)</f>
        <v>-192133.2747</v>
      </c>
      <c r="M792" s="11" t="n">
        <f aca="false">IF(D792=1,1/(1+Controls!$B$11)^B792,0)</f>
        <v>0.814461202437129</v>
      </c>
      <c r="N792" s="11" t="n">
        <f aca="false">K792*M792</f>
        <v>62347.0050465622</v>
      </c>
      <c r="O792" s="11" t="n">
        <f aca="false">IF(D792=1,O791+N792,0)</f>
        <v>-184931.665296164</v>
      </c>
      <c r="P792" s="11" t="n">
        <f aca="false">IF(AND(D792=1,L792&lt;0),1,0)</f>
        <v>1</v>
      </c>
      <c r="Q792" s="11" t="n">
        <f aca="false">IF(AND(D792=1,O792&lt;0),1,0)</f>
        <v>1</v>
      </c>
    </row>
    <row r="793" customFormat="false" ht="15" hidden="false" customHeight="false" outlineLevel="0" collapsed="false">
      <c r="A793" s="4" t="s">
        <v>104</v>
      </c>
      <c r="B793" s="4" t="n">
        <v>33</v>
      </c>
      <c r="C793" s="11" t="n">
        <f aca="false">IF(COUNTIF('Scenario inputs'!$A$4:$A$213,Controls!$B$3&amp;"|"&amp;A793)&gt;0,1,0)</f>
        <v>1</v>
      </c>
      <c r="D793" s="11" t="n">
        <f aca="false">IF(AND(C793=1,B793&lt;Controls!$B$12),1,0)</f>
        <v>1</v>
      </c>
      <c r="E793" s="11" t="n">
        <f aca="false">IF(D793=1,SUMPRODUCT((Costs!$B$4:$B$903=A793)*(Costs!$D$4:$D$903="planned")*(Costs!$J$4:$J$903&lt;=B793)*(Costs!$K$4:$K$903&gt;B793)*Costs!$E$4:$E$903),0)</f>
        <v>11400</v>
      </c>
      <c r="F793" s="11" t="n">
        <f aca="false">IF(D793=1,SUMIFS(Benefits!$S$4:$S$703,Benefits!$B$4:$B$703,A793,Benefits!$F$4:$F$703,B793,Benefits!$R$4:$R$703,"cash"),0)</f>
        <v>87950</v>
      </c>
      <c r="G793" s="11" t="n">
        <f aca="false">IF(D793=1,SUMIFS(Benefits!$S$4:$S$703,Benefits!$B$4:$B$703,A793,Benefits!$F$4:$F$703,B793,Benefits!$R$4:$R$703,"revenue"),0)</f>
        <v>0</v>
      </c>
      <c r="H793" s="11" t="n">
        <f aca="false">IF(D793=1,SUMIFS(Benefits!$S$4:$S$703,Benefits!$B$4:$B$703,A793,Benefits!$F$4:$F$703,B793,Benefits!$R$4:$R$703,"avoided_cost_realised"),0)</f>
        <v>0</v>
      </c>
      <c r="I793" s="11" t="n">
        <f aca="false">IF(D793=1,SUMIFS(Benefits!$S$4:$S$703,Benefits!$B$4:$B$703,A793,Benefits!$F$4:$F$703,B793,Benefits!$R$4:$R$703,"capacity_converted"),0)</f>
        <v>0</v>
      </c>
      <c r="J793" s="11" t="n">
        <f aca="false">SUM(F793:I793)</f>
        <v>87950</v>
      </c>
      <c r="K793" s="11" t="n">
        <f aca="false">J793-E793</f>
        <v>76550</v>
      </c>
      <c r="L793" s="11" t="n">
        <f aca="false">IF(D793=1,L792+K793,0)</f>
        <v>-115583.2747</v>
      </c>
      <c r="M793" s="11" t="n">
        <f aca="false">IF(D793=1,1/(1+Controls!$B$11)^B793,0)</f>
        <v>0.809254459246338</v>
      </c>
      <c r="N793" s="11" t="n">
        <f aca="false">K793*M793</f>
        <v>61948.4288553072</v>
      </c>
      <c r="O793" s="11" t="n">
        <f aca="false">IF(D793=1,O792+N793,0)</f>
        <v>-122983.236440856</v>
      </c>
      <c r="P793" s="11" t="n">
        <f aca="false">IF(AND(D793=1,L793&lt;0),1,0)</f>
        <v>1</v>
      </c>
      <c r="Q793" s="11" t="n">
        <f aca="false">IF(AND(D793=1,O793&lt;0),1,0)</f>
        <v>1</v>
      </c>
    </row>
    <row r="794" customFormat="false" ht="15" hidden="false" customHeight="false" outlineLevel="0" collapsed="false">
      <c r="A794" s="4" t="s">
        <v>104</v>
      </c>
      <c r="B794" s="4" t="n">
        <v>34</v>
      </c>
      <c r="C794" s="11" t="n">
        <f aca="false">IF(COUNTIF('Scenario inputs'!$A$4:$A$213,Controls!$B$3&amp;"|"&amp;A794)&gt;0,1,0)</f>
        <v>1</v>
      </c>
      <c r="D794" s="11" t="n">
        <f aca="false">IF(AND(C794=1,B794&lt;Controls!$B$12),1,0)</f>
        <v>1</v>
      </c>
      <c r="E794" s="11" t="n">
        <f aca="false">IF(D794=1,SUMPRODUCT((Costs!$B$4:$B$903=A794)*(Costs!$D$4:$D$903="planned")*(Costs!$J$4:$J$903&lt;=B794)*(Costs!$K$4:$K$903&gt;B794)*Costs!$E$4:$E$903),0)</f>
        <v>11400</v>
      </c>
      <c r="F794" s="11" t="n">
        <f aca="false">IF(D794=1,SUMIFS(Benefits!$S$4:$S$703,Benefits!$B$4:$B$703,A794,Benefits!$F$4:$F$703,B794,Benefits!$R$4:$R$703,"cash"),0)</f>
        <v>87950</v>
      </c>
      <c r="G794" s="11" t="n">
        <f aca="false">IF(D794=1,SUMIFS(Benefits!$S$4:$S$703,Benefits!$B$4:$B$703,A794,Benefits!$F$4:$F$703,B794,Benefits!$R$4:$R$703,"revenue"),0)</f>
        <v>0</v>
      </c>
      <c r="H794" s="11" t="n">
        <f aca="false">IF(D794=1,SUMIFS(Benefits!$S$4:$S$703,Benefits!$B$4:$B$703,A794,Benefits!$F$4:$F$703,B794,Benefits!$R$4:$R$703,"avoided_cost_realised"),0)</f>
        <v>0</v>
      </c>
      <c r="I794" s="11" t="n">
        <f aca="false">IF(D794=1,SUMIFS(Benefits!$S$4:$S$703,Benefits!$B$4:$B$703,A794,Benefits!$F$4:$F$703,B794,Benefits!$R$4:$R$703,"capacity_converted"),0)</f>
        <v>0</v>
      </c>
      <c r="J794" s="11" t="n">
        <f aca="false">SUM(F794:I794)</f>
        <v>87950</v>
      </c>
      <c r="K794" s="11" t="n">
        <f aca="false">J794-E794</f>
        <v>76550</v>
      </c>
      <c r="L794" s="11" t="n">
        <f aca="false">IF(D794=1,L793+K794,0)</f>
        <v>-39033.2747</v>
      </c>
      <c r="M794" s="11" t="n">
        <f aca="false">IF(D794=1,1/(1+Controls!$B$11)^B794,0)</f>
        <v>0.804081002078962</v>
      </c>
      <c r="N794" s="11" t="n">
        <f aca="false">K794*M794</f>
        <v>61552.4007091445</v>
      </c>
      <c r="O794" s="11" t="n">
        <f aca="false">IF(D794=1,O793+N794,0)</f>
        <v>-61430.8357317119</v>
      </c>
      <c r="P794" s="11" t="n">
        <f aca="false">IF(AND(D794=1,L794&lt;0),1,0)</f>
        <v>1</v>
      </c>
      <c r="Q794" s="11" t="n">
        <f aca="false">IF(AND(D794=1,O794&lt;0),1,0)</f>
        <v>1</v>
      </c>
    </row>
    <row r="795" customFormat="false" ht="15" hidden="false" customHeight="false" outlineLevel="0" collapsed="false">
      <c r="A795" s="4" t="s">
        <v>104</v>
      </c>
      <c r="B795" s="4" t="n">
        <v>35</v>
      </c>
      <c r="C795" s="11" t="n">
        <f aca="false">IF(COUNTIF('Scenario inputs'!$A$4:$A$213,Controls!$B$3&amp;"|"&amp;A795)&gt;0,1,0)</f>
        <v>1</v>
      </c>
      <c r="D795" s="11" t="n">
        <f aca="false">IF(AND(C795=1,B795&lt;Controls!$B$12),1,0)</f>
        <v>1</v>
      </c>
      <c r="E795" s="11" t="n">
        <f aca="false">IF(D795=1,SUMPRODUCT((Costs!$B$4:$B$903=A795)*(Costs!$D$4:$D$903="planned")*(Costs!$J$4:$J$903&lt;=B795)*(Costs!$K$4:$K$903&gt;B795)*Costs!$E$4:$E$903),0)</f>
        <v>0</v>
      </c>
      <c r="F795" s="11" t="n">
        <f aca="false">IF(D795=1,SUMIFS(Benefits!$S$4:$S$703,Benefits!$B$4:$B$703,A795,Benefits!$F$4:$F$703,B795,Benefits!$R$4:$R$703,"cash"),0)</f>
        <v>0</v>
      </c>
      <c r="G795" s="11" t="n">
        <f aca="false">IF(D795=1,SUMIFS(Benefits!$S$4:$S$703,Benefits!$B$4:$B$703,A795,Benefits!$F$4:$F$703,B795,Benefits!$R$4:$R$703,"revenue"),0)</f>
        <v>0</v>
      </c>
      <c r="H795" s="11" t="n">
        <f aca="false">IF(D795=1,SUMIFS(Benefits!$S$4:$S$703,Benefits!$B$4:$B$703,A795,Benefits!$F$4:$F$703,B795,Benefits!$R$4:$R$703,"avoided_cost_realised"),0)</f>
        <v>0</v>
      </c>
      <c r="I795" s="11" t="n">
        <f aca="false">IF(D795=1,SUMIFS(Benefits!$S$4:$S$703,Benefits!$B$4:$B$703,A795,Benefits!$F$4:$F$703,B795,Benefits!$R$4:$R$703,"capacity_converted"),0)</f>
        <v>0</v>
      </c>
      <c r="J795" s="11" t="n">
        <f aca="false">SUM(F795:I795)</f>
        <v>0</v>
      </c>
      <c r="K795" s="11" t="n">
        <f aca="false">J795-E795</f>
        <v>0</v>
      </c>
      <c r="L795" s="11" t="n">
        <f aca="false">IF(D795=1,L794+K795,0)</f>
        <v>-39033.2747</v>
      </c>
      <c r="M795" s="11" t="n">
        <f aca="false">IF(D795=1,1/(1+Controls!$B$11)^B795,0)</f>
        <v>0.798940618141837</v>
      </c>
      <c r="N795" s="11" t="n">
        <f aca="false">K795*M795</f>
        <v>0</v>
      </c>
      <c r="O795" s="11" t="n">
        <f aca="false">IF(D795=1,O794+N795,0)</f>
        <v>-61430.8357317119</v>
      </c>
      <c r="P795" s="11" t="n">
        <f aca="false">IF(AND(D795=1,L795&lt;0),1,0)</f>
        <v>1</v>
      </c>
      <c r="Q795" s="11" t="n">
        <f aca="false">IF(AND(D795=1,O795&lt;0),1,0)</f>
        <v>1</v>
      </c>
    </row>
    <row r="796" customFormat="false" ht="15" hidden="false" customHeight="false" outlineLevel="0" collapsed="false">
      <c r="A796" s="4" t="s">
        <v>105</v>
      </c>
      <c r="B796" s="4" t="n">
        <v>0</v>
      </c>
      <c r="C796" s="11" t="n">
        <f aca="false">IF(COUNTIF('Scenario inputs'!$A$4:$A$213,Controls!$B$3&amp;"|"&amp;A796)&gt;0,1,0)</f>
        <v>1</v>
      </c>
      <c r="D796" s="11" t="n">
        <f aca="false">IF(AND(C796=1,B796&lt;Controls!$B$12),1,0)</f>
        <v>1</v>
      </c>
      <c r="E796" s="11" t="n">
        <f aca="false">IF(D796=1,SUMPRODUCT((Costs!$B$4:$B$903=A796)*(Costs!$D$4:$D$903="planned")*(Costs!$J$4:$J$903&lt;=B796)*(Costs!$K$4:$K$903&gt;B796)*Costs!$E$4:$E$903),0)</f>
        <v>48000</v>
      </c>
      <c r="F796" s="11" t="n">
        <f aca="false">IF(D796=1,SUMIFS(Benefits!$S$4:$S$703,Benefits!$B$4:$B$703,A796,Benefits!$F$4:$F$703,B796,Benefits!$R$4:$R$703,"cash"),0)</f>
        <v>0</v>
      </c>
      <c r="G796" s="11" t="n">
        <f aca="false">IF(D796=1,SUMIFS(Benefits!$S$4:$S$703,Benefits!$B$4:$B$703,A796,Benefits!$F$4:$F$703,B796,Benefits!$R$4:$R$703,"revenue"),0)</f>
        <v>0</v>
      </c>
      <c r="H796" s="11" t="n">
        <f aca="false">IF(D796=1,SUMIFS(Benefits!$S$4:$S$703,Benefits!$B$4:$B$703,A796,Benefits!$F$4:$F$703,B796,Benefits!$R$4:$R$703,"avoided_cost_realised"),0)</f>
        <v>0</v>
      </c>
      <c r="I796" s="11" t="n">
        <f aca="false">IF(D796=1,SUMIFS(Benefits!$S$4:$S$703,Benefits!$B$4:$B$703,A796,Benefits!$F$4:$F$703,B796,Benefits!$R$4:$R$703,"capacity_converted"),0)</f>
        <v>0</v>
      </c>
      <c r="J796" s="11" t="n">
        <f aca="false">SUM(F796:I796)</f>
        <v>0</v>
      </c>
      <c r="K796" s="11" t="n">
        <f aca="false">J796-E796</f>
        <v>-48000</v>
      </c>
      <c r="L796" s="11" t="n">
        <f aca="false">IF(D796=1,K796,0)</f>
        <v>-48000</v>
      </c>
      <c r="M796" s="11" t="n">
        <f aca="false">IF(D796=1,1/(1+Controls!$B$11)^B796,0)</f>
        <v>1</v>
      </c>
      <c r="N796" s="11" t="n">
        <f aca="false">K796*M796</f>
        <v>-48000</v>
      </c>
      <c r="O796" s="11" t="n">
        <f aca="false">IF(D796=1,N796,0)</f>
        <v>-48000</v>
      </c>
      <c r="P796" s="11" t="n">
        <f aca="false">IF(AND(D796=1,L796&lt;0),1,0)</f>
        <v>1</v>
      </c>
      <c r="Q796" s="11" t="n">
        <f aca="false">IF(AND(D796=1,O796&lt;0),1,0)</f>
        <v>1</v>
      </c>
    </row>
    <row r="797" customFormat="false" ht="15" hidden="false" customHeight="false" outlineLevel="0" collapsed="false">
      <c r="A797" s="4" t="s">
        <v>105</v>
      </c>
      <c r="B797" s="4" t="n">
        <v>1</v>
      </c>
      <c r="C797" s="11" t="n">
        <f aca="false">IF(COUNTIF('Scenario inputs'!$A$4:$A$213,Controls!$B$3&amp;"|"&amp;A797)&gt;0,1,0)</f>
        <v>1</v>
      </c>
      <c r="D797" s="11" t="n">
        <f aca="false">IF(AND(C797=1,B797&lt;Controls!$B$12),1,0)</f>
        <v>1</v>
      </c>
      <c r="E797" s="11" t="n">
        <f aca="false">IF(D797=1,SUMPRODUCT((Costs!$B$4:$B$903=A797)*(Costs!$D$4:$D$903="planned")*(Costs!$J$4:$J$903&lt;=B797)*(Costs!$K$4:$K$903&gt;B797)*Costs!$E$4:$E$903),0)</f>
        <v>0</v>
      </c>
      <c r="F797" s="11" t="n">
        <f aca="false">IF(D797=1,SUMIFS(Benefits!$S$4:$S$703,Benefits!$B$4:$B$703,A797,Benefits!$F$4:$F$703,B797,Benefits!$R$4:$R$703,"cash"),0)</f>
        <v>0</v>
      </c>
      <c r="G797" s="11" t="n">
        <f aca="false">IF(D797=1,SUMIFS(Benefits!$S$4:$S$703,Benefits!$B$4:$B$703,A797,Benefits!$F$4:$F$703,B797,Benefits!$R$4:$R$703,"revenue"),0)</f>
        <v>0</v>
      </c>
      <c r="H797" s="11" t="n">
        <f aca="false">IF(D797=1,SUMIFS(Benefits!$S$4:$S$703,Benefits!$B$4:$B$703,A797,Benefits!$F$4:$F$703,B797,Benefits!$R$4:$R$703,"avoided_cost_realised"),0)</f>
        <v>0</v>
      </c>
      <c r="I797" s="11" t="n">
        <f aca="false">IF(D797=1,SUMIFS(Benefits!$S$4:$S$703,Benefits!$B$4:$B$703,A797,Benefits!$F$4:$F$703,B797,Benefits!$R$4:$R$703,"capacity_converted"),0)</f>
        <v>0</v>
      </c>
      <c r="J797" s="11" t="n">
        <f aca="false">SUM(F797:I797)</f>
        <v>0</v>
      </c>
      <c r="K797" s="11" t="n">
        <f aca="false">J797-E797</f>
        <v>0</v>
      </c>
      <c r="L797" s="11" t="n">
        <f aca="false">IF(D797=1,L796+K797,0)</f>
        <v>-48000</v>
      </c>
      <c r="M797" s="11" t="n">
        <f aca="false">IF(D797=1,1/(1+Controls!$B$11)^B797,0)</f>
        <v>0.993607131714549</v>
      </c>
      <c r="N797" s="11" t="n">
        <f aca="false">K797*M797</f>
        <v>0</v>
      </c>
      <c r="O797" s="11" t="n">
        <f aca="false">IF(D797=1,O796+N797,0)</f>
        <v>-48000</v>
      </c>
      <c r="P797" s="11" t="n">
        <f aca="false">IF(AND(D797=1,L797&lt;0),1,0)</f>
        <v>1</v>
      </c>
      <c r="Q797" s="11" t="n">
        <f aca="false">IF(AND(D797=1,O797&lt;0),1,0)</f>
        <v>1</v>
      </c>
    </row>
    <row r="798" customFormat="false" ht="15" hidden="false" customHeight="false" outlineLevel="0" collapsed="false">
      <c r="A798" s="4" t="s">
        <v>105</v>
      </c>
      <c r="B798" s="4" t="n">
        <v>2</v>
      </c>
      <c r="C798" s="11" t="n">
        <f aca="false">IF(COUNTIF('Scenario inputs'!$A$4:$A$213,Controls!$B$3&amp;"|"&amp;A798)&gt;0,1,0)</f>
        <v>1</v>
      </c>
      <c r="D798" s="11" t="n">
        <f aca="false">IF(AND(C798=1,B798&lt;Controls!$B$12),1,0)</f>
        <v>1</v>
      </c>
      <c r="E798" s="11" t="n">
        <f aca="false">IF(D798=1,SUMPRODUCT((Costs!$B$4:$B$903=A798)*(Costs!$D$4:$D$903="planned")*(Costs!$J$4:$J$903&lt;=B798)*(Costs!$K$4:$K$903&gt;B798)*Costs!$E$4:$E$903),0)</f>
        <v>0</v>
      </c>
      <c r="F798" s="11" t="n">
        <f aca="false">IF(D798=1,SUMIFS(Benefits!$S$4:$S$703,Benefits!$B$4:$B$703,A798,Benefits!$F$4:$F$703,B798,Benefits!$R$4:$R$703,"cash"),0)</f>
        <v>0</v>
      </c>
      <c r="G798" s="11" t="n">
        <f aca="false">IF(D798=1,SUMIFS(Benefits!$S$4:$S$703,Benefits!$B$4:$B$703,A798,Benefits!$F$4:$F$703,B798,Benefits!$R$4:$R$703,"revenue"),0)</f>
        <v>0</v>
      </c>
      <c r="H798" s="11" t="n">
        <f aca="false">IF(D798=1,SUMIFS(Benefits!$S$4:$S$703,Benefits!$B$4:$B$703,A798,Benefits!$F$4:$F$703,B798,Benefits!$R$4:$R$703,"avoided_cost_realised"),0)</f>
        <v>0</v>
      </c>
      <c r="I798" s="11" t="n">
        <f aca="false">IF(D798=1,SUMIFS(Benefits!$S$4:$S$703,Benefits!$B$4:$B$703,A798,Benefits!$F$4:$F$703,B798,Benefits!$R$4:$R$703,"capacity_converted"),0)</f>
        <v>0</v>
      </c>
      <c r="J798" s="11" t="n">
        <f aca="false">SUM(F798:I798)</f>
        <v>0</v>
      </c>
      <c r="K798" s="11" t="n">
        <f aca="false">J798-E798</f>
        <v>0</v>
      </c>
      <c r="L798" s="11" t="n">
        <f aca="false">IF(D798=1,L797+K798,0)</f>
        <v>-48000</v>
      </c>
      <c r="M798" s="11" t="n">
        <f aca="false">IF(D798=1,1/(1+Controls!$B$11)^B798,0)</f>
        <v>0.987255132194012</v>
      </c>
      <c r="N798" s="11" t="n">
        <f aca="false">K798*M798</f>
        <v>0</v>
      </c>
      <c r="O798" s="11" t="n">
        <f aca="false">IF(D798=1,O797+N798,0)</f>
        <v>-48000</v>
      </c>
      <c r="P798" s="11" t="n">
        <f aca="false">IF(AND(D798=1,L798&lt;0),1,0)</f>
        <v>1</v>
      </c>
      <c r="Q798" s="11" t="n">
        <f aca="false">IF(AND(D798=1,O798&lt;0),1,0)</f>
        <v>1</v>
      </c>
    </row>
    <row r="799" customFormat="false" ht="15" hidden="false" customHeight="false" outlineLevel="0" collapsed="false">
      <c r="A799" s="4" t="s">
        <v>105</v>
      </c>
      <c r="B799" s="4" t="n">
        <v>3</v>
      </c>
      <c r="C799" s="11" t="n">
        <f aca="false">IF(COUNTIF('Scenario inputs'!$A$4:$A$213,Controls!$B$3&amp;"|"&amp;A799)&gt;0,1,0)</f>
        <v>1</v>
      </c>
      <c r="D799" s="11" t="n">
        <f aca="false">IF(AND(C799=1,B799&lt;Controls!$B$12),1,0)</f>
        <v>1</v>
      </c>
      <c r="E799" s="11" t="n">
        <f aca="false">IF(D799=1,SUMPRODUCT((Costs!$B$4:$B$903=A799)*(Costs!$D$4:$D$903="planned")*(Costs!$J$4:$J$903&lt;=B799)*(Costs!$K$4:$K$903&gt;B799)*Costs!$E$4:$E$903),0)</f>
        <v>0</v>
      </c>
      <c r="F799" s="11" t="n">
        <f aca="false">IF(D799=1,SUMIFS(Benefits!$S$4:$S$703,Benefits!$B$4:$B$703,A799,Benefits!$F$4:$F$703,B799,Benefits!$R$4:$R$703,"cash"),0)</f>
        <v>0</v>
      </c>
      <c r="G799" s="11" t="n">
        <f aca="false">IF(D799=1,SUMIFS(Benefits!$S$4:$S$703,Benefits!$B$4:$B$703,A799,Benefits!$F$4:$F$703,B799,Benefits!$R$4:$R$703,"revenue"),0)</f>
        <v>0</v>
      </c>
      <c r="H799" s="11" t="n">
        <f aca="false">IF(D799=1,SUMIFS(Benefits!$S$4:$S$703,Benefits!$B$4:$B$703,A799,Benefits!$F$4:$F$703,B799,Benefits!$R$4:$R$703,"avoided_cost_realised"),0)</f>
        <v>0</v>
      </c>
      <c r="I799" s="11" t="n">
        <f aca="false">IF(D799=1,SUMIFS(Benefits!$S$4:$S$703,Benefits!$B$4:$B$703,A799,Benefits!$F$4:$F$703,B799,Benefits!$R$4:$R$703,"capacity_converted"),0)</f>
        <v>0</v>
      </c>
      <c r="J799" s="11" t="n">
        <f aca="false">SUM(F799:I799)</f>
        <v>0</v>
      </c>
      <c r="K799" s="11" t="n">
        <f aca="false">J799-E799</f>
        <v>0</v>
      </c>
      <c r="L799" s="11" t="n">
        <f aca="false">IF(D799=1,L798+K799,0)</f>
        <v>-48000</v>
      </c>
      <c r="M799" s="11" t="n">
        <f aca="false">IF(D799=1,1/(1+Controls!$B$11)^B799,0)</f>
        <v>0.98094374016976</v>
      </c>
      <c r="N799" s="11" t="n">
        <f aca="false">K799*M799</f>
        <v>0</v>
      </c>
      <c r="O799" s="11" t="n">
        <f aca="false">IF(D799=1,O798+N799,0)</f>
        <v>-48000</v>
      </c>
      <c r="P799" s="11" t="n">
        <f aca="false">IF(AND(D799=1,L799&lt;0),1,0)</f>
        <v>1</v>
      </c>
      <c r="Q799" s="11" t="n">
        <f aca="false">IF(AND(D799=1,O799&lt;0),1,0)</f>
        <v>1</v>
      </c>
    </row>
    <row r="800" customFormat="false" ht="15" hidden="false" customHeight="false" outlineLevel="0" collapsed="false">
      <c r="A800" s="4" t="s">
        <v>105</v>
      </c>
      <c r="B800" s="4" t="n">
        <v>4</v>
      </c>
      <c r="C800" s="11" t="n">
        <f aca="false">IF(COUNTIF('Scenario inputs'!$A$4:$A$213,Controls!$B$3&amp;"|"&amp;A800)&gt;0,1,0)</f>
        <v>1</v>
      </c>
      <c r="D800" s="11" t="n">
        <f aca="false">IF(AND(C800=1,B800&lt;Controls!$B$12),1,0)</f>
        <v>1</v>
      </c>
      <c r="E800" s="11" t="n">
        <f aca="false">IF(D800=1,SUMPRODUCT((Costs!$B$4:$B$903=A800)*(Costs!$D$4:$D$903="planned")*(Costs!$J$4:$J$903&lt;=B800)*(Costs!$K$4:$K$903&gt;B800)*Costs!$E$4:$E$903),0)</f>
        <v>0</v>
      </c>
      <c r="F800" s="11" t="n">
        <f aca="false">IF(D800=1,SUMIFS(Benefits!$S$4:$S$703,Benefits!$B$4:$B$703,A800,Benefits!$F$4:$F$703,B800,Benefits!$R$4:$R$703,"cash"),0)</f>
        <v>0</v>
      </c>
      <c r="G800" s="11" t="n">
        <f aca="false">IF(D800=1,SUMIFS(Benefits!$S$4:$S$703,Benefits!$B$4:$B$703,A800,Benefits!$F$4:$F$703,B800,Benefits!$R$4:$R$703,"revenue"),0)</f>
        <v>0</v>
      </c>
      <c r="H800" s="11" t="n">
        <f aca="false">IF(D800=1,SUMIFS(Benefits!$S$4:$S$703,Benefits!$B$4:$B$703,A800,Benefits!$F$4:$F$703,B800,Benefits!$R$4:$R$703,"avoided_cost_realised"),0)</f>
        <v>0</v>
      </c>
      <c r="I800" s="11" t="n">
        <f aca="false">IF(D800=1,SUMIFS(Benefits!$S$4:$S$703,Benefits!$B$4:$B$703,A800,Benefits!$F$4:$F$703,B800,Benefits!$R$4:$R$703,"capacity_converted"),0)</f>
        <v>0</v>
      </c>
      <c r="J800" s="11" t="n">
        <f aca="false">SUM(F800:I800)</f>
        <v>0</v>
      </c>
      <c r="K800" s="11" t="n">
        <f aca="false">J800-E800</f>
        <v>0</v>
      </c>
      <c r="L800" s="11" t="n">
        <f aca="false">IF(D800=1,L799+K800,0)</f>
        <v>-48000</v>
      </c>
      <c r="M800" s="11" t="n">
        <f aca="false">IF(D800=1,1/(1+Controls!$B$11)^B800,0)</f>
        <v>0.974672696043417</v>
      </c>
      <c r="N800" s="11" t="n">
        <f aca="false">K800*M800</f>
        <v>0</v>
      </c>
      <c r="O800" s="11" t="n">
        <f aca="false">IF(D800=1,O799+N800,0)</f>
        <v>-48000</v>
      </c>
      <c r="P800" s="11" t="n">
        <f aca="false">IF(AND(D800=1,L800&lt;0),1,0)</f>
        <v>1</v>
      </c>
      <c r="Q800" s="11" t="n">
        <f aca="false">IF(AND(D800=1,O800&lt;0),1,0)</f>
        <v>1</v>
      </c>
    </row>
    <row r="801" customFormat="false" ht="15" hidden="false" customHeight="false" outlineLevel="0" collapsed="false">
      <c r="A801" s="4" t="s">
        <v>105</v>
      </c>
      <c r="B801" s="4" t="n">
        <v>5</v>
      </c>
      <c r="C801" s="11" t="n">
        <f aca="false">IF(COUNTIF('Scenario inputs'!$A$4:$A$213,Controls!$B$3&amp;"|"&amp;A801)&gt;0,1,0)</f>
        <v>1</v>
      </c>
      <c r="D801" s="11" t="n">
        <f aca="false">IF(AND(C801=1,B801&lt;Controls!$B$12),1,0)</f>
        <v>1</v>
      </c>
      <c r="E801" s="11" t="n">
        <f aca="false">IF(D801=1,SUMPRODUCT((Costs!$B$4:$B$903=A801)*(Costs!$D$4:$D$903="planned")*(Costs!$J$4:$J$903&lt;=B801)*(Costs!$K$4:$K$903&gt;B801)*Costs!$E$4:$E$903),0)</f>
        <v>0</v>
      </c>
      <c r="F801" s="11" t="n">
        <f aca="false">IF(D801=1,SUMIFS(Benefits!$S$4:$S$703,Benefits!$B$4:$B$703,A801,Benefits!$F$4:$F$703,B801,Benefits!$R$4:$R$703,"cash"),0)</f>
        <v>0</v>
      </c>
      <c r="G801" s="11" t="n">
        <f aca="false">IF(D801=1,SUMIFS(Benefits!$S$4:$S$703,Benefits!$B$4:$B$703,A801,Benefits!$F$4:$F$703,B801,Benefits!$R$4:$R$703,"revenue"),0)</f>
        <v>0</v>
      </c>
      <c r="H801" s="11" t="n">
        <f aca="false">IF(D801=1,SUMIFS(Benefits!$S$4:$S$703,Benefits!$B$4:$B$703,A801,Benefits!$F$4:$F$703,B801,Benefits!$R$4:$R$703,"avoided_cost_realised"),0)</f>
        <v>0</v>
      </c>
      <c r="I801" s="11" t="n">
        <f aca="false">IF(D801=1,SUMIFS(Benefits!$S$4:$S$703,Benefits!$B$4:$B$703,A801,Benefits!$F$4:$F$703,B801,Benefits!$R$4:$R$703,"capacity_converted"),0)</f>
        <v>0</v>
      </c>
      <c r="J801" s="11" t="n">
        <f aca="false">SUM(F801:I801)</f>
        <v>0</v>
      </c>
      <c r="K801" s="11" t="n">
        <f aca="false">J801-E801</f>
        <v>0</v>
      </c>
      <c r="L801" s="11" t="n">
        <f aca="false">IF(D801=1,L800+K801,0)</f>
        <v>-48000</v>
      </c>
      <c r="M801" s="11" t="n">
        <f aca="false">IF(D801=1,1/(1+Controls!$B$11)^B801,0)</f>
        <v>0.968441741876185</v>
      </c>
      <c r="N801" s="11" t="n">
        <f aca="false">K801*M801</f>
        <v>0</v>
      </c>
      <c r="O801" s="11" t="n">
        <f aca="false">IF(D801=1,O800+N801,0)</f>
        <v>-48000</v>
      </c>
      <c r="P801" s="11" t="n">
        <f aca="false">IF(AND(D801=1,L801&lt;0),1,0)</f>
        <v>1</v>
      </c>
      <c r="Q801" s="11" t="n">
        <f aca="false">IF(AND(D801=1,O801&lt;0),1,0)</f>
        <v>1</v>
      </c>
    </row>
    <row r="802" customFormat="false" ht="15" hidden="false" customHeight="false" outlineLevel="0" collapsed="false">
      <c r="A802" s="4" t="s">
        <v>105</v>
      </c>
      <c r="B802" s="4" t="n">
        <v>6</v>
      </c>
      <c r="C802" s="11" t="n">
        <f aca="false">IF(COUNTIF('Scenario inputs'!$A$4:$A$213,Controls!$B$3&amp;"|"&amp;A802)&gt;0,1,0)</f>
        <v>1</v>
      </c>
      <c r="D802" s="11" t="n">
        <f aca="false">IF(AND(C802=1,B802&lt;Controls!$B$12),1,0)</f>
        <v>1</v>
      </c>
      <c r="E802" s="11" t="n">
        <f aca="false">IF(D802=1,SUMPRODUCT((Costs!$B$4:$B$903=A802)*(Costs!$D$4:$D$903="planned")*(Costs!$J$4:$J$903&lt;=B802)*(Costs!$K$4:$K$903&gt;B802)*Costs!$E$4:$E$903),0)</f>
        <v>469100</v>
      </c>
      <c r="F802" s="11" t="n">
        <f aca="false">IF(D802=1,SUMIFS(Benefits!$S$4:$S$703,Benefits!$B$4:$B$703,A802,Benefits!$F$4:$F$703,B802,Benefits!$R$4:$R$703,"cash"),0)</f>
        <v>0</v>
      </c>
      <c r="G802" s="11" t="n">
        <f aca="false">IF(D802=1,SUMIFS(Benefits!$S$4:$S$703,Benefits!$B$4:$B$703,A802,Benefits!$F$4:$F$703,B802,Benefits!$R$4:$R$703,"revenue"),0)</f>
        <v>0</v>
      </c>
      <c r="H802" s="11" t="n">
        <f aca="false">IF(D802=1,SUMIFS(Benefits!$S$4:$S$703,Benefits!$B$4:$B$703,A802,Benefits!$F$4:$F$703,B802,Benefits!$R$4:$R$703,"avoided_cost_realised"),0)</f>
        <v>0</v>
      </c>
      <c r="I802" s="11" t="n">
        <f aca="false">IF(D802=1,SUMIFS(Benefits!$S$4:$S$703,Benefits!$B$4:$B$703,A802,Benefits!$F$4:$F$703,B802,Benefits!$R$4:$R$703,"capacity_converted"),0)</f>
        <v>0</v>
      </c>
      <c r="J802" s="11" t="n">
        <f aca="false">SUM(F802:I802)</f>
        <v>0</v>
      </c>
      <c r="K802" s="11" t="n">
        <f aca="false">J802-E802</f>
        <v>-469100</v>
      </c>
      <c r="L802" s="11" t="n">
        <f aca="false">IF(D802=1,L801+K802,0)</f>
        <v>-517100</v>
      </c>
      <c r="M802" s="11" t="n">
        <f aca="false">IF(D802=1,1/(1+Controls!$B$11)^B802,0)</f>
        <v>0.962250621378238</v>
      </c>
      <c r="N802" s="11" t="n">
        <f aca="false">K802*M802</f>
        <v>-451391.766488531</v>
      </c>
      <c r="O802" s="11" t="n">
        <f aca="false">IF(D802=1,O801+N802,0)</f>
        <v>-499391.766488531</v>
      </c>
      <c r="P802" s="11" t="n">
        <f aca="false">IF(AND(D802=1,L802&lt;0),1,0)</f>
        <v>1</v>
      </c>
      <c r="Q802" s="11" t="n">
        <f aca="false">IF(AND(D802=1,O802&lt;0),1,0)</f>
        <v>1</v>
      </c>
    </row>
    <row r="803" customFormat="false" ht="15" hidden="false" customHeight="false" outlineLevel="0" collapsed="false">
      <c r="A803" s="4" t="s">
        <v>105</v>
      </c>
      <c r="B803" s="4" t="n">
        <v>7</v>
      </c>
      <c r="C803" s="11" t="n">
        <f aca="false">IF(COUNTIF('Scenario inputs'!$A$4:$A$213,Controls!$B$3&amp;"|"&amp;A803)&gt;0,1,0)</f>
        <v>1</v>
      </c>
      <c r="D803" s="11" t="n">
        <f aca="false">IF(AND(C803=1,B803&lt;Controls!$B$12),1,0)</f>
        <v>1</v>
      </c>
      <c r="E803" s="11" t="n">
        <f aca="false">IF(D803=1,SUMPRODUCT((Costs!$B$4:$B$903=A803)*(Costs!$D$4:$D$903="planned")*(Costs!$J$4:$J$903&lt;=B803)*(Costs!$K$4:$K$903&gt;B803)*Costs!$E$4:$E$903),0)</f>
        <v>0</v>
      </c>
      <c r="F803" s="11" t="n">
        <f aca="false">IF(D803=1,SUMIFS(Benefits!$S$4:$S$703,Benefits!$B$4:$B$703,A803,Benefits!$F$4:$F$703,B803,Benefits!$R$4:$R$703,"cash"),0)</f>
        <v>0</v>
      </c>
      <c r="G803" s="11" t="n">
        <f aca="false">IF(D803=1,SUMIFS(Benefits!$S$4:$S$703,Benefits!$B$4:$B$703,A803,Benefits!$F$4:$F$703,B803,Benefits!$R$4:$R$703,"revenue"),0)</f>
        <v>0</v>
      </c>
      <c r="H803" s="11" t="n">
        <f aca="false">IF(D803=1,SUMIFS(Benefits!$S$4:$S$703,Benefits!$B$4:$B$703,A803,Benefits!$F$4:$F$703,B803,Benefits!$R$4:$R$703,"avoided_cost_realised"),0)</f>
        <v>0</v>
      </c>
      <c r="I803" s="11" t="n">
        <f aca="false">IF(D803=1,SUMIFS(Benefits!$S$4:$S$703,Benefits!$B$4:$B$703,A803,Benefits!$F$4:$F$703,B803,Benefits!$R$4:$R$703,"capacity_converted"),0)</f>
        <v>0</v>
      </c>
      <c r="J803" s="11" t="n">
        <f aca="false">SUM(F803:I803)</f>
        <v>0</v>
      </c>
      <c r="K803" s="11" t="n">
        <f aca="false">J803-E803</f>
        <v>0</v>
      </c>
      <c r="L803" s="11" t="n">
        <f aca="false">IF(D803=1,L802+K803,0)</f>
        <v>-517100</v>
      </c>
      <c r="M803" s="11" t="n">
        <f aca="false">IF(D803=1,1/(1+Controls!$B$11)^B803,0)</f>
        <v>0.956099079898173</v>
      </c>
      <c r="N803" s="11" t="n">
        <f aca="false">K803*M803</f>
        <v>0</v>
      </c>
      <c r="O803" s="11" t="n">
        <f aca="false">IF(D803=1,O802+N803,0)</f>
        <v>-499391.766488531</v>
      </c>
      <c r="P803" s="11" t="n">
        <f aca="false">IF(AND(D803=1,L803&lt;0),1,0)</f>
        <v>1</v>
      </c>
      <c r="Q803" s="11" t="n">
        <f aca="false">IF(AND(D803=1,O803&lt;0),1,0)</f>
        <v>1</v>
      </c>
    </row>
    <row r="804" customFormat="false" ht="15" hidden="false" customHeight="false" outlineLevel="0" collapsed="false">
      <c r="A804" s="4" t="s">
        <v>105</v>
      </c>
      <c r="B804" s="4" t="n">
        <v>8</v>
      </c>
      <c r="C804" s="11" t="n">
        <f aca="false">IF(COUNTIF('Scenario inputs'!$A$4:$A$213,Controls!$B$3&amp;"|"&amp;A804)&gt;0,1,0)</f>
        <v>1</v>
      </c>
      <c r="D804" s="11" t="n">
        <f aca="false">IF(AND(C804=1,B804&lt;Controls!$B$12),1,0)</f>
        <v>1</v>
      </c>
      <c r="E804" s="11" t="n">
        <f aca="false">IF(D804=1,SUMPRODUCT((Costs!$B$4:$B$903=A804)*(Costs!$D$4:$D$903="planned")*(Costs!$J$4:$J$903&lt;=B804)*(Costs!$K$4:$K$903&gt;B804)*Costs!$E$4:$E$903),0)</f>
        <v>480000</v>
      </c>
      <c r="F804" s="11" t="n">
        <f aca="false">IF(D804=1,SUMIFS(Benefits!$S$4:$S$703,Benefits!$B$4:$B$703,A804,Benefits!$F$4:$F$703,B804,Benefits!$R$4:$R$703,"cash"),0)</f>
        <v>0</v>
      </c>
      <c r="G804" s="11" t="n">
        <f aca="false">IF(D804=1,SUMIFS(Benefits!$S$4:$S$703,Benefits!$B$4:$B$703,A804,Benefits!$F$4:$F$703,B804,Benefits!$R$4:$R$703,"revenue"),0)</f>
        <v>0</v>
      </c>
      <c r="H804" s="11" t="n">
        <f aca="false">IF(D804=1,SUMIFS(Benefits!$S$4:$S$703,Benefits!$B$4:$B$703,A804,Benefits!$F$4:$F$703,B804,Benefits!$R$4:$R$703,"avoided_cost_realised"),0)</f>
        <v>0</v>
      </c>
      <c r="I804" s="11" t="n">
        <f aca="false">IF(D804=1,SUMIFS(Benefits!$S$4:$S$703,Benefits!$B$4:$B$703,A804,Benefits!$F$4:$F$703,B804,Benefits!$R$4:$R$703,"capacity_converted"),0)</f>
        <v>0</v>
      </c>
      <c r="J804" s="11" t="n">
        <f aca="false">SUM(F804:I804)</f>
        <v>0</v>
      </c>
      <c r="K804" s="11" t="n">
        <f aca="false">J804-E804</f>
        <v>-480000</v>
      </c>
      <c r="L804" s="11" t="n">
        <f aca="false">IF(D804=1,L803+K804,0)</f>
        <v>-997100</v>
      </c>
      <c r="M804" s="11" t="n">
        <f aca="false">IF(D804=1,1/(1+Controls!$B$11)^B804,0)</f>
        <v>0.949986864412542</v>
      </c>
      <c r="N804" s="11" t="n">
        <f aca="false">K804*M804</f>
        <v>-455993.69491802</v>
      </c>
      <c r="O804" s="11" t="n">
        <f aca="false">IF(D804=1,O803+N804,0)</f>
        <v>-955385.461406552</v>
      </c>
      <c r="P804" s="11" t="n">
        <f aca="false">IF(AND(D804=1,L804&lt;0),1,0)</f>
        <v>1</v>
      </c>
      <c r="Q804" s="11" t="n">
        <f aca="false">IF(AND(D804=1,O804&lt;0),1,0)</f>
        <v>1</v>
      </c>
    </row>
    <row r="805" customFormat="false" ht="15" hidden="false" customHeight="false" outlineLevel="0" collapsed="false">
      <c r="A805" s="4" t="s">
        <v>105</v>
      </c>
      <c r="B805" s="4" t="n">
        <v>9</v>
      </c>
      <c r="C805" s="11" t="n">
        <f aca="false">IF(COUNTIF('Scenario inputs'!$A$4:$A$213,Controls!$B$3&amp;"|"&amp;A805)&gt;0,1,0)</f>
        <v>1</v>
      </c>
      <c r="D805" s="11" t="n">
        <f aca="false">IF(AND(C805=1,B805&lt;Controls!$B$12),1,0)</f>
        <v>1</v>
      </c>
      <c r="E805" s="11" t="n">
        <f aca="false">IF(D805=1,SUMPRODUCT((Costs!$B$4:$B$903=A805)*(Costs!$D$4:$D$903="planned")*(Costs!$J$4:$J$903&lt;=B805)*(Costs!$K$4:$K$903&gt;B805)*Costs!$E$4:$E$903),0)</f>
        <v>610900</v>
      </c>
      <c r="F805" s="11" t="n">
        <f aca="false">IF(D805=1,SUMIFS(Benefits!$S$4:$S$703,Benefits!$B$4:$B$703,A805,Benefits!$F$4:$F$703,B805,Benefits!$R$4:$R$703,"cash"),0)</f>
        <v>0</v>
      </c>
      <c r="G805" s="11" t="n">
        <f aca="false">IF(D805=1,SUMIFS(Benefits!$S$4:$S$703,Benefits!$B$4:$B$703,A805,Benefits!$F$4:$F$703,B805,Benefits!$R$4:$R$703,"revenue"),0)</f>
        <v>0</v>
      </c>
      <c r="H805" s="11" t="n">
        <f aca="false">IF(D805=1,SUMIFS(Benefits!$S$4:$S$703,Benefits!$B$4:$B$703,A805,Benefits!$F$4:$F$703,B805,Benefits!$R$4:$R$703,"avoided_cost_realised"),0)</f>
        <v>0</v>
      </c>
      <c r="I805" s="11" t="n">
        <f aca="false">IF(D805=1,SUMIFS(Benefits!$S$4:$S$703,Benefits!$B$4:$B$703,A805,Benefits!$F$4:$F$703,B805,Benefits!$R$4:$R$703,"capacity_converted"),0)</f>
        <v>0</v>
      </c>
      <c r="J805" s="11" t="n">
        <f aca="false">SUM(F805:I805)</f>
        <v>0</v>
      </c>
      <c r="K805" s="11" t="n">
        <f aca="false">J805-E805</f>
        <v>-610900</v>
      </c>
      <c r="L805" s="11" t="n">
        <f aca="false">IF(D805=1,L804+K805,0)</f>
        <v>-1608000</v>
      </c>
      <c r="M805" s="11" t="n">
        <f aca="false">IF(D805=1,1/(1+Controls!$B$11)^B805,0)</f>
        <v>0.943913723515444</v>
      </c>
      <c r="N805" s="11" t="n">
        <f aca="false">K805*M805</f>
        <v>-576636.893695585</v>
      </c>
      <c r="O805" s="11" t="n">
        <f aca="false">IF(D805=1,O804+N805,0)</f>
        <v>-1532022.35510214</v>
      </c>
      <c r="P805" s="11" t="n">
        <f aca="false">IF(AND(D805=1,L805&lt;0),1,0)</f>
        <v>1</v>
      </c>
      <c r="Q805" s="11" t="n">
        <f aca="false">IF(AND(D805=1,O805&lt;0),1,0)</f>
        <v>1</v>
      </c>
    </row>
    <row r="806" customFormat="false" ht="15" hidden="false" customHeight="false" outlineLevel="0" collapsed="false">
      <c r="A806" s="4" t="s">
        <v>105</v>
      </c>
      <c r="B806" s="4" t="n">
        <v>10</v>
      </c>
      <c r="C806" s="11" t="n">
        <f aca="false">IF(COUNTIF('Scenario inputs'!$A$4:$A$213,Controls!$B$3&amp;"|"&amp;A806)&gt;0,1,0)</f>
        <v>1</v>
      </c>
      <c r="D806" s="11" t="n">
        <f aca="false">IF(AND(C806=1,B806&lt;Controls!$B$12),1,0)</f>
        <v>1</v>
      </c>
      <c r="E806" s="11" t="n">
        <f aca="false">IF(D806=1,SUMPRODUCT((Costs!$B$4:$B$903=A806)*(Costs!$D$4:$D$903="planned")*(Costs!$J$4:$J$903&lt;=B806)*(Costs!$K$4:$K$903&gt;B806)*Costs!$E$4:$E$903),0)</f>
        <v>171450</v>
      </c>
      <c r="F806" s="11" t="n">
        <f aca="false">IF(D806=1,SUMIFS(Benefits!$S$4:$S$703,Benefits!$B$4:$B$703,A806,Benefits!$F$4:$F$703,B806,Benefits!$R$4:$R$703,"cash"),0)</f>
        <v>0</v>
      </c>
      <c r="G806" s="11" t="n">
        <f aca="false">IF(D806=1,SUMIFS(Benefits!$S$4:$S$703,Benefits!$B$4:$B$703,A806,Benefits!$F$4:$F$703,B806,Benefits!$R$4:$R$703,"revenue"),0)</f>
        <v>0</v>
      </c>
      <c r="H806" s="11" t="n">
        <f aca="false">IF(D806=1,SUMIFS(Benefits!$S$4:$S$703,Benefits!$B$4:$B$703,A806,Benefits!$F$4:$F$703,B806,Benefits!$R$4:$R$703,"avoided_cost_realised"),0)</f>
        <v>0</v>
      </c>
      <c r="I806" s="11" t="n">
        <f aca="false">IF(D806=1,SUMIFS(Benefits!$S$4:$S$703,Benefits!$B$4:$B$703,A806,Benefits!$F$4:$F$703,B806,Benefits!$R$4:$R$703,"capacity_converted"),0)</f>
        <v>0</v>
      </c>
      <c r="J806" s="11" t="n">
        <f aca="false">SUM(F806:I806)</f>
        <v>0</v>
      </c>
      <c r="K806" s="11" t="n">
        <f aca="false">J806-E806</f>
        <v>-171450</v>
      </c>
      <c r="L806" s="11" t="n">
        <f aca="false">IF(D806=1,L805+K806,0)</f>
        <v>-1779450</v>
      </c>
      <c r="M806" s="11" t="n">
        <f aca="false">IF(D806=1,1/(1+Controls!$B$11)^B806,0)</f>
        <v>0.93787940740818</v>
      </c>
      <c r="N806" s="11" t="n">
        <f aca="false">K806*M806</f>
        <v>-160799.424400132</v>
      </c>
      <c r="O806" s="11" t="n">
        <f aca="false">IF(D806=1,O805+N806,0)</f>
        <v>-1692821.77950227</v>
      </c>
      <c r="P806" s="11" t="n">
        <f aca="false">IF(AND(D806=1,L806&lt;0),1,0)</f>
        <v>1</v>
      </c>
      <c r="Q806" s="11" t="n">
        <f aca="false">IF(AND(D806=1,O806&lt;0),1,0)</f>
        <v>1</v>
      </c>
    </row>
    <row r="807" customFormat="false" ht="15" hidden="false" customHeight="false" outlineLevel="0" collapsed="false">
      <c r="A807" s="4" t="s">
        <v>105</v>
      </c>
      <c r="B807" s="4" t="n">
        <v>11</v>
      </c>
      <c r="C807" s="11" t="n">
        <f aca="false">IF(COUNTIF('Scenario inputs'!$A$4:$A$213,Controls!$B$3&amp;"|"&amp;A807)&gt;0,1,0)</f>
        <v>1</v>
      </c>
      <c r="D807" s="11" t="n">
        <f aca="false">IF(AND(C807=1,B807&lt;Controls!$B$12),1,0)</f>
        <v>1</v>
      </c>
      <c r="E807" s="11" t="n">
        <f aca="false">IF(D807=1,SUMPRODUCT((Costs!$B$4:$B$903=A807)*(Costs!$D$4:$D$903="planned")*(Costs!$J$4:$J$903&lt;=B807)*(Costs!$K$4:$K$903&gt;B807)*Costs!$E$4:$E$903),0)</f>
        <v>240000</v>
      </c>
      <c r="F807" s="11" t="n">
        <f aca="false">IF(D807=1,SUMIFS(Benefits!$S$4:$S$703,Benefits!$B$4:$B$703,A807,Benefits!$F$4:$F$703,B807,Benefits!$R$4:$R$703,"cash"),0)</f>
        <v>0</v>
      </c>
      <c r="G807" s="11" t="n">
        <f aca="false">IF(D807=1,SUMIFS(Benefits!$S$4:$S$703,Benefits!$B$4:$B$703,A807,Benefits!$F$4:$F$703,B807,Benefits!$R$4:$R$703,"revenue"),0)</f>
        <v>0</v>
      </c>
      <c r="H807" s="11" t="n">
        <f aca="false">IF(D807=1,SUMIFS(Benefits!$S$4:$S$703,Benefits!$B$4:$B$703,A807,Benefits!$F$4:$F$703,B807,Benefits!$R$4:$R$703,"avoided_cost_realised"),0)</f>
        <v>0</v>
      </c>
      <c r="I807" s="11" t="n">
        <f aca="false">IF(D807=1,SUMIFS(Benefits!$S$4:$S$703,Benefits!$B$4:$B$703,A807,Benefits!$F$4:$F$703,B807,Benefits!$R$4:$R$703,"capacity_converted"),0)</f>
        <v>0</v>
      </c>
      <c r="J807" s="11" t="n">
        <f aca="false">SUM(F807:I807)</f>
        <v>0</v>
      </c>
      <c r="K807" s="11" t="n">
        <f aca="false">J807-E807</f>
        <v>-240000</v>
      </c>
      <c r="L807" s="11" t="n">
        <f aca="false">IF(D807=1,L806+K807,0)</f>
        <v>-2019450</v>
      </c>
      <c r="M807" s="11" t="n">
        <f aca="false">IF(D807=1,1/(1+Controls!$B$11)^B807,0)</f>
        <v>0.931883667888982</v>
      </c>
      <c r="N807" s="11" t="n">
        <f aca="false">K807*M807</f>
        <v>-223652.080293356</v>
      </c>
      <c r="O807" s="11" t="n">
        <f aca="false">IF(D807=1,O806+N807,0)</f>
        <v>-1916473.85979562</v>
      </c>
      <c r="P807" s="11" t="n">
        <f aca="false">IF(AND(D807=1,L807&lt;0),1,0)</f>
        <v>1</v>
      </c>
      <c r="Q807" s="11" t="n">
        <f aca="false">IF(AND(D807=1,O807&lt;0),1,0)</f>
        <v>1</v>
      </c>
    </row>
    <row r="808" customFormat="false" ht="15" hidden="false" customHeight="false" outlineLevel="0" collapsed="false">
      <c r="A808" s="4" t="s">
        <v>105</v>
      </c>
      <c r="B808" s="4" t="n">
        <v>12</v>
      </c>
      <c r="C808" s="11" t="n">
        <f aca="false">IF(COUNTIF('Scenario inputs'!$A$4:$A$213,Controls!$B$3&amp;"|"&amp;A808)&gt;0,1,0)</f>
        <v>1</v>
      </c>
      <c r="D808" s="11" t="n">
        <f aca="false">IF(AND(C808=1,B808&lt;Controls!$B$12),1,0)</f>
        <v>1</v>
      </c>
      <c r="E808" s="11" t="n">
        <f aca="false">IF(D808=1,SUMPRODUCT((Costs!$B$4:$B$903=A808)*(Costs!$D$4:$D$903="planned")*(Costs!$J$4:$J$903&lt;=B808)*(Costs!$K$4:$K$903&gt;B808)*Costs!$E$4:$E$903),0)</f>
        <v>473550</v>
      </c>
      <c r="F808" s="11" t="n">
        <f aca="false">IF(D808=1,SUMIFS(Benefits!$S$4:$S$703,Benefits!$B$4:$B$703,A808,Benefits!$F$4:$F$703,B808,Benefits!$R$4:$R$703,"cash"),0)</f>
        <v>0</v>
      </c>
      <c r="G808" s="11" t="n">
        <f aca="false">IF(D808=1,SUMIFS(Benefits!$S$4:$S$703,Benefits!$B$4:$B$703,A808,Benefits!$F$4:$F$703,B808,Benefits!$R$4:$R$703,"revenue"),0)</f>
        <v>0</v>
      </c>
      <c r="H808" s="11" t="n">
        <f aca="false">IF(D808=1,SUMIFS(Benefits!$S$4:$S$703,Benefits!$B$4:$B$703,A808,Benefits!$F$4:$F$703,B808,Benefits!$R$4:$R$703,"avoided_cost_realised"),0)</f>
        <v>12549.98745</v>
      </c>
      <c r="I808" s="11" t="n">
        <f aca="false">IF(D808=1,SUMIFS(Benefits!$S$4:$S$703,Benefits!$B$4:$B$703,A808,Benefits!$F$4:$F$703,B808,Benefits!$R$4:$R$703,"capacity_converted"),0)</f>
        <v>0</v>
      </c>
      <c r="J808" s="11" t="n">
        <f aca="false">SUM(F808:I808)</f>
        <v>12549.98745</v>
      </c>
      <c r="K808" s="11" t="n">
        <f aca="false">J808-E808</f>
        <v>-461000.01255</v>
      </c>
      <c r="L808" s="11" t="n">
        <f aca="false">IF(D808=1,L807+K808,0)</f>
        <v>-2480450.01255</v>
      </c>
      <c r="M808" s="11" t="n">
        <f aca="false">IF(D808=1,1/(1+Controls!$B$11)^B808,0)</f>
        <v>0.925926258342804</v>
      </c>
      <c r="N808" s="11" t="n">
        <f aca="false">K808*M808</f>
        <v>-426852.016716407</v>
      </c>
      <c r="O808" s="11" t="n">
        <f aca="false">IF(D808=1,O807+N808,0)</f>
        <v>-2343325.87651203</v>
      </c>
      <c r="P808" s="11" t="n">
        <f aca="false">IF(AND(D808=1,L808&lt;0),1,0)</f>
        <v>1</v>
      </c>
      <c r="Q808" s="11" t="n">
        <f aca="false">IF(AND(D808=1,O808&lt;0),1,0)</f>
        <v>1</v>
      </c>
    </row>
    <row r="809" customFormat="false" ht="15" hidden="false" customHeight="false" outlineLevel="0" collapsed="false">
      <c r="A809" s="4" t="s">
        <v>105</v>
      </c>
      <c r="B809" s="4" t="n">
        <v>13</v>
      </c>
      <c r="C809" s="11" t="n">
        <f aca="false">IF(COUNTIF('Scenario inputs'!$A$4:$A$213,Controls!$B$3&amp;"|"&amp;A809)&gt;0,1,0)</f>
        <v>1</v>
      </c>
      <c r="D809" s="11" t="n">
        <f aca="false">IF(AND(C809=1,B809&lt;Controls!$B$12),1,0)</f>
        <v>1</v>
      </c>
      <c r="E809" s="11" t="n">
        <f aca="false">IF(D809=1,SUMPRODUCT((Costs!$B$4:$B$903=A809)*(Costs!$D$4:$D$903="planned")*(Costs!$J$4:$J$903&lt;=B809)*(Costs!$K$4:$K$903&gt;B809)*Costs!$E$4:$E$903),0)</f>
        <v>45000</v>
      </c>
      <c r="F809" s="11" t="n">
        <f aca="false">IF(D809=1,SUMIFS(Benefits!$S$4:$S$703,Benefits!$B$4:$B$703,A809,Benefits!$F$4:$F$703,B809,Benefits!$R$4:$R$703,"cash"),0)</f>
        <v>8366.6583</v>
      </c>
      <c r="G809" s="11" t="n">
        <f aca="false">IF(D809=1,SUMIFS(Benefits!$S$4:$S$703,Benefits!$B$4:$B$703,A809,Benefits!$F$4:$F$703,B809,Benefits!$R$4:$R$703,"revenue"),0)</f>
        <v>0</v>
      </c>
      <c r="H809" s="11" t="n">
        <f aca="false">IF(D809=1,SUMIFS(Benefits!$S$4:$S$703,Benefits!$B$4:$B$703,A809,Benefits!$F$4:$F$703,B809,Benefits!$R$4:$R$703,"avoided_cost_realised"),0)</f>
        <v>37649.96235</v>
      </c>
      <c r="I809" s="11" t="n">
        <f aca="false">IF(D809=1,SUMIFS(Benefits!$S$4:$S$703,Benefits!$B$4:$B$703,A809,Benefits!$F$4:$F$703,B809,Benefits!$R$4:$R$703,"capacity_converted"),0)</f>
        <v>0</v>
      </c>
      <c r="J809" s="11" t="n">
        <f aca="false">SUM(F809:I809)</f>
        <v>46016.62065</v>
      </c>
      <c r="K809" s="11" t="n">
        <f aca="false">J809-E809</f>
        <v>1016.62065</v>
      </c>
      <c r="L809" s="11" t="n">
        <f aca="false">IF(D809=1,L808+K809,0)</f>
        <v>-2479433.3919</v>
      </c>
      <c r="M809" s="11" t="n">
        <f aca="false">IF(D809=1,1/(1+Controls!$B$11)^B809,0)</f>
        <v>0.920006933731178</v>
      </c>
      <c r="N809" s="11" t="n">
        <f aca="false">K809*M809</f>
        <v>935.298046974301</v>
      </c>
      <c r="O809" s="11" t="n">
        <f aca="false">IF(D809=1,O808+N809,0)</f>
        <v>-2342390.57846506</v>
      </c>
      <c r="P809" s="11" t="n">
        <f aca="false">IF(AND(D809=1,L809&lt;0),1,0)</f>
        <v>1</v>
      </c>
      <c r="Q809" s="11" t="n">
        <f aca="false">IF(AND(D809=1,O809&lt;0),1,0)</f>
        <v>1</v>
      </c>
    </row>
    <row r="810" customFormat="false" ht="15" hidden="false" customHeight="false" outlineLevel="0" collapsed="false">
      <c r="A810" s="4" t="s">
        <v>105</v>
      </c>
      <c r="B810" s="4" t="n">
        <v>14</v>
      </c>
      <c r="C810" s="11" t="n">
        <f aca="false">IF(COUNTIF('Scenario inputs'!$A$4:$A$213,Controls!$B$3&amp;"|"&amp;A810)&gt;0,1,0)</f>
        <v>1</v>
      </c>
      <c r="D810" s="11" t="n">
        <f aca="false">IF(AND(C810=1,B810&lt;Controls!$B$12),1,0)</f>
        <v>1</v>
      </c>
      <c r="E810" s="11" t="n">
        <f aca="false">IF(D810=1,SUMPRODUCT((Costs!$B$4:$B$903=A810)*(Costs!$D$4:$D$903="planned")*(Costs!$J$4:$J$903&lt;=B810)*(Costs!$K$4:$K$903&gt;B810)*Costs!$E$4:$E$903),0)</f>
        <v>45000</v>
      </c>
      <c r="F810" s="11" t="n">
        <f aca="false">IF(D810=1,SUMIFS(Benefits!$S$4:$S$703,Benefits!$B$4:$B$703,A810,Benefits!$F$4:$F$703,B810,Benefits!$R$4:$R$703,"cash"),0)</f>
        <v>25099.9749</v>
      </c>
      <c r="G810" s="11" t="n">
        <f aca="false">IF(D810=1,SUMIFS(Benefits!$S$4:$S$703,Benefits!$B$4:$B$703,A810,Benefits!$F$4:$F$703,B810,Benefits!$R$4:$R$703,"revenue"),0)</f>
        <v>0</v>
      </c>
      <c r="H810" s="11" t="n">
        <f aca="false">IF(D810=1,SUMIFS(Benefits!$S$4:$S$703,Benefits!$B$4:$B$703,A810,Benefits!$F$4:$F$703,B810,Benefits!$R$4:$R$703,"avoided_cost_realised"),0)</f>
        <v>75299.9247</v>
      </c>
      <c r="I810" s="11" t="n">
        <f aca="false">IF(D810=1,SUMIFS(Benefits!$S$4:$S$703,Benefits!$B$4:$B$703,A810,Benefits!$F$4:$F$703,B810,Benefits!$R$4:$R$703,"capacity_converted"),0)</f>
        <v>0</v>
      </c>
      <c r="J810" s="11" t="n">
        <f aca="false">SUM(F810:I810)</f>
        <v>100399.8996</v>
      </c>
      <c r="K810" s="11" t="n">
        <f aca="false">J810-E810</f>
        <v>55399.8996</v>
      </c>
      <c r="L810" s="11" t="n">
        <f aca="false">IF(D810=1,L809+K810,0)</f>
        <v>-2424033.4923</v>
      </c>
      <c r="M810" s="11" t="n">
        <f aca="false">IF(D810=1,1/(1+Controls!$B$11)^B810,0)</f>
        <v>0.914125450582132</v>
      </c>
      <c r="N810" s="11" t="n">
        <f aca="false">K810*M810</f>
        <v>50642.4581840549</v>
      </c>
      <c r="O810" s="11" t="n">
        <f aca="false">IF(D810=1,O809+N810,0)</f>
        <v>-2291748.120281</v>
      </c>
      <c r="P810" s="11" t="n">
        <f aca="false">IF(AND(D810=1,L810&lt;0),1,0)</f>
        <v>1</v>
      </c>
      <c r="Q810" s="11" t="n">
        <f aca="false">IF(AND(D810=1,O810&lt;0),1,0)</f>
        <v>1</v>
      </c>
    </row>
    <row r="811" customFormat="false" ht="15" hidden="false" customHeight="false" outlineLevel="0" collapsed="false">
      <c r="A811" s="4" t="s">
        <v>105</v>
      </c>
      <c r="B811" s="4" t="n">
        <v>15</v>
      </c>
      <c r="C811" s="11" t="n">
        <f aca="false">IF(COUNTIF('Scenario inputs'!$A$4:$A$213,Controls!$B$3&amp;"|"&amp;A811)&gt;0,1,0)</f>
        <v>1</v>
      </c>
      <c r="D811" s="11" t="n">
        <f aca="false">IF(AND(C811=1,B811&lt;Controls!$B$12),1,0)</f>
        <v>1</v>
      </c>
      <c r="E811" s="11" t="n">
        <f aca="false">IF(D811=1,SUMPRODUCT((Costs!$B$4:$B$903=A811)*(Costs!$D$4:$D$903="planned")*(Costs!$J$4:$J$903&lt;=B811)*(Costs!$K$4:$K$903&gt;B811)*Costs!$E$4:$E$903),0)</f>
        <v>45000</v>
      </c>
      <c r="F811" s="11" t="n">
        <f aca="false">IF(D811=1,SUMIFS(Benefits!$S$4:$S$703,Benefits!$B$4:$B$703,A811,Benefits!$F$4:$F$703,B811,Benefits!$R$4:$R$703,"cash"),0)</f>
        <v>50199.9498</v>
      </c>
      <c r="G811" s="11" t="n">
        <f aca="false">IF(D811=1,SUMIFS(Benefits!$S$4:$S$703,Benefits!$B$4:$B$703,A811,Benefits!$F$4:$F$703,B811,Benefits!$R$4:$R$703,"revenue"),0)</f>
        <v>0</v>
      </c>
      <c r="H811" s="11" t="n">
        <f aca="false">IF(D811=1,SUMIFS(Benefits!$S$4:$S$703,Benefits!$B$4:$B$703,A811,Benefits!$F$4:$F$703,B811,Benefits!$R$4:$R$703,"avoided_cost_realised"),0)</f>
        <v>125499.8745</v>
      </c>
      <c r="I811" s="11" t="n">
        <f aca="false">IF(D811=1,SUMIFS(Benefits!$S$4:$S$703,Benefits!$B$4:$B$703,A811,Benefits!$F$4:$F$703,B811,Benefits!$R$4:$R$703,"capacity_converted"),0)</f>
        <v>0</v>
      </c>
      <c r="J811" s="11" t="n">
        <f aca="false">SUM(F811:I811)</f>
        <v>175699.8243</v>
      </c>
      <c r="K811" s="11" t="n">
        <f aca="false">J811-E811</f>
        <v>130699.8243</v>
      </c>
      <c r="L811" s="11" t="n">
        <f aca="false">IF(D811=1,L810+K811,0)</f>
        <v>-2293333.668</v>
      </c>
      <c r="M811" s="11" t="n">
        <f aca="false">IF(D811=1,1/(1+Controls!$B$11)^B811,0)</f>
        <v>0.908281566980182</v>
      </c>
      <c r="N811" s="11" t="n">
        <f aca="false">K811*M811</f>
        <v>118712.241219238</v>
      </c>
      <c r="O811" s="11" t="n">
        <f aca="false">IF(D811=1,O810+N811,0)</f>
        <v>-2173035.87906176</v>
      </c>
      <c r="P811" s="11" t="n">
        <f aca="false">IF(AND(D811=1,L811&lt;0),1,0)</f>
        <v>1</v>
      </c>
      <c r="Q811" s="11" t="n">
        <f aca="false">IF(AND(D811=1,O811&lt;0),1,0)</f>
        <v>1</v>
      </c>
    </row>
    <row r="812" customFormat="false" ht="15" hidden="false" customHeight="false" outlineLevel="0" collapsed="false">
      <c r="A812" s="4" t="s">
        <v>105</v>
      </c>
      <c r="B812" s="4" t="n">
        <v>16</v>
      </c>
      <c r="C812" s="11" t="n">
        <f aca="false">IF(COUNTIF('Scenario inputs'!$A$4:$A$213,Controls!$B$3&amp;"|"&amp;A812)&gt;0,1,0)</f>
        <v>1</v>
      </c>
      <c r="D812" s="11" t="n">
        <f aca="false">IF(AND(C812=1,B812&lt;Controls!$B$12),1,0)</f>
        <v>1</v>
      </c>
      <c r="E812" s="11" t="n">
        <f aca="false">IF(D812=1,SUMPRODUCT((Costs!$B$4:$B$903=A812)*(Costs!$D$4:$D$903="planned")*(Costs!$J$4:$J$903&lt;=B812)*(Costs!$K$4:$K$903&gt;B812)*Costs!$E$4:$E$903),0)</f>
        <v>45000</v>
      </c>
      <c r="F812" s="11" t="n">
        <f aca="false">IF(D812=1,SUMIFS(Benefits!$S$4:$S$703,Benefits!$B$4:$B$703,A812,Benefits!$F$4:$F$703,B812,Benefits!$R$4:$R$703,"cash"),0)</f>
        <v>83666.583</v>
      </c>
      <c r="G812" s="11" t="n">
        <f aca="false">IF(D812=1,SUMIFS(Benefits!$S$4:$S$703,Benefits!$B$4:$B$703,A812,Benefits!$F$4:$F$703,B812,Benefits!$R$4:$R$703,"revenue"),0)</f>
        <v>0</v>
      </c>
      <c r="H812" s="11" t="n">
        <f aca="false">IF(D812=1,SUMIFS(Benefits!$S$4:$S$703,Benefits!$B$4:$B$703,A812,Benefits!$F$4:$F$703,B812,Benefits!$R$4:$R$703,"avoided_cost_realised"),0)</f>
        <v>188250.0753</v>
      </c>
      <c r="I812" s="11" t="n">
        <f aca="false">IF(D812=1,SUMIFS(Benefits!$S$4:$S$703,Benefits!$B$4:$B$703,A812,Benefits!$F$4:$F$703,B812,Benefits!$R$4:$R$703,"capacity_converted"),0)</f>
        <v>0</v>
      </c>
      <c r="J812" s="11" t="n">
        <f aca="false">SUM(F812:I812)</f>
        <v>271916.6583</v>
      </c>
      <c r="K812" s="11" t="n">
        <f aca="false">J812-E812</f>
        <v>226916.6583</v>
      </c>
      <c r="L812" s="11" t="n">
        <f aca="false">IF(D812=1,L811+K812,0)</f>
        <v>-2066417.0097</v>
      </c>
      <c r="M812" s="11" t="n">
        <f aca="false">IF(D812=1,1/(1+Controls!$B$11)^B812,0)</f>
        <v>0.902475042556374</v>
      </c>
      <c r="N812" s="11" t="n">
        <f aca="false">K812*M812</f>
        <v>204786.620856043</v>
      </c>
      <c r="O812" s="11" t="n">
        <f aca="false">IF(D812=1,O811+N812,0)</f>
        <v>-1968249.25820572</v>
      </c>
      <c r="P812" s="11" t="n">
        <f aca="false">IF(AND(D812=1,L812&lt;0),1,0)</f>
        <v>1</v>
      </c>
      <c r="Q812" s="11" t="n">
        <f aca="false">IF(AND(D812=1,O812&lt;0),1,0)</f>
        <v>1</v>
      </c>
    </row>
    <row r="813" customFormat="false" ht="15" hidden="false" customHeight="false" outlineLevel="0" collapsed="false">
      <c r="A813" s="4" t="s">
        <v>105</v>
      </c>
      <c r="B813" s="4" t="n">
        <v>17</v>
      </c>
      <c r="C813" s="11" t="n">
        <f aca="false">IF(COUNTIF('Scenario inputs'!$A$4:$A$213,Controls!$B$3&amp;"|"&amp;A813)&gt;0,1,0)</f>
        <v>1</v>
      </c>
      <c r="D813" s="11" t="n">
        <f aca="false">IF(AND(C813=1,B813&lt;Controls!$B$12),1,0)</f>
        <v>1</v>
      </c>
      <c r="E813" s="11" t="n">
        <f aca="false">IF(D813=1,SUMPRODUCT((Costs!$B$4:$B$903=A813)*(Costs!$D$4:$D$903="planned")*(Costs!$J$4:$J$903&lt;=B813)*(Costs!$K$4:$K$903&gt;B813)*Costs!$E$4:$E$903),0)</f>
        <v>45000</v>
      </c>
      <c r="F813" s="11" t="n">
        <f aca="false">IF(D813=1,SUMIFS(Benefits!$S$4:$S$703,Benefits!$B$4:$B$703,A813,Benefits!$F$4:$F$703,B813,Benefits!$R$4:$R$703,"cash"),0)</f>
        <v>125500.0502</v>
      </c>
      <c r="G813" s="11" t="n">
        <f aca="false">IF(D813=1,SUMIFS(Benefits!$S$4:$S$703,Benefits!$B$4:$B$703,A813,Benefits!$F$4:$F$703,B813,Benefits!$R$4:$R$703,"revenue"),0)</f>
        <v>0</v>
      </c>
      <c r="H813" s="11" t="n">
        <f aca="false">IF(D813=1,SUMIFS(Benefits!$S$4:$S$703,Benefits!$B$4:$B$703,A813,Benefits!$F$4:$F$703,B813,Benefits!$R$4:$R$703,"avoided_cost_realised"),0)</f>
        <v>263550</v>
      </c>
      <c r="I813" s="11" t="n">
        <f aca="false">IF(D813=1,SUMIFS(Benefits!$S$4:$S$703,Benefits!$B$4:$B$703,A813,Benefits!$F$4:$F$703,B813,Benefits!$R$4:$R$703,"capacity_converted"),0)</f>
        <v>0</v>
      </c>
      <c r="J813" s="11" t="n">
        <f aca="false">SUM(F813:I813)</f>
        <v>389050.0502</v>
      </c>
      <c r="K813" s="11" t="n">
        <f aca="false">J813-E813</f>
        <v>344050.0502</v>
      </c>
      <c r="L813" s="11" t="n">
        <f aca="false">IF(D813=1,L812+K813,0)</f>
        <v>-1722366.9595</v>
      </c>
      <c r="M813" s="11" t="n">
        <f aca="false">IF(D813=1,1/(1+Controls!$B$11)^B813,0)</f>
        <v>0.896705638478404</v>
      </c>
      <c r="N813" s="11" t="n">
        <f aca="false">K813*M813</f>
        <v>308511.619933118</v>
      </c>
      <c r="O813" s="11" t="n">
        <f aca="false">IF(D813=1,O812+N813,0)</f>
        <v>-1659737.6382726</v>
      </c>
      <c r="P813" s="11" t="n">
        <f aca="false">IF(AND(D813=1,L813&lt;0),1,0)</f>
        <v>1</v>
      </c>
      <c r="Q813" s="11" t="n">
        <f aca="false">IF(AND(D813=1,O813&lt;0),1,0)</f>
        <v>1</v>
      </c>
    </row>
    <row r="814" customFormat="false" ht="15" hidden="false" customHeight="false" outlineLevel="0" collapsed="false">
      <c r="A814" s="4" t="s">
        <v>105</v>
      </c>
      <c r="B814" s="4" t="n">
        <v>18</v>
      </c>
      <c r="C814" s="11" t="n">
        <f aca="false">IF(COUNTIF('Scenario inputs'!$A$4:$A$213,Controls!$B$3&amp;"|"&amp;A814)&gt;0,1,0)</f>
        <v>1</v>
      </c>
      <c r="D814" s="11" t="n">
        <f aca="false">IF(AND(C814=1,B814&lt;Controls!$B$12),1,0)</f>
        <v>1</v>
      </c>
      <c r="E814" s="11" t="n">
        <f aca="false">IF(D814=1,SUMPRODUCT((Costs!$B$4:$B$903=A814)*(Costs!$D$4:$D$903="planned")*(Costs!$J$4:$J$903&lt;=B814)*(Costs!$K$4:$K$903&gt;B814)*Costs!$E$4:$E$903),0)</f>
        <v>46800</v>
      </c>
      <c r="F814" s="11" t="n">
        <f aca="false">IF(D814=1,SUMIFS(Benefits!$S$4:$S$703,Benefits!$B$4:$B$703,A814,Benefits!$F$4:$F$703,B814,Benefits!$R$4:$R$703,"cash"),0)</f>
        <v>175700</v>
      </c>
      <c r="G814" s="11" t="n">
        <f aca="false">IF(D814=1,SUMIFS(Benefits!$S$4:$S$703,Benefits!$B$4:$B$703,A814,Benefits!$F$4:$F$703,B814,Benefits!$R$4:$R$703,"revenue"),0)</f>
        <v>0</v>
      </c>
      <c r="H814" s="11" t="n">
        <f aca="false">IF(D814=1,SUMIFS(Benefits!$S$4:$S$703,Benefits!$B$4:$B$703,A814,Benefits!$F$4:$F$703,B814,Benefits!$R$4:$R$703,"avoided_cost_realised"),0)</f>
        <v>263550</v>
      </c>
      <c r="I814" s="11" t="n">
        <f aca="false">IF(D814=1,SUMIFS(Benefits!$S$4:$S$703,Benefits!$B$4:$B$703,A814,Benefits!$F$4:$F$703,B814,Benefits!$R$4:$R$703,"capacity_converted"),0)</f>
        <v>0</v>
      </c>
      <c r="J814" s="11" t="n">
        <f aca="false">SUM(F814:I814)</f>
        <v>439250</v>
      </c>
      <c r="K814" s="11" t="n">
        <f aca="false">J814-E814</f>
        <v>392450</v>
      </c>
      <c r="L814" s="11" t="n">
        <f aca="false">IF(D814=1,L813+K814,0)</f>
        <v>-1329916.9595</v>
      </c>
      <c r="M814" s="11" t="n">
        <f aca="false">IF(D814=1,1/(1+Controls!$B$11)^B814,0)</f>
        <v>0.89097311744079</v>
      </c>
      <c r="N814" s="11" t="n">
        <f aca="false">K814*M814</f>
        <v>349662.399939638</v>
      </c>
      <c r="O814" s="11" t="n">
        <f aca="false">IF(D814=1,O813+N814,0)</f>
        <v>-1310075.23833297</v>
      </c>
      <c r="P814" s="11" t="n">
        <f aca="false">IF(AND(D814=1,L814&lt;0),1,0)</f>
        <v>1</v>
      </c>
      <c r="Q814" s="11" t="n">
        <f aca="false">IF(AND(D814=1,O814&lt;0),1,0)</f>
        <v>1</v>
      </c>
    </row>
    <row r="815" customFormat="false" ht="15" hidden="false" customHeight="false" outlineLevel="0" collapsed="false">
      <c r="A815" s="4" t="s">
        <v>105</v>
      </c>
      <c r="B815" s="4" t="n">
        <v>19</v>
      </c>
      <c r="C815" s="11" t="n">
        <f aca="false">IF(COUNTIF('Scenario inputs'!$A$4:$A$213,Controls!$B$3&amp;"|"&amp;A815)&gt;0,1,0)</f>
        <v>1</v>
      </c>
      <c r="D815" s="11" t="n">
        <f aca="false">IF(AND(C815=1,B815&lt;Controls!$B$12),1,0)</f>
        <v>1</v>
      </c>
      <c r="E815" s="11" t="n">
        <f aca="false">IF(D815=1,SUMPRODUCT((Costs!$B$4:$B$903=A815)*(Costs!$D$4:$D$903="planned")*(Costs!$J$4:$J$903&lt;=B815)*(Costs!$K$4:$K$903&gt;B815)*Costs!$E$4:$E$903),0)</f>
        <v>46800</v>
      </c>
      <c r="F815" s="11" t="n">
        <f aca="false">IF(D815=1,SUMIFS(Benefits!$S$4:$S$703,Benefits!$B$4:$B$703,A815,Benefits!$F$4:$F$703,B815,Benefits!$R$4:$R$703,"cash"),0)</f>
        <v>175700</v>
      </c>
      <c r="G815" s="11" t="n">
        <f aca="false">IF(D815=1,SUMIFS(Benefits!$S$4:$S$703,Benefits!$B$4:$B$703,A815,Benefits!$F$4:$F$703,B815,Benefits!$R$4:$R$703,"revenue"),0)</f>
        <v>0</v>
      </c>
      <c r="H815" s="11" t="n">
        <f aca="false">IF(D815=1,SUMIFS(Benefits!$S$4:$S$703,Benefits!$B$4:$B$703,A815,Benefits!$F$4:$F$703,B815,Benefits!$R$4:$R$703,"avoided_cost_realised"),0)</f>
        <v>263550</v>
      </c>
      <c r="I815" s="11" t="n">
        <f aca="false">IF(D815=1,SUMIFS(Benefits!$S$4:$S$703,Benefits!$B$4:$B$703,A815,Benefits!$F$4:$F$703,B815,Benefits!$R$4:$R$703,"capacity_converted"),0)</f>
        <v>0</v>
      </c>
      <c r="J815" s="11" t="n">
        <f aca="false">SUM(F815:I815)</f>
        <v>439250</v>
      </c>
      <c r="K815" s="11" t="n">
        <f aca="false">J815-E815</f>
        <v>392450</v>
      </c>
      <c r="L815" s="11" t="n">
        <f aca="false">IF(D815=1,L814+K815,0)</f>
        <v>-937466.9595</v>
      </c>
      <c r="M815" s="11" t="n">
        <f aca="false">IF(D815=1,1/(1+Controls!$B$11)^B815,0)</f>
        <v>0.885277243655113</v>
      </c>
      <c r="N815" s="11" t="n">
        <f aca="false">K815*M815</f>
        <v>347427.054272449</v>
      </c>
      <c r="O815" s="11" t="n">
        <f aca="false">IF(D815=1,O814+N815,0)</f>
        <v>-962648.184060516</v>
      </c>
      <c r="P815" s="11" t="n">
        <f aca="false">IF(AND(D815=1,L815&lt;0),1,0)</f>
        <v>1</v>
      </c>
      <c r="Q815" s="11" t="n">
        <f aca="false">IF(AND(D815=1,O815&lt;0),1,0)</f>
        <v>1</v>
      </c>
    </row>
    <row r="816" customFormat="false" ht="15" hidden="false" customHeight="false" outlineLevel="0" collapsed="false">
      <c r="A816" s="4" t="s">
        <v>105</v>
      </c>
      <c r="B816" s="4" t="n">
        <v>20</v>
      </c>
      <c r="C816" s="11" t="n">
        <f aca="false">IF(COUNTIF('Scenario inputs'!$A$4:$A$213,Controls!$B$3&amp;"|"&amp;A816)&gt;0,1,0)</f>
        <v>1</v>
      </c>
      <c r="D816" s="11" t="n">
        <f aca="false">IF(AND(C816=1,B816&lt;Controls!$B$12),1,0)</f>
        <v>1</v>
      </c>
      <c r="E816" s="11" t="n">
        <f aca="false">IF(D816=1,SUMPRODUCT((Costs!$B$4:$B$903=A816)*(Costs!$D$4:$D$903="planned")*(Costs!$J$4:$J$903&lt;=B816)*(Costs!$K$4:$K$903&gt;B816)*Costs!$E$4:$E$903),0)</f>
        <v>46800</v>
      </c>
      <c r="F816" s="11" t="n">
        <f aca="false">IF(D816=1,SUMIFS(Benefits!$S$4:$S$703,Benefits!$B$4:$B$703,A816,Benefits!$F$4:$F$703,B816,Benefits!$R$4:$R$703,"cash"),0)</f>
        <v>175700</v>
      </c>
      <c r="G816" s="11" t="n">
        <f aca="false">IF(D816=1,SUMIFS(Benefits!$S$4:$S$703,Benefits!$B$4:$B$703,A816,Benefits!$F$4:$F$703,B816,Benefits!$R$4:$R$703,"revenue"),0)</f>
        <v>0</v>
      </c>
      <c r="H816" s="11" t="n">
        <f aca="false">IF(D816=1,SUMIFS(Benefits!$S$4:$S$703,Benefits!$B$4:$B$703,A816,Benefits!$F$4:$F$703,B816,Benefits!$R$4:$R$703,"avoided_cost_realised"),0)</f>
        <v>263550</v>
      </c>
      <c r="I816" s="11" t="n">
        <f aca="false">IF(D816=1,SUMIFS(Benefits!$S$4:$S$703,Benefits!$B$4:$B$703,A816,Benefits!$F$4:$F$703,B816,Benefits!$R$4:$R$703,"capacity_converted"),0)</f>
        <v>0</v>
      </c>
      <c r="J816" s="11" t="n">
        <f aca="false">SUM(F816:I816)</f>
        <v>439250</v>
      </c>
      <c r="K816" s="11" t="n">
        <f aca="false">J816-E816</f>
        <v>392450</v>
      </c>
      <c r="L816" s="11" t="n">
        <f aca="false">IF(D816=1,L815+K816,0)</f>
        <v>-545016.9595</v>
      </c>
      <c r="M816" s="11" t="n">
        <f aca="false">IF(D816=1,1/(1+Controls!$B$11)^B816,0)</f>
        <v>0.879617782840318</v>
      </c>
      <c r="N816" s="11" t="n">
        <f aca="false">K816*M816</f>
        <v>345205.998875683</v>
      </c>
      <c r="O816" s="11" t="n">
        <f aca="false">IF(D816=1,O815+N816,0)</f>
        <v>-617442.185184833</v>
      </c>
      <c r="P816" s="11" t="n">
        <f aca="false">IF(AND(D816=1,L816&lt;0),1,0)</f>
        <v>1</v>
      </c>
      <c r="Q816" s="11" t="n">
        <f aca="false">IF(AND(D816=1,O816&lt;0),1,0)</f>
        <v>1</v>
      </c>
    </row>
    <row r="817" customFormat="false" ht="15" hidden="false" customHeight="false" outlineLevel="0" collapsed="false">
      <c r="A817" s="4" t="s">
        <v>105</v>
      </c>
      <c r="B817" s="4" t="n">
        <v>21</v>
      </c>
      <c r="C817" s="11" t="n">
        <f aca="false">IF(COUNTIF('Scenario inputs'!$A$4:$A$213,Controls!$B$3&amp;"|"&amp;A817)&gt;0,1,0)</f>
        <v>1</v>
      </c>
      <c r="D817" s="11" t="n">
        <f aca="false">IF(AND(C817=1,B817&lt;Controls!$B$12),1,0)</f>
        <v>1</v>
      </c>
      <c r="E817" s="11" t="n">
        <f aca="false">IF(D817=1,SUMPRODUCT((Costs!$B$4:$B$903=A817)*(Costs!$D$4:$D$903="planned")*(Costs!$J$4:$J$903&lt;=B817)*(Costs!$K$4:$K$903&gt;B817)*Costs!$E$4:$E$903),0)</f>
        <v>46800</v>
      </c>
      <c r="F817" s="11" t="n">
        <f aca="false">IF(D817=1,SUMIFS(Benefits!$S$4:$S$703,Benefits!$B$4:$B$703,A817,Benefits!$F$4:$F$703,B817,Benefits!$R$4:$R$703,"cash"),0)</f>
        <v>175700</v>
      </c>
      <c r="G817" s="11" t="n">
        <f aca="false">IF(D817=1,SUMIFS(Benefits!$S$4:$S$703,Benefits!$B$4:$B$703,A817,Benefits!$F$4:$F$703,B817,Benefits!$R$4:$R$703,"revenue"),0)</f>
        <v>0</v>
      </c>
      <c r="H817" s="11" t="n">
        <f aca="false">IF(D817=1,SUMIFS(Benefits!$S$4:$S$703,Benefits!$B$4:$B$703,A817,Benefits!$F$4:$F$703,B817,Benefits!$R$4:$R$703,"avoided_cost_realised"),0)</f>
        <v>263550</v>
      </c>
      <c r="I817" s="11" t="n">
        <f aca="false">IF(D817=1,SUMIFS(Benefits!$S$4:$S$703,Benefits!$B$4:$B$703,A817,Benefits!$F$4:$F$703,B817,Benefits!$R$4:$R$703,"capacity_converted"),0)</f>
        <v>0</v>
      </c>
      <c r="J817" s="11" t="n">
        <f aca="false">SUM(F817:I817)</f>
        <v>439250</v>
      </c>
      <c r="K817" s="11" t="n">
        <f aca="false">J817-E817</f>
        <v>392450</v>
      </c>
      <c r="L817" s="11" t="n">
        <f aca="false">IF(D817=1,L816+K817,0)</f>
        <v>-152566.9595</v>
      </c>
      <c r="M817" s="11" t="n">
        <f aca="false">IF(D817=1,1/(1+Controls!$B$11)^B817,0)</f>
        <v>0.873994502213079</v>
      </c>
      <c r="N817" s="11" t="n">
        <f aca="false">K817*M817</f>
        <v>342999.142393523</v>
      </c>
      <c r="O817" s="11" t="n">
        <f aca="false">IF(D817=1,O816+N817,0)</f>
        <v>-274443.04279131</v>
      </c>
      <c r="P817" s="11" t="n">
        <f aca="false">IF(AND(D817=1,L817&lt;0),1,0)</f>
        <v>1</v>
      </c>
      <c r="Q817" s="11" t="n">
        <f aca="false">IF(AND(D817=1,O817&lt;0),1,0)</f>
        <v>1</v>
      </c>
    </row>
    <row r="818" customFormat="false" ht="15" hidden="false" customHeight="false" outlineLevel="0" collapsed="false">
      <c r="A818" s="4" t="s">
        <v>105</v>
      </c>
      <c r="B818" s="4" t="n">
        <v>22</v>
      </c>
      <c r="C818" s="11" t="n">
        <f aca="false">IF(COUNTIF('Scenario inputs'!$A$4:$A$213,Controls!$B$3&amp;"|"&amp;A818)&gt;0,1,0)</f>
        <v>1</v>
      </c>
      <c r="D818" s="11" t="n">
        <f aca="false">IF(AND(C818=1,B818&lt;Controls!$B$12),1,0)</f>
        <v>1</v>
      </c>
      <c r="E818" s="11" t="n">
        <f aca="false">IF(D818=1,SUMPRODUCT((Costs!$B$4:$B$903=A818)*(Costs!$D$4:$D$903="planned")*(Costs!$J$4:$J$903&lt;=B818)*(Costs!$K$4:$K$903&gt;B818)*Costs!$E$4:$E$903),0)</f>
        <v>46800</v>
      </c>
      <c r="F818" s="11" t="n">
        <f aca="false">IF(D818=1,SUMIFS(Benefits!$S$4:$S$703,Benefits!$B$4:$B$703,A818,Benefits!$F$4:$F$703,B818,Benefits!$R$4:$R$703,"cash"),0)</f>
        <v>175700</v>
      </c>
      <c r="G818" s="11" t="n">
        <f aca="false">IF(D818=1,SUMIFS(Benefits!$S$4:$S$703,Benefits!$B$4:$B$703,A818,Benefits!$F$4:$F$703,B818,Benefits!$R$4:$R$703,"revenue"),0)</f>
        <v>0</v>
      </c>
      <c r="H818" s="11" t="n">
        <f aca="false">IF(D818=1,SUMIFS(Benefits!$S$4:$S$703,Benefits!$B$4:$B$703,A818,Benefits!$F$4:$F$703,B818,Benefits!$R$4:$R$703,"avoided_cost_realised"),0)</f>
        <v>263550</v>
      </c>
      <c r="I818" s="11" t="n">
        <f aca="false">IF(D818=1,SUMIFS(Benefits!$S$4:$S$703,Benefits!$B$4:$B$703,A818,Benefits!$F$4:$F$703,B818,Benefits!$R$4:$R$703,"capacity_converted"),0)</f>
        <v>0</v>
      </c>
      <c r="J818" s="11" t="n">
        <f aca="false">SUM(F818:I818)</f>
        <v>439250</v>
      </c>
      <c r="K818" s="11" t="n">
        <f aca="false">J818-E818</f>
        <v>392450</v>
      </c>
      <c r="L818" s="11" t="n">
        <f aca="false">IF(D818=1,L817+K818,0)</f>
        <v>239883.0405</v>
      </c>
      <c r="M818" s="11" t="n">
        <f aca="false">IF(D818=1,1/(1+Controls!$B$11)^B818,0)</f>
        <v>0.868407170478222</v>
      </c>
      <c r="N818" s="11" t="n">
        <f aca="false">K818*M818</f>
        <v>340806.394054178</v>
      </c>
      <c r="O818" s="11" t="n">
        <f aca="false">IF(D818=1,O817+N818,0)</f>
        <v>66363.3512628678</v>
      </c>
      <c r="P818" s="11" t="n">
        <f aca="false">IF(AND(D818=1,L818&lt;0),1,0)</f>
        <v>0</v>
      </c>
      <c r="Q818" s="11" t="n">
        <f aca="false">IF(AND(D818=1,O818&lt;0),1,0)</f>
        <v>0</v>
      </c>
    </row>
    <row r="819" customFormat="false" ht="15" hidden="false" customHeight="false" outlineLevel="0" collapsed="false">
      <c r="A819" s="4" t="s">
        <v>105</v>
      </c>
      <c r="B819" s="4" t="n">
        <v>23</v>
      </c>
      <c r="C819" s="11" t="n">
        <f aca="false">IF(COUNTIF('Scenario inputs'!$A$4:$A$213,Controls!$B$3&amp;"|"&amp;A819)&gt;0,1,0)</f>
        <v>1</v>
      </c>
      <c r="D819" s="11" t="n">
        <f aca="false">IF(AND(C819=1,B819&lt;Controls!$B$12),1,0)</f>
        <v>1</v>
      </c>
      <c r="E819" s="11" t="n">
        <f aca="false">IF(D819=1,SUMPRODUCT((Costs!$B$4:$B$903=A819)*(Costs!$D$4:$D$903="planned")*(Costs!$J$4:$J$903&lt;=B819)*(Costs!$K$4:$K$903&gt;B819)*Costs!$E$4:$E$903),0)</f>
        <v>46800</v>
      </c>
      <c r="F819" s="11" t="n">
        <f aca="false">IF(D819=1,SUMIFS(Benefits!$S$4:$S$703,Benefits!$B$4:$B$703,A819,Benefits!$F$4:$F$703,B819,Benefits!$R$4:$R$703,"cash"),0)</f>
        <v>175700</v>
      </c>
      <c r="G819" s="11" t="n">
        <f aca="false">IF(D819=1,SUMIFS(Benefits!$S$4:$S$703,Benefits!$B$4:$B$703,A819,Benefits!$F$4:$F$703,B819,Benefits!$R$4:$R$703,"revenue"),0)</f>
        <v>0</v>
      </c>
      <c r="H819" s="11" t="n">
        <f aca="false">IF(D819=1,SUMIFS(Benefits!$S$4:$S$703,Benefits!$B$4:$B$703,A819,Benefits!$F$4:$F$703,B819,Benefits!$R$4:$R$703,"avoided_cost_realised"),0)</f>
        <v>263550</v>
      </c>
      <c r="I819" s="11" t="n">
        <f aca="false">IF(D819=1,SUMIFS(Benefits!$S$4:$S$703,Benefits!$B$4:$B$703,A819,Benefits!$F$4:$F$703,B819,Benefits!$R$4:$R$703,"capacity_converted"),0)</f>
        <v>0</v>
      </c>
      <c r="J819" s="11" t="n">
        <f aca="false">SUM(F819:I819)</f>
        <v>439250</v>
      </c>
      <c r="K819" s="11" t="n">
        <f aca="false">J819-E819</f>
        <v>392450</v>
      </c>
      <c r="L819" s="11" t="n">
        <f aca="false">IF(D819=1,L818+K819,0)</f>
        <v>632333.0405</v>
      </c>
      <c r="M819" s="11" t="n">
        <f aca="false">IF(D819=1,1/(1+Controls!$B$11)^B819,0)</f>
        <v>0.862855557819213</v>
      </c>
      <c r="N819" s="11" t="n">
        <f aca="false">K819*M819</f>
        <v>338627.66366615</v>
      </c>
      <c r="O819" s="11" t="n">
        <f aca="false">IF(D819=1,O818+N819,0)</f>
        <v>404991.014929018</v>
      </c>
      <c r="P819" s="11" t="n">
        <f aca="false">IF(AND(D819=1,L819&lt;0),1,0)</f>
        <v>0</v>
      </c>
      <c r="Q819" s="11" t="n">
        <f aca="false">IF(AND(D819=1,O819&lt;0),1,0)</f>
        <v>0</v>
      </c>
    </row>
    <row r="820" customFormat="false" ht="15" hidden="false" customHeight="false" outlineLevel="0" collapsed="false">
      <c r="A820" s="4" t="s">
        <v>105</v>
      </c>
      <c r="B820" s="4" t="n">
        <v>24</v>
      </c>
      <c r="C820" s="11" t="n">
        <f aca="false">IF(COUNTIF('Scenario inputs'!$A$4:$A$213,Controls!$B$3&amp;"|"&amp;A820)&gt;0,1,0)</f>
        <v>1</v>
      </c>
      <c r="D820" s="11" t="n">
        <f aca="false">IF(AND(C820=1,B820&lt;Controls!$B$12),1,0)</f>
        <v>1</v>
      </c>
      <c r="E820" s="11" t="n">
        <f aca="false">IF(D820=1,SUMPRODUCT((Costs!$B$4:$B$903=A820)*(Costs!$D$4:$D$903="planned")*(Costs!$J$4:$J$903&lt;=B820)*(Costs!$K$4:$K$903&gt;B820)*Costs!$E$4:$E$903),0)</f>
        <v>46800</v>
      </c>
      <c r="F820" s="11" t="n">
        <f aca="false">IF(D820=1,SUMIFS(Benefits!$S$4:$S$703,Benefits!$B$4:$B$703,A820,Benefits!$F$4:$F$703,B820,Benefits!$R$4:$R$703,"cash"),0)</f>
        <v>175700</v>
      </c>
      <c r="G820" s="11" t="n">
        <f aca="false">IF(D820=1,SUMIFS(Benefits!$S$4:$S$703,Benefits!$B$4:$B$703,A820,Benefits!$F$4:$F$703,B820,Benefits!$R$4:$R$703,"revenue"),0)</f>
        <v>0</v>
      </c>
      <c r="H820" s="11" t="n">
        <f aca="false">IF(D820=1,SUMIFS(Benefits!$S$4:$S$703,Benefits!$B$4:$B$703,A820,Benefits!$F$4:$F$703,B820,Benefits!$R$4:$R$703,"avoided_cost_realised"),0)</f>
        <v>0</v>
      </c>
      <c r="I820" s="11" t="n">
        <f aca="false">IF(D820=1,SUMIFS(Benefits!$S$4:$S$703,Benefits!$B$4:$B$703,A820,Benefits!$F$4:$F$703,B820,Benefits!$R$4:$R$703,"capacity_converted"),0)</f>
        <v>0</v>
      </c>
      <c r="J820" s="11" t="n">
        <f aca="false">SUM(F820:I820)</f>
        <v>175700</v>
      </c>
      <c r="K820" s="11" t="n">
        <f aca="false">J820-E820</f>
        <v>128900</v>
      </c>
      <c r="L820" s="11" t="n">
        <f aca="false">IF(D820=1,L819+K820,0)</f>
        <v>761233.0405</v>
      </c>
      <c r="M820" s="11" t="n">
        <f aca="false">IF(D820=1,1/(1+Controls!$B$11)^B820,0)</f>
        <v>0.857339435888705</v>
      </c>
      <c r="N820" s="11" t="n">
        <f aca="false">K820*M820</f>
        <v>110511.053286054</v>
      </c>
      <c r="O820" s="11" t="n">
        <f aca="false">IF(D820=1,O819+N820,0)</f>
        <v>515502.068215072</v>
      </c>
      <c r="P820" s="11" t="n">
        <f aca="false">IF(AND(D820=1,L820&lt;0),1,0)</f>
        <v>0</v>
      </c>
      <c r="Q820" s="11" t="n">
        <f aca="false">IF(AND(D820=1,O820&lt;0),1,0)</f>
        <v>0</v>
      </c>
    </row>
    <row r="821" customFormat="false" ht="15" hidden="false" customHeight="false" outlineLevel="0" collapsed="false">
      <c r="A821" s="4" t="s">
        <v>105</v>
      </c>
      <c r="B821" s="4" t="n">
        <v>25</v>
      </c>
      <c r="C821" s="11" t="n">
        <f aca="false">IF(COUNTIF('Scenario inputs'!$A$4:$A$213,Controls!$B$3&amp;"|"&amp;A821)&gt;0,1,0)</f>
        <v>1</v>
      </c>
      <c r="D821" s="11" t="n">
        <f aca="false">IF(AND(C821=1,B821&lt;Controls!$B$12),1,0)</f>
        <v>1</v>
      </c>
      <c r="E821" s="11" t="n">
        <f aca="false">IF(D821=1,SUMPRODUCT((Costs!$B$4:$B$903=A821)*(Costs!$D$4:$D$903="planned")*(Costs!$J$4:$J$903&lt;=B821)*(Costs!$K$4:$K$903&gt;B821)*Costs!$E$4:$E$903),0)</f>
        <v>0</v>
      </c>
      <c r="F821" s="11" t="n">
        <f aca="false">IF(D821=1,SUMIFS(Benefits!$S$4:$S$703,Benefits!$B$4:$B$703,A821,Benefits!$F$4:$F$703,B821,Benefits!$R$4:$R$703,"cash"),0)</f>
        <v>0</v>
      </c>
      <c r="G821" s="11" t="n">
        <f aca="false">IF(D821=1,SUMIFS(Benefits!$S$4:$S$703,Benefits!$B$4:$B$703,A821,Benefits!$F$4:$F$703,B821,Benefits!$R$4:$R$703,"revenue"),0)</f>
        <v>0</v>
      </c>
      <c r="H821" s="11" t="n">
        <f aca="false">IF(D821=1,SUMIFS(Benefits!$S$4:$S$703,Benefits!$B$4:$B$703,A821,Benefits!$F$4:$F$703,B821,Benefits!$R$4:$R$703,"avoided_cost_realised"),0)</f>
        <v>0</v>
      </c>
      <c r="I821" s="11" t="n">
        <f aca="false">IF(D821=1,SUMIFS(Benefits!$S$4:$S$703,Benefits!$B$4:$B$703,A821,Benefits!$F$4:$F$703,B821,Benefits!$R$4:$R$703,"capacity_converted"),0)</f>
        <v>0</v>
      </c>
      <c r="J821" s="11" t="n">
        <f aca="false">SUM(F821:I821)</f>
        <v>0</v>
      </c>
      <c r="K821" s="11" t="n">
        <f aca="false">J821-E821</f>
        <v>0</v>
      </c>
      <c r="L821" s="11" t="n">
        <f aca="false">IF(D821=1,L820+K821,0)</f>
        <v>761233.0405</v>
      </c>
      <c r="M821" s="11" t="n">
        <f aca="false">IF(D821=1,1/(1+Controls!$B$11)^B821,0)</f>
        <v>0.851858577799146</v>
      </c>
      <c r="N821" s="11" t="n">
        <f aca="false">K821*M821</f>
        <v>0</v>
      </c>
      <c r="O821" s="11" t="n">
        <f aca="false">IF(D821=1,O820+N821,0)</f>
        <v>515502.068215072</v>
      </c>
      <c r="P821" s="11" t="n">
        <f aca="false">IF(AND(D821=1,L821&lt;0),1,0)</f>
        <v>0</v>
      </c>
      <c r="Q821" s="11" t="n">
        <f aca="false">IF(AND(D821=1,O821&lt;0),1,0)</f>
        <v>0</v>
      </c>
    </row>
    <row r="822" customFormat="false" ht="15" hidden="false" customHeight="false" outlineLevel="0" collapsed="false">
      <c r="A822" s="4" t="s">
        <v>105</v>
      </c>
      <c r="B822" s="4" t="n">
        <v>26</v>
      </c>
      <c r="C822" s="11" t="n">
        <f aca="false">IF(COUNTIF('Scenario inputs'!$A$4:$A$213,Controls!$B$3&amp;"|"&amp;A822)&gt;0,1,0)</f>
        <v>1</v>
      </c>
      <c r="D822" s="11" t="n">
        <f aca="false">IF(AND(C822=1,B822&lt;Controls!$B$12),1,0)</f>
        <v>1</v>
      </c>
      <c r="E822" s="11" t="n">
        <f aca="false">IF(D822=1,SUMPRODUCT((Costs!$B$4:$B$903=A822)*(Costs!$D$4:$D$903="planned")*(Costs!$J$4:$J$903&lt;=B822)*(Costs!$K$4:$K$903&gt;B822)*Costs!$E$4:$E$903),0)</f>
        <v>0</v>
      </c>
      <c r="F822" s="11" t="n">
        <f aca="false">IF(D822=1,SUMIFS(Benefits!$S$4:$S$703,Benefits!$B$4:$B$703,A822,Benefits!$F$4:$F$703,B822,Benefits!$R$4:$R$703,"cash"),0)</f>
        <v>0</v>
      </c>
      <c r="G822" s="11" t="n">
        <f aca="false">IF(D822=1,SUMIFS(Benefits!$S$4:$S$703,Benefits!$B$4:$B$703,A822,Benefits!$F$4:$F$703,B822,Benefits!$R$4:$R$703,"revenue"),0)</f>
        <v>0</v>
      </c>
      <c r="H822" s="11" t="n">
        <f aca="false">IF(D822=1,SUMIFS(Benefits!$S$4:$S$703,Benefits!$B$4:$B$703,A822,Benefits!$F$4:$F$703,B822,Benefits!$R$4:$R$703,"avoided_cost_realised"),0)</f>
        <v>0</v>
      </c>
      <c r="I822" s="11" t="n">
        <f aca="false">IF(D822=1,SUMIFS(Benefits!$S$4:$S$703,Benefits!$B$4:$B$703,A822,Benefits!$F$4:$F$703,B822,Benefits!$R$4:$R$703,"capacity_converted"),0)</f>
        <v>0</v>
      </c>
      <c r="J822" s="11" t="n">
        <f aca="false">SUM(F822:I822)</f>
        <v>0</v>
      </c>
      <c r="K822" s="11" t="n">
        <f aca="false">J822-E822</f>
        <v>0</v>
      </c>
      <c r="L822" s="11" t="n">
        <f aca="false">IF(D822=1,L821+K822,0)</f>
        <v>761233.0405</v>
      </c>
      <c r="M822" s="11" t="n">
        <f aca="false">IF(D822=1,1/(1+Controls!$B$11)^B822,0)</f>
        <v>0.846412758113444</v>
      </c>
      <c r="N822" s="11" t="n">
        <f aca="false">K822*M822</f>
        <v>0</v>
      </c>
      <c r="O822" s="11" t="n">
        <f aca="false">IF(D822=1,O821+N822,0)</f>
        <v>515502.068215072</v>
      </c>
      <c r="P822" s="11" t="n">
        <f aca="false">IF(AND(D822=1,L822&lt;0),1,0)</f>
        <v>0</v>
      </c>
      <c r="Q822" s="11" t="n">
        <f aca="false">IF(AND(D822=1,O822&lt;0),1,0)</f>
        <v>0</v>
      </c>
    </row>
    <row r="823" customFormat="false" ht="15" hidden="false" customHeight="false" outlineLevel="0" collapsed="false">
      <c r="A823" s="4" t="s">
        <v>105</v>
      </c>
      <c r="B823" s="4" t="n">
        <v>27</v>
      </c>
      <c r="C823" s="11" t="n">
        <f aca="false">IF(COUNTIF('Scenario inputs'!$A$4:$A$213,Controls!$B$3&amp;"|"&amp;A823)&gt;0,1,0)</f>
        <v>1</v>
      </c>
      <c r="D823" s="11" t="n">
        <f aca="false">IF(AND(C823=1,B823&lt;Controls!$B$12),1,0)</f>
        <v>1</v>
      </c>
      <c r="E823" s="11" t="n">
        <f aca="false">IF(D823=1,SUMPRODUCT((Costs!$B$4:$B$903=A823)*(Costs!$D$4:$D$903="planned")*(Costs!$J$4:$J$903&lt;=B823)*(Costs!$K$4:$K$903&gt;B823)*Costs!$E$4:$E$903),0)</f>
        <v>0</v>
      </c>
      <c r="F823" s="11" t="n">
        <f aca="false">IF(D823=1,SUMIFS(Benefits!$S$4:$S$703,Benefits!$B$4:$B$703,A823,Benefits!$F$4:$F$703,B823,Benefits!$R$4:$R$703,"cash"),0)</f>
        <v>0</v>
      </c>
      <c r="G823" s="11" t="n">
        <f aca="false">IF(D823=1,SUMIFS(Benefits!$S$4:$S$703,Benefits!$B$4:$B$703,A823,Benefits!$F$4:$F$703,B823,Benefits!$R$4:$R$703,"revenue"),0)</f>
        <v>0</v>
      </c>
      <c r="H823" s="11" t="n">
        <f aca="false">IF(D823=1,SUMIFS(Benefits!$S$4:$S$703,Benefits!$B$4:$B$703,A823,Benefits!$F$4:$F$703,B823,Benefits!$R$4:$R$703,"avoided_cost_realised"),0)</f>
        <v>0</v>
      </c>
      <c r="I823" s="11" t="n">
        <f aca="false">IF(D823=1,SUMIFS(Benefits!$S$4:$S$703,Benefits!$B$4:$B$703,A823,Benefits!$F$4:$F$703,B823,Benefits!$R$4:$R$703,"capacity_converted"),0)</f>
        <v>0</v>
      </c>
      <c r="J823" s="11" t="n">
        <f aca="false">SUM(F823:I823)</f>
        <v>0</v>
      </c>
      <c r="K823" s="11" t="n">
        <f aca="false">J823-E823</f>
        <v>0</v>
      </c>
      <c r="L823" s="11" t="n">
        <f aca="false">IF(D823=1,L822+K823,0)</f>
        <v>761233.0405</v>
      </c>
      <c r="M823" s="11" t="n">
        <f aca="false">IF(D823=1,1/(1+Controls!$B$11)^B823,0)</f>
        <v>0.841001752835699</v>
      </c>
      <c r="N823" s="11" t="n">
        <f aca="false">K823*M823</f>
        <v>0</v>
      </c>
      <c r="O823" s="11" t="n">
        <f aca="false">IF(D823=1,O822+N823,0)</f>
        <v>515502.068215072</v>
      </c>
      <c r="P823" s="11" t="n">
        <f aca="false">IF(AND(D823=1,L823&lt;0),1,0)</f>
        <v>0</v>
      </c>
      <c r="Q823" s="11" t="n">
        <f aca="false">IF(AND(D823=1,O823&lt;0),1,0)</f>
        <v>0</v>
      </c>
    </row>
    <row r="824" customFormat="false" ht="15" hidden="false" customHeight="false" outlineLevel="0" collapsed="false">
      <c r="A824" s="4" t="s">
        <v>105</v>
      </c>
      <c r="B824" s="4" t="n">
        <v>28</v>
      </c>
      <c r="C824" s="11" t="n">
        <f aca="false">IF(COUNTIF('Scenario inputs'!$A$4:$A$213,Controls!$B$3&amp;"|"&amp;A824)&gt;0,1,0)</f>
        <v>1</v>
      </c>
      <c r="D824" s="11" t="n">
        <f aca="false">IF(AND(C824=1,B824&lt;Controls!$B$12),1,0)</f>
        <v>1</v>
      </c>
      <c r="E824" s="11" t="n">
        <f aca="false">IF(D824=1,SUMPRODUCT((Costs!$B$4:$B$903=A824)*(Costs!$D$4:$D$903="planned")*(Costs!$J$4:$J$903&lt;=B824)*(Costs!$K$4:$K$903&gt;B824)*Costs!$E$4:$E$903),0)</f>
        <v>0</v>
      </c>
      <c r="F824" s="11" t="n">
        <f aca="false">IF(D824=1,SUMIFS(Benefits!$S$4:$S$703,Benefits!$B$4:$B$703,A824,Benefits!$F$4:$F$703,B824,Benefits!$R$4:$R$703,"cash"),0)</f>
        <v>0</v>
      </c>
      <c r="G824" s="11" t="n">
        <f aca="false">IF(D824=1,SUMIFS(Benefits!$S$4:$S$703,Benefits!$B$4:$B$703,A824,Benefits!$F$4:$F$703,B824,Benefits!$R$4:$R$703,"revenue"),0)</f>
        <v>0</v>
      </c>
      <c r="H824" s="11" t="n">
        <f aca="false">IF(D824=1,SUMIFS(Benefits!$S$4:$S$703,Benefits!$B$4:$B$703,A824,Benefits!$F$4:$F$703,B824,Benefits!$R$4:$R$703,"avoided_cost_realised"),0)</f>
        <v>0</v>
      </c>
      <c r="I824" s="11" t="n">
        <f aca="false">IF(D824=1,SUMIFS(Benefits!$S$4:$S$703,Benefits!$B$4:$B$703,A824,Benefits!$F$4:$F$703,B824,Benefits!$R$4:$R$703,"capacity_converted"),0)</f>
        <v>0</v>
      </c>
      <c r="J824" s="11" t="n">
        <f aca="false">SUM(F824:I824)</f>
        <v>0</v>
      </c>
      <c r="K824" s="11" t="n">
        <f aca="false">J824-E824</f>
        <v>0</v>
      </c>
      <c r="L824" s="11" t="n">
        <f aca="false">IF(D824=1,L823+K824,0)</f>
        <v>761233.0405</v>
      </c>
      <c r="M824" s="11" t="n">
        <f aca="false">IF(D824=1,1/(1+Controls!$B$11)^B824,0)</f>
        <v>0.835625339401986</v>
      </c>
      <c r="N824" s="11" t="n">
        <f aca="false">K824*M824</f>
        <v>0</v>
      </c>
      <c r="O824" s="11" t="n">
        <f aca="false">IF(D824=1,O823+N824,0)</f>
        <v>515502.068215072</v>
      </c>
      <c r="P824" s="11" t="n">
        <f aca="false">IF(AND(D824=1,L824&lt;0),1,0)</f>
        <v>0</v>
      </c>
      <c r="Q824" s="11" t="n">
        <f aca="false">IF(AND(D824=1,O824&lt;0),1,0)</f>
        <v>0</v>
      </c>
    </row>
    <row r="825" customFormat="false" ht="15" hidden="false" customHeight="false" outlineLevel="0" collapsed="false">
      <c r="A825" s="4" t="s">
        <v>105</v>
      </c>
      <c r="B825" s="4" t="n">
        <v>29</v>
      </c>
      <c r="C825" s="11" t="n">
        <f aca="false">IF(COUNTIF('Scenario inputs'!$A$4:$A$213,Controls!$B$3&amp;"|"&amp;A825)&gt;0,1,0)</f>
        <v>1</v>
      </c>
      <c r="D825" s="11" t="n">
        <f aca="false">IF(AND(C825=1,B825&lt;Controls!$B$12),1,0)</f>
        <v>1</v>
      </c>
      <c r="E825" s="11" t="n">
        <f aca="false">IF(D825=1,SUMPRODUCT((Costs!$B$4:$B$903=A825)*(Costs!$D$4:$D$903="planned")*(Costs!$J$4:$J$903&lt;=B825)*(Costs!$K$4:$K$903&gt;B825)*Costs!$E$4:$E$903),0)</f>
        <v>0</v>
      </c>
      <c r="F825" s="11" t="n">
        <f aca="false">IF(D825=1,SUMIFS(Benefits!$S$4:$S$703,Benefits!$B$4:$B$703,A825,Benefits!$F$4:$F$703,B825,Benefits!$R$4:$R$703,"cash"),0)</f>
        <v>0</v>
      </c>
      <c r="G825" s="11" t="n">
        <f aca="false">IF(D825=1,SUMIFS(Benefits!$S$4:$S$703,Benefits!$B$4:$B$703,A825,Benefits!$F$4:$F$703,B825,Benefits!$R$4:$R$703,"revenue"),0)</f>
        <v>0</v>
      </c>
      <c r="H825" s="11" t="n">
        <f aca="false">IF(D825=1,SUMIFS(Benefits!$S$4:$S$703,Benefits!$B$4:$B$703,A825,Benefits!$F$4:$F$703,B825,Benefits!$R$4:$R$703,"avoided_cost_realised"),0)</f>
        <v>0</v>
      </c>
      <c r="I825" s="11" t="n">
        <f aca="false">IF(D825=1,SUMIFS(Benefits!$S$4:$S$703,Benefits!$B$4:$B$703,A825,Benefits!$F$4:$F$703,B825,Benefits!$R$4:$R$703,"capacity_converted"),0)</f>
        <v>0</v>
      </c>
      <c r="J825" s="11" t="n">
        <f aca="false">SUM(F825:I825)</f>
        <v>0</v>
      </c>
      <c r="K825" s="11" t="n">
        <f aca="false">J825-E825</f>
        <v>0</v>
      </c>
      <c r="L825" s="11" t="n">
        <f aca="false">IF(D825=1,L824+K825,0)</f>
        <v>761233.0405</v>
      </c>
      <c r="M825" s="11" t="n">
        <f aca="false">IF(D825=1,1/(1+Controls!$B$11)^B825,0)</f>
        <v>0.830283296671204</v>
      </c>
      <c r="N825" s="11" t="n">
        <f aca="false">K825*M825</f>
        <v>0</v>
      </c>
      <c r="O825" s="11" t="n">
        <f aca="false">IF(D825=1,O824+N825,0)</f>
        <v>515502.068215072</v>
      </c>
      <c r="P825" s="11" t="n">
        <f aca="false">IF(AND(D825=1,L825&lt;0),1,0)</f>
        <v>0</v>
      </c>
      <c r="Q825" s="11" t="n">
        <f aca="false">IF(AND(D825=1,O825&lt;0),1,0)</f>
        <v>0</v>
      </c>
    </row>
    <row r="826" customFormat="false" ht="15" hidden="false" customHeight="false" outlineLevel="0" collapsed="false">
      <c r="A826" s="4" t="s">
        <v>105</v>
      </c>
      <c r="B826" s="4" t="n">
        <v>30</v>
      </c>
      <c r="C826" s="11" t="n">
        <f aca="false">IF(COUNTIF('Scenario inputs'!$A$4:$A$213,Controls!$B$3&amp;"|"&amp;A826)&gt;0,1,0)</f>
        <v>1</v>
      </c>
      <c r="D826" s="11" t="n">
        <f aca="false">IF(AND(C826=1,B826&lt;Controls!$B$12),1,0)</f>
        <v>1</v>
      </c>
      <c r="E826" s="11" t="n">
        <f aca="false">IF(D826=1,SUMPRODUCT((Costs!$B$4:$B$903=A826)*(Costs!$D$4:$D$903="planned")*(Costs!$J$4:$J$903&lt;=B826)*(Costs!$K$4:$K$903&gt;B826)*Costs!$E$4:$E$903),0)</f>
        <v>0</v>
      </c>
      <c r="F826" s="11" t="n">
        <f aca="false">IF(D826=1,SUMIFS(Benefits!$S$4:$S$703,Benefits!$B$4:$B$703,A826,Benefits!$F$4:$F$703,B826,Benefits!$R$4:$R$703,"cash"),0)</f>
        <v>0</v>
      </c>
      <c r="G826" s="11" t="n">
        <f aca="false">IF(D826=1,SUMIFS(Benefits!$S$4:$S$703,Benefits!$B$4:$B$703,A826,Benefits!$F$4:$F$703,B826,Benefits!$R$4:$R$703,"revenue"),0)</f>
        <v>0</v>
      </c>
      <c r="H826" s="11" t="n">
        <f aca="false">IF(D826=1,SUMIFS(Benefits!$S$4:$S$703,Benefits!$B$4:$B$703,A826,Benefits!$F$4:$F$703,B826,Benefits!$R$4:$R$703,"avoided_cost_realised"),0)</f>
        <v>0</v>
      </c>
      <c r="I826" s="11" t="n">
        <f aca="false">IF(D826=1,SUMIFS(Benefits!$S$4:$S$703,Benefits!$B$4:$B$703,A826,Benefits!$F$4:$F$703,B826,Benefits!$R$4:$R$703,"capacity_converted"),0)</f>
        <v>0</v>
      </c>
      <c r="J826" s="11" t="n">
        <f aca="false">SUM(F826:I826)</f>
        <v>0</v>
      </c>
      <c r="K826" s="11" t="n">
        <f aca="false">J826-E826</f>
        <v>0</v>
      </c>
      <c r="L826" s="11" t="n">
        <f aca="false">IF(D826=1,L825+K826,0)</f>
        <v>761233.0405</v>
      </c>
      <c r="M826" s="11" t="n">
        <f aca="false">IF(D826=1,1/(1+Controls!$B$11)^B826,0)</f>
        <v>0.824975404915974</v>
      </c>
      <c r="N826" s="11" t="n">
        <f aca="false">K826*M826</f>
        <v>0</v>
      </c>
      <c r="O826" s="11" t="n">
        <f aca="false">IF(D826=1,O825+N826,0)</f>
        <v>515502.068215072</v>
      </c>
      <c r="P826" s="11" t="n">
        <f aca="false">IF(AND(D826=1,L826&lt;0),1,0)</f>
        <v>0</v>
      </c>
      <c r="Q826" s="11" t="n">
        <f aca="false">IF(AND(D826=1,O826&lt;0),1,0)</f>
        <v>0</v>
      </c>
    </row>
    <row r="827" customFormat="false" ht="15" hidden="false" customHeight="false" outlineLevel="0" collapsed="false">
      <c r="A827" s="4" t="s">
        <v>105</v>
      </c>
      <c r="B827" s="4" t="n">
        <v>31</v>
      </c>
      <c r="C827" s="11" t="n">
        <f aca="false">IF(COUNTIF('Scenario inputs'!$A$4:$A$213,Controls!$B$3&amp;"|"&amp;A827)&gt;0,1,0)</f>
        <v>1</v>
      </c>
      <c r="D827" s="11" t="n">
        <f aca="false">IF(AND(C827=1,B827&lt;Controls!$B$12),1,0)</f>
        <v>1</v>
      </c>
      <c r="E827" s="11" t="n">
        <f aca="false">IF(D827=1,SUMPRODUCT((Costs!$B$4:$B$903=A827)*(Costs!$D$4:$D$903="planned")*(Costs!$J$4:$J$903&lt;=B827)*(Costs!$K$4:$K$903&gt;B827)*Costs!$E$4:$E$903),0)</f>
        <v>0</v>
      </c>
      <c r="F827" s="11" t="n">
        <f aca="false">IF(D827=1,SUMIFS(Benefits!$S$4:$S$703,Benefits!$B$4:$B$703,A827,Benefits!$F$4:$F$703,B827,Benefits!$R$4:$R$703,"cash"),0)</f>
        <v>0</v>
      </c>
      <c r="G827" s="11" t="n">
        <f aca="false">IF(D827=1,SUMIFS(Benefits!$S$4:$S$703,Benefits!$B$4:$B$703,A827,Benefits!$F$4:$F$703,B827,Benefits!$R$4:$R$703,"revenue"),0)</f>
        <v>0</v>
      </c>
      <c r="H827" s="11" t="n">
        <f aca="false">IF(D827=1,SUMIFS(Benefits!$S$4:$S$703,Benefits!$B$4:$B$703,A827,Benefits!$F$4:$F$703,B827,Benefits!$R$4:$R$703,"avoided_cost_realised"),0)</f>
        <v>0</v>
      </c>
      <c r="I827" s="11" t="n">
        <f aca="false">IF(D827=1,SUMIFS(Benefits!$S$4:$S$703,Benefits!$B$4:$B$703,A827,Benefits!$F$4:$F$703,B827,Benefits!$R$4:$R$703,"capacity_converted"),0)</f>
        <v>0</v>
      </c>
      <c r="J827" s="11" t="n">
        <f aca="false">SUM(F827:I827)</f>
        <v>0</v>
      </c>
      <c r="K827" s="11" t="n">
        <f aca="false">J827-E827</f>
        <v>0</v>
      </c>
      <c r="L827" s="11" t="n">
        <f aca="false">IF(D827=1,L826+K827,0)</f>
        <v>761233.0405</v>
      </c>
      <c r="M827" s="11" t="n">
        <f aca="false">IF(D827=1,1/(1+Controls!$B$11)^B827,0)</f>
        <v>0.81970144581361</v>
      </c>
      <c r="N827" s="11" t="n">
        <f aca="false">K827*M827</f>
        <v>0</v>
      </c>
      <c r="O827" s="11" t="n">
        <f aca="false">IF(D827=1,O826+N827,0)</f>
        <v>515502.068215072</v>
      </c>
      <c r="P827" s="11" t="n">
        <f aca="false">IF(AND(D827=1,L827&lt;0),1,0)</f>
        <v>0</v>
      </c>
      <c r="Q827" s="11" t="n">
        <f aca="false">IF(AND(D827=1,O827&lt;0),1,0)</f>
        <v>0</v>
      </c>
    </row>
    <row r="828" customFormat="false" ht="15" hidden="false" customHeight="false" outlineLevel="0" collapsed="false">
      <c r="A828" s="4" t="s">
        <v>105</v>
      </c>
      <c r="B828" s="4" t="n">
        <v>32</v>
      </c>
      <c r="C828" s="11" t="n">
        <f aca="false">IF(COUNTIF('Scenario inputs'!$A$4:$A$213,Controls!$B$3&amp;"|"&amp;A828)&gt;0,1,0)</f>
        <v>1</v>
      </c>
      <c r="D828" s="11" t="n">
        <f aca="false">IF(AND(C828=1,B828&lt;Controls!$B$12),1,0)</f>
        <v>1</v>
      </c>
      <c r="E828" s="11" t="n">
        <f aca="false">IF(D828=1,SUMPRODUCT((Costs!$B$4:$B$903=A828)*(Costs!$D$4:$D$903="planned")*(Costs!$J$4:$J$903&lt;=B828)*(Costs!$K$4:$K$903&gt;B828)*Costs!$E$4:$E$903),0)</f>
        <v>0</v>
      </c>
      <c r="F828" s="11" t="n">
        <f aca="false">IF(D828=1,SUMIFS(Benefits!$S$4:$S$703,Benefits!$B$4:$B$703,A828,Benefits!$F$4:$F$703,B828,Benefits!$R$4:$R$703,"cash"),0)</f>
        <v>0</v>
      </c>
      <c r="G828" s="11" t="n">
        <f aca="false">IF(D828=1,SUMIFS(Benefits!$S$4:$S$703,Benefits!$B$4:$B$703,A828,Benefits!$F$4:$F$703,B828,Benefits!$R$4:$R$703,"revenue"),0)</f>
        <v>0</v>
      </c>
      <c r="H828" s="11" t="n">
        <f aca="false">IF(D828=1,SUMIFS(Benefits!$S$4:$S$703,Benefits!$B$4:$B$703,A828,Benefits!$F$4:$F$703,B828,Benefits!$R$4:$R$703,"avoided_cost_realised"),0)</f>
        <v>0</v>
      </c>
      <c r="I828" s="11" t="n">
        <f aca="false">IF(D828=1,SUMIFS(Benefits!$S$4:$S$703,Benefits!$B$4:$B$703,A828,Benefits!$F$4:$F$703,B828,Benefits!$R$4:$R$703,"capacity_converted"),0)</f>
        <v>0</v>
      </c>
      <c r="J828" s="11" t="n">
        <f aca="false">SUM(F828:I828)</f>
        <v>0</v>
      </c>
      <c r="K828" s="11" t="n">
        <f aca="false">J828-E828</f>
        <v>0</v>
      </c>
      <c r="L828" s="11" t="n">
        <f aca="false">IF(D828=1,L827+K828,0)</f>
        <v>761233.0405</v>
      </c>
      <c r="M828" s="11" t="n">
        <f aca="false">IF(D828=1,1/(1+Controls!$B$11)^B828,0)</f>
        <v>0.814461202437129</v>
      </c>
      <c r="N828" s="11" t="n">
        <f aca="false">K828*M828</f>
        <v>0</v>
      </c>
      <c r="O828" s="11" t="n">
        <f aca="false">IF(D828=1,O827+N828,0)</f>
        <v>515502.068215072</v>
      </c>
      <c r="P828" s="11" t="n">
        <f aca="false">IF(AND(D828=1,L828&lt;0),1,0)</f>
        <v>0</v>
      </c>
      <c r="Q828" s="11" t="n">
        <f aca="false">IF(AND(D828=1,O828&lt;0),1,0)</f>
        <v>0</v>
      </c>
    </row>
    <row r="829" customFormat="false" ht="15" hidden="false" customHeight="false" outlineLevel="0" collapsed="false">
      <c r="A829" s="4" t="s">
        <v>105</v>
      </c>
      <c r="B829" s="4" t="n">
        <v>33</v>
      </c>
      <c r="C829" s="11" t="n">
        <f aca="false">IF(COUNTIF('Scenario inputs'!$A$4:$A$213,Controls!$B$3&amp;"|"&amp;A829)&gt;0,1,0)</f>
        <v>1</v>
      </c>
      <c r="D829" s="11" t="n">
        <f aca="false">IF(AND(C829=1,B829&lt;Controls!$B$12),1,0)</f>
        <v>1</v>
      </c>
      <c r="E829" s="11" t="n">
        <f aca="false">IF(D829=1,SUMPRODUCT((Costs!$B$4:$B$903=A829)*(Costs!$D$4:$D$903="planned")*(Costs!$J$4:$J$903&lt;=B829)*(Costs!$K$4:$K$903&gt;B829)*Costs!$E$4:$E$903),0)</f>
        <v>0</v>
      </c>
      <c r="F829" s="11" t="n">
        <f aca="false">IF(D829=1,SUMIFS(Benefits!$S$4:$S$703,Benefits!$B$4:$B$703,A829,Benefits!$F$4:$F$703,B829,Benefits!$R$4:$R$703,"cash"),0)</f>
        <v>0</v>
      </c>
      <c r="G829" s="11" t="n">
        <f aca="false">IF(D829=1,SUMIFS(Benefits!$S$4:$S$703,Benefits!$B$4:$B$703,A829,Benefits!$F$4:$F$703,B829,Benefits!$R$4:$R$703,"revenue"),0)</f>
        <v>0</v>
      </c>
      <c r="H829" s="11" t="n">
        <f aca="false">IF(D829=1,SUMIFS(Benefits!$S$4:$S$703,Benefits!$B$4:$B$703,A829,Benefits!$F$4:$F$703,B829,Benefits!$R$4:$R$703,"avoided_cost_realised"),0)</f>
        <v>0</v>
      </c>
      <c r="I829" s="11" t="n">
        <f aca="false">IF(D829=1,SUMIFS(Benefits!$S$4:$S$703,Benefits!$B$4:$B$703,A829,Benefits!$F$4:$F$703,B829,Benefits!$R$4:$R$703,"capacity_converted"),0)</f>
        <v>0</v>
      </c>
      <c r="J829" s="11" t="n">
        <f aca="false">SUM(F829:I829)</f>
        <v>0</v>
      </c>
      <c r="K829" s="11" t="n">
        <f aca="false">J829-E829</f>
        <v>0</v>
      </c>
      <c r="L829" s="11" t="n">
        <f aca="false">IF(D829=1,L828+K829,0)</f>
        <v>761233.0405</v>
      </c>
      <c r="M829" s="11" t="n">
        <f aca="false">IF(D829=1,1/(1+Controls!$B$11)^B829,0)</f>
        <v>0.809254459246338</v>
      </c>
      <c r="N829" s="11" t="n">
        <f aca="false">K829*M829</f>
        <v>0</v>
      </c>
      <c r="O829" s="11" t="n">
        <f aca="false">IF(D829=1,O828+N829,0)</f>
        <v>515502.068215072</v>
      </c>
      <c r="P829" s="11" t="n">
        <f aca="false">IF(AND(D829=1,L829&lt;0),1,0)</f>
        <v>0</v>
      </c>
      <c r="Q829" s="11" t="n">
        <f aca="false">IF(AND(D829=1,O829&lt;0),1,0)</f>
        <v>0</v>
      </c>
    </row>
    <row r="830" customFormat="false" ht="15" hidden="false" customHeight="false" outlineLevel="0" collapsed="false">
      <c r="A830" s="4" t="s">
        <v>105</v>
      </c>
      <c r="B830" s="4" t="n">
        <v>34</v>
      </c>
      <c r="C830" s="11" t="n">
        <f aca="false">IF(COUNTIF('Scenario inputs'!$A$4:$A$213,Controls!$B$3&amp;"|"&amp;A830)&gt;0,1,0)</f>
        <v>1</v>
      </c>
      <c r="D830" s="11" t="n">
        <f aca="false">IF(AND(C830=1,B830&lt;Controls!$B$12),1,0)</f>
        <v>1</v>
      </c>
      <c r="E830" s="11" t="n">
        <f aca="false">IF(D830=1,SUMPRODUCT((Costs!$B$4:$B$903=A830)*(Costs!$D$4:$D$903="planned")*(Costs!$J$4:$J$903&lt;=B830)*(Costs!$K$4:$K$903&gt;B830)*Costs!$E$4:$E$903),0)</f>
        <v>0</v>
      </c>
      <c r="F830" s="11" t="n">
        <f aca="false">IF(D830=1,SUMIFS(Benefits!$S$4:$S$703,Benefits!$B$4:$B$703,A830,Benefits!$F$4:$F$703,B830,Benefits!$R$4:$R$703,"cash"),0)</f>
        <v>0</v>
      </c>
      <c r="G830" s="11" t="n">
        <f aca="false">IF(D830=1,SUMIFS(Benefits!$S$4:$S$703,Benefits!$B$4:$B$703,A830,Benefits!$F$4:$F$703,B830,Benefits!$R$4:$R$703,"revenue"),0)</f>
        <v>0</v>
      </c>
      <c r="H830" s="11" t="n">
        <f aca="false">IF(D830=1,SUMIFS(Benefits!$S$4:$S$703,Benefits!$B$4:$B$703,A830,Benefits!$F$4:$F$703,B830,Benefits!$R$4:$R$703,"avoided_cost_realised"),0)</f>
        <v>0</v>
      </c>
      <c r="I830" s="11" t="n">
        <f aca="false">IF(D830=1,SUMIFS(Benefits!$S$4:$S$703,Benefits!$B$4:$B$703,A830,Benefits!$F$4:$F$703,B830,Benefits!$R$4:$R$703,"capacity_converted"),0)</f>
        <v>0</v>
      </c>
      <c r="J830" s="11" t="n">
        <f aca="false">SUM(F830:I830)</f>
        <v>0</v>
      </c>
      <c r="K830" s="11" t="n">
        <f aca="false">J830-E830</f>
        <v>0</v>
      </c>
      <c r="L830" s="11" t="n">
        <f aca="false">IF(D830=1,L829+K830,0)</f>
        <v>761233.0405</v>
      </c>
      <c r="M830" s="11" t="n">
        <f aca="false">IF(D830=1,1/(1+Controls!$B$11)^B830,0)</f>
        <v>0.804081002078962</v>
      </c>
      <c r="N830" s="11" t="n">
        <f aca="false">K830*M830</f>
        <v>0</v>
      </c>
      <c r="O830" s="11" t="n">
        <f aca="false">IF(D830=1,O829+N830,0)</f>
        <v>515502.068215072</v>
      </c>
      <c r="P830" s="11" t="n">
        <f aca="false">IF(AND(D830=1,L830&lt;0),1,0)</f>
        <v>0</v>
      </c>
      <c r="Q830" s="11" t="n">
        <f aca="false">IF(AND(D830=1,O830&lt;0),1,0)</f>
        <v>0</v>
      </c>
    </row>
    <row r="831" customFormat="false" ht="15" hidden="false" customHeight="false" outlineLevel="0" collapsed="false">
      <c r="A831" s="4" t="s">
        <v>105</v>
      </c>
      <c r="B831" s="4" t="n">
        <v>35</v>
      </c>
      <c r="C831" s="11" t="n">
        <f aca="false">IF(COUNTIF('Scenario inputs'!$A$4:$A$213,Controls!$B$3&amp;"|"&amp;A831)&gt;0,1,0)</f>
        <v>1</v>
      </c>
      <c r="D831" s="11" t="n">
        <f aca="false">IF(AND(C831=1,B831&lt;Controls!$B$12),1,0)</f>
        <v>1</v>
      </c>
      <c r="E831" s="11" t="n">
        <f aca="false">IF(D831=1,SUMPRODUCT((Costs!$B$4:$B$903=A831)*(Costs!$D$4:$D$903="planned")*(Costs!$J$4:$J$903&lt;=B831)*(Costs!$K$4:$K$903&gt;B831)*Costs!$E$4:$E$903),0)</f>
        <v>0</v>
      </c>
      <c r="F831" s="11" t="n">
        <f aca="false">IF(D831=1,SUMIFS(Benefits!$S$4:$S$703,Benefits!$B$4:$B$703,A831,Benefits!$F$4:$F$703,B831,Benefits!$R$4:$R$703,"cash"),0)</f>
        <v>0</v>
      </c>
      <c r="G831" s="11" t="n">
        <f aca="false">IF(D831=1,SUMIFS(Benefits!$S$4:$S$703,Benefits!$B$4:$B$703,A831,Benefits!$F$4:$F$703,B831,Benefits!$R$4:$R$703,"revenue"),0)</f>
        <v>0</v>
      </c>
      <c r="H831" s="11" t="n">
        <f aca="false">IF(D831=1,SUMIFS(Benefits!$S$4:$S$703,Benefits!$B$4:$B$703,A831,Benefits!$F$4:$F$703,B831,Benefits!$R$4:$R$703,"avoided_cost_realised"),0)</f>
        <v>0</v>
      </c>
      <c r="I831" s="11" t="n">
        <f aca="false">IF(D831=1,SUMIFS(Benefits!$S$4:$S$703,Benefits!$B$4:$B$703,A831,Benefits!$F$4:$F$703,B831,Benefits!$R$4:$R$703,"capacity_converted"),0)</f>
        <v>0</v>
      </c>
      <c r="J831" s="11" t="n">
        <f aca="false">SUM(F831:I831)</f>
        <v>0</v>
      </c>
      <c r="K831" s="11" t="n">
        <f aca="false">J831-E831</f>
        <v>0</v>
      </c>
      <c r="L831" s="11" t="n">
        <f aca="false">IF(D831=1,L830+K831,0)</f>
        <v>761233.0405</v>
      </c>
      <c r="M831" s="11" t="n">
        <f aca="false">IF(D831=1,1/(1+Controls!$B$11)^B831,0)</f>
        <v>0.798940618141837</v>
      </c>
      <c r="N831" s="11" t="n">
        <f aca="false">K831*M831</f>
        <v>0</v>
      </c>
      <c r="O831" s="11" t="n">
        <f aca="false">IF(D831=1,O830+N831,0)</f>
        <v>515502.068215072</v>
      </c>
      <c r="P831" s="11" t="n">
        <f aca="false">IF(AND(D831=1,L831&lt;0),1,0)</f>
        <v>0</v>
      </c>
      <c r="Q831" s="11" t="n">
        <f aca="false">IF(AND(D831=1,O831&lt;0),1,0)</f>
        <v>0</v>
      </c>
    </row>
    <row r="832" customFormat="false" ht="15" hidden="false" customHeight="false" outlineLevel="0" collapsed="false">
      <c r="A832" s="4" t="s">
        <v>106</v>
      </c>
      <c r="B832" s="4" t="n">
        <v>0</v>
      </c>
      <c r="C832" s="11" t="n">
        <f aca="false">IF(COUNTIF('Scenario inputs'!$A$4:$A$213,Controls!$B$3&amp;"|"&amp;A832)&gt;0,1,0)</f>
        <v>1</v>
      </c>
      <c r="D832" s="11" t="n">
        <f aca="false">IF(AND(C832=1,B832&lt;Controls!$B$12),1,0)</f>
        <v>1</v>
      </c>
      <c r="E832" s="11" t="n">
        <f aca="false">IF(D832=1,SUMPRODUCT((Costs!$B$4:$B$903=A832)*(Costs!$D$4:$D$903="planned")*(Costs!$J$4:$J$903&lt;=B832)*(Costs!$K$4:$K$903&gt;B832)*Costs!$E$4:$E$903),0)</f>
        <v>20000</v>
      </c>
      <c r="F832" s="11" t="n">
        <f aca="false">IF(D832=1,SUMIFS(Benefits!$S$4:$S$703,Benefits!$B$4:$B$703,A832,Benefits!$F$4:$F$703,B832,Benefits!$R$4:$R$703,"cash"),0)</f>
        <v>0</v>
      </c>
      <c r="G832" s="11" t="n">
        <f aca="false">IF(D832=1,SUMIFS(Benefits!$S$4:$S$703,Benefits!$B$4:$B$703,A832,Benefits!$F$4:$F$703,B832,Benefits!$R$4:$R$703,"revenue"),0)</f>
        <v>0</v>
      </c>
      <c r="H832" s="11" t="n">
        <f aca="false">IF(D832=1,SUMIFS(Benefits!$S$4:$S$703,Benefits!$B$4:$B$703,A832,Benefits!$F$4:$F$703,B832,Benefits!$R$4:$R$703,"avoided_cost_realised"),0)</f>
        <v>0</v>
      </c>
      <c r="I832" s="11" t="n">
        <f aca="false">IF(D832=1,SUMIFS(Benefits!$S$4:$S$703,Benefits!$B$4:$B$703,A832,Benefits!$F$4:$F$703,B832,Benefits!$R$4:$R$703,"capacity_converted"),0)</f>
        <v>0</v>
      </c>
      <c r="J832" s="11" t="n">
        <f aca="false">SUM(F832:I832)</f>
        <v>0</v>
      </c>
      <c r="K832" s="11" t="n">
        <f aca="false">J832-E832</f>
        <v>-20000</v>
      </c>
      <c r="L832" s="11" t="n">
        <f aca="false">IF(D832=1,K832,0)</f>
        <v>-20000</v>
      </c>
      <c r="M832" s="11" t="n">
        <f aca="false">IF(D832=1,1/(1+Controls!$B$11)^B832,0)</f>
        <v>1</v>
      </c>
      <c r="N832" s="11" t="n">
        <f aca="false">K832*M832</f>
        <v>-20000</v>
      </c>
      <c r="O832" s="11" t="n">
        <f aca="false">IF(D832=1,N832,0)</f>
        <v>-20000</v>
      </c>
      <c r="P832" s="11" t="n">
        <f aca="false">IF(AND(D832=1,L832&lt;0),1,0)</f>
        <v>1</v>
      </c>
      <c r="Q832" s="11" t="n">
        <f aca="false">IF(AND(D832=1,O832&lt;0),1,0)</f>
        <v>1</v>
      </c>
    </row>
    <row r="833" customFormat="false" ht="15" hidden="false" customHeight="false" outlineLevel="0" collapsed="false">
      <c r="A833" s="4" t="s">
        <v>106</v>
      </c>
      <c r="B833" s="4" t="n">
        <v>1</v>
      </c>
      <c r="C833" s="11" t="n">
        <f aca="false">IF(COUNTIF('Scenario inputs'!$A$4:$A$213,Controls!$B$3&amp;"|"&amp;A833)&gt;0,1,0)</f>
        <v>1</v>
      </c>
      <c r="D833" s="11" t="n">
        <f aca="false">IF(AND(C833=1,B833&lt;Controls!$B$12),1,0)</f>
        <v>1</v>
      </c>
      <c r="E833" s="11" t="n">
        <f aca="false">IF(D833=1,SUMPRODUCT((Costs!$B$4:$B$903=A833)*(Costs!$D$4:$D$903="planned")*(Costs!$J$4:$J$903&lt;=B833)*(Costs!$K$4:$K$903&gt;B833)*Costs!$E$4:$E$903),0)</f>
        <v>0</v>
      </c>
      <c r="F833" s="11" t="n">
        <f aca="false">IF(D833=1,SUMIFS(Benefits!$S$4:$S$703,Benefits!$B$4:$B$703,A833,Benefits!$F$4:$F$703,B833,Benefits!$R$4:$R$703,"cash"),0)</f>
        <v>0</v>
      </c>
      <c r="G833" s="11" t="n">
        <f aca="false">IF(D833=1,SUMIFS(Benefits!$S$4:$S$703,Benefits!$B$4:$B$703,A833,Benefits!$F$4:$F$703,B833,Benefits!$R$4:$R$703,"revenue"),0)</f>
        <v>0</v>
      </c>
      <c r="H833" s="11" t="n">
        <f aca="false">IF(D833=1,SUMIFS(Benefits!$S$4:$S$703,Benefits!$B$4:$B$703,A833,Benefits!$F$4:$F$703,B833,Benefits!$R$4:$R$703,"avoided_cost_realised"),0)</f>
        <v>0</v>
      </c>
      <c r="I833" s="11" t="n">
        <f aca="false">IF(D833=1,SUMIFS(Benefits!$S$4:$S$703,Benefits!$B$4:$B$703,A833,Benefits!$F$4:$F$703,B833,Benefits!$R$4:$R$703,"capacity_converted"),0)</f>
        <v>0</v>
      </c>
      <c r="J833" s="11" t="n">
        <f aca="false">SUM(F833:I833)</f>
        <v>0</v>
      </c>
      <c r="K833" s="11" t="n">
        <f aca="false">J833-E833</f>
        <v>0</v>
      </c>
      <c r="L833" s="11" t="n">
        <f aca="false">IF(D833=1,L832+K833,0)</f>
        <v>-20000</v>
      </c>
      <c r="M833" s="11" t="n">
        <f aca="false">IF(D833=1,1/(1+Controls!$B$11)^B833,0)</f>
        <v>0.993607131714549</v>
      </c>
      <c r="N833" s="11" t="n">
        <f aca="false">K833*M833</f>
        <v>0</v>
      </c>
      <c r="O833" s="11" t="n">
        <f aca="false">IF(D833=1,O832+N833,0)</f>
        <v>-20000</v>
      </c>
      <c r="P833" s="11" t="n">
        <f aca="false">IF(AND(D833=1,L833&lt;0),1,0)</f>
        <v>1</v>
      </c>
      <c r="Q833" s="11" t="n">
        <f aca="false">IF(AND(D833=1,O833&lt;0),1,0)</f>
        <v>1</v>
      </c>
    </row>
    <row r="834" customFormat="false" ht="15" hidden="false" customHeight="false" outlineLevel="0" collapsed="false">
      <c r="A834" s="4" t="s">
        <v>106</v>
      </c>
      <c r="B834" s="4" t="n">
        <v>2</v>
      </c>
      <c r="C834" s="11" t="n">
        <f aca="false">IF(COUNTIF('Scenario inputs'!$A$4:$A$213,Controls!$B$3&amp;"|"&amp;A834)&gt;0,1,0)</f>
        <v>1</v>
      </c>
      <c r="D834" s="11" t="n">
        <f aca="false">IF(AND(C834=1,B834&lt;Controls!$B$12),1,0)</f>
        <v>1</v>
      </c>
      <c r="E834" s="11" t="n">
        <f aca="false">IF(D834=1,SUMPRODUCT((Costs!$B$4:$B$903=A834)*(Costs!$D$4:$D$903="planned")*(Costs!$J$4:$J$903&lt;=B834)*(Costs!$K$4:$K$903&gt;B834)*Costs!$E$4:$E$903),0)</f>
        <v>0</v>
      </c>
      <c r="F834" s="11" t="n">
        <f aca="false">IF(D834=1,SUMIFS(Benefits!$S$4:$S$703,Benefits!$B$4:$B$703,A834,Benefits!$F$4:$F$703,B834,Benefits!$R$4:$R$703,"cash"),0)</f>
        <v>0</v>
      </c>
      <c r="G834" s="11" t="n">
        <f aca="false">IF(D834=1,SUMIFS(Benefits!$S$4:$S$703,Benefits!$B$4:$B$703,A834,Benefits!$F$4:$F$703,B834,Benefits!$R$4:$R$703,"revenue"),0)</f>
        <v>0</v>
      </c>
      <c r="H834" s="11" t="n">
        <f aca="false">IF(D834=1,SUMIFS(Benefits!$S$4:$S$703,Benefits!$B$4:$B$703,A834,Benefits!$F$4:$F$703,B834,Benefits!$R$4:$R$703,"avoided_cost_realised"),0)</f>
        <v>0</v>
      </c>
      <c r="I834" s="11" t="n">
        <f aca="false">IF(D834=1,SUMIFS(Benefits!$S$4:$S$703,Benefits!$B$4:$B$703,A834,Benefits!$F$4:$F$703,B834,Benefits!$R$4:$R$703,"capacity_converted"),0)</f>
        <v>0</v>
      </c>
      <c r="J834" s="11" t="n">
        <f aca="false">SUM(F834:I834)</f>
        <v>0</v>
      </c>
      <c r="K834" s="11" t="n">
        <f aca="false">J834-E834</f>
        <v>0</v>
      </c>
      <c r="L834" s="11" t="n">
        <f aca="false">IF(D834=1,L833+K834,0)</f>
        <v>-20000</v>
      </c>
      <c r="M834" s="11" t="n">
        <f aca="false">IF(D834=1,1/(1+Controls!$B$11)^B834,0)</f>
        <v>0.987255132194012</v>
      </c>
      <c r="N834" s="11" t="n">
        <f aca="false">K834*M834</f>
        <v>0</v>
      </c>
      <c r="O834" s="11" t="n">
        <f aca="false">IF(D834=1,O833+N834,0)</f>
        <v>-20000</v>
      </c>
      <c r="P834" s="11" t="n">
        <f aca="false">IF(AND(D834=1,L834&lt;0),1,0)</f>
        <v>1</v>
      </c>
      <c r="Q834" s="11" t="n">
        <f aca="false">IF(AND(D834=1,O834&lt;0),1,0)</f>
        <v>1</v>
      </c>
    </row>
    <row r="835" customFormat="false" ht="15" hidden="false" customHeight="false" outlineLevel="0" collapsed="false">
      <c r="A835" s="4" t="s">
        <v>106</v>
      </c>
      <c r="B835" s="4" t="n">
        <v>3</v>
      </c>
      <c r="C835" s="11" t="n">
        <f aca="false">IF(COUNTIF('Scenario inputs'!$A$4:$A$213,Controls!$B$3&amp;"|"&amp;A835)&gt;0,1,0)</f>
        <v>1</v>
      </c>
      <c r="D835" s="11" t="n">
        <f aca="false">IF(AND(C835=1,B835&lt;Controls!$B$12),1,0)</f>
        <v>1</v>
      </c>
      <c r="E835" s="11" t="n">
        <f aca="false">IF(D835=1,SUMPRODUCT((Costs!$B$4:$B$903=A835)*(Costs!$D$4:$D$903="planned")*(Costs!$J$4:$J$903&lt;=B835)*(Costs!$K$4:$K$903&gt;B835)*Costs!$E$4:$E$903),0)</f>
        <v>0</v>
      </c>
      <c r="F835" s="11" t="n">
        <f aca="false">IF(D835=1,SUMIFS(Benefits!$S$4:$S$703,Benefits!$B$4:$B$703,A835,Benefits!$F$4:$F$703,B835,Benefits!$R$4:$R$703,"cash"),0)</f>
        <v>0</v>
      </c>
      <c r="G835" s="11" t="n">
        <f aca="false">IF(D835=1,SUMIFS(Benefits!$S$4:$S$703,Benefits!$B$4:$B$703,A835,Benefits!$F$4:$F$703,B835,Benefits!$R$4:$R$703,"revenue"),0)</f>
        <v>0</v>
      </c>
      <c r="H835" s="11" t="n">
        <f aca="false">IF(D835=1,SUMIFS(Benefits!$S$4:$S$703,Benefits!$B$4:$B$703,A835,Benefits!$F$4:$F$703,B835,Benefits!$R$4:$R$703,"avoided_cost_realised"),0)</f>
        <v>0</v>
      </c>
      <c r="I835" s="11" t="n">
        <f aca="false">IF(D835=1,SUMIFS(Benefits!$S$4:$S$703,Benefits!$B$4:$B$703,A835,Benefits!$F$4:$F$703,B835,Benefits!$R$4:$R$703,"capacity_converted"),0)</f>
        <v>0</v>
      </c>
      <c r="J835" s="11" t="n">
        <f aca="false">SUM(F835:I835)</f>
        <v>0</v>
      </c>
      <c r="K835" s="11" t="n">
        <f aca="false">J835-E835</f>
        <v>0</v>
      </c>
      <c r="L835" s="11" t="n">
        <f aca="false">IF(D835=1,L834+K835,0)</f>
        <v>-20000</v>
      </c>
      <c r="M835" s="11" t="n">
        <f aca="false">IF(D835=1,1/(1+Controls!$B$11)^B835,0)</f>
        <v>0.98094374016976</v>
      </c>
      <c r="N835" s="11" t="n">
        <f aca="false">K835*M835</f>
        <v>0</v>
      </c>
      <c r="O835" s="11" t="n">
        <f aca="false">IF(D835=1,O834+N835,0)</f>
        <v>-20000</v>
      </c>
      <c r="P835" s="11" t="n">
        <f aca="false">IF(AND(D835=1,L835&lt;0),1,0)</f>
        <v>1</v>
      </c>
      <c r="Q835" s="11" t="n">
        <f aca="false">IF(AND(D835=1,O835&lt;0),1,0)</f>
        <v>1</v>
      </c>
    </row>
    <row r="836" customFormat="false" ht="15" hidden="false" customHeight="false" outlineLevel="0" collapsed="false">
      <c r="A836" s="4" t="s">
        <v>106</v>
      </c>
      <c r="B836" s="4" t="n">
        <v>4</v>
      </c>
      <c r="C836" s="11" t="n">
        <f aca="false">IF(COUNTIF('Scenario inputs'!$A$4:$A$213,Controls!$B$3&amp;"|"&amp;A836)&gt;0,1,0)</f>
        <v>1</v>
      </c>
      <c r="D836" s="11" t="n">
        <f aca="false">IF(AND(C836=1,B836&lt;Controls!$B$12),1,0)</f>
        <v>1</v>
      </c>
      <c r="E836" s="11" t="n">
        <f aca="false">IF(D836=1,SUMPRODUCT((Costs!$B$4:$B$903=A836)*(Costs!$D$4:$D$903="planned")*(Costs!$J$4:$J$903&lt;=B836)*(Costs!$K$4:$K$903&gt;B836)*Costs!$E$4:$E$903),0)</f>
        <v>0</v>
      </c>
      <c r="F836" s="11" t="n">
        <f aca="false">IF(D836=1,SUMIFS(Benefits!$S$4:$S$703,Benefits!$B$4:$B$703,A836,Benefits!$F$4:$F$703,B836,Benefits!$R$4:$R$703,"cash"),0)</f>
        <v>0</v>
      </c>
      <c r="G836" s="11" t="n">
        <f aca="false">IF(D836=1,SUMIFS(Benefits!$S$4:$S$703,Benefits!$B$4:$B$703,A836,Benefits!$F$4:$F$703,B836,Benefits!$R$4:$R$703,"revenue"),0)</f>
        <v>0</v>
      </c>
      <c r="H836" s="11" t="n">
        <f aca="false">IF(D836=1,SUMIFS(Benefits!$S$4:$S$703,Benefits!$B$4:$B$703,A836,Benefits!$F$4:$F$703,B836,Benefits!$R$4:$R$703,"avoided_cost_realised"),0)</f>
        <v>0</v>
      </c>
      <c r="I836" s="11" t="n">
        <f aca="false">IF(D836=1,SUMIFS(Benefits!$S$4:$S$703,Benefits!$B$4:$B$703,A836,Benefits!$F$4:$F$703,B836,Benefits!$R$4:$R$703,"capacity_converted"),0)</f>
        <v>0</v>
      </c>
      <c r="J836" s="11" t="n">
        <f aca="false">SUM(F836:I836)</f>
        <v>0</v>
      </c>
      <c r="K836" s="11" t="n">
        <f aca="false">J836-E836</f>
        <v>0</v>
      </c>
      <c r="L836" s="11" t="n">
        <f aca="false">IF(D836=1,L835+K836,0)</f>
        <v>-20000</v>
      </c>
      <c r="M836" s="11" t="n">
        <f aca="false">IF(D836=1,1/(1+Controls!$B$11)^B836,0)</f>
        <v>0.974672696043417</v>
      </c>
      <c r="N836" s="11" t="n">
        <f aca="false">K836*M836</f>
        <v>0</v>
      </c>
      <c r="O836" s="11" t="n">
        <f aca="false">IF(D836=1,O835+N836,0)</f>
        <v>-20000</v>
      </c>
      <c r="P836" s="11" t="n">
        <f aca="false">IF(AND(D836=1,L836&lt;0),1,0)</f>
        <v>1</v>
      </c>
      <c r="Q836" s="11" t="n">
        <f aca="false">IF(AND(D836=1,O836&lt;0),1,0)</f>
        <v>1</v>
      </c>
    </row>
    <row r="837" customFormat="false" ht="15" hidden="false" customHeight="false" outlineLevel="0" collapsed="false">
      <c r="A837" s="4" t="s">
        <v>106</v>
      </c>
      <c r="B837" s="4" t="n">
        <v>5</v>
      </c>
      <c r="C837" s="11" t="n">
        <f aca="false">IF(COUNTIF('Scenario inputs'!$A$4:$A$213,Controls!$B$3&amp;"|"&amp;A837)&gt;0,1,0)</f>
        <v>1</v>
      </c>
      <c r="D837" s="11" t="n">
        <f aca="false">IF(AND(C837=1,B837&lt;Controls!$B$12),1,0)</f>
        <v>1</v>
      </c>
      <c r="E837" s="11" t="n">
        <f aca="false">IF(D837=1,SUMPRODUCT((Costs!$B$4:$B$903=A837)*(Costs!$D$4:$D$903="planned")*(Costs!$J$4:$J$903&lt;=B837)*(Costs!$K$4:$K$903&gt;B837)*Costs!$E$4:$E$903),0)</f>
        <v>0</v>
      </c>
      <c r="F837" s="11" t="n">
        <f aca="false">IF(D837=1,SUMIFS(Benefits!$S$4:$S$703,Benefits!$B$4:$B$703,A837,Benefits!$F$4:$F$703,B837,Benefits!$R$4:$R$703,"cash"),0)</f>
        <v>0</v>
      </c>
      <c r="G837" s="11" t="n">
        <f aca="false">IF(D837=1,SUMIFS(Benefits!$S$4:$S$703,Benefits!$B$4:$B$703,A837,Benefits!$F$4:$F$703,B837,Benefits!$R$4:$R$703,"revenue"),0)</f>
        <v>0</v>
      </c>
      <c r="H837" s="11" t="n">
        <f aca="false">IF(D837=1,SUMIFS(Benefits!$S$4:$S$703,Benefits!$B$4:$B$703,A837,Benefits!$F$4:$F$703,B837,Benefits!$R$4:$R$703,"avoided_cost_realised"),0)</f>
        <v>0</v>
      </c>
      <c r="I837" s="11" t="n">
        <f aca="false">IF(D837=1,SUMIFS(Benefits!$S$4:$S$703,Benefits!$B$4:$B$703,A837,Benefits!$F$4:$F$703,B837,Benefits!$R$4:$R$703,"capacity_converted"),0)</f>
        <v>0</v>
      </c>
      <c r="J837" s="11" t="n">
        <f aca="false">SUM(F837:I837)</f>
        <v>0</v>
      </c>
      <c r="K837" s="11" t="n">
        <f aca="false">J837-E837</f>
        <v>0</v>
      </c>
      <c r="L837" s="11" t="n">
        <f aca="false">IF(D837=1,L836+K837,0)</f>
        <v>-20000</v>
      </c>
      <c r="M837" s="11" t="n">
        <f aca="false">IF(D837=1,1/(1+Controls!$B$11)^B837,0)</f>
        <v>0.968441741876185</v>
      </c>
      <c r="N837" s="11" t="n">
        <f aca="false">K837*M837</f>
        <v>0</v>
      </c>
      <c r="O837" s="11" t="n">
        <f aca="false">IF(D837=1,O836+N837,0)</f>
        <v>-20000</v>
      </c>
      <c r="P837" s="11" t="n">
        <f aca="false">IF(AND(D837=1,L837&lt;0),1,0)</f>
        <v>1</v>
      </c>
      <c r="Q837" s="11" t="n">
        <f aca="false">IF(AND(D837=1,O837&lt;0),1,0)</f>
        <v>1</v>
      </c>
    </row>
    <row r="838" customFormat="false" ht="15" hidden="false" customHeight="false" outlineLevel="0" collapsed="false">
      <c r="A838" s="4" t="s">
        <v>106</v>
      </c>
      <c r="B838" s="4" t="n">
        <v>6</v>
      </c>
      <c r="C838" s="11" t="n">
        <f aca="false">IF(COUNTIF('Scenario inputs'!$A$4:$A$213,Controls!$B$3&amp;"|"&amp;A838)&gt;0,1,0)</f>
        <v>1</v>
      </c>
      <c r="D838" s="11" t="n">
        <f aca="false">IF(AND(C838=1,B838&lt;Controls!$B$12),1,0)</f>
        <v>1</v>
      </c>
      <c r="E838" s="11" t="n">
        <f aca="false">IF(D838=1,SUMPRODUCT((Costs!$B$4:$B$903=A838)*(Costs!$D$4:$D$903="planned")*(Costs!$J$4:$J$903&lt;=B838)*(Costs!$K$4:$K$903&gt;B838)*Costs!$E$4:$E$903),0)</f>
        <v>0</v>
      </c>
      <c r="F838" s="11" t="n">
        <f aca="false">IF(D838=1,SUMIFS(Benefits!$S$4:$S$703,Benefits!$B$4:$B$703,A838,Benefits!$F$4:$F$703,B838,Benefits!$R$4:$R$703,"cash"),0)</f>
        <v>0</v>
      </c>
      <c r="G838" s="11" t="n">
        <f aca="false">IF(D838=1,SUMIFS(Benefits!$S$4:$S$703,Benefits!$B$4:$B$703,A838,Benefits!$F$4:$F$703,B838,Benefits!$R$4:$R$703,"revenue"),0)</f>
        <v>0</v>
      </c>
      <c r="H838" s="11" t="n">
        <f aca="false">IF(D838=1,SUMIFS(Benefits!$S$4:$S$703,Benefits!$B$4:$B$703,A838,Benefits!$F$4:$F$703,B838,Benefits!$R$4:$R$703,"avoided_cost_realised"),0)</f>
        <v>0</v>
      </c>
      <c r="I838" s="11" t="n">
        <f aca="false">IF(D838=1,SUMIFS(Benefits!$S$4:$S$703,Benefits!$B$4:$B$703,A838,Benefits!$F$4:$F$703,B838,Benefits!$R$4:$R$703,"capacity_converted"),0)</f>
        <v>0</v>
      </c>
      <c r="J838" s="11" t="n">
        <f aca="false">SUM(F838:I838)</f>
        <v>0</v>
      </c>
      <c r="K838" s="11" t="n">
        <f aca="false">J838-E838</f>
        <v>0</v>
      </c>
      <c r="L838" s="11" t="n">
        <f aca="false">IF(D838=1,L837+K838,0)</f>
        <v>-20000</v>
      </c>
      <c r="M838" s="11" t="n">
        <f aca="false">IF(D838=1,1/(1+Controls!$B$11)^B838,0)</f>
        <v>0.962250621378238</v>
      </c>
      <c r="N838" s="11" t="n">
        <f aca="false">K838*M838</f>
        <v>0</v>
      </c>
      <c r="O838" s="11" t="n">
        <f aca="false">IF(D838=1,O837+N838,0)</f>
        <v>-20000</v>
      </c>
      <c r="P838" s="11" t="n">
        <f aca="false">IF(AND(D838=1,L838&lt;0),1,0)</f>
        <v>1</v>
      </c>
      <c r="Q838" s="11" t="n">
        <f aca="false">IF(AND(D838=1,O838&lt;0),1,0)</f>
        <v>1</v>
      </c>
    </row>
    <row r="839" customFormat="false" ht="15" hidden="false" customHeight="false" outlineLevel="0" collapsed="false">
      <c r="A839" s="4" t="s">
        <v>106</v>
      </c>
      <c r="B839" s="4" t="n">
        <v>7</v>
      </c>
      <c r="C839" s="11" t="n">
        <f aca="false">IF(COUNTIF('Scenario inputs'!$A$4:$A$213,Controls!$B$3&amp;"|"&amp;A839)&gt;0,1,0)</f>
        <v>1</v>
      </c>
      <c r="D839" s="11" t="n">
        <f aca="false">IF(AND(C839=1,B839&lt;Controls!$B$12),1,0)</f>
        <v>1</v>
      </c>
      <c r="E839" s="11" t="n">
        <f aca="false">IF(D839=1,SUMPRODUCT((Costs!$B$4:$B$903=A839)*(Costs!$D$4:$D$903="planned")*(Costs!$J$4:$J$903&lt;=B839)*(Costs!$K$4:$K$903&gt;B839)*Costs!$E$4:$E$903),0)</f>
        <v>239050</v>
      </c>
      <c r="F839" s="11" t="n">
        <f aca="false">IF(D839=1,SUMIFS(Benefits!$S$4:$S$703,Benefits!$B$4:$B$703,A839,Benefits!$F$4:$F$703,B839,Benefits!$R$4:$R$703,"cash"),0)</f>
        <v>0</v>
      </c>
      <c r="G839" s="11" t="n">
        <f aca="false">IF(D839=1,SUMIFS(Benefits!$S$4:$S$703,Benefits!$B$4:$B$703,A839,Benefits!$F$4:$F$703,B839,Benefits!$R$4:$R$703,"revenue"),0)</f>
        <v>0</v>
      </c>
      <c r="H839" s="11" t="n">
        <f aca="false">IF(D839=1,SUMIFS(Benefits!$S$4:$S$703,Benefits!$B$4:$B$703,A839,Benefits!$F$4:$F$703,B839,Benefits!$R$4:$R$703,"avoided_cost_realised"),0)</f>
        <v>0</v>
      </c>
      <c r="I839" s="11" t="n">
        <f aca="false">IF(D839=1,SUMIFS(Benefits!$S$4:$S$703,Benefits!$B$4:$B$703,A839,Benefits!$F$4:$F$703,B839,Benefits!$R$4:$R$703,"capacity_converted"),0)</f>
        <v>0</v>
      </c>
      <c r="J839" s="11" t="n">
        <f aca="false">SUM(F839:I839)</f>
        <v>0</v>
      </c>
      <c r="K839" s="11" t="n">
        <f aca="false">J839-E839</f>
        <v>-239050</v>
      </c>
      <c r="L839" s="11" t="n">
        <f aca="false">IF(D839=1,L838+K839,0)</f>
        <v>-259050</v>
      </c>
      <c r="M839" s="11" t="n">
        <f aca="false">IF(D839=1,1/(1+Controls!$B$11)^B839,0)</f>
        <v>0.956099079898173</v>
      </c>
      <c r="N839" s="11" t="n">
        <f aca="false">K839*M839</f>
        <v>-228555.485049658</v>
      </c>
      <c r="O839" s="11" t="n">
        <f aca="false">IF(D839=1,O838+N839,0)</f>
        <v>-248555.485049658</v>
      </c>
      <c r="P839" s="11" t="n">
        <f aca="false">IF(AND(D839=1,L839&lt;0),1,0)</f>
        <v>1</v>
      </c>
      <c r="Q839" s="11" t="n">
        <f aca="false">IF(AND(D839=1,O839&lt;0),1,0)</f>
        <v>1</v>
      </c>
    </row>
    <row r="840" customFormat="false" ht="15" hidden="false" customHeight="false" outlineLevel="0" collapsed="false">
      <c r="A840" s="4" t="s">
        <v>106</v>
      </c>
      <c r="B840" s="4" t="n">
        <v>8</v>
      </c>
      <c r="C840" s="11" t="n">
        <f aca="false">IF(COUNTIF('Scenario inputs'!$A$4:$A$213,Controls!$B$3&amp;"|"&amp;A840)&gt;0,1,0)</f>
        <v>1</v>
      </c>
      <c r="D840" s="11" t="n">
        <f aca="false">IF(AND(C840=1,B840&lt;Controls!$B$12),1,0)</f>
        <v>1</v>
      </c>
      <c r="E840" s="11" t="n">
        <f aca="false">IF(D840=1,SUMPRODUCT((Costs!$B$4:$B$903=A840)*(Costs!$D$4:$D$903="planned")*(Costs!$J$4:$J$903&lt;=B840)*(Costs!$K$4:$K$903&gt;B840)*Costs!$E$4:$E$903),0)</f>
        <v>334550</v>
      </c>
      <c r="F840" s="11" t="n">
        <f aca="false">IF(D840=1,SUMIFS(Benefits!$S$4:$S$703,Benefits!$B$4:$B$703,A840,Benefits!$F$4:$F$703,B840,Benefits!$R$4:$R$703,"cash"),0)</f>
        <v>0</v>
      </c>
      <c r="G840" s="11" t="n">
        <f aca="false">IF(D840=1,SUMIFS(Benefits!$S$4:$S$703,Benefits!$B$4:$B$703,A840,Benefits!$F$4:$F$703,B840,Benefits!$R$4:$R$703,"revenue"),0)</f>
        <v>0</v>
      </c>
      <c r="H840" s="11" t="n">
        <f aca="false">IF(D840=1,SUMIFS(Benefits!$S$4:$S$703,Benefits!$B$4:$B$703,A840,Benefits!$F$4:$F$703,B840,Benefits!$R$4:$R$703,"avoided_cost_realised"),0)</f>
        <v>0</v>
      </c>
      <c r="I840" s="11" t="n">
        <f aca="false">IF(D840=1,SUMIFS(Benefits!$S$4:$S$703,Benefits!$B$4:$B$703,A840,Benefits!$F$4:$F$703,B840,Benefits!$R$4:$R$703,"capacity_converted"),0)</f>
        <v>0</v>
      </c>
      <c r="J840" s="11" t="n">
        <f aca="false">SUM(F840:I840)</f>
        <v>0</v>
      </c>
      <c r="K840" s="11" t="n">
        <f aca="false">J840-E840</f>
        <v>-334550</v>
      </c>
      <c r="L840" s="11" t="n">
        <f aca="false">IF(D840=1,L839+K840,0)</f>
        <v>-593600</v>
      </c>
      <c r="M840" s="11" t="n">
        <f aca="false">IF(D840=1,1/(1+Controls!$B$11)^B840,0)</f>
        <v>0.949986864412542</v>
      </c>
      <c r="N840" s="11" t="n">
        <f aca="false">K840*M840</f>
        <v>-317818.105489216</v>
      </c>
      <c r="O840" s="11" t="n">
        <f aca="false">IF(D840=1,O839+N840,0)</f>
        <v>-566373.590538874</v>
      </c>
      <c r="P840" s="11" t="n">
        <f aca="false">IF(AND(D840=1,L840&lt;0),1,0)</f>
        <v>1</v>
      </c>
      <c r="Q840" s="11" t="n">
        <f aca="false">IF(AND(D840=1,O840&lt;0),1,0)</f>
        <v>1</v>
      </c>
    </row>
    <row r="841" customFormat="false" ht="15" hidden="false" customHeight="false" outlineLevel="0" collapsed="false">
      <c r="A841" s="4" t="s">
        <v>106</v>
      </c>
      <c r="B841" s="4" t="n">
        <v>9</v>
      </c>
      <c r="C841" s="11" t="n">
        <f aca="false">IF(COUNTIF('Scenario inputs'!$A$4:$A$213,Controls!$B$3&amp;"|"&amp;A841)&gt;0,1,0)</f>
        <v>1</v>
      </c>
      <c r="D841" s="11" t="n">
        <f aca="false">IF(AND(C841=1,B841&lt;Controls!$B$12),1,0)</f>
        <v>1</v>
      </c>
      <c r="E841" s="11" t="n">
        <f aca="false">IF(D841=1,SUMPRODUCT((Costs!$B$4:$B$903=A841)*(Costs!$D$4:$D$903="planned")*(Costs!$J$4:$J$903&lt;=B841)*(Costs!$K$4:$K$903&gt;B841)*Costs!$E$4:$E$903),0)</f>
        <v>0</v>
      </c>
      <c r="F841" s="11" t="n">
        <f aca="false">IF(D841=1,SUMIFS(Benefits!$S$4:$S$703,Benefits!$B$4:$B$703,A841,Benefits!$F$4:$F$703,B841,Benefits!$R$4:$R$703,"cash"),0)</f>
        <v>0</v>
      </c>
      <c r="G841" s="11" t="n">
        <f aca="false">IF(D841=1,SUMIFS(Benefits!$S$4:$S$703,Benefits!$B$4:$B$703,A841,Benefits!$F$4:$F$703,B841,Benefits!$R$4:$R$703,"revenue"),0)</f>
        <v>0</v>
      </c>
      <c r="H841" s="11" t="n">
        <f aca="false">IF(D841=1,SUMIFS(Benefits!$S$4:$S$703,Benefits!$B$4:$B$703,A841,Benefits!$F$4:$F$703,B841,Benefits!$R$4:$R$703,"avoided_cost_realised"),0)</f>
        <v>0</v>
      </c>
      <c r="I841" s="11" t="n">
        <f aca="false">IF(D841=1,SUMIFS(Benefits!$S$4:$S$703,Benefits!$B$4:$B$703,A841,Benefits!$F$4:$F$703,B841,Benefits!$R$4:$R$703,"capacity_converted"),0)</f>
        <v>0</v>
      </c>
      <c r="J841" s="11" t="n">
        <f aca="false">SUM(F841:I841)</f>
        <v>0</v>
      </c>
      <c r="K841" s="11" t="n">
        <f aca="false">J841-E841</f>
        <v>0</v>
      </c>
      <c r="L841" s="11" t="n">
        <f aca="false">IF(D841=1,L840+K841,0)</f>
        <v>-593600</v>
      </c>
      <c r="M841" s="11" t="n">
        <f aca="false">IF(D841=1,1/(1+Controls!$B$11)^B841,0)</f>
        <v>0.943913723515444</v>
      </c>
      <c r="N841" s="11" t="n">
        <f aca="false">K841*M841</f>
        <v>0</v>
      </c>
      <c r="O841" s="11" t="n">
        <f aca="false">IF(D841=1,O840+N841,0)</f>
        <v>-566373.590538874</v>
      </c>
      <c r="P841" s="11" t="n">
        <f aca="false">IF(AND(D841=1,L841&lt;0),1,0)</f>
        <v>1</v>
      </c>
      <c r="Q841" s="11" t="n">
        <f aca="false">IF(AND(D841=1,O841&lt;0),1,0)</f>
        <v>1</v>
      </c>
    </row>
    <row r="842" customFormat="false" ht="15" hidden="false" customHeight="false" outlineLevel="0" collapsed="false">
      <c r="A842" s="4" t="s">
        <v>106</v>
      </c>
      <c r="B842" s="4" t="n">
        <v>10</v>
      </c>
      <c r="C842" s="11" t="n">
        <f aca="false">IF(COUNTIF('Scenario inputs'!$A$4:$A$213,Controls!$B$3&amp;"|"&amp;A842)&gt;0,1,0)</f>
        <v>1</v>
      </c>
      <c r="D842" s="11" t="n">
        <f aca="false">IF(AND(C842=1,B842&lt;Controls!$B$12),1,0)</f>
        <v>1</v>
      </c>
      <c r="E842" s="11" t="n">
        <f aca="false">IF(D842=1,SUMPRODUCT((Costs!$B$4:$B$903=A842)*(Costs!$D$4:$D$903="planned")*(Costs!$J$4:$J$903&lt;=B842)*(Costs!$K$4:$K$903&gt;B842)*Costs!$E$4:$E$903),0)</f>
        <v>381950</v>
      </c>
      <c r="F842" s="11" t="n">
        <f aca="false">IF(D842=1,SUMIFS(Benefits!$S$4:$S$703,Benefits!$B$4:$B$703,A842,Benefits!$F$4:$F$703,B842,Benefits!$R$4:$R$703,"cash"),0)</f>
        <v>0</v>
      </c>
      <c r="G842" s="11" t="n">
        <f aca="false">IF(D842=1,SUMIFS(Benefits!$S$4:$S$703,Benefits!$B$4:$B$703,A842,Benefits!$F$4:$F$703,B842,Benefits!$R$4:$R$703,"revenue"),0)</f>
        <v>0</v>
      </c>
      <c r="H842" s="11" t="n">
        <f aca="false">IF(D842=1,SUMIFS(Benefits!$S$4:$S$703,Benefits!$B$4:$B$703,A842,Benefits!$F$4:$F$703,B842,Benefits!$R$4:$R$703,"avoided_cost_realised"),0)</f>
        <v>0</v>
      </c>
      <c r="I842" s="11" t="n">
        <f aca="false">IF(D842=1,SUMIFS(Benefits!$S$4:$S$703,Benefits!$B$4:$B$703,A842,Benefits!$F$4:$F$703,B842,Benefits!$R$4:$R$703,"capacity_converted"),0)</f>
        <v>0</v>
      </c>
      <c r="J842" s="11" t="n">
        <f aca="false">SUM(F842:I842)</f>
        <v>0</v>
      </c>
      <c r="K842" s="11" t="n">
        <f aca="false">J842-E842</f>
        <v>-381950</v>
      </c>
      <c r="L842" s="11" t="n">
        <f aca="false">IF(D842=1,L841+K842,0)</f>
        <v>-975550</v>
      </c>
      <c r="M842" s="11" t="n">
        <f aca="false">IF(D842=1,1/(1+Controls!$B$11)^B842,0)</f>
        <v>0.93787940740818</v>
      </c>
      <c r="N842" s="11" t="n">
        <f aca="false">K842*M842</f>
        <v>-358223.039659554</v>
      </c>
      <c r="O842" s="11" t="n">
        <f aca="false">IF(D842=1,O841+N842,0)</f>
        <v>-924596.630198428</v>
      </c>
      <c r="P842" s="11" t="n">
        <f aca="false">IF(AND(D842=1,L842&lt;0),1,0)</f>
        <v>1</v>
      </c>
      <c r="Q842" s="11" t="n">
        <f aca="false">IF(AND(D842=1,O842&lt;0),1,0)</f>
        <v>1</v>
      </c>
    </row>
    <row r="843" customFormat="false" ht="15" hidden="false" customHeight="false" outlineLevel="0" collapsed="false">
      <c r="A843" s="4" t="s">
        <v>106</v>
      </c>
      <c r="B843" s="4" t="n">
        <v>11</v>
      </c>
      <c r="C843" s="11" t="n">
        <f aca="false">IF(COUNTIF('Scenario inputs'!$A$4:$A$213,Controls!$B$3&amp;"|"&amp;A843)&gt;0,1,0)</f>
        <v>1</v>
      </c>
      <c r="D843" s="11" t="n">
        <f aca="false">IF(AND(C843=1,B843&lt;Controls!$B$12),1,0)</f>
        <v>1</v>
      </c>
      <c r="E843" s="11" t="n">
        <f aca="false">IF(D843=1,SUMPRODUCT((Costs!$B$4:$B$903=A843)*(Costs!$D$4:$D$903="planned")*(Costs!$J$4:$J$903&lt;=B843)*(Costs!$K$4:$K$903&gt;B843)*Costs!$E$4:$E$903),0)</f>
        <v>64450</v>
      </c>
      <c r="F843" s="11" t="n">
        <f aca="false">IF(D843=1,SUMIFS(Benefits!$S$4:$S$703,Benefits!$B$4:$B$703,A843,Benefits!$F$4:$F$703,B843,Benefits!$R$4:$R$703,"cash"),0)</f>
        <v>11473.3907</v>
      </c>
      <c r="G843" s="11" t="n">
        <f aca="false">IF(D843=1,SUMIFS(Benefits!$S$4:$S$703,Benefits!$B$4:$B$703,A843,Benefits!$F$4:$F$703,B843,Benefits!$R$4:$R$703,"revenue"),0)</f>
        <v>0</v>
      </c>
      <c r="H843" s="11" t="n">
        <f aca="false">IF(D843=1,SUMIFS(Benefits!$S$4:$S$703,Benefits!$B$4:$B$703,A843,Benefits!$F$4:$F$703,B843,Benefits!$R$4:$R$703,"avoided_cost_realised"),0)</f>
        <v>0</v>
      </c>
      <c r="I843" s="11" t="n">
        <f aca="false">IF(D843=1,SUMIFS(Benefits!$S$4:$S$703,Benefits!$B$4:$B$703,A843,Benefits!$F$4:$F$703,B843,Benefits!$R$4:$R$703,"capacity_converted"),0)</f>
        <v>0</v>
      </c>
      <c r="J843" s="11" t="n">
        <f aca="false">SUM(F843:I843)</f>
        <v>11473.3907</v>
      </c>
      <c r="K843" s="11" t="n">
        <f aca="false">J843-E843</f>
        <v>-52976.6093</v>
      </c>
      <c r="L843" s="11" t="n">
        <f aca="false">IF(D843=1,L842+K843,0)</f>
        <v>-1028526.6093</v>
      </c>
      <c r="M843" s="11" t="n">
        <f aca="false">IF(D843=1,1/(1+Controls!$B$11)^B843,0)</f>
        <v>0.931883667888982</v>
      </c>
      <c r="N843" s="11" t="n">
        <f aca="false">K843*M843</f>
        <v>-49368.0369868055</v>
      </c>
      <c r="O843" s="11" t="n">
        <f aca="false">IF(D843=1,O842+N843,0)</f>
        <v>-973964.667185234</v>
      </c>
      <c r="P843" s="11" t="n">
        <f aca="false">IF(AND(D843=1,L843&lt;0),1,0)</f>
        <v>1</v>
      </c>
      <c r="Q843" s="11" t="n">
        <f aca="false">IF(AND(D843=1,O843&lt;0),1,0)</f>
        <v>1</v>
      </c>
    </row>
    <row r="844" customFormat="false" ht="15" hidden="false" customHeight="false" outlineLevel="0" collapsed="false">
      <c r="A844" s="4" t="s">
        <v>106</v>
      </c>
      <c r="B844" s="4" t="n">
        <v>12</v>
      </c>
      <c r="C844" s="11" t="n">
        <f aca="false">IF(COUNTIF('Scenario inputs'!$A$4:$A$213,Controls!$B$3&amp;"|"&amp;A844)&gt;0,1,0)</f>
        <v>1</v>
      </c>
      <c r="D844" s="11" t="n">
        <f aca="false">IF(AND(C844=1,B844&lt;Controls!$B$12),1,0)</f>
        <v>1</v>
      </c>
      <c r="E844" s="11" t="n">
        <f aca="false">IF(D844=1,SUMPRODUCT((Costs!$B$4:$B$903=A844)*(Costs!$D$4:$D$903="planned")*(Costs!$J$4:$J$903&lt;=B844)*(Costs!$K$4:$K$903&gt;B844)*Costs!$E$4:$E$903),0)</f>
        <v>20000</v>
      </c>
      <c r="F844" s="11" t="n">
        <f aca="false">IF(D844=1,SUMIFS(Benefits!$S$4:$S$703,Benefits!$B$4:$B$703,A844,Benefits!$F$4:$F$703,B844,Benefits!$R$4:$R$703,"cash"),0)</f>
        <v>34420</v>
      </c>
      <c r="G844" s="11" t="n">
        <f aca="false">IF(D844=1,SUMIFS(Benefits!$S$4:$S$703,Benefits!$B$4:$B$703,A844,Benefits!$F$4:$F$703,B844,Benefits!$R$4:$R$703,"revenue"),0)</f>
        <v>0</v>
      </c>
      <c r="H844" s="11" t="n">
        <f aca="false">IF(D844=1,SUMIFS(Benefits!$S$4:$S$703,Benefits!$B$4:$B$703,A844,Benefits!$F$4:$F$703,B844,Benefits!$R$4:$R$703,"avoided_cost_realised"),0)</f>
        <v>0</v>
      </c>
      <c r="I844" s="11" t="n">
        <f aca="false">IF(D844=1,SUMIFS(Benefits!$S$4:$S$703,Benefits!$B$4:$B$703,A844,Benefits!$F$4:$F$703,B844,Benefits!$R$4:$R$703,"capacity_converted"),0)</f>
        <v>0</v>
      </c>
      <c r="J844" s="11" t="n">
        <f aca="false">SUM(F844:I844)</f>
        <v>34420</v>
      </c>
      <c r="K844" s="11" t="n">
        <f aca="false">J844-E844</f>
        <v>14420</v>
      </c>
      <c r="L844" s="11" t="n">
        <f aca="false">IF(D844=1,L843+K844,0)</f>
        <v>-1014106.6093</v>
      </c>
      <c r="M844" s="11" t="n">
        <f aca="false">IF(D844=1,1/(1+Controls!$B$11)^B844,0)</f>
        <v>0.925926258342804</v>
      </c>
      <c r="N844" s="11" t="n">
        <f aca="false">K844*M844</f>
        <v>13351.8566453032</v>
      </c>
      <c r="O844" s="11" t="n">
        <f aca="false">IF(D844=1,O843+N844,0)</f>
        <v>-960612.810539931</v>
      </c>
      <c r="P844" s="11" t="n">
        <f aca="false">IF(AND(D844=1,L844&lt;0),1,0)</f>
        <v>1</v>
      </c>
      <c r="Q844" s="11" t="n">
        <f aca="false">IF(AND(D844=1,O844&lt;0),1,0)</f>
        <v>1</v>
      </c>
    </row>
    <row r="845" customFormat="false" ht="15" hidden="false" customHeight="false" outlineLevel="0" collapsed="false">
      <c r="A845" s="4" t="s">
        <v>106</v>
      </c>
      <c r="B845" s="4" t="n">
        <v>13</v>
      </c>
      <c r="C845" s="11" t="n">
        <f aca="false">IF(COUNTIF('Scenario inputs'!$A$4:$A$213,Controls!$B$3&amp;"|"&amp;A845)&gt;0,1,0)</f>
        <v>1</v>
      </c>
      <c r="D845" s="11" t="n">
        <f aca="false">IF(AND(C845=1,B845&lt;Controls!$B$12),1,0)</f>
        <v>1</v>
      </c>
      <c r="E845" s="11" t="n">
        <f aca="false">IF(D845=1,SUMPRODUCT((Costs!$B$4:$B$903=A845)*(Costs!$D$4:$D$903="planned")*(Costs!$J$4:$J$903&lt;=B845)*(Costs!$K$4:$K$903&gt;B845)*Costs!$E$4:$E$903),0)</f>
        <v>20000</v>
      </c>
      <c r="F845" s="11" t="n">
        <f aca="false">IF(D845=1,SUMIFS(Benefits!$S$4:$S$703,Benefits!$B$4:$B$703,A845,Benefits!$F$4:$F$703,B845,Benefits!$R$4:$R$703,"cash"),0)</f>
        <v>68840</v>
      </c>
      <c r="G845" s="11" t="n">
        <f aca="false">IF(D845=1,SUMIFS(Benefits!$S$4:$S$703,Benefits!$B$4:$B$703,A845,Benefits!$F$4:$F$703,B845,Benefits!$R$4:$R$703,"revenue"),0)</f>
        <v>0</v>
      </c>
      <c r="H845" s="11" t="n">
        <f aca="false">IF(D845=1,SUMIFS(Benefits!$S$4:$S$703,Benefits!$B$4:$B$703,A845,Benefits!$F$4:$F$703,B845,Benefits!$R$4:$R$703,"avoided_cost_realised"),0)</f>
        <v>0</v>
      </c>
      <c r="I845" s="11" t="n">
        <f aca="false">IF(D845=1,SUMIFS(Benefits!$S$4:$S$703,Benefits!$B$4:$B$703,A845,Benefits!$F$4:$F$703,B845,Benefits!$R$4:$R$703,"capacity_converted"),0)</f>
        <v>0</v>
      </c>
      <c r="J845" s="11" t="n">
        <f aca="false">SUM(F845:I845)</f>
        <v>68840</v>
      </c>
      <c r="K845" s="11" t="n">
        <f aca="false">J845-E845</f>
        <v>48840</v>
      </c>
      <c r="L845" s="11" t="n">
        <f aca="false">IF(D845=1,L844+K845,0)</f>
        <v>-965266.6093</v>
      </c>
      <c r="M845" s="11" t="n">
        <f aca="false">IF(D845=1,1/(1+Controls!$B$11)^B845,0)</f>
        <v>0.920006933731178</v>
      </c>
      <c r="N845" s="11" t="n">
        <f aca="false">K845*M845</f>
        <v>44933.1386434307</v>
      </c>
      <c r="O845" s="11" t="n">
        <f aca="false">IF(D845=1,O844+N845,0)</f>
        <v>-915679.6718965</v>
      </c>
      <c r="P845" s="11" t="n">
        <f aca="false">IF(AND(D845=1,L845&lt;0),1,0)</f>
        <v>1</v>
      </c>
      <c r="Q845" s="11" t="n">
        <f aca="false">IF(AND(D845=1,O845&lt;0),1,0)</f>
        <v>1</v>
      </c>
    </row>
    <row r="846" customFormat="false" ht="15" hidden="false" customHeight="false" outlineLevel="0" collapsed="false">
      <c r="A846" s="4" t="s">
        <v>106</v>
      </c>
      <c r="B846" s="4" t="n">
        <v>14</v>
      </c>
      <c r="C846" s="11" t="n">
        <f aca="false">IF(COUNTIF('Scenario inputs'!$A$4:$A$213,Controls!$B$3&amp;"|"&amp;A846)&gt;0,1,0)</f>
        <v>1</v>
      </c>
      <c r="D846" s="11" t="n">
        <f aca="false">IF(AND(C846=1,B846&lt;Controls!$B$12),1,0)</f>
        <v>1</v>
      </c>
      <c r="E846" s="11" t="n">
        <f aca="false">IF(D846=1,SUMPRODUCT((Costs!$B$4:$B$903=A846)*(Costs!$D$4:$D$903="planned")*(Costs!$J$4:$J$903&lt;=B846)*(Costs!$K$4:$K$903&gt;B846)*Costs!$E$4:$E$903),0)</f>
        <v>20000</v>
      </c>
      <c r="F846" s="11" t="n">
        <f aca="false">IF(D846=1,SUMIFS(Benefits!$S$4:$S$703,Benefits!$B$4:$B$703,A846,Benefits!$F$4:$F$703,B846,Benefits!$R$4:$R$703,"cash"),0)</f>
        <v>114733.3907</v>
      </c>
      <c r="G846" s="11" t="n">
        <f aca="false">IF(D846=1,SUMIFS(Benefits!$S$4:$S$703,Benefits!$B$4:$B$703,A846,Benefits!$F$4:$F$703,B846,Benefits!$R$4:$R$703,"revenue"),0)</f>
        <v>0</v>
      </c>
      <c r="H846" s="11" t="n">
        <f aca="false">IF(D846=1,SUMIFS(Benefits!$S$4:$S$703,Benefits!$B$4:$B$703,A846,Benefits!$F$4:$F$703,B846,Benefits!$R$4:$R$703,"avoided_cost_realised"),0)</f>
        <v>0</v>
      </c>
      <c r="I846" s="11" t="n">
        <f aca="false">IF(D846=1,SUMIFS(Benefits!$S$4:$S$703,Benefits!$B$4:$B$703,A846,Benefits!$F$4:$F$703,B846,Benefits!$R$4:$R$703,"capacity_converted"),0)</f>
        <v>0</v>
      </c>
      <c r="J846" s="11" t="n">
        <f aca="false">SUM(F846:I846)</f>
        <v>114733.3907</v>
      </c>
      <c r="K846" s="11" t="n">
        <f aca="false">J846-E846</f>
        <v>94733.3907</v>
      </c>
      <c r="L846" s="11" t="n">
        <f aca="false">IF(D846=1,L845+K846,0)</f>
        <v>-870533.2186</v>
      </c>
      <c r="M846" s="11" t="n">
        <f aca="false">IF(D846=1,1/(1+Controls!$B$11)^B846,0)</f>
        <v>0.914125450582132</v>
      </c>
      <c r="N846" s="11" t="n">
        <f aca="false">K846*M846</f>
        <v>86598.2034588107</v>
      </c>
      <c r="O846" s="11" t="n">
        <f aca="false">IF(D846=1,O845+N846,0)</f>
        <v>-829081.468437689</v>
      </c>
      <c r="P846" s="11" t="n">
        <f aca="false">IF(AND(D846=1,L846&lt;0),1,0)</f>
        <v>1</v>
      </c>
      <c r="Q846" s="11" t="n">
        <f aca="false">IF(AND(D846=1,O846&lt;0),1,0)</f>
        <v>1</v>
      </c>
    </row>
    <row r="847" customFormat="false" ht="15" hidden="false" customHeight="false" outlineLevel="0" collapsed="false">
      <c r="A847" s="4" t="s">
        <v>106</v>
      </c>
      <c r="B847" s="4" t="n">
        <v>15</v>
      </c>
      <c r="C847" s="11" t="n">
        <f aca="false">IF(COUNTIF('Scenario inputs'!$A$4:$A$213,Controls!$B$3&amp;"|"&amp;A847)&gt;0,1,0)</f>
        <v>1</v>
      </c>
      <c r="D847" s="11" t="n">
        <f aca="false">IF(AND(C847=1,B847&lt;Controls!$B$12),1,0)</f>
        <v>1</v>
      </c>
      <c r="E847" s="11" t="n">
        <f aca="false">IF(D847=1,SUMPRODUCT((Costs!$B$4:$B$903=A847)*(Costs!$D$4:$D$903="planned")*(Costs!$J$4:$J$903&lt;=B847)*(Costs!$K$4:$K$903&gt;B847)*Costs!$E$4:$E$903),0)</f>
        <v>20000</v>
      </c>
      <c r="F847" s="11" t="n">
        <f aca="false">IF(D847=1,SUMIFS(Benefits!$S$4:$S$703,Benefits!$B$4:$B$703,A847,Benefits!$F$4:$F$703,B847,Benefits!$R$4:$R$703,"cash"),0)</f>
        <v>172100</v>
      </c>
      <c r="G847" s="11" t="n">
        <f aca="false">IF(D847=1,SUMIFS(Benefits!$S$4:$S$703,Benefits!$B$4:$B$703,A847,Benefits!$F$4:$F$703,B847,Benefits!$R$4:$R$703,"revenue"),0)</f>
        <v>0</v>
      </c>
      <c r="H847" s="11" t="n">
        <f aca="false">IF(D847=1,SUMIFS(Benefits!$S$4:$S$703,Benefits!$B$4:$B$703,A847,Benefits!$F$4:$F$703,B847,Benefits!$R$4:$R$703,"avoided_cost_realised"),0)</f>
        <v>0</v>
      </c>
      <c r="I847" s="11" t="n">
        <f aca="false">IF(D847=1,SUMIFS(Benefits!$S$4:$S$703,Benefits!$B$4:$B$703,A847,Benefits!$F$4:$F$703,B847,Benefits!$R$4:$R$703,"capacity_converted"),0)</f>
        <v>0</v>
      </c>
      <c r="J847" s="11" t="n">
        <f aca="false">SUM(F847:I847)</f>
        <v>172100</v>
      </c>
      <c r="K847" s="11" t="n">
        <f aca="false">J847-E847</f>
        <v>152100</v>
      </c>
      <c r="L847" s="11" t="n">
        <f aca="false">IF(D847=1,L846+K847,0)</f>
        <v>-718433.2186</v>
      </c>
      <c r="M847" s="11" t="n">
        <f aca="false">IF(D847=1,1/(1+Controls!$B$11)^B847,0)</f>
        <v>0.908281566980182</v>
      </c>
      <c r="N847" s="11" t="n">
        <f aca="false">K847*M847</f>
        <v>138149.626337686</v>
      </c>
      <c r="O847" s="11" t="n">
        <f aca="false">IF(D847=1,O846+N847,0)</f>
        <v>-690931.842100004</v>
      </c>
      <c r="P847" s="11" t="n">
        <f aca="false">IF(AND(D847=1,L847&lt;0),1,0)</f>
        <v>1</v>
      </c>
      <c r="Q847" s="11" t="n">
        <f aca="false">IF(AND(D847=1,O847&lt;0),1,0)</f>
        <v>1</v>
      </c>
    </row>
    <row r="848" customFormat="false" ht="15" hidden="false" customHeight="false" outlineLevel="0" collapsed="false">
      <c r="A848" s="4" t="s">
        <v>106</v>
      </c>
      <c r="B848" s="4" t="n">
        <v>16</v>
      </c>
      <c r="C848" s="11" t="n">
        <f aca="false">IF(COUNTIF('Scenario inputs'!$A$4:$A$213,Controls!$B$3&amp;"|"&amp;A848)&gt;0,1,0)</f>
        <v>1</v>
      </c>
      <c r="D848" s="11" t="n">
        <f aca="false">IF(AND(C848=1,B848&lt;Controls!$B$12),1,0)</f>
        <v>1</v>
      </c>
      <c r="E848" s="11" t="n">
        <f aca="false">IF(D848=1,SUMPRODUCT((Costs!$B$4:$B$903=A848)*(Costs!$D$4:$D$903="planned")*(Costs!$J$4:$J$903&lt;=B848)*(Costs!$K$4:$K$903&gt;B848)*Costs!$E$4:$E$903),0)</f>
        <v>20000</v>
      </c>
      <c r="F848" s="11" t="n">
        <f aca="false">IF(D848=1,SUMIFS(Benefits!$S$4:$S$703,Benefits!$B$4:$B$703,A848,Benefits!$F$4:$F$703,B848,Benefits!$R$4:$R$703,"cash"),0)</f>
        <v>172100</v>
      </c>
      <c r="G848" s="11" t="n">
        <f aca="false">IF(D848=1,SUMIFS(Benefits!$S$4:$S$703,Benefits!$B$4:$B$703,A848,Benefits!$F$4:$F$703,B848,Benefits!$R$4:$R$703,"revenue"),0)</f>
        <v>0</v>
      </c>
      <c r="H848" s="11" t="n">
        <f aca="false">IF(D848=1,SUMIFS(Benefits!$S$4:$S$703,Benefits!$B$4:$B$703,A848,Benefits!$F$4:$F$703,B848,Benefits!$R$4:$R$703,"avoided_cost_realised"),0)</f>
        <v>0</v>
      </c>
      <c r="I848" s="11" t="n">
        <f aca="false">IF(D848=1,SUMIFS(Benefits!$S$4:$S$703,Benefits!$B$4:$B$703,A848,Benefits!$F$4:$F$703,B848,Benefits!$R$4:$R$703,"capacity_converted"),0)</f>
        <v>0</v>
      </c>
      <c r="J848" s="11" t="n">
        <f aca="false">SUM(F848:I848)</f>
        <v>172100</v>
      </c>
      <c r="K848" s="11" t="n">
        <f aca="false">J848-E848</f>
        <v>152100</v>
      </c>
      <c r="L848" s="11" t="n">
        <f aca="false">IF(D848=1,L847+K848,0)</f>
        <v>-566333.2186</v>
      </c>
      <c r="M848" s="11" t="n">
        <f aca="false">IF(D848=1,1/(1+Controls!$B$11)^B848,0)</f>
        <v>0.902475042556374</v>
      </c>
      <c r="N848" s="11" t="n">
        <f aca="false">K848*M848</f>
        <v>137266.453972824</v>
      </c>
      <c r="O848" s="11" t="n">
        <f aca="false">IF(D848=1,O847+N848,0)</f>
        <v>-553665.388127179</v>
      </c>
      <c r="P848" s="11" t="n">
        <f aca="false">IF(AND(D848=1,L848&lt;0),1,0)</f>
        <v>1</v>
      </c>
      <c r="Q848" s="11" t="n">
        <f aca="false">IF(AND(D848=1,O848&lt;0),1,0)</f>
        <v>1</v>
      </c>
    </row>
    <row r="849" customFormat="false" ht="15" hidden="false" customHeight="false" outlineLevel="0" collapsed="false">
      <c r="A849" s="4" t="s">
        <v>106</v>
      </c>
      <c r="B849" s="4" t="n">
        <v>17</v>
      </c>
      <c r="C849" s="11" t="n">
        <f aca="false">IF(COUNTIF('Scenario inputs'!$A$4:$A$213,Controls!$B$3&amp;"|"&amp;A849)&gt;0,1,0)</f>
        <v>1</v>
      </c>
      <c r="D849" s="11" t="n">
        <f aca="false">IF(AND(C849=1,B849&lt;Controls!$B$12),1,0)</f>
        <v>1</v>
      </c>
      <c r="E849" s="11" t="n">
        <f aca="false">IF(D849=1,SUMPRODUCT((Costs!$B$4:$B$903=A849)*(Costs!$D$4:$D$903="planned")*(Costs!$J$4:$J$903&lt;=B849)*(Costs!$K$4:$K$903&gt;B849)*Costs!$E$4:$E$903),0)</f>
        <v>20700</v>
      </c>
      <c r="F849" s="11" t="n">
        <f aca="false">IF(D849=1,SUMIFS(Benefits!$S$4:$S$703,Benefits!$B$4:$B$703,A849,Benefits!$F$4:$F$703,B849,Benefits!$R$4:$R$703,"cash"),0)</f>
        <v>172100</v>
      </c>
      <c r="G849" s="11" t="n">
        <f aca="false">IF(D849=1,SUMIFS(Benefits!$S$4:$S$703,Benefits!$B$4:$B$703,A849,Benefits!$F$4:$F$703,B849,Benefits!$R$4:$R$703,"revenue"),0)</f>
        <v>0</v>
      </c>
      <c r="H849" s="11" t="n">
        <f aca="false">IF(D849=1,SUMIFS(Benefits!$S$4:$S$703,Benefits!$B$4:$B$703,A849,Benefits!$F$4:$F$703,B849,Benefits!$R$4:$R$703,"avoided_cost_realised"),0)</f>
        <v>0</v>
      </c>
      <c r="I849" s="11" t="n">
        <f aca="false">IF(D849=1,SUMIFS(Benefits!$S$4:$S$703,Benefits!$B$4:$B$703,A849,Benefits!$F$4:$F$703,B849,Benefits!$R$4:$R$703,"capacity_converted"),0)</f>
        <v>0</v>
      </c>
      <c r="J849" s="11" t="n">
        <f aca="false">SUM(F849:I849)</f>
        <v>172100</v>
      </c>
      <c r="K849" s="11" t="n">
        <f aca="false">J849-E849</f>
        <v>151400</v>
      </c>
      <c r="L849" s="11" t="n">
        <f aca="false">IF(D849=1,L848+K849,0)</f>
        <v>-414933.2186</v>
      </c>
      <c r="M849" s="11" t="n">
        <f aca="false">IF(D849=1,1/(1+Controls!$B$11)^B849,0)</f>
        <v>0.896705638478404</v>
      </c>
      <c r="N849" s="11" t="n">
        <f aca="false">K849*M849</f>
        <v>135761.23366563</v>
      </c>
      <c r="O849" s="11" t="n">
        <f aca="false">IF(D849=1,O848+N849,0)</f>
        <v>-417904.154461549</v>
      </c>
      <c r="P849" s="11" t="n">
        <f aca="false">IF(AND(D849=1,L849&lt;0),1,0)</f>
        <v>1</v>
      </c>
      <c r="Q849" s="11" t="n">
        <f aca="false">IF(AND(D849=1,O849&lt;0),1,0)</f>
        <v>1</v>
      </c>
    </row>
    <row r="850" customFormat="false" ht="15" hidden="false" customHeight="false" outlineLevel="0" collapsed="false">
      <c r="A850" s="4" t="s">
        <v>106</v>
      </c>
      <c r="B850" s="4" t="n">
        <v>18</v>
      </c>
      <c r="C850" s="11" t="n">
        <f aca="false">IF(COUNTIF('Scenario inputs'!$A$4:$A$213,Controls!$B$3&amp;"|"&amp;A850)&gt;0,1,0)</f>
        <v>1</v>
      </c>
      <c r="D850" s="11" t="n">
        <f aca="false">IF(AND(C850=1,B850&lt;Controls!$B$12),1,0)</f>
        <v>1</v>
      </c>
      <c r="E850" s="11" t="n">
        <f aca="false">IF(D850=1,SUMPRODUCT((Costs!$B$4:$B$903=A850)*(Costs!$D$4:$D$903="planned")*(Costs!$J$4:$J$903&lt;=B850)*(Costs!$K$4:$K$903&gt;B850)*Costs!$E$4:$E$903),0)</f>
        <v>20700</v>
      </c>
      <c r="F850" s="11" t="n">
        <f aca="false">IF(D850=1,SUMIFS(Benefits!$S$4:$S$703,Benefits!$B$4:$B$703,A850,Benefits!$F$4:$F$703,B850,Benefits!$R$4:$R$703,"cash"),0)</f>
        <v>172100</v>
      </c>
      <c r="G850" s="11" t="n">
        <f aca="false">IF(D850=1,SUMIFS(Benefits!$S$4:$S$703,Benefits!$B$4:$B$703,A850,Benefits!$F$4:$F$703,B850,Benefits!$R$4:$R$703,"revenue"),0)</f>
        <v>0</v>
      </c>
      <c r="H850" s="11" t="n">
        <f aca="false">IF(D850=1,SUMIFS(Benefits!$S$4:$S$703,Benefits!$B$4:$B$703,A850,Benefits!$F$4:$F$703,B850,Benefits!$R$4:$R$703,"avoided_cost_realised"),0)</f>
        <v>0</v>
      </c>
      <c r="I850" s="11" t="n">
        <f aca="false">IF(D850=1,SUMIFS(Benefits!$S$4:$S$703,Benefits!$B$4:$B$703,A850,Benefits!$F$4:$F$703,B850,Benefits!$R$4:$R$703,"capacity_converted"),0)</f>
        <v>0</v>
      </c>
      <c r="J850" s="11" t="n">
        <f aca="false">SUM(F850:I850)</f>
        <v>172100</v>
      </c>
      <c r="K850" s="11" t="n">
        <f aca="false">J850-E850</f>
        <v>151400</v>
      </c>
      <c r="L850" s="11" t="n">
        <f aca="false">IF(D850=1,L849+K850,0)</f>
        <v>-263533.2186</v>
      </c>
      <c r="M850" s="11" t="n">
        <f aca="false">IF(D850=1,1/(1+Controls!$B$11)^B850,0)</f>
        <v>0.89097311744079</v>
      </c>
      <c r="N850" s="11" t="n">
        <f aca="false">K850*M850</f>
        <v>134893.329980536</v>
      </c>
      <c r="O850" s="11" t="n">
        <f aca="false">IF(D850=1,O849+N850,0)</f>
        <v>-283010.824481013</v>
      </c>
      <c r="P850" s="11" t="n">
        <f aca="false">IF(AND(D850=1,L850&lt;0),1,0)</f>
        <v>1</v>
      </c>
      <c r="Q850" s="11" t="n">
        <f aca="false">IF(AND(D850=1,O850&lt;0),1,0)</f>
        <v>1</v>
      </c>
    </row>
    <row r="851" customFormat="false" ht="15" hidden="false" customHeight="false" outlineLevel="0" collapsed="false">
      <c r="A851" s="4" t="s">
        <v>106</v>
      </c>
      <c r="B851" s="4" t="n">
        <v>19</v>
      </c>
      <c r="C851" s="11" t="n">
        <f aca="false">IF(COUNTIF('Scenario inputs'!$A$4:$A$213,Controls!$B$3&amp;"|"&amp;A851)&gt;0,1,0)</f>
        <v>1</v>
      </c>
      <c r="D851" s="11" t="n">
        <f aca="false">IF(AND(C851=1,B851&lt;Controls!$B$12),1,0)</f>
        <v>1</v>
      </c>
      <c r="E851" s="11" t="n">
        <f aca="false">IF(D851=1,SUMPRODUCT((Costs!$B$4:$B$903=A851)*(Costs!$D$4:$D$903="planned")*(Costs!$J$4:$J$903&lt;=B851)*(Costs!$K$4:$K$903&gt;B851)*Costs!$E$4:$E$903),0)</f>
        <v>20700</v>
      </c>
      <c r="F851" s="11" t="n">
        <f aca="false">IF(D851=1,SUMIFS(Benefits!$S$4:$S$703,Benefits!$B$4:$B$703,A851,Benefits!$F$4:$F$703,B851,Benefits!$R$4:$R$703,"cash"),0)</f>
        <v>172100</v>
      </c>
      <c r="G851" s="11" t="n">
        <f aca="false">IF(D851=1,SUMIFS(Benefits!$S$4:$S$703,Benefits!$B$4:$B$703,A851,Benefits!$F$4:$F$703,B851,Benefits!$R$4:$R$703,"revenue"),0)</f>
        <v>0</v>
      </c>
      <c r="H851" s="11" t="n">
        <f aca="false">IF(D851=1,SUMIFS(Benefits!$S$4:$S$703,Benefits!$B$4:$B$703,A851,Benefits!$F$4:$F$703,B851,Benefits!$R$4:$R$703,"avoided_cost_realised"),0)</f>
        <v>0</v>
      </c>
      <c r="I851" s="11" t="n">
        <f aca="false">IF(D851=1,SUMIFS(Benefits!$S$4:$S$703,Benefits!$B$4:$B$703,A851,Benefits!$F$4:$F$703,B851,Benefits!$R$4:$R$703,"capacity_converted"),0)</f>
        <v>0</v>
      </c>
      <c r="J851" s="11" t="n">
        <f aca="false">SUM(F851:I851)</f>
        <v>172100</v>
      </c>
      <c r="K851" s="11" t="n">
        <f aca="false">J851-E851</f>
        <v>151400</v>
      </c>
      <c r="L851" s="11" t="n">
        <f aca="false">IF(D851=1,L850+K851,0)</f>
        <v>-112133.2186</v>
      </c>
      <c r="M851" s="11" t="n">
        <f aca="false">IF(D851=1,1/(1+Controls!$B$11)^B851,0)</f>
        <v>0.885277243655113</v>
      </c>
      <c r="N851" s="11" t="n">
        <f aca="false">K851*M851</f>
        <v>134030.974689384</v>
      </c>
      <c r="O851" s="11" t="n">
        <f aca="false">IF(D851=1,O850+N851,0)</f>
        <v>-148979.849791629</v>
      </c>
      <c r="P851" s="11" t="n">
        <f aca="false">IF(AND(D851=1,L851&lt;0),1,0)</f>
        <v>1</v>
      </c>
      <c r="Q851" s="11" t="n">
        <f aca="false">IF(AND(D851=1,O851&lt;0),1,0)</f>
        <v>1</v>
      </c>
    </row>
    <row r="852" customFormat="false" ht="15" hidden="false" customHeight="false" outlineLevel="0" collapsed="false">
      <c r="A852" s="4" t="s">
        <v>106</v>
      </c>
      <c r="B852" s="4" t="n">
        <v>20</v>
      </c>
      <c r="C852" s="11" t="n">
        <f aca="false">IF(COUNTIF('Scenario inputs'!$A$4:$A$213,Controls!$B$3&amp;"|"&amp;A852)&gt;0,1,0)</f>
        <v>1</v>
      </c>
      <c r="D852" s="11" t="n">
        <f aca="false">IF(AND(C852=1,B852&lt;Controls!$B$12),1,0)</f>
        <v>1</v>
      </c>
      <c r="E852" s="11" t="n">
        <f aca="false">IF(D852=1,SUMPRODUCT((Costs!$B$4:$B$903=A852)*(Costs!$D$4:$D$903="planned")*(Costs!$J$4:$J$903&lt;=B852)*(Costs!$K$4:$K$903&gt;B852)*Costs!$E$4:$E$903),0)</f>
        <v>20700</v>
      </c>
      <c r="F852" s="11" t="n">
        <f aca="false">IF(D852=1,SUMIFS(Benefits!$S$4:$S$703,Benefits!$B$4:$B$703,A852,Benefits!$F$4:$F$703,B852,Benefits!$R$4:$R$703,"cash"),0)</f>
        <v>172100</v>
      </c>
      <c r="G852" s="11" t="n">
        <f aca="false">IF(D852=1,SUMIFS(Benefits!$S$4:$S$703,Benefits!$B$4:$B$703,A852,Benefits!$F$4:$F$703,B852,Benefits!$R$4:$R$703,"revenue"),0)</f>
        <v>0</v>
      </c>
      <c r="H852" s="11" t="n">
        <f aca="false">IF(D852=1,SUMIFS(Benefits!$S$4:$S$703,Benefits!$B$4:$B$703,A852,Benefits!$F$4:$F$703,B852,Benefits!$R$4:$R$703,"avoided_cost_realised"),0)</f>
        <v>0</v>
      </c>
      <c r="I852" s="11" t="n">
        <f aca="false">IF(D852=1,SUMIFS(Benefits!$S$4:$S$703,Benefits!$B$4:$B$703,A852,Benefits!$F$4:$F$703,B852,Benefits!$R$4:$R$703,"capacity_converted"),0)</f>
        <v>0</v>
      </c>
      <c r="J852" s="11" t="n">
        <f aca="false">SUM(F852:I852)</f>
        <v>172100</v>
      </c>
      <c r="K852" s="11" t="n">
        <f aca="false">J852-E852</f>
        <v>151400</v>
      </c>
      <c r="L852" s="11" t="n">
        <f aca="false">IF(D852=1,L851+K852,0)</f>
        <v>39266.7814</v>
      </c>
      <c r="M852" s="11" t="n">
        <f aca="false">IF(D852=1,1/(1+Controls!$B$11)^B852,0)</f>
        <v>0.879617782840318</v>
      </c>
      <c r="N852" s="11" t="n">
        <f aca="false">K852*M852</f>
        <v>133174.132322024</v>
      </c>
      <c r="O852" s="11" t="n">
        <f aca="false">IF(D852=1,O851+N852,0)</f>
        <v>-15805.7174696051</v>
      </c>
      <c r="P852" s="11" t="n">
        <f aca="false">IF(AND(D852=1,L852&lt;0),1,0)</f>
        <v>0</v>
      </c>
      <c r="Q852" s="11" t="n">
        <f aca="false">IF(AND(D852=1,O852&lt;0),1,0)</f>
        <v>1</v>
      </c>
    </row>
    <row r="853" customFormat="false" ht="15" hidden="false" customHeight="false" outlineLevel="0" collapsed="false">
      <c r="A853" s="4" t="s">
        <v>106</v>
      </c>
      <c r="B853" s="4" t="n">
        <v>21</v>
      </c>
      <c r="C853" s="11" t="n">
        <f aca="false">IF(COUNTIF('Scenario inputs'!$A$4:$A$213,Controls!$B$3&amp;"|"&amp;A853)&gt;0,1,0)</f>
        <v>1</v>
      </c>
      <c r="D853" s="11" t="n">
        <f aca="false">IF(AND(C853=1,B853&lt;Controls!$B$12),1,0)</f>
        <v>1</v>
      </c>
      <c r="E853" s="11" t="n">
        <f aca="false">IF(D853=1,SUMPRODUCT((Costs!$B$4:$B$903=A853)*(Costs!$D$4:$D$903="planned")*(Costs!$J$4:$J$903&lt;=B853)*(Costs!$K$4:$K$903&gt;B853)*Costs!$E$4:$E$903),0)</f>
        <v>20700</v>
      </c>
      <c r="F853" s="11" t="n">
        <f aca="false">IF(D853=1,SUMIFS(Benefits!$S$4:$S$703,Benefits!$B$4:$B$703,A853,Benefits!$F$4:$F$703,B853,Benefits!$R$4:$R$703,"cash"),0)</f>
        <v>172100</v>
      </c>
      <c r="G853" s="11" t="n">
        <f aca="false">IF(D853=1,SUMIFS(Benefits!$S$4:$S$703,Benefits!$B$4:$B$703,A853,Benefits!$F$4:$F$703,B853,Benefits!$R$4:$R$703,"revenue"),0)</f>
        <v>0</v>
      </c>
      <c r="H853" s="11" t="n">
        <f aca="false">IF(D853=1,SUMIFS(Benefits!$S$4:$S$703,Benefits!$B$4:$B$703,A853,Benefits!$F$4:$F$703,B853,Benefits!$R$4:$R$703,"avoided_cost_realised"),0)</f>
        <v>0</v>
      </c>
      <c r="I853" s="11" t="n">
        <f aca="false">IF(D853=1,SUMIFS(Benefits!$S$4:$S$703,Benefits!$B$4:$B$703,A853,Benefits!$F$4:$F$703,B853,Benefits!$R$4:$R$703,"capacity_converted"),0)</f>
        <v>0</v>
      </c>
      <c r="J853" s="11" t="n">
        <f aca="false">SUM(F853:I853)</f>
        <v>172100</v>
      </c>
      <c r="K853" s="11" t="n">
        <f aca="false">J853-E853</f>
        <v>151400</v>
      </c>
      <c r="L853" s="11" t="n">
        <f aca="false">IF(D853=1,L852+K853,0)</f>
        <v>190666.7814</v>
      </c>
      <c r="M853" s="11" t="n">
        <f aca="false">IF(D853=1,1/(1+Controls!$B$11)^B853,0)</f>
        <v>0.873994502213079</v>
      </c>
      <c r="N853" s="11" t="n">
        <f aca="false">K853*M853</f>
        <v>132322.76763506</v>
      </c>
      <c r="O853" s="11" t="n">
        <f aca="false">IF(D853=1,O852+N853,0)</f>
        <v>116517.050165455</v>
      </c>
      <c r="P853" s="11" t="n">
        <f aca="false">IF(AND(D853=1,L853&lt;0),1,0)</f>
        <v>0</v>
      </c>
      <c r="Q853" s="11" t="n">
        <f aca="false">IF(AND(D853=1,O853&lt;0),1,0)</f>
        <v>0</v>
      </c>
    </row>
    <row r="854" customFormat="false" ht="15" hidden="false" customHeight="false" outlineLevel="0" collapsed="false">
      <c r="A854" s="4" t="s">
        <v>106</v>
      </c>
      <c r="B854" s="4" t="n">
        <v>22</v>
      </c>
      <c r="C854" s="11" t="n">
        <f aca="false">IF(COUNTIF('Scenario inputs'!$A$4:$A$213,Controls!$B$3&amp;"|"&amp;A854)&gt;0,1,0)</f>
        <v>1</v>
      </c>
      <c r="D854" s="11" t="n">
        <f aca="false">IF(AND(C854=1,B854&lt;Controls!$B$12),1,0)</f>
        <v>1</v>
      </c>
      <c r="E854" s="11" t="n">
        <f aca="false">IF(D854=1,SUMPRODUCT((Costs!$B$4:$B$903=A854)*(Costs!$D$4:$D$903="planned")*(Costs!$J$4:$J$903&lt;=B854)*(Costs!$K$4:$K$903&gt;B854)*Costs!$E$4:$E$903),0)</f>
        <v>20700</v>
      </c>
      <c r="F854" s="11" t="n">
        <f aca="false">IF(D854=1,SUMIFS(Benefits!$S$4:$S$703,Benefits!$B$4:$B$703,A854,Benefits!$F$4:$F$703,B854,Benefits!$R$4:$R$703,"cash"),0)</f>
        <v>172100</v>
      </c>
      <c r="G854" s="11" t="n">
        <f aca="false">IF(D854=1,SUMIFS(Benefits!$S$4:$S$703,Benefits!$B$4:$B$703,A854,Benefits!$F$4:$F$703,B854,Benefits!$R$4:$R$703,"revenue"),0)</f>
        <v>0</v>
      </c>
      <c r="H854" s="11" t="n">
        <f aca="false">IF(D854=1,SUMIFS(Benefits!$S$4:$S$703,Benefits!$B$4:$B$703,A854,Benefits!$F$4:$F$703,B854,Benefits!$R$4:$R$703,"avoided_cost_realised"),0)</f>
        <v>0</v>
      </c>
      <c r="I854" s="11" t="n">
        <f aca="false">IF(D854=1,SUMIFS(Benefits!$S$4:$S$703,Benefits!$B$4:$B$703,A854,Benefits!$F$4:$F$703,B854,Benefits!$R$4:$R$703,"capacity_converted"),0)</f>
        <v>0</v>
      </c>
      <c r="J854" s="11" t="n">
        <f aca="false">SUM(F854:I854)</f>
        <v>172100</v>
      </c>
      <c r="K854" s="11" t="n">
        <f aca="false">J854-E854</f>
        <v>151400</v>
      </c>
      <c r="L854" s="11" t="n">
        <f aca="false">IF(D854=1,L853+K854,0)</f>
        <v>342066.7814</v>
      </c>
      <c r="M854" s="11" t="n">
        <f aca="false">IF(D854=1,1/(1+Controls!$B$11)^B854,0)</f>
        <v>0.868407170478222</v>
      </c>
      <c r="N854" s="11" t="n">
        <f aca="false">K854*M854</f>
        <v>131476.845610403</v>
      </c>
      <c r="O854" s="11" t="n">
        <f aca="false">IF(D854=1,O853+N854,0)</f>
        <v>247993.895775858</v>
      </c>
      <c r="P854" s="11" t="n">
        <f aca="false">IF(AND(D854=1,L854&lt;0),1,0)</f>
        <v>0</v>
      </c>
      <c r="Q854" s="11" t="n">
        <f aca="false">IF(AND(D854=1,O854&lt;0),1,0)</f>
        <v>0</v>
      </c>
    </row>
    <row r="855" customFormat="false" ht="15" hidden="false" customHeight="false" outlineLevel="0" collapsed="false">
      <c r="A855" s="4" t="s">
        <v>106</v>
      </c>
      <c r="B855" s="4" t="n">
        <v>23</v>
      </c>
      <c r="C855" s="11" t="n">
        <f aca="false">IF(COUNTIF('Scenario inputs'!$A$4:$A$213,Controls!$B$3&amp;"|"&amp;A855)&gt;0,1,0)</f>
        <v>1</v>
      </c>
      <c r="D855" s="11" t="n">
        <f aca="false">IF(AND(C855=1,B855&lt;Controls!$B$12),1,0)</f>
        <v>1</v>
      </c>
      <c r="E855" s="11" t="n">
        <f aca="false">IF(D855=1,SUMPRODUCT((Costs!$B$4:$B$903=A855)*(Costs!$D$4:$D$903="planned")*(Costs!$J$4:$J$903&lt;=B855)*(Costs!$K$4:$K$903&gt;B855)*Costs!$E$4:$E$903),0)</f>
        <v>20700</v>
      </c>
      <c r="F855" s="11" t="n">
        <f aca="false">IF(D855=1,SUMIFS(Benefits!$S$4:$S$703,Benefits!$B$4:$B$703,A855,Benefits!$F$4:$F$703,B855,Benefits!$R$4:$R$703,"cash"),0)</f>
        <v>0</v>
      </c>
      <c r="G855" s="11" t="n">
        <f aca="false">IF(D855=1,SUMIFS(Benefits!$S$4:$S$703,Benefits!$B$4:$B$703,A855,Benefits!$F$4:$F$703,B855,Benefits!$R$4:$R$703,"revenue"),0)</f>
        <v>0</v>
      </c>
      <c r="H855" s="11" t="n">
        <f aca="false">IF(D855=1,SUMIFS(Benefits!$S$4:$S$703,Benefits!$B$4:$B$703,A855,Benefits!$F$4:$F$703,B855,Benefits!$R$4:$R$703,"avoided_cost_realised"),0)</f>
        <v>0</v>
      </c>
      <c r="I855" s="11" t="n">
        <f aca="false">IF(D855=1,SUMIFS(Benefits!$S$4:$S$703,Benefits!$B$4:$B$703,A855,Benefits!$F$4:$F$703,B855,Benefits!$R$4:$R$703,"capacity_converted"),0)</f>
        <v>0</v>
      </c>
      <c r="J855" s="11" t="n">
        <f aca="false">SUM(F855:I855)</f>
        <v>0</v>
      </c>
      <c r="K855" s="11" t="n">
        <f aca="false">J855-E855</f>
        <v>-20700</v>
      </c>
      <c r="L855" s="11" t="n">
        <f aca="false">IF(D855=1,L854+K855,0)</f>
        <v>321366.7814</v>
      </c>
      <c r="M855" s="11" t="n">
        <f aca="false">IF(D855=1,1/(1+Controls!$B$11)^B855,0)</f>
        <v>0.862855557819213</v>
      </c>
      <c r="N855" s="11" t="n">
        <f aca="false">K855*M855</f>
        <v>-17861.1100468577</v>
      </c>
      <c r="O855" s="11" t="n">
        <f aca="false">IF(D855=1,O854+N855,0)</f>
        <v>230132.785729</v>
      </c>
      <c r="P855" s="11" t="n">
        <f aca="false">IF(AND(D855=1,L855&lt;0),1,0)</f>
        <v>0</v>
      </c>
      <c r="Q855" s="11" t="n">
        <f aca="false">IF(AND(D855=1,O855&lt;0),1,0)</f>
        <v>0</v>
      </c>
    </row>
    <row r="856" customFormat="false" ht="15" hidden="false" customHeight="false" outlineLevel="0" collapsed="false">
      <c r="A856" s="4" t="s">
        <v>106</v>
      </c>
      <c r="B856" s="4" t="n">
        <v>24</v>
      </c>
      <c r="C856" s="11" t="n">
        <f aca="false">IF(COUNTIF('Scenario inputs'!$A$4:$A$213,Controls!$B$3&amp;"|"&amp;A856)&gt;0,1,0)</f>
        <v>1</v>
      </c>
      <c r="D856" s="11" t="n">
        <f aca="false">IF(AND(C856=1,B856&lt;Controls!$B$12),1,0)</f>
        <v>1</v>
      </c>
      <c r="E856" s="11" t="n">
        <f aca="false">IF(D856=1,SUMPRODUCT((Costs!$B$4:$B$903=A856)*(Costs!$D$4:$D$903="planned")*(Costs!$J$4:$J$903&lt;=B856)*(Costs!$K$4:$K$903&gt;B856)*Costs!$E$4:$E$903),0)</f>
        <v>0</v>
      </c>
      <c r="F856" s="11" t="n">
        <f aca="false">IF(D856=1,SUMIFS(Benefits!$S$4:$S$703,Benefits!$B$4:$B$703,A856,Benefits!$F$4:$F$703,B856,Benefits!$R$4:$R$703,"cash"),0)</f>
        <v>0</v>
      </c>
      <c r="G856" s="11" t="n">
        <f aca="false">IF(D856=1,SUMIFS(Benefits!$S$4:$S$703,Benefits!$B$4:$B$703,A856,Benefits!$F$4:$F$703,B856,Benefits!$R$4:$R$703,"revenue"),0)</f>
        <v>0</v>
      </c>
      <c r="H856" s="11" t="n">
        <f aca="false">IF(D856=1,SUMIFS(Benefits!$S$4:$S$703,Benefits!$B$4:$B$703,A856,Benefits!$F$4:$F$703,B856,Benefits!$R$4:$R$703,"avoided_cost_realised"),0)</f>
        <v>0</v>
      </c>
      <c r="I856" s="11" t="n">
        <f aca="false">IF(D856=1,SUMIFS(Benefits!$S$4:$S$703,Benefits!$B$4:$B$703,A856,Benefits!$F$4:$F$703,B856,Benefits!$R$4:$R$703,"capacity_converted"),0)</f>
        <v>0</v>
      </c>
      <c r="J856" s="11" t="n">
        <f aca="false">SUM(F856:I856)</f>
        <v>0</v>
      </c>
      <c r="K856" s="11" t="n">
        <f aca="false">J856-E856</f>
        <v>0</v>
      </c>
      <c r="L856" s="11" t="n">
        <f aca="false">IF(D856=1,L855+K856,0)</f>
        <v>321366.7814</v>
      </c>
      <c r="M856" s="11" t="n">
        <f aca="false">IF(D856=1,1/(1+Controls!$B$11)^B856,0)</f>
        <v>0.857339435888705</v>
      </c>
      <c r="N856" s="11" t="n">
        <f aca="false">K856*M856</f>
        <v>0</v>
      </c>
      <c r="O856" s="11" t="n">
        <f aca="false">IF(D856=1,O855+N856,0)</f>
        <v>230132.785729</v>
      </c>
      <c r="P856" s="11" t="n">
        <f aca="false">IF(AND(D856=1,L856&lt;0),1,0)</f>
        <v>0</v>
      </c>
      <c r="Q856" s="11" t="n">
        <f aca="false">IF(AND(D856=1,O856&lt;0),1,0)</f>
        <v>0</v>
      </c>
    </row>
    <row r="857" customFormat="false" ht="15" hidden="false" customHeight="false" outlineLevel="0" collapsed="false">
      <c r="A857" s="4" t="s">
        <v>106</v>
      </c>
      <c r="B857" s="4" t="n">
        <v>25</v>
      </c>
      <c r="C857" s="11" t="n">
        <f aca="false">IF(COUNTIF('Scenario inputs'!$A$4:$A$213,Controls!$B$3&amp;"|"&amp;A857)&gt;0,1,0)</f>
        <v>1</v>
      </c>
      <c r="D857" s="11" t="n">
        <f aca="false">IF(AND(C857=1,B857&lt;Controls!$B$12),1,0)</f>
        <v>1</v>
      </c>
      <c r="E857" s="11" t="n">
        <f aca="false">IF(D857=1,SUMPRODUCT((Costs!$B$4:$B$903=A857)*(Costs!$D$4:$D$903="planned")*(Costs!$J$4:$J$903&lt;=B857)*(Costs!$K$4:$K$903&gt;B857)*Costs!$E$4:$E$903),0)</f>
        <v>0</v>
      </c>
      <c r="F857" s="11" t="n">
        <f aca="false">IF(D857=1,SUMIFS(Benefits!$S$4:$S$703,Benefits!$B$4:$B$703,A857,Benefits!$F$4:$F$703,B857,Benefits!$R$4:$R$703,"cash"),0)</f>
        <v>0</v>
      </c>
      <c r="G857" s="11" t="n">
        <f aca="false">IF(D857=1,SUMIFS(Benefits!$S$4:$S$703,Benefits!$B$4:$B$703,A857,Benefits!$F$4:$F$703,B857,Benefits!$R$4:$R$703,"revenue"),0)</f>
        <v>0</v>
      </c>
      <c r="H857" s="11" t="n">
        <f aca="false">IF(D857=1,SUMIFS(Benefits!$S$4:$S$703,Benefits!$B$4:$B$703,A857,Benefits!$F$4:$F$703,B857,Benefits!$R$4:$R$703,"avoided_cost_realised"),0)</f>
        <v>0</v>
      </c>
      <c r="I857" s="11" t="n">
        <f aca="false">IF(D857=1,SUMIFS(Benefits!$S$4:$S$703,Benefits!$B$4:$B$703,A857,Benefits!$F$4:$F$703,B857,Benefits!$R$4:$R$703,"capacity_converted"),0)</f>
        <v>0</v>
      </c>
      <c r="J857" s="11" t="n">
        <f aca="false">SUM(F857:I857)</f>
        <v>0</v>
      </c>
      <c r="K857" s="11" t="n">
        <f aca="false">J857-E857</f>
        <v>0</v>
      </c>
      <c r="L857" s="11" t="n">
        <f aca="false">IF(D857=1,L856+K857,0)</f>
        <v>321366.7814</v>
      </c>
      <c r="M857" s="11" t="n">
        <f aca="false">IF(D857=1,1/(1+Controls!$B$11)^B857,0)</f>
        <v>0.851858577799146</v>
      </c>
      <c r="N857" s="11" t="n">
        <f aca="false">K857*M857</f>
        <v>0</v>
      </c>
      <c r="O857" s="11" t="n">
        <f aca="false">IF(D857=1,O856+N857,0)</f>
        <v>230132.785729</v>
      </c>
      <c r="P857" s="11" t="n">
        <f aca="false">IF(AND(D857=1,L857&lt;0),1,0)</f>
        <v>0</v>
      </c>
      <c r="Q857" s="11" t="n">
        <f aca="false">IF(AND(D857=1,O857&lt;0),1,0)</f>
        <v>0</v>
      </c>
    </row>
    <row r="858" customFormat="false" ht="15" hidden="false" customHeight="false" outlineLevel="0" collapsed="false">
      <c r="A858" s="4" t="s">
        <v>106</v>
      </c>
      <c r="B858" s="4" t="n">
        <v>26</v>
      </c>
      <c r="C858" s="11" t="n">
        <f aca="false">IF(COUNTIF('Scenario inputs'!$A$4:$A$213,Controls!$B$3&amp;"|"&amp;A858)&gt;0,1,0)</f>
        <v>1</v>
      </c>
      <c r="D858" s="11" t="n">
        <f aca="false">IF(AND(C858=1,B858&lt;Controls!$B$12),1,0)</f>
        <v>1</v>
      </c>
      <c r="E858" s="11" t="n">
        <f aca="false">IF(D858=1,SUMPRODUCT((Costs!$B$4:$B$903=A858)*(Costs!$D$4:$D$903="planned")*(Costs!$J$4:$J$903&lt;=B858)*(Costs!$K$4:$K$903&gt;B858)*Costs!$E$4:$E$903),0)</f>
        <v>0</v>
      </c>
      <c r="F858" s="11" t="n">
        <f aca="false">IF(D858=1,SUMIFS(Benefits!$S$4:$S$703,Benefits!$B$4:$B$703,A858,Benefits!$F$4:$F$703,B858,Benefits!$R$4:$R$703,"cash"),0)</f>
        <v>0</v>
      </c>
      <c r="G858" s="11" t="n">
        <f aca="false">IF(D858=1,SUMIFS(Benefits!$S$4:$S$703,Benefits!$B$4:$B$703,A858,Benefits!$F$4:$F$703,B858,Benefits!$R$4:$R$703,"revenue"),0)</f>
        <v>0</v>
      </c>
      <c r="H858" s="11" t="n">
        <f aca="false">IF(D858=1,SUMIFS(Benefits!$S$4:$S$703,Benefits!$B$4:$B$703,A858,Benefits!$F$4:$F$703,B858,Benefits!$R$4:$R$703,"avoided_cost_realised"),0)</f>
        <v>0</v>
      </c>
      <c r="I858" s="11" t="n">
        <f aca="false">IF(D858=1,SUMIFS(Benefits!$S$4:$S$703,Benefits!$B$4:$B$703,A858,Benefits!$F$4:$F$703,B858,Benefits!$R$4:$R$703,"capacity_converted"),0)</f>
        <v>0</v>
      </c>
      <c r="J858" s="11" t="n">
        <f aca="false">SUM(F858:I858)</f>
        <v>0</v>
      </c>
      <c r="K858" s="11" t="n">
        <f aca="false">J858-E858</f>
        <v>0</v>
      </c>
      <c r="L858" s="11" t="n">
        <f aca="false">IF(D858=1,L857+K858,0)</f>
        <v>321366.7814</v>
      </c>
      <c r="M858" s="11" t="n">
        <f aca="false">IF(D858=1,1/(1+Controls!$B$11)^B858,0)</f>
        <v>0.846412758113444</v>
      </c>
      <c r="N858" s="11" t="n">
        <f aca="false">K858*M858</f>
        <v>0</v>
      </c>
      <c r="O858" s="11" t="n">
        <f aca="false">IF(D858=1,O857+N858,0)</f>
        <v>230132.785729</v>
      </c>
      <c r="P858" s="11" t="n">
        <f aca="false">IF(AND(D858=1,L858&lt;0),1,0)</f>
        <v>0</v>
      </c>
      <c r="Q858" s="11" t="n">
        <f aca="false">IF(AND(D858=1,O858&lt;0),1,0)</f>
        <v>0</v>
      </c>
    </row>
    <row r="859" customFormat="false" ht="15" hidden="false" customHeight="false" outlineLevel="0" collapsed="false">
      <c r="A859" s="4" t="s">
        <v>106</v>
      </c>
      <c r="B859" s="4" t="n">
        <v>27</v>
      </c>
      <c r="C859" s="11" t="n">
        <f aca="false">IF(COUNTIF('Scenario inputs'!$A$4:$A$213,Controls!$B$3&amp;"|"&amp;A859)&gt;0,1,0)</f>
        <v>1</v>
      </c>
      <c r="D859" s="11" t="n">
        <f aca="false">IF(AND(C859=1,B859&lt;Controls!$B$12),1,0)</f>
        <v>1</v>
      </c>
      <c r="E859" s="11" t="n">
        <f aca="false">IF(D859=1,SUMPRODUCT((Costs!$B$4:$B$903=A859)*(Costs!$D$4:$D$903="planned")*(Costs!$J$4:$J$903&lt;=B859)*(Costs!$K$4:$K$903&gt;B859)*Costs!$E$4:$E$903),0)</f>
        <v>0</v>
      </c>
      <c r="F859" s="11" t="n">
        <f aca="false">IF(D859=1,SUMIFS(Benefits!$S$4:$S$703,Benefits!$B$4:$B$703,A859,Benefits!$F$4:$F$703,B859,Benefits!$R$4:$R$703,"cash"),0)</f>
        <v>0</v>
      </c>
      <c r="G859" s="11" t="n">
        <f aca="false">IF(D859=1,SUMIFS(Benefits!$S$4:$S$703,Benefits!$B$4:$B$703,A859,Benefits!$F$4:$F$703,B859,Benefits!$R$4:$R$703,"revenue"),0)</f>
        <v>0</v>
      </c>
      <c r="H859" s="11" t="n">
        <f aca="false">IF(D859=1,SUMIFS(Benefits!$S$4:$S$703,Benefits!$B$4:$B$703,A859,Benefits!$F$4:$F$703,B859,Benefits!$R$4:$R$703,"avoided_cost_realised"),0)</f>
        <v>0</v>
      </c>
      <c r="I859" s="11" t="n">
        <f aca="false">IF(D859=1,SUMIFS(Benefits!$S$4:$S$703,Benefits!$B$4:$B$703,A859,Benefits!$F$4:$F$703,B859,Benefits!$R$4:$R$703,"capacity_converted"),0)</f>
        <v>0</v>
      </c>
      <c r="J859" s="11" t="n">
        <f aca="false">SUM(F859:I859)</f>
        <v>0</v>
      </c>
      <c r="K859" s="11" t="n">
        <f aca="false">J859-E859</f>
        <v>0</v>
      </c>
      <c r="L859" s="11" t="n">
        <f aca="false">IF(D859=1,L858+K859,0)</f>
        <v>321366.7814</v>
      </c>
      <c r="M859" s="11" t="n">
        <f aca="false">IF(D859=1,1/(1+Controls!$B$11)^B859,0)</f>
        <v>0.841001752835699</v>
      </c>
      <c r="N859" s="11" t="n">
        <f aca="false">K859*M859</f>
        <v>0</v>
      </c>
      <c r="O859" s="11" t="n">
        <f aca="false">IF(D859=1,O858+N859,0)</f>
        <v>230132.785729</v>
      </c>
      <c r="P859" s="11" t="n">
        <f aca="false">IF(AND(D859=1,L859&lt;0),1,0)</f>
        <v>0</v>
      </c>
      <c r="Q859" s="11" t="n">
        <f aca="false">IF(AND(D859=1,O859&lt;0),1,0)</f>
        <v>0</v>
      </c>
    </row>
    <row r="860" customFormat="false" ht="15" hidden="false" customHeight="false" outlineLevel="0" collapsed="false">
      <c r="A860" s="4" t="s">
        <v>106</v>
      </c>
      <c r="B860" s="4" t="n">
        <v>28</v>
      </c>
      <c r="C860" s="11" t="n">
        <f aca="false">IF(COUNTIF('Scenario inputs'!$A$4:$A$213,Controls!$B$3&amp;"|"&amp;A860)&gt;0,1,0)</f>
        <v>1</v>
      </c>
      <c r="D860" s="11" t="n">
        <f aca="false">IF(AND(C860=1,B860&lt;Controls!$B$12),1,0)</f>
        <v>1</v>
      </c>
      <c r="E860" s="11" t="n">
        <f aca="false">IF(D860=1,SUMPRODUCT((Costs!$B$4:$B$903=A860)*(Costs!$D$4:$D$903="planned")*(Costs!$J$4:$J$903&lt;=B860)*(Costs!$K$4:$K$903&gt;B860)*Costs!$E$4:$E$903),0)</f>
        <v>0</v>
      </c>
      <c r="F860" s="11" t="n">
        <f aca="false">IF(D860=1,SUMIFS(Benefits!$S$4:$S$703,Benefits!$B$4:$B$703,A860,Benefits!$F$4:$F$703,B860,Benefits!$R$4:$R$703,"cash"),0)</f>
        <v>0</v>
      </c>
      <c r="G860" s="11" t="n">
        <f aca="false">IF(D860=1,SUMIFS(Benefits!$S$4:$S$703,Benefits!$B$4:$B$703,A860,Benefits!$F$4:$F$703,B860,Benefits!$R$4:$R$703,"revenue"),0)</f>
        <v>0</v>
      </c>
      <c r="H860" s="11" t="n">
        <f aca="false">IF(D860=1,SUMIFS(Benefits!$S$4:$S$703,Benefits!$B$4:$B$703,A860,Benefits!$F$4:$F$703,B860,Benefits!$R$4:$R$703,"avoided_cost_realised"),0)</f>
        <v>0</v>
      </c>
      <c r="I860" s="11" t="n">
        <f aca="false">IF(D860=1,SUMIFS(Benefits!$S$4:$S$703,Benefits!$B$4:$B$703,A860,Benefits!$F$4:$F$703,B860,Benefits!$R$4:$R$703,"capacity_converted"),0)</f>
        <v>0</v>
      </c>
      <c r="J860" s="11" t="n">
        <f aca="false">SUM(F860:I860)</f>
        <v>0</v>
      </c>
      <c r="K860" s="11" t="n">
        <f aca="false">J860-E860</f>
        <v>0</v>
      </c>
      <c r="L860" s="11" t="n">
        <f aca="false">IF(D860=1,L859+K860,0)</f>
        <v>321366.7814</v>
      </c>
      <c r="M860" s="11" t="n">
        <f aca="false">IF(D860=1,1/(1+Controls!$B$11)^B860,0)</f>
        <v>0.835625339401986</v>
      </c>
      <c r="N860" s="11" t="n">
        <f aca="false">K860*M860</f>
        <v>0</v>
      </c>
      <c r="O860" s="11" t="n">
        <f aca="false">IF(D860=1,O859+N860,0)</f>
        <v>230132.785729</v>
      </c>
      <c r="P860" s="11" t="n">
        <f aca="false">IF(AND(D860=1,L860&lt;0),1,0)</f>
        <v>0</v>
      </c>
      <c r="Q860" s="11" t="n">
        <f aca="false">IF(AND(D860=1,O860&lt;0),1,0)</f>
        <v>0</v>
      </c>
    </row>
    <row r="861" customFormat="false" ht="15" hidden="false" customHeight="false" outlineLevel="0" collapsed="false">
      <c r="A861" s="4" t="s">
        <v>106</v>
      </c>
      <c r="B861" s="4" t="n">
        <v>29</v>
      </c>
      <c r="C861" s="11" t="n">
        <f aca="false">IF(COUNTIF('Scenario inputs'!$A$4:$A$213,Controls!$B$3&amp;"|"&amp;A861)&gt;0,1,0)</f>
        <v>1</v>
      </c>
      <c r="D861" s="11" t="n">
        <f aca="false">IF(AND(C861=1,B861&lt;Controls!$B$12),1,0)</f>
        <v>1</v>
      </c>
      <c r="E861" s="11" t="n">
        <f aca="false">IF(D861=1,SUMPRODUCT((Costs!$B$4:$B$903=A861)*(Costs!$D$4:$D$903="planned")*(Costs!$J$4:$J$903&lt;=B861)*(Costs!$K$4:$K$903&gt;B861)*Costs!$E$4:$E$903),0)</f>
        <v>0</v>
      </c>
      <c r="F861" s="11" t="n">
        <f aca="false">IF(D861=1,SUMIFS(Benefits!$S$4:$S$703,Benefits!$B$4:$B$703,A861,Benefits!$F$4:$F$703,B861,Benefits!$R$4:$R$703,"cash"),0)</f>
        <v>0</v>
      </c>
      <c r="G861" s="11" t="n">
        <f aca="false">IF(D861=1,SUMIFS(Benefits!$S$4:$S$703,Benefits!$B$4:$B$703,A861,Benefits!$F$4:$F$703,B861,Benefits!$R$4:$R$703,"revenue"),0)</f>
        <v>0</v>
      </c>
      <c r="H861" s="11" t="n">
        <f aca="false">IF(D861=1,SUMIFS(Benefits!$S$4:$S$703,Benefits!$B$4:$B$703,A861,Benefits!$F$4:$F$703,B861,Benefits!$R$4:$R$703,"avoided_cost_realised"),0)</f>
        <v>0</v>
      </c>
      <c r="I861" s="11" t="n">
        <f aca="false">IF(D861=1,SUMIFS(Benefits!$S$4:$S$703,Benefits!$B$4:$B$703,A861,Benefits!$F$4:$F$703,B861,Benefits!$R$4:$R$703,"capacity_converted"),0)</f>
        <v>0</v>
      </c>
      <c r="J861" s="11" t="n">
        <f aca="false">SUM(F861:I861)</f>
        <v>0</v>
      </c>
      <c r="K861" s="11" t="n">
        <f aca="false">J861-E861</f>
        <v>0</v>
      </c>
      <c r="L861" s="11" t="n">
        <f aca="false">IF(D861=1,L860+K861,0)</f>
        <v>321366.7814</v>
      </c>
      <c r="M861" s="11" t="n">
        <f aca="false">IF(D861=1,1/(1+Controls!$B$11)^B861,0)</f>
        <v>0.830283296671204</v>
      </c>
      <c r="N861" s="11" t="n">
        <f aca="false">K861*M861</f>
        <v>0</v>
      </c>
      <c r="O861" s="11" t="n">
        <f aca="false">IF(D861=1,O860+N861,0)</f>
        <v>230132.785729</v>
      </c>
      <c r="P861" s="11" t="n">
        <f aca="false">IF(AND(D861=1,L861&lt;0),1,0)</f>
        <v>0</v>
      </c>
      <c r="Q861" s="11" t="n">
        <f aca="false">IF(AND(D861=1,O861&lt;0),1,0)</f>
        <v>0</v>
      </c>
    </row>
    <row r="862" customFormat="false" ht="15" hidden="false" customHeight="false" outlineLevel="0" collapsed="false">
      <c r="A862" s="4" t="s">
        <v>106</v>
      </c>
      <c r="B862" s="4" t="n">
        <v>30</v>
      </c>
      <c r="C862" s="11" t="n">
        <f aca="false">IF(COUNTIF('Scenario inputs'!$A$4:$A$213,Controls!$B$3&amp;"|"&amp;A862)&gt;0,1,0)</f>
        <v>1</v>
      </c>
      <c r="D862" s="11" t="n">
        <f aca="false">IF(AND(C862=1,B862&lt;Controls!$B$12),1,0)</f>
        <v>1</v>
      </c>
      <c r="E862" s="11" t="n">
        <f aca="false">IF(D862=1,SUMPRODUCT((Costs!$B$4:$B$903=A862)*(Costs!$D$4:$D$903="planned")*(Costs!$J$4:$J$903&lt;=B862)*(Costs!$K$4:$K$903&gt;B862)*Costs!$E$4:$E$903),0)</f>
        <v>0</v>
      </c>
      <c r="F862" s="11" t="n">
        <f aca="false">IF(D862=1,SUMIFS(Benefits!$S$4:$S$703,Benefits!$B$4:$B$703,A862,Benefits!$F$4:$F$703,B862,Benefits!$R$4:$R$703,"cash"),0)</f>
        <v>0</v>
      </c>
      <c r="G862" s="11" t="n">
        <f aca="false">IF(D862=1,SUMIFS(Benefits!$S$4:$S$703,Benefits!$B$4:$B$703,A862,Benefits!$F$4:$F$703,B862,Benefits!$R$4:$R$703,"revenue"),0)</f>
        <v>0</v>
      </c>
      <c r="H862" s="11" t="n">
        <f aca="false">IF(D862=1,SUMIFS(Benefits!$S$4:$S$703,Benefits!$B$4:$B$703,A862,Benefits!$F$4:$F$703,B862,Benefits!$R$4:$R$703,"avoided_cost_realised"),0)</f>
        <v>0</v>
      </c>
      <c r="I862" s="11" t="n">
        <f aca="false">IF(D862=1,SUMIFS(Benefits!$S$4:$S$703,Benefits!$B$4:$B$703,A862,Benefits!$F$4:$F$703,B862,Benefits!$R$4:$R$703,"capacity_converted"),0)</f>
        <v>0</v>
      </c>
      <c r="J862" s="11" t="n">
        <f aca="false">SUM(F862:I862)</f>
        <v>0</v>
      </c>
      <c r="K862" s="11" t="n">
        <f aca="false">J862-E862</f>
        <v>0</v>
      </c>
      <c r="L862" s="11" t="n">
        <f aca="false">IF(D862=1,L861+K862,0)</f>
        <v>321366.7814</v>
      </c>
      <c r="M862" s="11" t="n">
        <f aca="false">IF(D862=1,1/(1+Controls!$B$11)^B862,0)</f>
        <v>0.824975404915974</v>
      </c>
      <c r="N862" s="11" t="n">
        <f aca="false">K862*M862</f>
        <v>0</v>
      </c>
      <c r="O862" s="11" t="n">
        <f aca="false">IF(D862=1,O861+N862,0)</f>
        <v>230132.785729</v>
      </c>
      <c r="P862" s="11" t="n">
        <f aca="false">IF(AND(D862=1,L862&lt;0),1,0)</f>
        <v>0</v>
      </c>
      <c r="Q862" s="11" t="n">
        <f aca="false">IF(AND(D862=1,O862&lt;0),1,0)</f>
        <v>0</v>
      </c>
    </row>
    <row r="863" customFormat="false" ht="15" hidden="false" customHeight="false" outlineLevel="0" collapsed="false">
      <c r="A863" s="4" t="s">
        <v>106</v>
      </c>
      <c r="B863" s="4" t="n">
        <v>31</v>
      </c>
      <c r="C863" s="11" t="n">
        <f aca="false">IF(COUNTIF('Scenario inputs'!$A$4:$A$213,Controls!$B$3&amp;"|"&amp;A863)&gt;0,1,0)</f>
        <v>1</v>
      </c>
      <c r="D863" s="11" t="n">
        <f aca="false">IF(AND(C863=1,B863&lt;Controls!$B$12),1,0)</f>
        <v>1</v>
      </c>
      <c r="E863" s="11" t="n">
        <f aca="false">IF(D863=1,SUMPRODUCT((Costs!$B$4:$B$903=A863)*(Costs!$D$4:$D$903="planned")*(Costs!$J$4:$J$903&lt;=B863)*(Costs!$K$4:$K$903&gt;B863)*Costs!$E$4:$E$903),0)</f>
        <v>0</v>
      </c>
      <c r="F863" s="11" t="n">
        <f aca="false">IF(D863=1,SUMIFS(Benefits!$S$4:$S$703,Benefits!$B$4:$B$703,A863,Benefits!$F$4:$F$703,B863,Benefits!$R$4:$R$703,"cash"),0)</f>
        <v>0</v>
      </c>
      <c r="G863" s="11" t="n">
        <f aca="false">IF(D863=1,SUMIFS(Benefits!$S$4:$S$703,Benefits!$B$4:$B$703,A863,Benefits!$F$4:$F$703,B863,Benefits!$R$4:$R$703,"revenue"),0)</f>
        <v>0</v>
      </c>
      <c r="H863" s="11" t="n">
        <f aca="false">IF(D863=1,SUMIFS(Benefits!$S$4:$S$703,Benefits!$B$4:$B$703,A863,Benefits!$F$4:$F$703,B863,Benefits!$R$4:$R$703,"avoided_cost_realised"),0)</f>
        <v>0</v>
      </c>
      <c r="I863" s="11" t="n">
        <f aca="false">IF(D863=1,SUMIFS(Benefits!$S$4:$S$703,Benefits!$B$4:$B$703,A863,Benefits!$F$4:$F$703,B863,Benefits!$R$4:$R$703,"capacity_converted"),0)</f>
        <v>0</v>
      </c>
      <c r="J863" s="11" t="n">
        <f aca="false">SUM(F863:I863)</f>
        <v>0</v>
      </c>
      <c r="K863" s="11" t="n">
        <f aca="false">J863-E863</f>
        <v>0</v>
      </c>
      <c r="L863" s="11" t="n">
        <f aca="false">IF(D863=1,L862+K863,0)</f>
        <v>321366.7814</v>
      </c>
      <c r="M863" s="11" t="n">
        <f aca="false">IF(D863=1,1/(1+Controls!$B$11)^B863,0)</f>
        <v>0.81970144581361</v>
      </c>
      <c r="N863" s="11" t="n">
        <f aca="false">K863*M863</f>
        <v>0</v>
      </c>
      <c r="O863" s="11" t="n">
        <f aca="false">IF(D863=1,O862+N863,0)</f>
        <v>230132.785729</v>
      </c>
      <c r="P863" s="11" t="n">
        <f aca="false">IF(AND(D863=1,L863&lt;0),1,0)</f>
        <v>0</v>
      </c>
      <c r="Q863" s="11" t="n">
        <f aca="false">IF(AND(D863=1,O863&lt;0),1,0)</f>
        <v>0</v>
      </c>
    </row>
    <row r="864" customFormat="false" ht="15" hidden="false" customHeight="false" outlineLevel="0" collapsed="false">
      <c r="A864" s="4" t="s">
        <v>106</v>
      </c>
      <c r="B864" s="4" t="n">
        <v>32</v>
      </c>
      <c r="C864" s="11" t="n">
        <f aca="false">IF(COUNTIF('Scenario inputs'!$A$4:$A$213,Controls!$B$3&amp;"|"&amp;A864)&gt;0,1,0)</f>
        <v>1</v>
      </c>
      <c r="D864" s="11" t="n">
        <f aca="false">IF(AND(C864=1,B864&lt;Controls!$B$12),1,0)</f>
        <v>1</v>
      </c>
      <c r="E864" s="11" t="n">
        <f aca="false">IF(D864=1,SUMPRODUCT((Costs!$B$4:$B$903=A864)*(Costs!$D$4:$D$903="planned")*(Costs!$J$4:$J$903&lt;=B864)*(Costs!$K$4:$K$903&gt;B864)*Costs!$E$4:$E$903),0)</f>
        <v>0</v>
      </c>
      <c r="F864" s="11" t="n">
        <f aca="false">IF(D864=1,SUMIFS(Benefits!$S$4:$S$703,Benefits!$B$4:$B$703,A864,Benefits!$F$4:$F$703,B864,Benefits!$R$4:$R$703,"cash"),0)</f>
        <v>0</v>
      </c>
      <c r="G864" s="11" t="n">
        <f aca="false">IF(D864=1,SUMIFS(Benefits!$S$4:$S$703,Benefits!$B$4:$B$703,A864,Benefits!$F$4:$F$703,B864,Benefits!$R$4:$R$703,"revenue"),0)</f>
        <v>0</v>
      </c>
      <c r="H864" s="11" t="n">
        <f aca="false">IF(D864=1,SUMIFS(Benefits!$S$4:$S$703,Benefits!$B$4:$B$703,A864,Benefits!$F$4:$F$703,B864,Benefits!$R$4:$R$703,"avoided_cost_realised"),0)</f>
        <v>0</v>
      </c>
      <c r="I864" s="11" t="n">
        <f aca="false">IF(D864=1,SUMIFS(Benefits!$S$4:$S$703,Benefits!$B$4:$B$703,A864,Benefits!$F$4:$F$703,B864,Benefits!$R$4:$R$703,"capacity_converted"),0)</f>
        <v>0</v>
      </c>
      <c r="J864" s="11" t="n">
        <f aca="false">SUM(F864:I864)</f>
        <v>0</v>
      </c>
      <c r="K864" s="11" t="n">
        <f aca="false">J864-E864</f>
        <v>0</v>
      </c>
      <c r="L864" s="11" t="n">
        <f aca="false">IF(D864=1,L863+K864,0)</f>
        <v>321366.7814</v>
      </c>
      <c r="M864" s="11" t="n">
        <f aca="false">IF(D864=1,1/(1+Controls!$B$11)^B864,0)</f>
        <v>0.814461202437129</v>
      </c>
      <c r="N864" s="11" t="n">
        <f aca="false">K864*M864</f>
        <v>0</v>
      </c>
      <c r="O864" s="11" t="n">
        <f aca="false">IF(D864=1,O863+N864,0)</f>
        <v>230132.785729</v>
      </c>
      <c r="P864" s="11" t="n">
        <f aca="false">IF(AND(D864=1,L864&lt;0),1,0)</f>
        <v>0</v>
      </c>
      <c r="Q864" s="11" t="n">
        <f aca="false">IF(AND(D864=1,O864&lt;0),1,0)</f>
        <v>0</v>
      </c>
    </row>
    <row r="865" customFormat="false" ht="15" hidden="false" customHeight="false" outlineLevel="0" collapsed="false">
      <c r="A865" s="4" t="s">
        <v>106</v>
      </c>
      <c r="B865" s="4" t="n">
        <v>33</v>
      </c>
      <c r="C865" s="11" t="n">
        <f aca="false">IF(COUNTIF('Scenario inputs'!$A$4:$A$213,Controls!$B$3&amp;"|"&amp;A865)&gt;0,1,0)</f>
        <v>1</v>
      </c>
      <c r="D865" s="11" t="n">
        <f aca="false">IF(AND(C865=1,B865&lt;Controls!$B$12),1,0)</f>
        <v>1</v>
      </c>
      <c r="E865" s="11" t="n">
        <f aca="false">IF(D865=1,SUMPRODUCT((Costs!$B$4:$B$903=A865)*(Costs!$D$4:$D$903="planned")*(Costs!$J$4:$J$903&lt;=B865)*(Costs!$K$4:$K$903&gt;B865)*Costs!$E$4:$E$903),0)</f>
        <v>0</v>
      </c>
      <c r="F865" s="11" t="n">
        <f aca="false">IF(D865=1,SUMIFS(Benefits!$S$4:$S$703,Benefits!$B$4:$B$703,A865,Benefits!$F$4:$F$703,B865,Benefits!$R$4:$R$703,"cash"),0)</f>
        <v>0</v>
      </c>
      <c r="G865" s="11" t="n">
        <f aca="false">IF(D865=1,SUMIFS(Benefits!$S$4:$S$703,Benefits!$B$4:$B$703,A865,Benefits!$F$4:$F$703,B865,Benefits!$R$4:$R$703,"revenue"),0)</f>
        <v>0</v>
      </c>
      <c r="H865" s="11" t="n">
        <f aca="false">IF(D865=1,SUMIFS(Benefits!$S$4:$S$703,Benefits!$B$4:$B$703,A865,Benefits!$F$4:$F$703,B865,Benefits!$R$4:$R$703,"avoided_cost_realised"),0)</f>
        <v>0</v>
      </c>
      <c r="I865" s="11" t="n">
        <f aca="false">IF(D865=1,SUMIFS(Benefits!$S$4:$S$703,Benefits!$B$4:$B$703,A865,Benefits!$F$4:$F$703,B865,Benefits!$R$4:$R$703,"capacity_converted"),0)</f>
        <v>0</v>
      </c>
      <c r="J865" s="11" t="n">
        <f aca="false">SUM(F865:I865)</f>
        <v>0</v>
      </c>
      <c r="K865" s="11" t="n">
        <f aca="false">J865-E865</f>
        <v>0</v>
      </c>
      <c r="L865" s="11" t="n">
        <f aca="false">IF(D865=1,L864+K865,0)</f>
        <v>321366.7814</v>
      </c>
      <c r="M865" s="11" t="n">
        <f aca="false">IF(D865=1,1/(1+Controls!$B$11)^B865,0)</f>
        <v>0.809254459246338</v>
      </c>
      <c r="N865" s="11" t="n">
        <f aca="false">K865*M865</f>
        <v>0</v>
      </c>
      <c r="O865" s="11" t="n">
        <f aca="false">IF(D865=1,O864+N865,0)</f>
        <v>230132.785729</v>
      </c>
      <c r="P865" s="11" t="n">
        <f aca="false">IF(AND(D865=1,L865&lt;0),1,0)</f>
        <v>0</v>
      </c>
      <c r="Q865" s="11" t="n">
        <f aca="false">IF(AND(D865=1,O865&lt;0),1,0)</f>
        <v>0</v>
      </c>
    </row>
    <row r="866" customFormat="false" ht="15" hidden="false" customHeight="false" outlineLevel="0" collapsed="false">
      <c r="A866" s="4" t="s">
        <v>106</v>
      </c>
      <c r="B866" s="4" t="n">
        <v>34</v>
      </c>
      <c r="C866" s="11" t="n">
        <f aca="false">IF(COUNTIF('Scenario inputs'!$A$4:$A$213,Controls!$B$3&amp;"|"&amp;A866)&gt;0,1,0)</f>
        <v>1</v>
      </c>
      <c r="D866" s="11" t="n">
        <f aca="false">IF(AND(C866=1,B866&lt;Controls!$B$12),1,0)</f>
        <v>1</v>
      </c>
      <c r="E866" s="11" t="n">
        <f aca="false">IF(D866=1,SUMPRODUCT((Costs!$B$4:$B$903=A866)*(Costs!$D$4:$D$903="planned")*(Costs!$J$4:$J$903&lt;=B866)*(Costs!$K$4:$K$903&gt;B866)*Costs!$E$4:$E$903),0)</f>
        <v>0</v>
      </c>
      <c r="F866" s="11" t="n">
        <f aca="false">IF(D866=1,SUMIFS(Benefits!$S$4:$S$703,Benefits!$B$4:$B$703,A866,Benefits!$F$4:$F$703,B866,Benefits!$R$4:$R$703,"cash"),0)</f>
        <v>0</v>
      </c>
      <c r="G866" s="11" t="n">
        <f aca="false">IF(D866=1,SUMIFS(Benefits!$S$4:$S$703,Benefits!$B$4:$B$703,A866,Benefits!$F$4:$F$703,B866,Benefits!$R$4:$R$703,"revenue"),0)</f>
        <v>0</v>
      </c>
      <c r="H866" s="11" t="n">
        <f aca="false">IF(D866=1,SUMIFS(Benefits!$S$4:$S$703,Benefits!$B$4:$B$703,A866,Benefits!$F$4:$F$703,B866,Benefits!$R$4:$R$703,"avoided_cost_realised"),0)</f>
        <v>0</v>
      </c>
      <c r="I866" s="11" t="n">
        <f aca="false">IF(D866=1,SUMIFS(Benefits!$S$4:$S$703,Benefits!$B$4:$B$703,A866,Benefits!$F$4:$F$703,B866,Benefits!$R$4:$R$703,"capacity_converted"),0)</f>
        <v>0</v>
      </c>
      <c r="J866" s="11" t="n">
        <f aca="false">SUM(F866:I866)</f>
        <v>0</v>
      </c>
      <c r="K866" s="11" t="n">
        <f aca="false">J866-E866</f>
        <v>0</v>
      </c>
      <c r="L866" s="11" t="n">
        <f aca="false">IF(D866=1,L865+K866,0)</f>
        <v>321366.7814</v>
      </c>
      <c r="M866" s="11" t="n">
        <f aca="false">IF(D866=1,1/(1+Controls!$B$11)^B866,0)</f>
        <v>0.804081002078962</v>
      </c>
      <c r="N866" s="11" t="n">
        <f aca="false">K866*M866</f>
        <v>0</v>
      </c>
      <c r="O866" s="11" t="n">
        <f aca="false">IF(D866=1,O865+N866,0)</f>
        <v>230132.785729</v>
      </c>
      <c r="P866" s="11" t="n">
        <f aca="false">IF(AND(D866=1,L866&lt;0),1,0)</f>
        <v>0</v>
      </c>
      <c r="Q866" s="11" t="n">
        <f aca="false">IF(AND(D866=1,O866&lt;0),1,0)</f>
        <v>0</v>
      </c>
    </row>
    <row r="867" customFormat="false" ht="15" hidden="false" customHeight="false" outlineLevel="0" collapsed="false">
      <c r="A867" s="4" t="s">
        <v>106</v>
      </c>
      <c r="B867" s="4" t="n">
        <v>35</v>
      </c>
      <c r="C867" s="11" t="n">
        <f aca="false">IF(COUNTIF('Scenario inputs'!$A$4:$A$213,Controls!$B$3&amp;"|"&amp;A867)&gt;0,1,0)</f>
        <v>1</v>
      </c>
      <c r="D867" s="11" t="n">
        <f aca="false">IF(AND(C867=1,B867&lt;Controls!$B$12),1,0)</f>
        <v>1</v>
      </c>
      <c r="E867" s="11" t="n">
        <f aca="false">IF(D867=1,SUMPRODUCT((Costs!$B$4:$B$903=A867)*(Costs!$D$4:$D$903="planned")*(Costs!$J$4:$J$903&lt;=B867)*(Costs!$K$4:$K$903&gt;B867)*Costs!$E$4:$E$903),0)</f>
        <v>0</v>
      </c>
      <c r="F867" s="11" t="n">
        <f aca="false">IF(D867=1,SUMIFS(Benefits!$S$4:$S$703,Benefits!$B$4:$B$703,A867,Benefits!$F$4:$F$703,B867,Benefits!$R$4:$R$703,"cash"),0)</f>
        <v>0</v>
      </c>
      <c r="G867" s="11" t="n">
        <f aca="false">IF(D867=1,SUMIFS(Benefits!$S$4:$S$703,Benefits!$B$4:$B$703,A867,Benefits!$F$4:$F$703,B867,Benefits!$R$4:$R$703,"revenue"),0)</f>
        <v>0</v>
      </c>
      <c r="H867" s="11" t="n">
        <f aca="false">IF(D867=1,SUMIFS(Benefits!$S$4:$S$703,Benefits!$B$4:$B$703,A867,Benefits!$F$4:$F$703,B867,Benefits!$R$4:$R$703,"avoided_cost_realised"),0)</f>
        <v>0</v>
      </c>
      <c r="I867" s="11" t="n">
        <f aca="false">IF(D867=1,SUMIFS(Benefits!$S$4:$S$703,Benefits!$B$4:$B$703,A867,Benefits!$F$4:$F$703,B867,Benefits!$R$4:$R$703,"capacity_converted"),0)</f>
        <v>0</v>
      </c>
      <c r="J867" s="11" t="n">
        <f aca="false">SUM(F867:I867)</f>
        <v>0</v>
      </c>
      <c r="K867" s="11" t="n">
        <f aca="false">J867-E867</f>
        <v>0</v>
      </c>
      <c r="L867" s="11" t="n">
        <f aca="false">IF(D867=1,L866+K867,0)</f>
        <v>321366.7814</v>
      </c>
      <c r="M867" s="11" t="n">
        <f aca="false">IF(D867=1,1/(1+Controls!$B$11)^B867,0)</f>
        <v>0.798940618141837</v>
      </c>
      <c r="N867" s="11" t="n">
        <f aca="false">K867*M867</f>
        <v>0</v>
      </c>
      <c r="O867" s="11" t="n">
        <f aca="false">IF(D867=1,O866+N867,0)</f>
        <v>230132.785729</v>
      </c>
      <c r="P867" s="11" t="n">
        <f aca="false">IF(AND(D867=1,L867&lt;0),1,0)</f>
        <v>0</v>
      </c>
      <c r="Q867" s="11" t="n">
        <f aca="false">IF(AND(D867=1,O867&lt;0),1,0)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4"/>
    <col collapsed="false" customWidth="true" hidden="false" outlineLevel="0" max="2" min="2" style="0" width="16"/>
    <col collapsed="false" customWidth="true" hidden="false" outlineLevel="0" max="3" min="3" style="0" width="18"/>
    <col collapsed="false" customWidth="true" hidden="false" outlineLevel="0" max="4" min="4" style="0" width="26"/>
  </cols>
  <sheetData>
    <row r="1" customFormat="false" ht="17.35" hidden="false" customHeight="false" outlineLevel="0" collapsed="false">
      <c r="A1" s="1" t="s">
        <v>124</v>
      </c>
    </row>
    <row r="2" customFormat="false" ht="15" hidden="false" customHeight="false" outlineLevel="0" collapsed="false">
      <c r="A2" s="0" t="s">
        <v>125</v>
      </c>
    </row>
    <row r="3" customFormat="false" ht="28.35" hidden="false" customHeight="false" outlineLevel="0" collapsed="false">
      <c r="A3" s="10" t="s">
        <v>126</v>
      </c>
      <c r="B3" s="10" t="s">
        <v>127</v>
      </c>
      <c r="C3" s="10" t="s">
        <v>128</v>
      </c>
      <c r="D3" s="10" t="s">
        <v>129</v>
      </c>
      <c r="E3" s="10" t="s">
        <v>33</v>
      </c>
    </row>
    <row r="4" customFormat="false" ht="15" hidden="false" customHeight="false" outlineLevel="0" collapsed="false">
      <c r="A4" s="0" t="s">
        <v>130</v>
      </c>
      <c r="B4" s="4" t="n">
        <v>0.1</v>
      </c>
    </row>
    <row r="5" customFormat="false" ht="15" hidden="false" customHeight="false" outlineLevel="0" collapsed="false">
      <c r="A5" s="0" t="s">
        <v>131</v>
      </c>
      <c r="B5" s="4" t="n">
        <v>-1000</v>
      </c>
    </row>
    <row r="6" customFormat="false" ht="15" hidden="false" customHeight="false" outlineLevel="0" collapsed="false">
      <c r="A6" s="0" t="s">
        <v>132</v>
      </c>
      <c r="B6" s="4" t="n">
        <v>600</v>
      </c>
    </row>
    <row r="7" customFormat="false" ht="15" hidden="false" customHeight="false" outlineLevel="0" collapsed="false">
      <c r="A7" s="0" t="s">
        <v>133</v>
      </c>
      <c r="B7" s="4" t="n">
        <v>600</v>
      </c>
    </row>
    <row r="8" customFormat="false" ht="15" hidden="false" customHeight="false" outlineLevel="0" collapsed="false">
      <c r="A8" s="0" t="s">
        <v>134</v>
      </c>
      <c r="C8" s="0" t="n">
        <f aca="false">B5+B6/(1+B4)+B7/(1+B4)^2</f>
        <v>41.3223140495866</v>
      </c>
      <c r="D8" s="0" t="n">
        <v>41.32</v>
      </c>
      <c r="E8" s="8" t="b">
        <f aca="false">ROUND(C8,2)=D8</f>
        <v>1</v>
      </c>
    </row>
    <row r="9" customFormat="false" ht="15" hidden="false" customHeight="false" outlineLevel="0" collapsed="false">
      <c r="A9" s="0" t="s">
        <v>135</v>
      </c>
      <c r="C9" s="0" t="n">
        <f aca="false">5000/121</f>
        <v>41.3223140495868</v>
      </c>
      <c r="E9" s="8" t="b">
        <f aca="false">ABS(C8-C9)&lt;0.000000001</f>
        <v>1</v>
      </c>
    </row>
    <row r="10" customFormat="false" ht="15" hidden="false" customHeight="false" outlineLevel="0" collapsed="false">
      <c r="A10" s="0" t="s">
        <v>136</v>
      </c>
      <c r="C10" s="0" t="n">
        <f aca="false">IF(B5+B6&lt;0,2,1)</f>
        <v>2</v>
      </c>
      <c r="D10" s="0" t="n">
        <v>2</v>
      </c>
      <c r="E10" s="8" t="b">
        <f aca="false">C10=D10</f>
        <v>1</v>
      </c>
    </row>
    <row r="11" customFormat="false" ht="15" hidden="false" customHeight="false" outlineLevel="0" collapsed="false">
      <c r="A11" s="0" t="s">
        <v>137</v>
      </c>
      <c r="C11" s="0" t="n">
        <f aca="false">1+(-(B5+B6))/((B5+B6+B7)-(B5+B6))</f>
        <v>1.66666666666667</v>
      </c>
      <c r="D11" s="0" t="n">
        <v>1.6667</v>
      </c>
      <c r="E11" s="8" t="b">
        <f aca="false">ROUND(C11,4)=D11</f>
        <v>1</v>
      </c>
    </row>
    <row r="12" customFormat="false" ht="15" hidden="false" customHeight="false" outlineLevel="0" collapsed="false">
      <c r="A12" s="0" t="s">
        <v>138</v>
      </c>
      <c r="C12" s="0" t="n">
        <f aca="false">IF(B5+B6/(1+B4)&lt;0,2,1)</f>
        <v>2</v>
      </c>
      <c r="D12" s="0" t="n">
        <v>2</v>
      </c>
      <c r="E12" s="8" t="b">
        <f aca="false">C12=D12</f>
        <v>1</v>
      </c>
    </row>
    <row r="13" customFormat="false" ht="15" hidden="false" customHeight="false" outlineLevel="0" collapsed="false">
      <c r="A13" s="0" t="s">
        <v>139</v>
      </c>
      <c r="C13" s="0" t="n">
        <f aca="false">1+(-(B5+B6/(1+B4)))/((B7/(1+B4)^2))</f>
        <v>1.91666666666667</v>
      </c>
      <c r="D13" s="0" t="n">
        <v>1.9167</v>
      </c>
      <c r="E13" s="8" t="b">
        <f aca="false">ROUND(C13,4)=D13</f>
        <v>1</v>
      </c>
    </row>
    <row r="14" customFormat="false" ht="15" hidden="false" customHeight="false" outlineLevel="0" collapsed="false">
      <c r="A14" s="0" t="s">
        <v>140</v>
      </c>
      <c r="B14" s="4" t="s">
        <v>141</v>
      </c>
    </row>
    <row r="15" customFormat="false" ht="15" hidden="false" customHeight="false" outlineLevel="0" collapsed="false">
      <c r="A15" s="0" t="s">
        <v>142</v>
      </c>
      <c r="C15" s="0" t="n">
        <f aca="false">-500+100/(1+B4)+425/(1+B4)^2</f>
        <v>-57.8512396694215</v>
      </c>
      <c r="D15" s="0" t="n">
        <v>-57.85</v>
      </c>
      <c r="E15" s="8" t="b">
        <f aca="false">ROUND(C15,2)=D15</f>
        <v>1</v>
      </c>
    </row>
    <row r="16" customFormat="false" ht="15" hidden="false" customHeight="false" outlineLevel="0" collapsed="false">
      <c r="A16" s="0" t="s">
        <v>143</v>
      </c>
      <c r="C16" s="0" t="n">
        <f aca="false">-800+150/(1+B4)^2</f>
        <v>-676.03305785124</v>
      </c>
      <c r="D16" s="0" t="n">
        <v>-676.03</v>
      </c>
      <c r="E16" s="8" t="b">
        <f aca="false">ROUND(C16,2)=D16</f>
        <v>1</v>
      </c>
    </row>
    <row r="17" customFormat="false" ht="15" hidden="false" customHeight="false" outlineLevel="0" collapsed="false">
      <c r="A17" s="0" t="s">
        <v>144</v>
      </c>
      <c r="C17" s="0" t="n">
        <f aca="false">C8+C15+C16</f>
        <v>-692.561983471075</v>
      </c>
      <c r="D17" s="0" t="n">
        <v>-692.56</v>
      </c>
      <c r="E17" s="8" t="b">
        <f aca="false">ROUND(C17,2)=D17</f>
        <v>1</v>
      </c>
    </row>
    <row r="18" customFormat="false" ht="15" hidden="false" customHeight="false" outlineLevel="0" collapsed="false">
      <c r="A18" s="0" t="s">
        <v>145</v>
      </c>
      <c r="B18" s="4" t="n">
        <v>75</v>
      </c>
      <c r="C18" s="11" t="n">
        <f aca="false">B18/(1+B4)^2</f>
        <v>61.9834710743802</v>
      </c>
      <c r="D18" s="0" t="n">
        <v>61.98</v>
      </c>
      <c r="E18" s="8" t="b">
        <f aca="false">ROUND(C18,2)=D18</f>
        <v>1</v>
      </c>
    </row>
    <row r="19" customFormat="false" ht="15" hidden="false" customHeight="false" outlineLevel="0" collapsed="false">
      <c r="A19" s="0" t="s">
        <v>146</v>
      </c>
      <c r="C19" s="0" t="n">
        <f aca="false">C17-C18</f>
        <v>-754.545454545455</v>
      </c>
      <c r="D19" s="0" t="n">
        <v>-754.55</v>
      </c>
      <c r="E19" s="8" t="b">
        <f aca="false">ROUND(C19,2)=D19</f>
        <v>1</v>
      </c>
    </row>
    <row r="20" customFormat="false" ht="15" hidden="false" customHeight="false" outlineLevel="0" collapsed="false">
      <c r="A20" s="0" t="s">
        <v>147</v>
      </c>
      <c r="C20" s="8" t="b">
        <f aca="false">AND(C10=2,C12=2,ROUND(C11,4)&lt;&gt;ROUND(C13,4))</f>
        <v>1</v>
      </c>
      <c r="D20" s="8" t="b">
        <f aca="false">TRUE()</f>
        <v>1</v>
      </c>
      <c r="E20" s="8" t="b">
        <f aca="false">C20=D20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50"/>
  </cols>
  <sheetData>
    <row r="1" customFormat="false" ht="17.35" hidden="false" customHeight="false" outlineLevel="0" collapsed="false">
      <c r="A1" s="1" t="s">
        <v>148</v>
      </c>
    </row>
    <row r="3" customFormat="false" ht="15" hidden="false" customHeight="false" outlineLevel="0" collapsed="false">
      <c r="A3" s="10" t="s">
        <v>149</v>
      </c>
      <c r="B3" s="10" t="s">
        <v>150</v>
      </c>
    </row>
    <row r="4" customFormat="false" ht="41.75" hidden="false" customHeight="false" outlineLevel="0" collapsed="false">
      <c r="A4" s="0" t="s">
        <v>151</v>
      </c>
      <c r="B4" s="3" t="s">
        <v>152</v>
      </c>
    </row>
    <row r="5" customFormat="false" ht="28.35" hidden="false" customHeight="false" outlineLevel="0" collapsed="false">
      <c r="A5" s="0" t="s">
        <v>153</v>
      </c>
      <c r="B5" s="3" t="s">
        <v>154</v>
      </c>
    </row>
    <row r="6" customFormat="false" ht="28.35" hidden="false" customHeight="false" outlineLevel="0" collapsed="false">
      <c r="A6" s="0" t="s">
        <v>155</v>
      </c>
      <c r="B6" s="3" t="s">
        <v>156</v>
      </c>
    </row>
    <row r="7" customFormat="false" ht="28.35" hidden="false" customHeight="false" outlineLevel="0" collapsed="false">
      <c r="A7" s="0" t="s">
        <v>157</v>
      </c>
      <c r="B7" s="3" t="s">
        <v>158</v>
      </c>
    </row>
    <row r="8" customFormat="false" ht="41.75" hidden="false" customHeight="false" outlineLevel="0" collapsed="false">
      <c r="A8" s="0" t="s">
        <v>159</v>
      </c>
      <c r="B8" s="3" t="s">
        <v>160</v>
      </c>
    </row>
    <row r="9" customFormat="false" ht="15" hidden="false" customHeight="false" outlineLevel="0" collapsed="false">
      <c r="A9" s="0" t="s">
        <v>161</v>
      </c>
      <c r="B9" s="3" t="s">
        <v>162</v>
      </c>
    </row>
    <row r="10" customFormat="false" ht="28.35" hidden="false" customHeight="false" outlineLevel="0" collapsed="false">
      <c r="A10" s="0" t="s">
        <v>163</v>
      </c>
      <c r="B10" s="3" t="s">
        <v>164</v>
      </c>
    </row>
    <row r="11" customFormat="false" ht="28.35" hidden="false" customHeight="false" outlineLevel="0" collapsed="false">
      <c r="A11" s="0" t="s">
        <v>165</v>
      </c>
      <c r="B11" s="3" t="s">
        <v>166</v>
      </c>
    </row>
    <row r="12" customFormat="false" ht="41.75" hidden="false" customHeight="false" outlineLevel="0" collapsed="false">
      <c r="A12" s="0" t="s">
        <v>167</v>
      </c>
      <c r="B12" s="3" t="s">
        <v>168</v>
      </c>
    </row>
    <row r="13" customFormat="false" ht="28.35" hidden="false" customHeight="false" outlineLevel="0" collapsed="false">
      <c r="A13" s="0" t="s">
        <v>169</v>
      </c>
      <c r="B13" s="3" t="s">
        <v>170</v>
      </c>
    </row>
    <row r="14" customFormat="false" ht="28.35" hidden="false" customHeight="false" outlineLevel="0" collapsed="false">
      <c r="A14" s="0" t="s">
        <v>171</v>
      </c>
      <c r="B14" s="3" t="s">
        <v>172</v>
      </c>
    </row>
    <row r="15" customFormat="false" ht="15" hidden="false" customHeight="false" outlineLevel="0" collapsed="false">
      <c r="A15" s="0" t="s">
        <v>173</v>
      </c>
      <c r="B15" s="3"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10" min="10" style="0" width="22"/>
    <col collapsed="false" customWidth="true" hidden="false" outlineLevel="0" max="11" min="11" style="0" width="24"/>
    <col collapsed="false" customWidth="true" hidden="false" outlineLevel="0" max="18" min="18" style="0" width="22"/>
  </cols>
  <sheetData>
    <row r="1" customFormat="false" ht="17.35" hidden="false" customHeight="false" outlineLevel="0" collapsed="false">
      <c r="A1" s="1" t="s">
        <v>175</v>
      </c>
    </row>
    <row r="2" customFormat="false" ht="15" hidden="false" customHeight="false" outlineLevel="0" collapsed="false">
      <c r="A2" s="0" t="s">
        <v>176</v>
      </c>
    </row>
    <row r="3" customFormat="false" ht="28.35" hidden="false" customHeight="false" outlineLevel="0" collapsed="false">
      <c r="A3" s="10" t="s">
        <v>177</v>
      </c>
      <c r="B3" s="10" t="s">
        <v>63</v>
      </c>
      <c r="C3" s="10" t="s">
        <v>178</v>
      </c>
      <c r="D3" s="10" t="s">
        <v>179</v>
      </c>
      <c r="E3" s="10" t="s">
        <v>180</v>
      </c>
      <c r="F3" s="10" t="s">
        <v>109</v>
      </c>
      <c r="G3" s="10" t="s">
        <v>181</v>
      </c>
      <c r="H3" s="10" t="s">
        <v>182</v>
      </c>
      <c r="I3" s="10" t="s">
        <v>183</v>
      </c>
      <c r="J3" s="10" t="s">
        <v>184</v>
      </c>
      <c r="K3" s="10" t="s">
        <v>185</v>
      </c>
      <c r="L3" s="10" t="s">
        <v>186</v>
      </c>
      <c r="M3" s="10" t="s">
        <v>187</v>
      </c>
      <c r="N3" s="10" t="s">
        <v>188</v>
      </c>
      <c r="O3" s="10" t="s">
        <v>189</v>
      </c>
      <c r="P3" s="10" t="s">
        <v>190</v>
      </c>
      <c r="Q3" s="10" t="s">
        <v>191</v>
      </c>
      <c r="R3" s="10" t="s">
        <v>192</v>
      </c>
      <c r="S3" s="10" t="s">
        <v>193</v>
      </c>
      <c r="T3" s="10" t="s">
        <v>194</v>
      </c>
      <c r="U3" s="10" t="s">
        <v>195</v>
      </c>
      <c r="V3" s="10" t="s">
        <v>196</v>
      </c>
      <c r="W3" s="10" t="s">
        <v>197</v>
      </c>
      <c r="X3" s="10" t="s">
        <v>198</v>
      </c>
      <c r="Y3" s="10" t="s">
        <v>199</v>
      </c>
      <c r="Z3" s="10" t="s">
        <v>200</v>
      </c>
      <c r="AA3" s="10" t="s">
        <v>201</v>
      </c>
      <c r="AB3" s="10" t="s">
        <v>202</v>
      </c>
      <c r="AC3" s="10" t="s">
        <v>203</v>
      </c>
    </row>
    <row r="4" customFormat="false" ht="15" hidden="false" customHeight="false" outlineLevel="0" collapsed="false">
      <c r="A4" s="4" t="s">
        <v>204</v>
      </c>
      <c r="B4" s="4" t="s">
        <v>83</v>
      </c>
      <c r="C4" s="4" t="n">
        <v>1</v>
      </c>
      <c r="D4" s="4" t="n">
        <v>1</v>
      </c>
      <c r="E4" s="4" t="s">
        <v>205</v>
      </c>
      <c r="F4" s="4" t="n">
        <v>1</v>
      </c>
      <c r="G4" s="4" t="n">
        <v>1</v>
      </c>
      <c r="H4" s="4" t="n">
        <v>74750</v>
      </c>
      <c r="I4" s="13" t="b">
        <f aca="false">TRUE()</f>
        <v>1</v>
      </c>
      <c r="J4" s="4" t="s">
        <v>206</v>
      </c>
      <c r="K4" s="4" t="s">
        <v>207</v>
      </c>
      <c r="L4" s="4" t="n">
        <v>253.04</v>
      </c>
      <c r="M4" s="11" t="n">
        <f aca="false">IFERROR(MATCH(Controls!$B$3&amp;"|"&amp;B4,'Scenario inputs'!$A$4:$A$213,0),0)</f>
        <v>132</v>
      </c>
      <c r="N4" s="8" t="b">
        <f aca="false">IF(M4=0,FALSE(),F4&lt;Controls!$B$12)</f>
        <v>1</v>
      </c>
      <c r="O4" s="11" t="n">
        <f aca="false">IF(N4,IF(INDEX('Scenario inputs'!$E$4:$E$213,M4)=0,1,INDEX('Scenario inputs'!$F$4:$M$213,M4,MIN(MAX(F4-G4,0),INDEX('Scenario inputs'!$E$4:$E$213,M4)-1)+1)),0)</f>
        <v>0.035714</v>
      </c>
      <c r="P4" s="11" t="n">
        <f aca="false">H4*O4</f>
        <v>2669.6215</v>
      </c>
      <c r="Q4" s="11" t="n">
        <f aca="false">IF(M4=0,"",IF(ISNUMBER(INDEX('Scenario inputs'!$N$4:$N$213,M4)),INDEX('Scenario inputs'!$N$4:$N$213,M4),""))</f>
        <v>31.74</v>
      </c>
      <c r="R4" s="0" t="str">
        <f aca="false">IF(NOT(N4),"",IF(OR(E4="cash",E4="revenue"),E4,IF(E4="avoided_cost",IF(AND(I4,LEN(TRIM(J4))&gt;0),"avoided_cost_realised","avoided_cost_beside"),IF(ISNUMBER(Q4),"capacity_converted","capacity_hours"))))</f>
        <v>avoided_cost_realised</v>
      </c>
      <c r="S4" s="11" t="n">
        <f aca="false">IF(OR(R4="",R4="capacity_hours"),0,IF(R4="capacity_converted",P4*Q4,P4))</f>
        <v>2669.6215</v>
      </c>
      <c r="T4" s="11" t="n">
        <f aca="false">IF(OR(R4="cash",R4="revenue",R4="avoided_cost_realised",R4="capacity_converted"),1,0)</f>
        <v>1</v>
      </c>
      <c r="U4" s="11" t="n">
        <f aca="false">IF(AND(N4,R4&lt;&gt;"capacity_hours",LEN(K4)&gt;0),1,0)</f>
        <v>1</v>
      </c>
      <c r="V4" s="11" t="n">
        <f aca="false">IF(U4=1,SUMPRODUCT(($K$4:$K$703=K4)*($F$4:$F$703=F4)*($U$4:$U$703=1)*($B$4:$B$703&lt;&gt;B4)),0)</f>
        <v>0</v>
      </c>
      <c r="W4" s="11" t="n">
        <f aca="false">IF(AND(U4=1,V4&gt;0),1+SUMPRODUCT(($K$4:$K$703=K4)*($F$4:$F$703=F4)*($U$4:$U$703=1)*($S$4:$S$703&gt;S4))+SUMPRODUCT(($K$4:$K$703=K4)*($F$4:$F$703=F4)*($U$4:$U$703=1)*($S$4:$S$703=S4)*($T$4:$T$703&gt;T4))+SUMPRODUCT(($K$4:$K$703=K4)*($F$4:$F$703=F4)*($U$4:$U$703=1)*($S$4:$S$703=S4)*($T$4:$T$703=T4)*($C$4:$C$703&lt;C4))+SUMPRODUCT(($K$4:$K$703=K4)*($F$4:$F$703=F4)*($U$4:$U$703=1)*($S$4:$S$703=S4)*($T$4:$T$703=T4)*($C$4:$C$703=C4)*($D$4:$D$703&lt;D4)),0)</f>
        <v>0</v>
      </c>
      <c r="X4" s="11" t="n">
        <f aca="false">IF(AND(U4=1,V4&gt;0,W4&gt;1),S4,0)</f>
        <v>0</v>
      </c>
      <c r="Y4" s="11" t="n">
        <f aca="false">IF(T4=1,X4/(1+Controls!$B$11)^F4,0)</f>
        <v>0</v>
      </c>
      <c r="Z4" s="11" t="n">
        <f aca="false">IF(AND(N4,E4="capacity",LEN(K4)&gt;0),1,0)</f>
        <v>0</v>
      </c>
      <c r="AA4" s="11" t="n">
        <f aca="false">IF(Z4=1,SUMPRODUCT(($K$4:$K$703=K4)*($F$4:$F$703=F4)*($Z$4:$Z$703=1)*($B$4:$B$703&lt;&gt;B4)),0)</f>
        <v>0</v>
      </c>
      <c r="AB4" s="11" t="n">
        <f aca="false">IF(AND(Z4=1,AA4&gt;0),1+SUMPRODUCT(($K$4:$K$703=K4)*($F$4:$F$703=F4)*($Z$4:$Z$703=1)*($P$4:$P$703&gt;P4))+SUMPRODUCT(($K$4:$K$703=K4)*($F$4:$F$703=F4)*($Z$4:$Z$703=1)*($P$4:$P$703=P4)*($C$4:$C$703&lt;C4))+SUMPRODUCT(($K$4:$K$703=K4)*($F$4:$F$703=F4)*($Z$4:$Z$703=1)*($P$4:$P$703=P4)*($C$4:$C$703=C4)*($D$4:$D$703&lt;D4)),0)</f>
        <v>0</v>
      </c>
      <c r="AC4" s="11" t="n">
        <f aca="false">IF(AND(Z4=1,AA4&gt;0,AB4&gt;1),P4,0)</f>
        <v>0</v>
      </c>
    </row>
    <row r="5" customFormat="false" ht="15" hidden="false" customHeight="false" outlineLevel="0" collapsed="false">
      <c r="A5" s="4" t="s">
        <v>208</v>
      </c>
      <c r="B5" s="4" t="s">
        <v>83</v>
      </c>
      <c r="C5" s="4" t="n">
        <v>1</v>
      </c>
      <c r="D5" s="4" t="n">
        <v>2</v>
      </c>
      <c r="E5" s="4" t="s">
        <v>205</v>
      </c>
      <c r="F5" s="4" t="n">
        <v>2</v>
      </c>
      <c r="G5" s="4" t="n">
        <v>1</v>
      </c>
      <c r="H5" s="4" t="n">
        <v>74750</v>
      </c>
      <c r="I5" s="13" t="b">
        <f aca="false">TRUE()</f>
        <v>1</v>
      </c>
      <c r="J5" s="4" t="s">
        <v>206</v>
      </c>
      <c r="K5" s="4" t="s">
        <v>207</v>
      </c>
      <c r="L5" s="4" t="n">
        <v>782.86</v>
      </c>
      <c r="M5" s="11" t="n">
        <f aca="false">IFERROR(MATCH(Controls!$B$3&amp;"|"&amp;B5,'Scenario inputs'!$A$4:$A$213,0),0)</f>
        <v>132</v>
      </c>
      <c r="N5" s="8" t="b">
        <f aca="false">IF(M5=0,FALSE(),F5&lt;Controls!$B$12)</f>
        <v>1</v>
      </c>
      <c r="O5" s="11" t="n">
        <f aca="false">IF(N5,IF(INDEX('Scenario inputs'!$E$4:$E$213,M5)=0,1,INDEX('Scenario inputs'!$F$4:$M$213,M5,MIN(MAX(F5-G5,0),INDEX('Scenario inputs'!$E$4:$E$213,M5)-1)+1)),0)</f>
        <v>0.107143</v>
      </c>
      <c r="P5" s="11" t="n">
        <f aca="false">H5*O5</f>
        <v>8008.93925</v>
      </c>
      <c r="Q5" s="11" t="n">
        <f aca="false">IF(M5=0,"",IF(ISNUMBER(INDEX('Scenario inputs'!$N$4:$N$213,M5)),INDEX('Scenario inputs'!$N$4:$N$213,M5),""))</f>
        <v>31.74</v>
      </c>
      <c r="R5" s="0" t="str">
        <f aca="false">IF(NOT(N5),"",IF(OR(E5="cash",E5="revenue"),E5,IF(E5="avoided_cost",IF(AND(I5,LEN(TRIM(J5))&gt;0),"avoided_cost_realised","avoided_cost_beside"),IF(ISNUMBER(Q5),"capacity_converted","capacity_hours"))))</f>
        <v>avoided_cost_realised</v>
      </c>
      <c r="S5" s="11" t="n">
        <f aca="false">IF(OR(R5="",R5="capacity_hours"),0,IF(R5="capacity_converted",P5*Q5,P5))</f>
        <v>8008.93925</v>
      </c>
      <c r="T5" s="11" t="n">
        <f aca="false">IF(OR(R5="cash",R5="revenue",R5="avoided_cost_realised",R5="capacity_converted"),1,0)</f>
        <v>1</v>
      </c>
      <c r="U5" s="11" t="n">
        <f aca="false">IF(AND(N5,R5&lt;&gt;"capacity_hours",LEN(K5)&gt;0),1,0)</f>
        <v>1</v>
      </c>
      <c r="V5" s="11" t="n">
        <f aca="false">IF(U5=1,SUMPRODUCT(($K$4:$K$703=K5)*($F$4:$F$703=F5)*($U$4:$U$703=1)*($B$4:$B$703&lt;&gt;B5)),0)</f>
        <v>0</v>
      </c>
      <c r="W5" s="11" t="n">
        <f aca="false">IF(AND(U5=1,V5&gt;0),1+SUMPRODUCT(($K$4:$K$703=K5)*($F$4:$F$703=F5)*($U$4:$U$703=1)*($S$4:$S$703&gt;S5))+SUMPRODUCT(($K$4:$K$703=K5)*($F$4:$F$703=F5)*($U$4:$U$703=1)*($S$4:$S$703=S5)*($T$4:$T$703&gt;T5))+SUMPRODUCT(($K$4:$K$703=K5)*($F$4:$F$703=F5)*($U$4:$U$703=1)*($S$4:$S$703=S5)*($T$4:$T$703=T5)*($C$4:$C$703&lt;C5))+SUMPRODUCT(($K$4:$K$703=K5)*($F$4:$F$703=F5)*($U$4:$U$703=1)*($S$4:$S$703=S5)*($T$4:$T$703=T5)*($C$4:$C$703=C5)*($D$4:$D$703&lt;D5)),0)</f>
        <v>0</v>
      </c>
      <c r="X5" s="11" t="n">
        <f aca="false">IF(AND(U5=1,V5&gt;0,W5&gt;1),S5,0)</f>
        <v>0</v>
      </c>
      <c r="Y5" s="11" t="n">
        <f aca="false">IF(T5=1,X5/(1+Controls!$B$11)^F5,0)</f>
        <v>0</v>
      </c>
      <c r="Z5" s="11" t="n">
        <f aca="false">IF(AND(N5,E5="capacity",LEN(K5)&gt;0),1,0)</f>
        <v>0</v>
      </c>
      <c r="AA5" s="11" t="n">
        <f aca="false">IF(Z5=1,SUMPRODUCT(($K$4:$K$703=K5)*($F$4:$F$703=F5)*($Z$4:$Z$703=1)*($B$4:$B$703&lt;&gt;B5)),0)</f>
        <v>0</v>
      </c>
      <c r="AB5" s="11" t="n">
        <f aca="false">IF(AND(Z5=1,AA5&gt;0),1+SUMPRODUCT(($K$4:$K$703=K5)*($F$4:$F$703=F5)*($Z$4:$Z$703=1)*($P$4:$P$703&gt;P5))+SUMPRODUCT(($K$4:$K$703=K5)*($F$4:$F$703=F5)*($Z$4:$Z$703=1)*($P$4:$P$703=P5)*($C$4:$C$703&lt;C5))+SUMPRODUCT(($K$4:$K$703=K5)*($F$4:$F$703=F5)*($Z$4:$Z$703=1)*($P$4:$P$703=P5)*($C$4:$C$703=C5)*($D$4:$D$703&lt;D5)),0)</f>
        <v>0</v>
      </c>
      <c r="AC5" s="11" t="n">
        <f aca="false">IF(AND(Z5=1,AA5&gt;0,AB5&gt;1),P5,0)</f>
        <v>0</v>
      </c>
    </row>
    <row r="6" customFormat="false" ht="15" hidden="false" customHeight="false" outlineLevel="0" collapsed="false">
      <c r="A6" s="4" t="s">
        <v>209</v>
      </c>
      <c r="B6" s="4" t="s">
        <v>83</v>
      </c>
      <c r="C6" s="4" t="n">
        <v>1</v>
      </c>
      <c r="D6" s="4" t="n">
        <v>3</v>
      </c>
      <c r="E6" s="4" t="s">
        <v>205</v>
      </c>
      <c r="F6" s="4" t="n">
        <v>3</v>
      </c>
      <c r="G6" s="4" t="n">
        <v>1</v>
      </c>
      <c r="H6" s="4" t="n">
        <v>74750</v>
      </c>
      <c r="I6" s="13" t="b">
        <f aca="false">TRUE()</f>
        <v>1</v>
      </c>
      <c r="J6" s="4" t="s">
        <v>206</v>
      </c>
      <c r="K6" s="4" t="s">
        <v>207</v>
      </c>
      <c r="L6" s="4" t="n">
        <v>1534.09</v>
      </c>
      <c r="M6" s="11" t="n">
        <f aca="false">IFERROR(MATCH(Controls!$B$3&amp;"|"&amp;B6,'Scenario inputs'!$A$4:$A$213,0),0)</f>
        <v>132</v>
      </c>
      <c r="N6" s="8" t="b">
        <f aca="false">IF(M6=0,FALSE(),F6&lt;Controls!$B$12)</f>
        <v>1</v>
      </c>
      <c r="O6" s="11" t="n">
        <f aca="false">IF(N6,IF(INDEX('Scenario inputs'!$E$4:$E$213,M6)=0,1,INDEX('Scenario inputs'!$F$4:$M$213,M6,MIN(MAX(F6-G6,0),INDEX('Scenario inputs'!$E$4:$E$213,M6)-1)+1)),0)</f>
        <v>0.214286</v>
      </c>
      <c r="P6" s="11" t="n">
        <f aca="false">H6*O6</f>
        <v>16017.8785</v>
      </c>
      <c r="Q6" s="11" t="n">
        <f aca="false">IF(M6=0,"",IF(ISNUMBER(INDEX('Scenario inputs'!$N$4:$N$213,M6)),INDEX('Scenario inputs'!$N$4:$N$213,M6),""))</f>
        <v>31.74</v>
      </c>
      <c r="R6" s="0" t="str">
        <f aca="false">IF(NOT(N6),"",IF(OR(E6="cash",E6="revenue"),E6,IF(E6="avoided_cost",IF(AND(I6,LEN(TRIM(J6))&gt;0),"avoided_cost_realised","avoided_cost_beside"),IF(ISNUMBER(Q6),"capacity_converted","capacity_hours"))))</f>
        <v>avoided_cost_realised</v>
      </c>
      <c r="S6" s="11" t="n">
        <f aca="false">IF(OR(R6="",R6="capacity_hours"),0,IF(R6="capacity_converted",P6*Q6,P6))</f>
        <v>16017.8785</v>
      </c>
      <c r="T6" s="11" t="n">
        <f aca="false">IF(OR(R6="cash",R6="revenue",R6="avoided_cost_realised",R6="capacity_converted"),1,0)</f>
        <v>1</v>
      </c>
      <c r="U6" s="11" t="n">
        <f aca="false">IF(AND(N6,R6&lt;&gt;"capacity_hours",LEN(K6)&gt;0),1,0)</f>
        <v>1</v>
      </c>
      <c r="V6" s="11" t="n">
        <f aca="false">IF(U6=1,SUMPRODUCT(($K$4:$K$703=K6)*($F$4:$F$703=F6)*($U$4:$U$703=1)*($B$4:$B$703&lt;&gt;B6)),0)</f>
        <v>0</v>
      </c>
      <c r="W6" s="11" t="n">
        <f aca="false">IF(AND(U6=1,V6&gt;0),1+SUMPRODUCT(($K$4:$K$703=K6)*($F$4:$F$703=F6)*($U$4:$U$703=1)*($S$4:$S$703&gt;S6))+SUMPRODUCT(($K$4:$K$703=K6)*($F$4:$F$703=F6)*($U$4:$U$703=1)*($S$4:$S$703=S6)*($T$4:$T$703&gt;T6))+SUMPRODUCT(($K$4:$K$703=K6)*($F$4:$F$703=F6)*($U$4:$U$703=1)*($S$4:$S$703=S6)*($T$4:$T$703=T6)*($C$4:$C$703&lt;C6))+SUMPRODUCT(($K$4:$K$703=K6)*($F$4:$F$703=F6)*($U$4:$U$703=1)*($S$4:$S$703=S6)*($T$4:$T$703=T6)*($C$4:$C$703=C6)*($D$4:$D$703&lt;D6)),0)</f>
        <v>0</v>
      </c>
      <c r="X6" s="11" t="n">
        <f aca="false">IF(AND(U6=1,V6&gt;0,W6&gt;1),S6,0)</f>
        <v>0</v>
      </c>
      <c r="Y6" s="11" t="n">
        <f aca="false">IF(T6=1,X6/(1+Controls!$B$11)^F6,0)</f>
        <v>0</v>
      </c>
      <c r="Z6" s="11" t="n">
        <f aca="false">IF(AND(N6,E6="capacity",LEN(K6)&gt;0),1,0)</f>
        <v>0</v>
      </c>
      <c r="AA6" s="11" t="n">
        <f aca="false">IF(Z6=1,SUMPRODUCT(($K$4:$K$703=K6)*($F$4:$F$703=F6)*($Z$4:$Z$703=1)*($B$4:$B$703&lt;&gt;B6)),0)</f>
        <v>0</v>
      </c>
      <c r="AB6" s="11" t="n">
        <f aca="false">IF(AND(Z6=1,AA6&gt;0),1+SUMPRODUCT(($K$4:$K$703=K6)*($F$4:$F$703=F6)*($Z$4:$Z$703=1)*($P$4:$P$703&gt;P6))+SUMPRODUCT(($K$4:$K$703=K6)*($F$4:$F$703=F6)*($Z$4:$Z$703=1)*($P$4:$P$703=P6)*($C$4:$C$703&lt;C6))+SUMPRODUCT(($K$4:$K$703=K6)*($F$4:$F$703=F6)*($Z$4:$Z$703=1)*($P$4:$P$703=P6)*($C$4:$C$703=C6)*($D$4:$D$703&lt;D6)),0)</f>
        <v>0</v>
      </c>
      <c r="AC6" s="11" t="n">
        <f aca="false">IF(AND(Z6=1,AA6&gt;0,AB6&gt;1),P6,0)</f>
        <v>0</v>
      </c>
    </row>
    <row r="7" customFormat="false" ht="15" hidden="false" customHeight="false" outlineLevel="0" collapsed="false">
      <c r="A7" s="4" t="s">
        <v>210</v>
      </c>
      <c r="B7" s="4" t="s">
        <v>83</v>
      </c>
      <c r="C7" s="4" t="n">
        <v>1</v>
      </c>
      <c r="D7" s="4" t="n">
        <v>4</v>
      </c>
      <c r="E7" s="4" t="s">
        <v>205</v>
      </c>
      <c r="F7" s="4" t="n">
        <v>4</v>
      </c>
      <c r="G7" s="4" t="n">
        <v>1</v>
      </c>
      <c r="H7" s="4" t="n">
        <v>74750</v>
      </c>
      <c r="I7" s="13" t="b">
        <f aca="false">TRUE()</f>
        <v>1</v>
      </c>
      <c r="J7" s="4" t="s">
        <v>206</v>
      </c>
      <c r="K7" s="4" t="s">
        <v>207</v>
      </c>
      <c r="L7" s="4" t="n">
        <v>2714.98</v>
      </c>
      <c r="M7" s="11" t="n">
        <f aca="false">IFERROR(MATCH(Controls!$B$3&amp;"|"&amp;B7,'Scenario inputs'!$A$4:$A$213,0),0)</f>
        <v>132</v>
      </c>
      <c r="N7" s="8" t="b">
        <f aca="false">IF(M7=0,FALSE(),F7&lt;Controls!$B$12)</f>
        <v>1</v>
      </c>
      <c r="O7" s="11" t="n">
        <f aca="false">IF(N7,IF(INDEX('Scenario inputs'!$E$4:$E$213,M7)=0,1,INDEX('Scenario inputs'!$F$4:$M$213,M7,MIN(MAX(F7-G7,0),INDEX('Scenario inputs'!$E$4:$E$213,M7)-1)+1)),0)</f>
        <v>0.357143</v>
      </c>
      <c r="P7" s="11" t="n">
        <f aca="false">H7*O7</f>
        <v>26696.43925</v>
      </c>
      <c r="Q7" s="11" t="n">
        <f aca="false">IF(M7=0,"",IF(ISNUMBER(INDEX('Scenario inputs'!$N$4:$N$213,M7)),INDEX('Scenario inputs'!$N$4:$N$213,M7),""))</f>
        <v>31.74</v>
      </c>
      <c r="R7" s="0" t="str">
        <f aca="false">IF(NOT(N7),"",IF(OR(E7="cash",E7="revenue"),E7,IF(E7="avoided_cost",IF(AND(I7,LEN(TRIM(J7))&gt;0),"avoided_cost_realised","avoided_cost_beside"),IF(ISNUMBER(Q7),"capacity_converted","capacity_hours"))))</f>
        <v>avoided_cost_realised</v>
      </c>
      <c r="S7" s="11" t="n">
        <f aca="false">IF(OR(R7="",R7="capacity_hours"),0,IF(R7="capacity_converted",P7*Q7,P7))</f>
        <v>26696.43925</v>
      </c>
      <c r="T7" s="11" t="n">
        <f aca="false">IF(OR(R7="cash",R7="revenue",R7="avoided_cost_realised",R7="capacity_converted"),1,0)</f>
        <v>1</v>
      </c>
      <c r="U7" s="11" t="n">
        <f aca="false">IF(AND(N7,R7&lt;&gt;"capacity_hours",LEN(K7)&gt;0),1,0)</f>
        <v>1</v>
      </c>
      <c r="V7" s="11" t="n">
        <f aca="false">IF(U7=1,SUMPRODUCT(($K$4:$K$703=K7)*($F$4:$F$703=F7)*($U$4:$U$703=1)*($B$4:$B$703&lt;&gt;B7)),0)</f>
        <v>0</v>
      </c>
      <c r="W7" s="11" t="n">
        <f aca="false">IF(AND(U7=1,V7&gt;0),1+SUMPRODUCT(($K$4:$K$703=K7)*($F$4:$F$703=F7)*($U$4:$U$703=1)*($S$4:$S$703&gt;S7))+SUMPRODUCT(($K$4:$K$703=K7)*($F$4:$F$703=F7)*($U$4:$U$703=1)*($S$4:$S$703=S7)*($T$4:$T$703&gt;T7))+SUMPRODUCT(($K$4:$K$703=K7)*($F$4:$F$703=F7)*($U$4:$U$703=1)*($S$4:$S$703=S7)*($T$4:$T$703=T7)*($C$4:$C$703&lt;C7))+SUMPRODUCT(($K$4:$K$703=K7)*($F$4:$F$703=F7)*($U$4:$U$703=1)*($S$4:$S$703=S7)*($T$4:$T$703=T7)*($C$4:$C$703=C7)*($D$4:$D$703&lt;D7)),0)</f>
        <v>0</v>
      </c>
      <c r="X7" s="11" t="n">
        <f aca="false">IF(AND(U7=1,V7&gt;0,W7&gt;1),S7,0)</f>
        <v>0</v>
      </c>
      <c r="Y7" s="11" t="n">
        <f aca="false">IF(T7=1,X7/(1+Controls!$B$11)^F7,0)</f>
        <v>0</v>
      </c>
      <c r="Z7" s="11" t="n">
        <f aca="false">IF(AND(N7,E7="capacity",LEN(K7)&gt;0),1,0)</f>
        <v>0</v>
      </c>
      <c r="AA7" s="11" t="n">
        <f aca="false">IF(Z7=1,SUMPRODUCT(($K$4:$K$703=K7)*($F$4:$F$703=F7)*($Z$4:$Z$703=1)*($B$4:$B$703&lt;&gt;B7)),0)</f>
        <v>0</v>
      </c>
      <c r="AB7" s="11" t="n">
        <f aca="false">IF(AND(Z7=1,AA7&gt;0),1+SUMPRODUCT(($K$4:$K$703=K7)*($F$4:$F$703=F7)*($Z$4:$Z$703=1)*($P$4:$P$703&gt;P7))+SUMPRODUCT(($K$4:$K$703=K7)*($F$4:$F$703=F7)*($Z$4:$Z$703=1)*($P$4:$P$703=P7)*($C$4:$C$703&lt;C7))+SUMPRODUCT(($K$4:$K$703=K7)*($F$4:$F$703=F7)*($Z$4:$Z$703=1)*($P$4:$P$703=P7)*($C$4:$C$703=C7)*($D$4:$D$703&lt;D7)),0)</f>
        <v>0</v>
      </c>
      <c r="AC7" s="11" t="n">
        <f aca="false">IF(AND(Z7=1,AA7&gt;0,AB7&gt;1),P7,0)</f>
        <v>0</v>
      </c>
    </row>
    <row r="8" customFormat="false" ht="15" hidden="false" customHeight="false" outlineLevel="0" collapsed="false">
      <c r="A8" s="4" t="s">
        <v>211</v>
      </c>
      <c r="B8" s="4" t="s">
        <v>83</v>
      </c>
      <c r="C8" s="4" t="n">
        <v>1</v>
      </c>
      <c r="D8" s="4" t="n">
        <v>5</v>
      </c>
      <c r="E8" s="4" t="s">
        <v>205</v>
      </c>
      <c r="F8" s="4" t="n">
        <v>5</v>
      </c>
      <c r="G8" s="4" t="n">
        <v>1</v>
      </c>
      <c r="H8" s="4" t="n">
        <v>74750</v>
      </c>
      <c r="I8" s="13" t="b">
        <f aca="false">TRUE()</f>
        <v>1</v>
      </c>
      <c r="J8" s="4" t="s">
        <v>206</v>
      </c>
      <c r="K8" s="4" t="s">
        <v>207</v>
      </c>
      <c r="L8" s="4" t="n">
        <v>3795.69</v>
      </c>
      <c r="M8" s="11" t="n">
        <f aca="false">IFERROR(MATCH(Controls!$B$3&amp;"|"&amp;B8,'Scenario inputs'!$A$4:$A$213,0),0)</f>
        <v>132</v>
      </c>
      <c r="N8" s="8" t="b">
        <f aca="false">IF(M8=0,FALSE(),F8&lt;Controls!$B$12)</f>
        <v>1</v>
      </c>
      <c r="O8" s="11" t="n">
        <f aca="false">IF(N8,IF(INDEX('Scenario inputs'!$E$4:$E$213,M8)=0,1,INDEX('Scenario inputs'!$F$4:$M$213,M8,MIN(MAX(F8-G8,0),INDEX('Scenario inputs'!$E$4:$E$213,M8)-1)+1)),0)</f>
        <v>0.535714</v>
      </c>
      <c r="P8" s="11" t="n">
        <f aca="false">H8*O8</f>
        <v>40044.6215</v>
      </c>
      <c r="Q8" s="11" t="n">
        <f aca="false">IF(M8=0,"",IF(ISNUMBER(INDEX('Scenario inputs'!$N$4:$N$213,M8)),INDEX('Scenario inputs'!$N$4:$N$213,M8),""))</f>
        <v>31.74</v>
      </c>
      <c r="R8" s="0" t="str">
        <f aca="false">IF(NOT(N8),"",IF(OR(E8="cash",E8="revenue"),E8,IF(E8="avoided_cost",IF(AND(I8,LEN(TRIM(J8))&gt;0),"avoided_cost_realised","avoided_cost_beside"),IF(ISNUMBER(Q8),"capacity_converted","capacity_hours"))))</f>
        <v>avoided_cost_realised</v>
      </c>
      <c r="S8" s="11" t="n">
        <f aca="false">IF(OR(R8="",R8="capacity_hours"),0,IF(R8="capacity_converted",P8*Q8,P8))</f>
        <v>40044.6215</v>
      </c>
      <c r="T8" s="11" t="n">
        <f aca="false">IF(OR(R8="cash",R8="revenue",R8="avoided_cost_realised",R8="capacity_converted"),1,0)</f>
        <v>1</v>
      </c>
      <c r="U8" s="11" t="n">
        <f aca="false">IF(AND(N8,R8&lt;&gt;"capacity_hours",LEN(K8)&gt;0),1,0)</f>
        <v>1</v>
      </c>
      <c r="V8" s="11" t="n">
        <f aca="false">IF(U8=1,SUMPRODUCT(($K$4:$K$703=K8)*($F$4:$F$703=F8)*($U$4:$U$703=1)*($B$4:$B$703&lt;&gt;B8)),0)</f>
        <v>0</v>
      </c>
      <c r="W8" s="11" t="n">
        <f aca="false">IF(AND(U8=1,V8&gt;0),1+SUMPRODUCT(($K$4:$K$703=K8)*($F$4:$F$703=F8)*($U$4:$U$703=1)*($S$4:$S$703&gt;S8))+SUMPRODUCT(($K$4:$K$703=K8)*($F$4:$F$703=F8)*($U$4:$U$703=1)*($S$4:$S$703=S8)*($T$4:$T$703&gt;T8))+SUMPRODUCT(($K$4:$K$703=K8)*($F$4:$F$703=F8)*($U$4:$U$703=1)*($S$4:$S$703=S8)*($T$4:$T$703=T8)*($C$4:$C$703&lt;C8))+SUMPRODUCT(($K$4:$K$703=K8)*($F$4:$F$703=F8)*($U$4:$U$703=1)*($S$4:$S$703=S8)*($T$4:$T$703=T8)*($C$4:$C$703=C8)*($D$4:$D$703&lt;D8)),0)</f>
        <v>0</v>
      </c>
      <c r="X8" s="11" t="n">
        <f aca="false">IF(AND(U8=1,V8&gt;0,W8&gt;1),S8,0)</f>
        <v>0</v>
      </c>
      <c r="Y8" s="11" t="n">
        <f aca="false">IF(T8=1,X8/(1+Controls!$B$11)^F8,0)</f>
        <v>0</v>
      </c>
      <c r="Z8" s="11" t="n">
        <f aca="false">IF(AND(N8,E8="capacity",LEN(K8)&gt;0),1,0)</f>
        <v>0</v>
      </c>
      <c r="AA8" s="11" t="n">
        <f aca="false">IF(Z8=1,SUMPRODUCT(($K$4:$K$703=K8)*($F$4:$F$703=F8)*($Z$4:$Z$703=1)*($B$4:$B$703&lt;&gt;B8)),0)</f>
        <v>0</v>
      </c>
      <c r="AB8" s="11" t="n">
        <f aca="false">IF(AND(Z8=1,AA8&gt;0),1+SUMPRODUCT(($K$4:$K$703=K8)*($F$4:$F$703=F8)*($Z$4:$Z$703=1)*($P$4:$P$703&gt;P8))+SUMPRODUCT(($K$4:$K$703=K8)*($F$4:$F$703=F8)*($Z$4:$Z$703=1)*($P$4:$P$703=P8)*($C$4:$C$703&lt;C8))+SUMPRODUCT(($K$4:$K$703=K8)*($F$4:$F$703=F8)*($Z$4:$Z$703=1)*($P$4:$P$703=P8)*($C$4:$C$703=C8)*($D$4:$D$703&lt;D8)),0)</f>
        <v>0</v>
      </c>
      <c r="AC8" s="11" t="n">
        <f aca="false">IF(AND(Z8=1,AA8&gt;0,AB8&gt;1),P8,0)</f>
        <v>0</v>
      </c>
    </row>
    <row r="9" customFormat="false" ht="15" hidden="false" customHeight="false" outlineLevel="0" collapsed="false">
      <c r="A9" s="4" t="s">
        <v>212</v>
      </c>
      <c r="B9" s="4" t="s">
        <v>83</v>
      </c>
      <c r="C9" s="4" t="n">
        <v>1</v>
      </c>
      <c r="D9" s="4" t="n">
        <v>6</v>
      </c>
      <c r="E9" s="4" t="s">
        <v>205</v>
      </c>
      <c r="F9" s="4" t="n">
        <v>6</v>
      </c>
      <c r="G9" s="4" t="n">
        <v>1</v>
      </c>
      <c r="H9" s="4" t="n">
        <v>74750</v>
      </c>
      <c r="I9" s="13" t="b">
        <f aca="false">TRUE()</f>
        <v>1</v>
      </c>
      <c r="J9" s="4" t="s">
        <v>206</v>
      </c>
      <c r="K9" s="4" t="s">
        <v>207</v>
      </c>
      <c r="L9" s="4" t="n">
        <v>5590.74</v>
      </c>
      <c r="M9" s="11" t="n">
        <f aca="false">IFERROR(MATCH(Controls!$B$3&amp;"|"&amp;B9,'Scenario inputs'!$A$4:$A$213,0),0)</f>
        <v>132</v>
      </c>
      <c r="N9" s="8" t="b">
        <f aca="false">IF(M9=0,FALSE(),F9&lt;Controls!$B$12)</f>
        <v>1</v>
      </c>
      <c r="O9" s="11" t="n">
        <f aca="false">IF(N9,IF(INDEX('Scenario inputs'!$E$4:$E$213,M9)=0,1,INDEX('Scenario inputs'!$F$4:$M$213,M9,MIN(MAX(F9-G9,0),INDEX('Scenario inputs'!$E$4:$E$213,M9)-1)+1)),0)</f>
        <v>0.75</v>
      </c>
      <c r="P9" s="11" t="n">
        <f aca="false">H9*O9</f>
        <v>56062.5</v>
      </c>
      <c r="Q9" s="11" t="n">
        <f aca="false">IF(M9=0,"",IF(ISNUMBER(INDEX('Scenario inputs'!$N$4:$N$213,M9)),INDEX('Scenario inputs'!$N$4:$N$213,M9),""))</f>
        <v>31.74</v>
      </c>
      <c r="R9" s="0" t="str">
        <f aca="false">IF(NOT(N9),"",IF(OR(E9="cash",E9="revenue"),E9,IF(E9="avoided_cost",IF(AND(I9,LEN(TRIM(J9))&gt;0),"avoided_cost_realised","avoided_cost_beside"),IF(ISNUMBER(Q9),"capacity_converted","capacity_hours"))))</f>
        <v>avoided_cost_realised</v>
      </c>
      <c r="S9" s="11" t="n">
        <f aca="false">IF(OR(R9="",R9="capacity_hours"),0,IF(R9="capacity_converted",P9*Q9,P9))</f>
        <v>56062.5</v>
      </c>
      <c r="T9" s="11" t="n">
        <f aca="false">IF(OR(R9="cash",R9="revenue",R9="avoided_cost_realised",R9="capacity_converted"),1,0)</f>
        <v>1</v>
      </c>
      <c r="U9" s="11" t="n">
        <f aca="false">IF(AND(N9,R9&lt;&gt;"capacity_hours",LEN(K9)&gt;0),1,0)</f>
        <v>1</v>
      </c>
      <c r="V9" s="11" t="n">
        <f aca="false">IF(U9=1,SUMPRODUCT(($K$4:$K$703=K9)*($F$4:$F$703=F9)*($U$4:$U$703=1)*($B$4:$B$703&lt;&gt;B9)),0)</f>
        <v>0</v>
      </c>
      <c r="W9" s="11" t="n">
        <f aca="false">IF(AND(U9=1,V9&gt;0),1+SUMPRODUCT(($K$4:$K$703=K9)*($F$4:$F$703=F9)*($U$4:$U$703=1)*($S$4:$S$703&gt;S9))+SUMPRODUCT(($K$4:$K$703=K9)*($F$4:$F$703=F9)*($U$4:$U$703=1)*($S$4:$S$703=S9)*($T$4:$T$703&gt;T9))+SUMPRODUCT(($K$4:$K$703=K9)*($F$4:$F$703=F9)*($U$4:$U$703=1)*($S$4:$S$703=S9)*($T$4:$T$703=T9)*($C$4:$C$703&lt;C9))+SUMPRODUCT(($K$4:$K$703=K9)*($F$4:$F$703=F9)*($U$4:$U$703=1)*($S$4:$S$703=S9)*($T$4:$T$703=T9)*($C$4:$C$703=C9)*($D$4:$D$703&lt;D9)),0)</f>
        <v>0</v>
      </c>
      <c r="X9" s="11" t="n">
        <f aca="false">IF(AND(U9=1,V9&gt;0,W9&gt;1),S9,0)</f>
        <v>0</v>
      </c>
      <c r="Y9" s="11" t="n">
        <f aca="false">IF(T9=1,X9/(1+Controls!$B$11)^F9,0)</f>
        <v>0</v>
      </c>
      <c r="Z9" s="11" t="n">
        <f aca="false">IF(AND(N9,E9="capacity",LEN(K9)&gt;0),1,0)</f>
        <v>0</v>
      </c>
      <c r="AA9" s="11" t="n">
        <f aca="false">IF(Z9=1,SUMPRODUCT(($K$4:$K$703=K9)*($F$4:$F$703=F9)*($Z$4:$Z$703=1)*($B$4:$B$703&lt;&gt;B9)),0)</f>
        <v>0</v>
      </c>
      <c r="AB9" s="11" t="n">
        <f aca="false">IF(AND(Z9=1,AA9&gt;0),1+SUMPRODUCT(($K$4:$K$703=K9)*($F$4:$F$703=F9)*($Z$4:$Z$703=1)*($P$4:$P$703&gt;P9))+SUMPRODUCT(($K$4:$K$703=K9)*($F$4:$F$703=F9)*($Z$4:$Z$703=1)*($P$4:$P$703=P9)*($C$4:$C$703&lt;C9))+SUMPRODUCT(($K$4:$K$703=K9)*($F$4:$F$703=F9)*($Z$4:$Z$703=1)*($P$4:$P$703=P9)*($C$4:$C$703=C9)*($D$4:$D$703&lt;D9)),0)</f>
        <v>0</v>
      </c>
      <c r="AC9" s="11" t="n">
        <f aca="false">IF(AND(Z9=1,AA9&gt;0,AB9&gt;1),P9,0)</f>
        <v>0</v>
      </c>
    </row>
    <row r="10" customFormat="false" ht="15" hidden="false" customHeight="false" outlineLevel="0" collapsed="false">
      <c r="A10" s="4" t="s">
        <v>213</v>
      </c>
      <c r="B10" s="4" t="s">
        <v>83</v>
      </c>
      <c r="C10" s="4" t="n">
        <v>1</v>
      </c>
      <c r="D10" s="4" t="n">
        <v>7</v>
      </c>
      <c r="E10" s="4" t="s">
        <v>205</v>
      </c>
      <c r="F10" s="4" t="n">
        <v>7</v>
      </c>
      <c r="G10" s="4" t="n">
        <v>1</v>
      </c>
      <c r="H10" s="4" t="n">
        <v>74750</v>
      </c>
      <c r="I10" s="13" t="b">
        <f aca="false">TRUE()</f>
        <v>1</v>
      </c>
      <c r="J10" s="4" t="s">
        <v>206</v>
      </c>
      <c r="K10" s="4" t="s">
        <v>207</v>
      </c>
      <c r="L10" s="4" t="n">
        <v>7380.52</v>
      </c>
      <c r="M10" s="11" t="n">
        <f aca="false">IFERROR(MATCH(Controls!$B$3&amp;"|"&amp;B10,'Scenario inputs'!$A$4:$A$213,0),0)</f>
        <v>132</v>
      </c>
      <c r="N10" s="8" t="b">
        <f aca="false">IF(M10=0,FALSE(),F10&lt;Controls!$B$12)</f>
        <v>1</v>
      </c>
      <c r="O10" s="11" t="n">
        <f aca="false">IF(N10,IF(INDEX('Scenario inputs'!$E$4:$E$213,M10)=0,1,INDEX('Scenario inputs'!$F$4:$M$213,M10,MIN(MAX(F10-G10,0),INDEX('Scenario inputs'!$E$4:$E$213,M10)-1)+1)),0)</f>
        <v>1</v>
      </c>
      <c r="P10" s="11" t="n">
        <f aca="false">H10*O10</f>
        <v>74750</v>
      </c>
      <c r="Q10" s="11" t="n">
        <f aca="false">IF(M10=0,"",IF(ISNUMBER(INDEX('Scenario inputs'!$N$4:$N$213,M10)),INDEX('Scenario inputs'!$N$4:$N$213,M10),""))</f>
        <v>31.74</v>
      </c>
      <c r="R10" s="0" t="str">
        <f aca="false">IF(NOT(N10),"",IF(OR(E10="cash",E10="revenue"),E10,IF(E10="avoided_cost",IF(AND(I10,LEN(TRIM(J10))&gt;0),"avoided_cost_realised","avoided_cost_beside"),IF(ISNUMBER(Q10),"capacity_converted","capacity_hours"))))</f>
        <v>avoided_cost_realised</v>
      </c>
      <c r="S10" s="11" t="n">
        <f aca="false">IF(OR(R10="",R10="capacity_hours"),0,IF(R10="capacity_converted",P10*Q10,P10))</f>
        <v>74750</v>
      </c>
      <c r="T10" s="11" t="n">
        <f aca="false">IF(OR(R10="cash",R10="revenue",R10="avoided_cost_realised",R10="capacity_converted"),1,0)</f>
        <v>1</v>
      </c>
      <c r="U10" s="11" t="n">
        <f aca="false">IF(AND(N10,R10&lt;&gt;"capacity_hours",LEN(K10)&gt;0),1,0)</f>
        <v>1</v>
      </c>
      <c r="V10" s="11" t="n">
        <f aca="false">IF(U10=1,SUMPRODUCT(($K$4:$K$703=K10)*($F$4:$F$703=F10)*($U$4:$U$703=1)*($B$4:$B$703&lt;&gt;B10)),0)</f>
        <v>0</v>
      </c>
      <c r="W10" s="11" t="n">
        <f aca="false">IF(AND(U10=1,V10&gt;0),1+SUMPRODUCT(($K$4:$K$703=K10)*($F$4:$F$703=F10)*($U$4:$U$703=1)*($S$4:$S$703&gt;S10))+SUMPRODUCT(($K$4:$K$703=K10)*($F$4:$F$703=F10)*($U$4:$U$703=1)*($S$4:$S$703=S10)*($T$4:$T$703&gt;T10))+SUMPRODUCT(($K$4:$K$703=K10)*($F$4:$F$703=F10)*($U$4:$U$703=1)*($S$4:$S$703=S10)*($T$4:$T$703=T10)*($C$4:$C$703&lt;C10))+SUMPRODUCT(($K$4:$K$703=K10)*($F$4:$F$703=F10)*($U$4:$U$703=1)*($S$4:$S$703=S10)*($T$4:$T$703=T10)*($C$4:$C$703=C10)*($D$4:$D$703&lt;D10)),0)</f>
        <v>0</v>
      </c>
      <c r="X10" s="11" t="n">
        <f aca="false">IF(AND(U10=1,V10&gt;0,W10&gt;1),S10,0)</f>
        <v>0</v>
      </c>
      <c r="Y10" s="11" t="n">
        <f aca="false">IF(T10=1,X10/(1+Controls!$B$11)^F10,0)</f>
        <v>0</v>
      </c>
      <c r="Z10" s="11" t="n">
        <f aca="false">IF(AND(N10,E10="capacity",LEN(K10)&gt;0),1,0)</f>
        <v>0</v>
      </c>
      <c r="AA10" s="11" t="n">
        <f aca="false">IF(Z10=1,SUMPRODUCT(($K$4:$K$703=K10)*($F$4:$F$703=F10)*($Z$4:$Z$703=1)*($B$4:$B$703&lt;&gt;B10)),0)</f>
        <v>0</v>
      </c>
      <c r="AB10" s="11" t="n">
        <f aca="false">IF(AND(Z10=1,AA10&gt;0),1+SUMPRODUCT(($K$4:$K$703=K10)*($F$4:$F$703=F10)*($Z$4:$Z$703=1)*($P$4:$P$703&gt;P10))+SUMPRODUCT(($K$4:$K$703=K10)*($F$4:$F$703=F10)*($Z$4:$Z$703=1)*($P$4:$P$703=P10)*($C$4:$C$703&lt;C10))+SUMPRODUCT(($K$4:$K$703=K10)*($F$4:$F$703=F10)*($Z$4:$Z$703=1)*($P$4:$P$703=P10)*($C$4:$C$703=C10)*($D$4:$D$703&lt;D10)),0)</f>
        <v>0</v>
      </c>
      <c r="AC10" s="11" t="n">
        <f aca="false">IF(AND(Z10=1,AA10&gt;0,AB10&gt;1),P10,0)</f>
        <v>0</v>
      </c>
    </row>
    <row r="11" customFormat="false" ht="15" hidden="false" customHeight="false" outlineLevel="0" collapsed="false">
      <c r="A11" s="4" t="s">
        <v>214</v>
      </c>
      <c r="B11" s="4" t="s">
        <v>83</v>
      </c>
      <c r="C11" s="4" t="n">
        <v>1</v>
      </c>
      <c r="D11" s="4" t="n">
        <v>8</v>
      </c>
      <c r="E11" s="4" t="s">
        <v>205</v>
      </c>
      <c r="F11" s="4" t="n">
        <v>8</v>
      </c>
      <c r="G11" s="4" t="n">
        <v>1</v>
      </c>
      <c r="H11" s="4" t="n">
        <v>74750</v>
      </c>
      <c r="I11" s="13" t="b">
        <f aca="false">TRUE()</f>
        <v>1</v>
      </c>
      <c r="J11" s="4" t="s">
        <v>206</v>
      </c>
      <c r="K11" s="4" t="s">
        <v>207</v>
      </c>
      <c r="L11" s="4" t="n">
        <v>7232.91</v>
      </c>
      <c r="M11" s="11" t="n">
        <f aca="false">IFERROR(MATCH(Controls!$B$3&amp;"|"&amp;B11,'Scenario inputs'!$A$4:$A$213,0),0)</f>
        <v>132</v>
      </c>
      <c r="N11" s="8" t="b">
        <f aca="false">IF(M11=0,FALSE(),F11&lt;Controls!$B$12)</f>
        <v>1</v>
      </c>
      <c r="O11" s="11" t="n">
        <f aca="false">IF(N11,IF(INDEX('Scenario inputs'!$E$4:$E$213,M11)=0,1,INDEX('Scenario inputs'!$F$4:$M$213,M11,MIN(MAX(F11-G11,0),INDEX('Scenario inputs'!$E$4:$E$213,M11)-1)+1)),0)</f>
        <v>1</v>
      </c>
      <c r="P11" s="11" t="n">
        <f aca="false">H11*O11</f>
        <v>74750</v>
      </c>
      <c r="Q11" s="11" t="n">
        <f aca="false">IF(M11=0,"",IF(ISNUMBER(INDEX('Scenario inputs'!$N$4:$N$213,M11)),INDEX('Scenario inputs'!$N$4:$N$213,M11),""))</f>
        <v>31.74</v>
      </c>
      <c r="R11" s="0" t="str">
        <f aca="false">IF(NOT(N11),"",IF(OR(E11="cash",E11="revenue"),E11,IF(E11="avoided_cost",IF(AND(I11,LEN(TRIM(J11))&gt;0),"avoided_cost_realised","avoided_cost_beside"),IF(ISNUMBER(Q11),"capacity_converted","capacity_hours"))))</f>
        <v>avoided_cost_realised</v>
      </c>
      <c r="S11" s="11" t="n">
        <f aca="false">IF(OR(R11="",R11="capacity_hours"),0,IF(R11="capacity_converted",P11*Q11,P11))</f>
        <v>74750</v>
      </c>
      <c r="T11" s="11" t="n">
        <f aca="false">IF(OR(R11="cash",R11="revenue",R11="avoided_cost_realised",R11="capacity_converted"),1,0)</f>
        <v>1</v>
      </c>
      <c r="U11" s="11" t="n">
        <f aca="false">IF(AND(N11,R11&lt;&gt;"capacity_hours",LEN(K11)&gt;0),1,0)</f>
        <v>1</v>
      </c>
      <c r="V11" s="11" t="n">
        <f aca="false">IF(U11=1,SUMPRODUCT(($K$4:$K$703=K11)*($F$4:$F$703=F11)*($U$4:$U$703=1)*($B$4:$B$703&lt;&gt;B11)),0)</f>
        <v>0</v>
      </c>
      <c r="W11" s="11" t="n">
        <f aca="false">IF(AND(U11=1,V11&gt;0),1+SUMPRODUCT(($K$4:$K$703=K11)*($F$4:$F$703=F11)*($U$4:$U$703=1)*($S$4:$S$703&gt;S11))+SUMPRODUCT(($K$4:$K$703=K11)*($F$4:$F$703=F11)*($U$4:$U$703=1)*($S$4:$S$703=S11)*($T$4:$T$703&gt;T11))+SUMPRODUCT(($K$4:$K$703=K11)*($F$4:$F$703=F11)*($U$4:$U$703=1)*($S$4:$S$703=S11)*($T$4:$T$703=T11)*($C$4:$C$703&lt;C11))+SUMPRODUCT(($K$4:$K$703=K11)*($F$4:$F$703=F11)*($U$4:$U$703=1)*($S$4:$S$703=S11)*($T$4:$T$703=T11)*($C$4:$C$703=C11)*($D$4:$D$703&lt;D11)),0)</f>
        <v>0</v>
      </c>
      <c r="X11" s="11" t="n">
        <f aca="false">IF(AND(U11=1,V11&gt;0,W11&gt;1),S11,0)</f>
        <v>0</v>
      </c>
      <c r="Y11" s="11" t="n">
        <f aca="false">IF(T11=1,X11/(1+Controls!$B$11)^F11,0)</f>
        <v>0</v>
      </c>
      <c r="Z11" s="11" t="n">
        <f aca="false">IF(AND(N11,E11="capacity",LEN(K11)&gt;0),1,0)</f>
        <v>0</v>
      </c>
      <c r="AA11" s="11" t="n">
        <f aca="false">IF(Z11=1,SUMPRODUCT(($K$4:$K$703=K11)*($F$4:$F$703=F11)*($Z$4:$Z$703=1)*($B$4:$B$703&lt;&gt;B11)),0)</f>
        <v>0</v>
      </c>
      <c r="AB11" s="11" t="n">
        <f aca="false">IF(AND(Z11=1,AA11&gt;0),1+SUMPRODUCT(($K$4:$K$703=K11)*($F$4:$F$703=F11)*($Z$4:$Z$703=1)*($P$4:$P$703&gt;P11))+SUMPRODUCT(($K$4:$K$703=K11)*($F$4:$F$703=F11)*($Z$4:$Z$703=1)*($P$4:$P$703=P11)*($C$4:$C$703&lt;C11))+SUMPRODUCT(($K$4:$K$703=K11)*($F$4:$F$703=F11)*($Z$4:$Z$703=1)*($P$4:$P$703=P11)*($C$4:$C$703=C11)*($D$4:$D$703&lt;D11)),0)</f>
        <v>0</v>
      </c>
      <c r="AC11" s="11" t="n">
        <f aca="false">IF(AND(Z11=1,AA11&gt;0,AB11&gt;1),P11,0)</f>
        <v>0</v>
      </c>
    </row>
    <row r="12" customFormat="false" ht="15" hidden="false" customHeight="false" outlineLevel="0" collapsed="false">
      <c r="A12" s="4" t="s">
        <v>215</v>
      </c>
      <c r="B12" s="4" t="s">
        <v>83</v>
      </c>
      <c r="C12" s="4" t="n">
        <v>1</v>
      </c>
      <c r="D12" s="4" t="n">
        <v>9</v>
      </c>
      <c r="E12" s="4" t="s">
        <v>205</v>
      </c>
      <c r="F12" s="4" t="n">
        <v>9</v>
      </c>
      <c r="G12" s="4" t="n">
        <v>1</v>
      </c>
      <c r="H12" s="4" t="n">
        <v>74750</v>
      </c>
      <c r="I12" s="13" t="b">
        <f aca="false">TRUE()</f>
        <v>1</v>
      </c>
      <c r="J12" s="4" t="s">
        <v>206</v>
      </c>
      <c r="K12" s="4" t="s">
        <v>207</v>
      </c>
      <c r="L12" s="4" t="n">
        <v>8386.95</v>
      </c>
      <c r="M12" s="11" t="n">
        <f aca="false">IFERROR(MATCH(Controls!$B$3&amp;"|"&amp;B12,'Scenario inputs'!$A$4:$A$213,0),0)</f>
        <v>132</v>
      </c>
      <c r="N12" s="8" t="b">
        <f aca="false">IF(M12=0,FALSE(),F12&lt;Controls!$B$12)</f>
        <v>1</v>
      </c>
      <c r="O12" s="11" t="n">
        <f aca="false">IF(N12,IF(INDEX('Scenario inputs'!$E$4:$E$213,M12)=0,1,INDEX('Scenario inputs'!$F$4:$M$213,M12,MIN(MAX(F12-G12,0),INDEX('Scenario inputs'!$E$4:$E$213,M12)-1)+1)),0)</f>
        <v>1</v>
      </c>
      <c r="P12" s="11" t="n">
        <f aca="false">H12*O12</f>
        <v>74750</v>
      </c>
      <c r="Q12" s="11" t="n">
        <f aca="false">IF(M12=0,"",IF(ISNUMBER(INDEX('Scenario inputs'!$N$4:$N$213,M12)),INDEX('Scenario inputs'!$N$4:$N$213,M12),""))</f>
        <v>31.74</v>
      </c>
      <c r="R12" s="0" t="str">
        <f aca="false">IF(NOT(N12),"",IF(OR(E12="cash",E12="revenue"),E12,IF(E12="avoided_cost",IF(AND(I12,LEN(TRIM(J12))&gt;0),"avoided_cost_realised","avoided_cost_beside"),IF(ISNUMBER(Q12),"capacity_converted","capacity_hours"))))</f>
        <v>avoided_cost_realised</v>
      </c>
      <c r="S12" s="11" t="n">
        <f aca="false">IF(OR(R12="",R12="capacity_hours"),0,IF(R12="capacity_converted",P12*Q12,P12))</f>
        <v>74750</v>
      </c>
      <c r="T12" s="11" t="n">
        <f aca="false">IF(OR(R12="cash",R12="revenue",R12="avoided_cost_realised",R12="capacity_converted"),1,0)</f>
        <v>1</v>
      </c>
      <c r="U12" s="11" t="n">
        <f aca="false">IF(AND(N12,R12&lt;&gt;"capacity_hours",LEN(K12)&gt;0),1,0)</f>
        <v>1</v>
      </c>
      <c r="V12" s="11" t="n">
        <f aca="false">IF(U12=1,SUMPRODUCT(($K$4:$K$703=K12)*($F$4:$F$703=F12)*($U$4:$U$703=1)*($B$4:$B$703&lt;&gt;B12)),0)</f>
        <v>0</v>
      </c>
      <c r="W12" s="11" t="n">
        <f aca="false">IF(AND(U12=1,V12&gt;0),1+SUMPRODUCT(($K$4:$K$703=K12)*($F$4:$F$703=F12)*($U$4:$U$703=1)*($S$4:$S$703&gt;S12))+SUMPRODUCT(($K$4:$K$703=K12)*($F$4:$F$703=F12)*($U$4:$U$703=1)*($S$4:$S$703=S12)*($T$4:$T$703&gt;T12))+SUMPRODUCT(($K$4:$K$703=K12)*($F$4:$F$703=F12)*($U$4:$U$703=1)*($S$4:$S$703=S12)*($T$4:$T$703=T12)*($C$4:$C$703&lt;C12))+SUMPRODUCT(($K$4:$K$703=K12)*($F$4:$F$703=F12)*($U$4:$U$703=1)*($S$4:$S$703=S12)*($T$4:$T$703=T12)*($C$4:$C$703=C12)*($D$4:$D$703&lt;D12)),0)</f>
        <v>0</v>
      </c>
      <c r="X12" s="11" t="n">
        <f aca="false">IF(AND(U12=1,V12&gt;0,W12&gt;1),S12,0)</f>
        <v>0</v>
      </c>
      <c r="Y12" s="11" t="n">
        <f aca="false">IF(T12=1,X12/(1+Controls!$B$11)^F12,0)</f>
        <v>0</v>
      </c>
      <c r="Z12" s="11" t="n">
        <f aca="false">IF(AND(N12,E12="capacity",LEN(K12)&gt;0),1,0)</f>
        <v>0</v>
      </c>
      <c r="AA12" s="11" t="n">
        <f aca="false">IF(Z12=1,SUMPRODUCT(($K$4:$K$703=K12)*($F$4:$F$703=F12)*($Z$4:$Z$703=1)*($B$4:$B$703&lt;&gt;B12)),0)</f>
        <v>0</v>
      </c>
      <c r="AB12" s="11" t="n">
        <f aca="false">IF(AND(Z12=1,AA12&gt;0),1+SUMPRODUCT(($K$4:$K$703=K12)*($F$4:$F$703=F12)*($Z$4:$Z$703=1)*($P$4:$P$703&gt;P12))+SUMPRODUCT(($K$4:$K$703=K12)*($F$4:$F$703=F12)*($Z$4:$Z$703=1)*($P$4:$P$703=P12)*($C$4:$C$703&lt;C12))+SUMPRODUCT(($K$4:$K$703=K12)*($F$4:$F$703=F12)*($Z$4:$Z$703=1)*($P$4:$P$703=P12)*($C$4:$C$703=C12)*($D$4:$D$703&lt;D12)),0)</f>
        <v>0</v>
      </c>
      <c r="AC12" s="11" t="n">
        <f aca="false">IF(AND(Z12=1,AA12&gt;0,AB12&gt;1),P12,0)</f>
        <v>0</v>
      </c>
    </row>
    <row r="13" customFormat="false" ht="15" hidden="false" customHeight="false" outlineLevel="0" collapsed="false">
      <c r="A13" s="4" t="s">
        <v>216</v>
      </c>
      <c r="B13" s="4" t="s">
        <v>83</v>
      </c>
      <c r="C13" s="4" t="n">
        <v>1</v>
      </c>
      <c r="D13" s="4" t="n">
        <v>10</v>
      </c>
      <c r="E13" s="4" t="s">
        <v>205</v>
      </c>
      <c r="F13" s="4" t="n">
        <v>10</v>
      </c>
      <c r="G13" s="4" t="n">
        <v>1</v>
      </c>
      <c r="H13" s="4" t="n">
        <v>74750</v>
      </c>
      <c r="I13" s="13" t="b">
        <f aca="false">TRUE()</f>
        <v>1</v>
      </c>
      <c r="J13" s="4" t="s">
        <v>206</v>
      </c>
      <c r="K13" s="4" t="s">
        <v>207</v>
      </c>
      <c r="L13" s="4" t="n">
        <v>8386.95</v>
      </c>
      <c r="M13" s="11" t="n">
        <f aca="false">IFERROR(MATCH(Controls!$B$3&amp;"|"&amp;B13,'Scenario inputs'!$A$4:$A$213,0),0)</f>
        <v>132</v>
      </c>
      <c r="N13" s="8" t="b">
        <f aca="false">IF(M13=0,FALSE(),F13&lt;Controls!$B$12)</f>
        <v>1</v>
      </c>
      <c r="O13" s="11" t="n">
        <f aca="false">IF(N13,IF(INDEX('Scenario inputs'!$E$4:$E$213,M13)=0,1,INDEX('Scenario inputs'!$F$4:$M$213,M13,MIN(MAX(F13-G13,0),INDEX('Scenario inputs'!$E$4:$E$213,M13)-1)+1)),0)</f>
        <v>1</v>
      </c>
      <c r="P13" s="11" t="n">
        <f aca="false">H13*O13</f>
        <v>74750</v>
      </c>
      <c r="Q13" s="11" t="n">
        <f aca="false">IF(M13=0,"",IF(ISNUMBER(INDEX('Scenario inputs'!$N$4:$N$213,M13)),INDEX('Scenario inputs'!$N$4:$N$213,M13),""))</f>
        <v>31.74</v>
      </c>
      <c r="R13" s="0" t="str">
        <f aca="false">IF(NOT(N13),"",IF(OR(E13="cash",E13="revenue"),E13,IF(E13="avoided_cost",IF(AND(I13,LEN(TRIM(J13))&gt;0),"avoided_cost_realised","avoided_cost_beside"),IF(ISNUMBER(Q13),"capacity_converted","capacity_hours"))))</f>
        <v>avoided_cost_realised</v>
      </c>
      <c r="S13" s="11" t="n">
        <f aca="false">IF(OR(R13="",R13="capacity_hours"),0,IF(R13="capacity_converted",P13*Q13,P13))</f>
        <v>74750</v>
      </c>
      <c r="T13" s="11" t="n">
        <f aca="false">IF(OR(R13="cash",R13="revenue",R13="avoided_cost_realised",R13="capacity_converted"),1,0)</f>
        <v>1</v>
      </c>
      <c r="U13" s="11" t="n">
        <f aca="false">IF(AND(N13,R13&lt;&gt;"capacity_hours",LEN(K13)&gt;0),1,0)</f>
        <v>1</v>
      </c>
      <c r="V13" s="11" t="n">
        <f aca="false">IF(U13=1,SUMPRODUCT(($K$4:$K$703=K13)*($F$4:$F$703=F13)*($U$4:$U$703=1)*($B$4:$B$703&lt;&gt;B13)),0)</f>
        <v>0</v>
      </c>
      <c r="W13" s="11" t="n">
        <f aca="false">IF(AND(U13=1,V13&gt;0),1+SUMPRODUCT(($K$4:$K$703=K13)*($F$4:$F$703=F13)*($U$4:$U$703=1)*($S$4:$S$703&gt;S13))+SUMPRODUCT(($K$4:$K$703=K13)*($F$4:$F$703=F13)*($U$4:$U$703=1)*($S$4:$S$703=S13)*($T$4:$T$703&gt;T13))+SUMPRODUCT(($K$4:$K$703=K13)*($F$4:$F$703=F13)*($U$4:$U$703=1)*($S$4:$S$703=S13)*($T$4:$T$703=T13)*($C$4:$C$703&lt;C13))+SUMPRODUCT(($K$4:$K$703=K13)*($F$4:$F$703=F13)*($U$4:$U$703=1)*($S$4:$S$703=S13)*($T$4:$T$703=T13)*($C$4:$C$703=C13)*($D$4:$D$703&lt;D13)),0)</f>
        <v>0</v>
      </c>
      <c r="X13" s="11" t="n">
        <f aca="false">IF(AND(U13=1,V13&gt;0,W13&gt;1),S13,0)</f>
        <v>0</v>
      </c>
      <c r="Y13" s="11" t="n">
        <f aca="false">IF(T13=1,X13/(1+Controls!$B$11)^F13,0)</f>
        <v>0</v>
      </c>
      <c r="Z13" s="11" t="n">
        <f aca="false">IF(AND(N13,E13="capacity",LEN(K13)&gt;0),1,0)</f>
        <v>0</v>
      </c>
      <c r="AA13" s="11" t="n">
        <f aca="false">IF(Z13=1,SUMPRODUCT(($K$4:$K$703=K13)*($F$4:$F$703=F13)*($Z$4:$Z$703=1)*($B$4:$B$703&lt;&gt;B13)),0)</f>
        <v>0</v>
      </c>
      <c r="AB13" s="11" t="n">
        <f aca="false">IF(AND(Z13=1,AA13&gt;0),1+SUMPRODUCT(($K$4:$K$703=K13)*($F$4:$F$703=F13)*($Z$4:$Z$703=1)*($P$4:$P$703&gt;P13))+SUMPRODUCT(($K$4:$K$703=K13)*($F$4:$F$703=F13)*($Z$4:$Z$703=1)*($P$4:$P$703=P13)*($C$4:$C$703&lt;C13))+SUMPRODUCT(($K$4:$K$703=K13)*($F$4:$F$703=F13)*($Z$4:$Z$703=1)*($P$4:$P$703=P13)*($C$4:$C$703=C13)*($D$4:$D$703&lt;D13)),0)</f>
        <v>0</v>
      </c>
      <c r="AC13" s="11" t="n">
        <f aca="false">IF(AND(Z13=1,AA13&gt;0,AB13&gt;1),P13,0)</f>
        <v>0</v>
      </c>
    </row>
    <row r="14" customFormat="false" ht="15" hidden="false" customHeight="false" outlineLevel="0" collapsed="false">
      <c r="A14" s="4" t="s">
        <v>217</v>
      </c>
      <c r="B14" s="4" t="s">
        <v>83</v>
      </c>
      <c r="C14" s="4" t="n">
        <v>1</v>
      </c>
      <c r="D14" s="4" t="n">
        <v>11</v>
      </c>
      <c r="E14" s="4" t="s">
        <v>205</v>
      </c>
      <c r="F14" s="4" t="n">
        <v>11</v>
      </c>
      <c r="G14" s="4" t="n">
        <v>1</v>
      </c>
      <c r="H14" s="4" t="n">
        <v>74750</v>
      </c>
      <c r="I14" s="13" t="b">
        <f aca="false">TRUE()</f>
        <v>1</v>
      </c>
      <c r="J14" s="4" t="s">
        <v>206</v>
      </c>
      <c r="K14" s="4" t="s">
        <v>207</v>
      </c>
      <c r="L14" s="4" t="n">
        <v>8386.95</v>
      </c>
      <c r="M14" s="11" t="n">
        <f aca="false">IFERROR(MATCH(Controls!$B$3&amp;"|"&amp;B14,'Scenario inputs'!$A$4:$A$213,0),0)</f>
        <v>132</v>
      </c>
      <c r="N14" s="8" t="b">
        <f aca="false">IF(M14=0,FALSE(),F14&lt;Controls!$B$12)</f>
        <v>1</v>
      </c>
      <c r="O14" s="11" t="n">
        <f aca="false">IF(N14,IF(INDEX('Scenario inputs'!$E$4:$E$213,M14)=0,1,INDEX('Scenario inputs'!$F$4:$M$213,M14,MIN(MAX(F14-G14,0),INDEX('Scenario inputs'!$E$4:$E$213,M14)-1)+1)),0)</f>
        <v>1</v>
      </c>
      <c r="P14" s="11" t="n">
        <f aca="false">H14*O14</f>
        <v>74750</v>
      </c>
      <c r="Q14" s="11" t="n">
        <f aca="false">IF(M14=0,"",IF(ISNUMBER(INDEX('Scenario inputs'!$N$4:$N$213,M14)),INDEX('Scenario inputs'!$N$4:$N$213,M14),""))</f>
        <v>31.74</v>
      </c>
      <c r="R14" s="0" t="str">
        <f aca="false">IF(NOT(N14),"",IF(OR(E14="cash",E14="revenue"),E14,IF(E14="avoided_cost",IF(AND(I14,LEN(TRIM(J14))&gt;0),"avoided_cost_realised","avoided_cost_beside"),IF(ISNUMBER(Q14),"capacity_converted","capacity_hours"))))</f>
        <v>avoided_cost_realised</v>
      </c>
      <c r="S14" s="11" t="n">
        <f aca="false">IF(OR(R14="",R14="capacity_hours"),0,IF(R14="capacity_converted",P14*Q14,P14))</f>
        <v>74750</v>
      </c>
      <c r="T14" s="11" t="n">
        <f aca="false">IF(OR(R14="cash",R14="revenue",R14="avoided_cost_realised",R14="capacity_converted"),1,0)</f>
        <v>1</v>
      </c>
      <c r="U14" s="11" t="n">
        <f aca="false">IF(AND(N14,R14&lt;&gt;"capacity_hours",LEN(K14)&gt;0),1,0)</f>
        <v>1</v>
      </c>
      <c r="V14" s="11" t="n">
        <f aca="false">IF(U14=1,SUMPRODUCT(($K$4:$K$703=K14)*($F$4:$F$703=F14)*($U$4:$U$703=1)*($B$4:$B$703&lt;&gt;B14)),0)</f>
        <v>0</v>
      </c>
      <c r="W14" s="11" t="n">
        <f aca="false">IF(AND(U14=1,V14&gt;0),1+SUMPRODUCT(($K$4:$K$703=K14)*($F$4:$F$703=F14)*($U$4:$U$703=1)*($S$4:$S$703&gt;S14))+SUMPRODUCT(($K$4:$K$703=K14)*($F$4:$F$703=F14)*($U$4:$U$703=1)*($S$4:$S$703=S14)*($T$4:$T$703&gt;T14))+SUMPRODUCT(($K$4:$K$703=K14)*($F$4:$F$703=F14)*($U$4:$U$703=1)*($S$4:$S$703=S14)*($T$4:$T$703=T14)*($C$4:$C$703&lt;C14))+SUMPRODUCT(($K$4:$K$703=K14)*($F$4:$F$703=F14)*($U$4:$U$703=1)*($S$4:$S$703=S14)*($T$4:$T$703=T14)*($C$4:$C$703=C14)*($D$4:$D$703&lt;D14)),0)</f>
        <v>0</v>
      </c>
      <c r="X14" s="11" t="n">
        <f aca="false">IF(AND(U14=1,V14&gt;0,W14&gt;1),S14,0)</f>
        <v>0</v>
      </c>
      <c r="Y14" s="11" t="n">
        <f aca="false">IF(T14=1,X14/(1+Controls!$B$11)^F14,0)</f>
        <v>0</v>
      </c>
      <c r="Z14" s="11" t="n">
        <f aca="false">IF(AND(N14,E14="capacity",LEN(K14)&gt;0),1,0)</f>
        <v>0</v>
      </c>
      <c r="AA14" s="11" t="n">
        <f aca="false">IF(Z14=1,SUMPRODUCT(($K$4:$K$703=K14)*($F$4:$F$703=F14)*($Z$4:$Z$703=1)*($B$4:$B$703&lt;&gt;B14)),0)</f>
        <v>0</v>
      </c>
      <c r="AB14" s="11" t="n">
        <f aca="false">IF(AND(Z14=1,AA14&gt;0),1+SUMPRODUCT(($K$4:$K$703=K14)*($F$4:$F$703=F14)*($Z$4:$Z$703=1)*($P$4:$P$703&gt;P14))+SUMPRODUCT(($K$4:$K$703=K14)*($F$4:$F$703=F14)*($Z$4:$Z$703=1)*($P$4:$P$703=P14)*($C$4:$C$703&lt;C14))+SUMPRODUCT(($K$4:$K$703=K14)*($F$4:$F$703=F14)*($Z$4:$Z$703=1)*($P$4:$P$703=P14)*($C$4:$C$703=C14)*($D$4:$D$703&lt;D14)),0)</f>
        <v>0</v>
      </c>
      <c r="AC14" s="11" t="n">
        <f aca="false">IF(AND(Z14=1,AA14&gt;0,AB14&gt;1),P14,0)</f>
        <v>0</v>
      </c>
    </row>
    <row r="15" customFormat="false" ht="15" hidden="false" customHeight="false" outlineLevel="0" collapsed="false">
      <c r="A15" s="4" t="s">
        <v>218</v>
      </c>
      <c r="B15" s="4" t="s">
        <v>83</v>
      </c>
      <c r="C15" s="4" t="n">
        <v>1</v>
      </c>
      <c r="D15" s="4" t="n">
        <v>12</v>
      </c>
      <c r="E15" s="4" t="s">
        <v>205</v>
      </c>
      <c r="F15" s="4" t="n">
        <v>12</v>
      </c>
      <c r="G15" s="4" t="n">
        <v>1</v>
      </c>
      <c r="H15" s="4" t="n">
        <v>74750</v>
      </c>
      <c r="I15" s="13" t="b">
        <f aca="false">TRUE()</f>
        <v>1</v>
      </c>
      <c r="J15" s="4" t="s">
        <v>206</v>
      </c>
      <c r="K15" s="4" t="s">
        <v>207</v>
      </c>
      <c r="L15" s="4" t="n">
        <v>8386.95</v>
      </c>
      <c r="M15" s="11" t="n">
        <f aca="false">IFERROR(MATCH(Controls!$B$3&amp;"|"&amp;B15,'Scenario inputs'!$A$4:$A$213,0),0)</f>
        <v>132</v>
      </c>
      <c r="N15" s="8" t="b">
        <f aca="false">IF(M15=0,FALSE(),F15&lt;Controls!$B$12)</f>
        <v>1</v>
      </c>
      <c r="O15" s="11" t="n">
        <f aca="false">IF(N15,IF(INDEX('Scenario inputs'!$E$4:$E$213,M15)=0,1,INDEX('Scenario inputs'!$F$4:$M$213,M15,MIN(MAX(F15-G15,0),INDEX('Scenario inputs'!$E$4:$E$213,M15)-1)+1)),0)</f>
        <v>1</v>
      </c>
      <c r="P15" s="11" t="n">
        <f aca="false">H15*O15</f>
        <v>74750</v>
      </c>
      <c r="Q15" s="11" t="n">
        <f aca="false">IF(M15=0,"",IF(ISNUMBER(INDEX('Scenario inputs'!$N$4:$N$213,M15)),INDEX('Scenario inputs'!$N$4:$N$213,M15),""))</f>
        <v>31.74</v>
      </c>
      <c r="R15" s="0" t="str">
        <f aca="false">IF(NOT(N15),"",IF(OR(E15="cash",E15="revenue"),E15,IF(E15="avoided_cost",IF(AND(I15,LEN(TRIM(J15))&gt;0),"avoided_cost_realised","avoided_cost_beside"),IF(ISNUMBER(Q15),"capacity_converted","capacity_hours"))))</f>
        <v>avoided_cost_realised</v>
      </c>
      <c r="S15" s="11" t="n">
        <f aca="false">IF(OR(R15="",R15="capacity_hours"),0,IF(R15="capacity_converted",P15*Q15,P15))</f>
        <v>74750</v>
      </c>
      <c r="T15" s="11" t="n">
        <f aca="false">IF(OR(R15="cash",R15="revenue",R15="avoided_cost_realised",R15="capacity_converted"),1,0)</f>
        <v>1</v>
      </c>
      <c r="U15" s="11" t="n">
        <f aca="false">IF(AND(N15,R15&lt;&gt;"capacity_hours",LEN(K15)&gt;0),1,0)</f>
        <v>1</v>
      </c>
      <c r="V15" s="11" t="n">
        <f aca="false">IF(U15=1,SUMPRODUCT(($K$4:$K$703=K15)*($F$4:$F$703=F15)*($U$4:$U$703=1)*($B$4:$B$703&lt;&gt;B15)),0)</f>
        <v>0</v>
      </c>
      <c r="W15" s="11" t="n">
        <f aca="false">IF(AND(U15=1,V15&gt;0),1+SUMPRODUCT(($K$4:$K$703=K15)*($F$4:$F$703=F15)*($U$4:$U$703=1)*($S$4:$S$703&gt;S15))+SUMPRODUCT(($K$4:$K$703=K15)*($F$4:$F$703=F15)*($U$4:$U$703=1)*($S$4:$S$703=S15)*($T$4:$T$703&gt;T15))+SUMPRODUCT(($K$4:$K$703=K15)*($F$4:$F$703=F15)*($U$4:$U$703=1)*($S$4:$S$703=S15)*($T$4:$T$703=T15)*($C$4:$C$703&lt;C15))+SUMPRODUCT(($K$4:$K$703=K15)*($F$4:$F$703=F15)*($U$4:$U$703=1)*($S$4:$S$703=S15)*($T$4:$T$703=T15)*($C$4:$C$703=C15)*($D$4:$D$703&lt;D15)),0)</f>
        <v>0</v>
      </c>
      <c r="X15" s="11" t="n">
        <f aca="false">IF(AND(U15=1,V15&gt;0,W15&gt;1),S15,0)</f>
        <v>0</v>
      </c>
      <c r="Y15" s="11" t="n">
        <f aca="false">IF(T15=1,X15/(1+Controls!$B$11)^F15,0)</f>
        <v>0</v>
      </c>
      <c r="Z15" s="11" t="n">
        <f aca="false">IF(AND(N15,E15="capacity",LEN(K15)&gt;0),1,0)</f>
        <v>0</v>
      </c>
      <c r="AA15" s="11" t="n">
        <f aca="false">IF(Z15=1,SUMPRODUCT(($K$4:$K$703=K15)*($F$4:$F$703=F15)*($Z$4:$Z$703=1)*($B$4:$B$703&lt;&gt;B15)),0)</f>
        <v>0</v>
      </c>
      <c r="AB15" s="11" t="n">
        <f aca="false">IF(AND(Z15=1,AA15&gt;0),1+SUMPRODUCT(($K$4:$K$703=K15)*($F$4:$F$703=F15)*($Z$4:$Z$703=1)*($P$4:$P$703&gt;P15))+SUMPRODUCT(($K$4:$K$703=K15)*($F$4:$F$703=F15)*($Z$4:$Z$703=1)*($P$4:$P$703=P15)*($C$4:$C$703&lt;C15))+SUMPRODUCT(($K$4:$K$703=K15)*($F$4:$F$703=F15)*($Z$4:$Z$703=1)*($P$4:$P$703=P15)*($C$4:$C$703=C15)*($D$4:$D$703&lt;D15)),0)</f>
        <v>0</v>
      </c>
      <c r="AC15" s="11" t="n">
        <f aca="false">IF(AND(Z15=1,AA15&gt;0,AB15&gt;1),P15,0)</f>
        <v>0</v>
      </c>
    </row>
    <row r="16" customFormat="false" ht="15" hidden="false" customHeight="false" outlineLevel="0" collapsed="false">
      <c r="A16" s="4" t="s">
        <v>219</v>
      </c>
      <c r="B16" s="4" t="s">
        <v>83</v>
      </c>
      <c r="C16" s="4" t="n">
        <v>1</v>
      </c>
      <c r="D16" s="4" t="n">
        <v>13</v>
      </c>
      <c r="E16" s="4" t="s">
        <v>112</v>
      </c>
      <c r="F16" s="4" t="n">
        <v>2</v>
      </c>
      <c r="G16" s="4" t="n">
        <v>2</v>
      </c>
      <c r="H16" s="4" t="n">
        <v>112150</v>
      </c>
      <c r="I16" s="13" t="b">
        <f aca="false">FALSE()</f>
        <v>0</v>
      </c>
      <c r="K16" s="4" t="s">
        <v>220</v>
      </c>
      <c r="L16" s="4" t="n">
        <v>300.34</v>
      </c>
      <c r="M16" s="11" t="n">
        <f aca="false">IFERROR(MATCH(Controls!$B$3&amp;"|"&amp;B16,'Scenario inputs'!$A$4:$A$213,0),0)</f>
        <v>132</v>
      </c>
      <c r="N16" s="8" t="b">
        <f aca="false">IF(M16=0,FALSE(),F16&lt;Controls!$B$12)</f>
        <v>1</v>
      </c>
      <c r="O16" s="11" t="n">
        <f aca="false">IF(N16,IF(INDEX('Scenario inputs'!$E$4:$E$213,M16)=0,1,INDEX('Scenario inputs'!$F$4:$M$213,M16,MIN(MAX(F16-G16,0),INDEX('Scenario inputs'!$E$4:$E$213,M16)-1)+1)),0)</f>
        <v>0.035714</v>
      </c>
      <c r="P16" s="11" t="n">
        <f aca="false">H16*O16</f>
        <v>4005.3251</v>
      </c>
      <c r="Q16" s="11" t="n">
        <f aca="false">IF(M16=0,"",IF(ISNUMBER(INDEX('Scenario inputs'!$N$4:$N$213,M16)),INDEX('Scenario inputs'!$N$4:$N$213,M16),""))</f>
        <v>31.74</v>
      </c>
      <c r="R16" s="0" t="str">
        <f aca="false">IF(NOT(N16),"",IF(OR(E16="cash",E16="revenue"),E16,IF(E16="avoided_cost",IF(AND(I16,LEN(TRIM(J16))&gt;0),"avoided_cost_realised","avoided_cost_beside"),IF(ISNUMBER(Q16),"capacity_converted","capacity_hours"))))</f>
        <v>cash</v>
      </c>
      <c r="S16" s="11" t="n">
        <f aca="false">IF(OR(R16="",R16="capacity_hours"),0,IF(R16="capacity_converted",P16*Q16,P16))</f>
        <v>4005.3251</v>
      </c>
      <c r="T16" s="11" t="n">
        <f aca="false">IF(OR(R16="cash",R16="revenue",R16="avoided_cost_realised",R16="capacity_converted"),1,0)</f>
        <v>1</v>
      </c>
      <c r="U16" s="11" t="n">
        <f aca="false">IF(AND(N16,R16&lt;&gt;"capacity_hours",LEN(K16)&gt;0),1,0)</f>
        <v>1</v>
      </c>
      <c r="V16" s="11" t="n">
        <f aca="false">IF(U16=1,SUMPRODUCT(($K$4:$K$703=K16)*($F$4:$F$703=F16)*($U$4:$U$703=1)*($B$4:$B$703&lt;&gt;B16)),0)</f>
        <v>0</v>
      </c>
      <c r="W16" s="11" t="n">
        <f aca="false">IF(AND(U16=1,V16&gt;0),1+SUMPRODUCT(($K$4:$K$703=K16)*($F$4:$F$703=F16)*($U$4:$U$703=1)*($S$4:$S$703&gt;S16))+SUMPRODUCT(($K$4:$K$703=K16)*($F$4:$F$703=F16)*($U$4:$U$703=1)*($S$4:$S$703=S16)*($T$4:$T$703&gt;T16))+SUMPRODUCT(($K$4:$K$703=K16)*($F$4:$F$703=F16)*($U$4:$U$703=1)*($S$4:$S$703=S16)*($T$4:$T$703=T16)*($C$4:$C$703&lt;C16))+SUMPRODUCT(($K$4:$K$703=K16)*($F$4:$F$703=F16)*($U$4:$U$703=1)*($S$4:$S$703=S16)*($T$4:$T$703=T16)*($C$4:$C$703=C16)*($D$4:$D$703&lt;D16)),0)</f>
        <v>0</v>
      </c>
      <c r="X16" s="11" t="n">
        <f aca="false">IF(AND(U16=1,V16&gt;0,W16&gt;1),S16,0)</f>
        <v>0</v>
      </c>
      <c r="Y16" s="11" t="n">
        <f aca="false">IF(T16=1,X16/(1+Controls!$B$11)^F16,0)</f>
        <v>0</v>
      </c>
      <c r="Z16" s="11" t="n">
        <f aca="false">IF(AND(N16,E16="capacity",LEN(K16)&gt;0),1,0)</f>
        <v>0</v>
      </c>
      <c r="AA16" s="11" t="n">
        <f aca="false">IF(Z16=1,SUMPRODUCT(($K$4:$K$703=K16)*($F$4:$F$703=F16)*($Z$4:$Z$703=1)*($B$4:$B$703&lt;&gt;B16)),0)</f>
        <v>0</v>
      </c>
      <c r="AB16" s="11" t="n">
        <f aca="false">IF(AND(Z16=1,AA16&gt;0),1+SUMPRODUCT(($K$4:$K$703=K16)*($F$4:$F$703=F16)*($Z$4:$Z$703=1)*($P$4:$P$703&gt;P16))+SUMPRODUCT(($K$4:$K$703=K16)*($F$4:$F$703=F16)*($Z$4:$Z$703=1)*($P$4:$P$703=P16)*($C$4:$C$703&lt;C16))+SUMPRODUCT(($K$4:$K$703=K16)*($F$4:$F$703=F16)*($Z$4:$Z$703=1)*($P$4:$P$703=P16)*($C$4:$C$703=C16)*($D$4:$D$703&lt;D16)),0)</f>
        <v>0</v>
      </c>
      <c r="AC16" s="11" t="n">
        <f aca="false">IF(AND(Z16=1,AA16&gt;0,AB16&gt;1),P16,0)</f>
        <v>0</v>
      </c>
    </row>
    <row r="17" customFormat="false" ht="15" hidden="false" customHeight="false" outlineLevel="0" collapsed="false">
      <c r="A17" s="4" t="s">
        <v>221</v>
      </c>
      <c r="B17" s="4" t="s">
        <v>83</v>
      </c>
      <c r="C17" s="4" t="n">
        <v>1</v>
      </c>
      <c r="D17" s="4" t="n">
        <v>14</v>
      </c>
      <c r="E17" s="4" t="s">
        <v>112</v>
      </c>
      <c r="F17" s="4" t="n">
        <v>3</v>
      </c>
      <c r="G17" s="4" t="n">
        <v>2</v>
      </c>
      <c r="H17" s="4" t="n">
        <v>112150</v>
      </c>
      <c r="I17" s="13" t="b">
        <f aca="false">FALSE()</f>
        <v>0</v>
      </c>
      <c r="K17" s="4" t="s">
        <v>220</v>
      </c>
      <c r="L17" s="4" t="n">
        <v>866.02</v>
      </c>
      <c r="M17" s="11" t="n">
        <f aca="false">IFERROR(MATCH(Controls!$B$3&amp;"|"&amp;B17,'Scenario inputs'!$A$4:$A$213,0),0)</f>
        <v>132</v>
      </c>
      <c r="N17" s="8" t="b">
        <f aca="false">IF(M17=0,FALSE(),F17&lt;Controls!$B$12)</f>
        <v>1</v>
      </c>
      <c r="O17" s="11" t="n">
        <f aca="false">IF(N17,IF(INDEX('Scenario inputs'!$E$4:$E$213,M17)=0,1,INDEX('Scenario inputs'!$F$4:$M$213,M17,MIN(MAX(F17-G17,0),INDEX('Scenario inputs'!$E$4:$E$213,M17)-1)+1)),0)</f>
        <v>0.107143</v>
      </c>
      <c r="P17" s="11" t="n">
        <f aca="false">H17*O17</f>
        <v>12016.08745</v>
      </c>
      <c r="Q17" s="11" t="n">
        <f aca="false">IF(M17=0,"",IF(ISNUMBER(INDEX('Scenario inputs'!$N$4:$N$213,M17)),INDEX('Scenario inputs'!$N$4:$N$213,M17),""))</f>
        <v>31.74</v>
      </c>
      <c r="R17" s="0" t="str">
        <f aca="false">IF(NOT(N17),"",IF(OR(E17="cash",E17="revenue"),E17,IF(E17="avoided_cost",IF(AND(I17,LEN(TRIM(J17))&gt;0),"avoided_cost_realised","avoided_cost_beside"),IF(ISNUMBER(Q17),"capacity_converted","capacity_hours"))))</f>
        <v>cash</v>
      </c>
      <c r="S17" s="11" t="n">
        <f aca="false">IF(OR(R17="",R17="capacity_hours"),0,IF(R17="capacity_converted",P17*Q17,P17))</f>
        <v>12016.08745</v>
      </c>
      <c r="T17" s="11" t="n">
        <f aca="false">IF(OR(R17="cash",R17="revenue",R17="avoided_cost_realised",R17="capacity_converted"),1,0)</f>
        <v>1</v>
      </c>
      <c r="U17" s="11" t="n">
        <f aca="false">IF(AND(N17,R17&lt;&gt;"capacity_hours",LEN(K17)&gt;0),1,0)</f>
        <v>1</v>
      </c>
      <c r="V17" s="11" t="n">
        <f aca="false">IF(U17=1,SUMPRODUCT(($K$4:$K$703=K17)*($F$4:$F$703=F17)*($U$4:$U$703=1)*($B$4:$B$703&lt;&gt;B17)),0)</f>
        <v>0</v>
      </c>
      <c r="W17" s="11" t="n">
        <f aca="false">IF(AND(U17=1,V17&gt;0),1+SUMPRODUCT(($K$4:$K$703=K17)*($F$4:$F$703=F17)*($U$4:$U$703=1)*($S$4:$S$703&gt;S17))+SUMPRODUCT(($K$4:$K$703=K17)*($F$4:$F$703=F17)*($U$4:$U$703=1)*($S$4:$S$703=S17)*($T$4:$T$703&gt;T17))+SUMPRODUCT(($K$4:$K$703=K17)*($F$4:$F$703=F17)*($U$4:$U$703=1)*($S$4:$S$703=S17)*($T$4:$T$703=T17)*($C$4:$C$703&lt;C17))+SUMPRODUCT(($K$4:$K$703=K17)*($F$4:$F$703=F17)*($U$4:$U$703=1)*($S$4:$S$703=S17)*($T$4:$T$703=T17)*($C$4:$C$703=C17)*($D$4:$D$703&lt;D17)),0)</f>
        <v>0</v>
      </c>
      <c r="X17" s="11" t="n">
        <f aca="false">IF(AND(U17=1,V17&gt;0,W17&gt;1),S17,0)</f>
        <v>0</v>
      </c>
      <c r="Y17" s="11" t="n">
        <f aca="false">IF(T17=1,X17/(1+Controls!$B$11)^F17,0)</f>
        <v>0</v>
      </c>
      <c r="Z17" s="11" t="n">
        <f aca="false">IF(AND(N17,E17="capacity",LEN(K17)&gt;0),1,0)</f>
        <v>0</v>
      </c>
      <c r="AA17" s="11" t="n">
        <f aca="false">IF(Z17=1,SUMPRODUCT(($K$4:$K$703=K17)*($F$4:$F$703=F17)*($Z$4:$Z$703=1)*($B$4:$B$703&lt;&gt;B17)),0)</f>
        <v>0</v>
      </c>
      <c r="AB17" s="11" t="n">
        <f aca="false">IF(AND(Z17=1,AA17&gt;0),1+SUMPRODUCT(($K$4:$K$703=K17)*($F$4:$F$703=F17)*($Z$4:$Z$703=1)*($P$4:$P$703&gt;P17))+SUMPRODUCT(($K$4:$K$703=K17)*($F$4:$F$703=F17)*($Z$4:$Z$703=1)*($P$4:$P$703=P17)*($C$4:$C$703&lt;C17))+SUMPRODUCT(($K$4:$K$703=K17)*($F$4:$F$703=F17)*($Z$4:$Z$703=1)*($P$4:$P$703=P17)*($C$4:$C$703=C17)*($D$4:$D$703&lt;D17)),0)</f>
        <v>0</v>
      </c>
      <c r="AC17" s="11" t="n">
        <f aca="false">IF(AND(Z17=1,AA17&gt;0,AB17&gt;1),P17,0)</f>
        <v>0</v>
      </c>
    </row>
    <row r="18" customFormat="false" ht="15" hidden="false" customHeight="false" outlineLevel="0" collapsed="false">
      <c r="A18" s="4" t="s">
        <v>222</v>
      </c>
      <c r="B18" s="4" t="s">
        <v>83</v>
      </c>
      <c r="C18" s="4" t="n">
        <v>1</v>
      </c>
      <c r="D18" s="4" t="n">
        <v>15</v>
      </c>
      <c r="E18" s="4" t="s">
        <v>112</v>
      </c>
      <c r="F18" s="4" t="n">
        <v>4</v>
      </c>
      <c r="G18" s="4" t="n">
        <v>2</v>
      </c>
      <c r="H18" s="4" t="n">
        <v>112150</v>
      </c>
      <c r="I18" s="13" t="b">
        <f aca="false">FALSE()</f>
        <v>0</v>
      </c>
      <c r="K18" s="4" t="s">
        <v>220</v>
      </c>
      <c r="L18" s="4" t="n">
        <v>1679.56</v>
      </c>
      <c r="M18" s="11" t="n">
        <f aca="false">IFERROR(MATCH(Controls!$B$3&amp;"|"&amp;B18,'Scenario inputs'!$A$4:$A$213,0),0)</f>
        <v>132</v>
      </c>
      <c r="N18" s="8" t="b">
        <f aca="false">IF(M18=0,FALSE(),F18&lt;Controls!$B$12)</f>
        <v>1</v>
      </c>
      <c r="O18" s="11" t="n">
        <f aca="false">IF(N18,IF(INDEX('Scenario inputs'!$E$4:$E$213,M18)=0,1,INDEX('Scenario inputs'!$F$4:$M$213,M18,MIN(MAX(F18-G18,0),INDEX('Scenario inputs'!$E$4:$E$213,M18)-1)+1)),0)</f>
        <v>0.214286</v>
      </c>
      <c r="P18" s="11" t="n">
        <f aca="false">H18*O18</f>
        <v>24032.1749</v>
      </c>
      <c r="Q18" s="11" t="n">
        <f aca="false">IF(M18=0,"",IF(ISNUMBER(INDEX('Scenario inputs'!$N$4:$N$213,M18)),INDEX('Scenario inputs'!$N$4:$N$213,M18),""))</f>
        <v>31.74</v>
      </c>
      <c r="R18" s="0" t="str">
        <f aca="false">IF(NOT(N18),"",IF(OR(E18="cash",E18="revenue"),E18,IF(E18="avoided_cost",IF(AND(I18,LEN(TRIM(J18))&gt;0),"avoided_cost_realised","avoided_cost_beside"),IF(ISNUMBER(Q18),"capacity_converted","capacity_hours"))))</f>
        <v>cash</v>
      </c>
      <c r="S18" s="11" t="n">
        <f aca="false">IF(OR(R18="",R18="capacity_hours"),0,IF(R18="capacity_converted",P18*Q18,P18))</f>
        <v>24032.1749</v>
      </c>
      <c r="T18" s="11" t="n">
        <f aca="false">IF(OR(R18="cash",R18="revenue",R18="avoided_cost_realised",R18="capacity_converted"),1,0)</f>
        <v>1</v>
      </c>
      <c r="U18" s="11" t="n">
        <f aca="false">IF(AND(N18,R18&lt;&gt;"capacity_hours",LEN(K18)&gt;0),1,0)</f>
        <v>1</v>
      </c>
      <c r="V18" s="11" t="n">
        <f aca="false">IF(U18=1,SUMPRODUCT(($K$4:$K$703=K18)*($F$4:$F$703=F18)*($U$4:$U$703=1)*($B$4:$B$703&lt;&gt;B18)),0)</f>
        <v>0</v>
      </c>
      <c r="W18" s="11" t="n">
        <f aca="false">IF(AND(U18=1,V18&gt;0),1+SUMPRODUCT(($K$4:$K$703=K18)*($F$4:$F$703=F18)*($U$4:$U$703=1)*($S$4:$S$703&gt;S18))+SUMPRODUCT(($K$4:$K$703=K18)*($F$4:$F$703=F18)*($U$4:$U$703=1)*($S$4:$S$703=S18)*($T$4:$T$703&gt;T18))+SUMPRODUCT(($K$4:$K$703=K18)*($F$4:$F$703=F18)*($U$4:$U$703=1)*($S$4:$S$703=S18)*($T$4:$T$703=T18)*($C$4:$C$703&lt;C18))+SUMPRODUCT(($K$4:$K$703=K18)*($F$4:$F$703=F18)*($U$4:$U$703=1)*($S$4:$S$703=S18)*($T$4:$T$703=T18)*($C$4:$C$703=C18)*($D$4:$D$703&lt;D18)),0)</f>
        <v>0</v>
      </c>
      <c r="X18" s="11" t="n">
        <f aca="false">IF(AND(U18=1,V18&gt;0,W18&gt;1),S18,0)</f>
        <v>0</v>
      </c>
      <c r="Y18" s="11" t="n">
        <f aca="false">IF(T18=1,X18/(1+Controls!$B$11)^F18,0)</f>
        <v>0</v>
      </c>
      <c r="Z18" s="11" t="n">
        <f aca="false">IF(AND(N18,E18="capacity",LEN(K18)&gt;0),1,0)</f>
        <v>0</v>
      </c>
      <c r="AA18" s="11" t="n">
        <f aca="false">IF(Z18=1,SUMPRODUCT(($K$4:$K$703=K18)*($F$4:$F$703=F18)*($Z$4:$Z$703=1)*($B$4:$B$703&lt;&gt;B18)),0)</f>
        <v>0</v>
      </c>
      <c r="AB18" s="11" t="n">
        <f aca="false">IF(AND(Z18=1,AA18&gt;0),1+SUMPRODUCT(($K$4:$K$703=K18)*($F$4:$F$703=F18)*($Z$4:$Z$703=1)*($P$4:$P$703&gt;P18))+SUMPRODUCT(($K$4:$K$703=K18)*($F$4:$F$703=F18)*($Z$4:$Z$703=1)*($P$4:$P$703=P18)*($C$4:$C$703&lt;C18))+SUMPRODUCT(($K$4:$K$703=K18)*($F$4:$F$703=F18)*($Z$4:$Z$703=1)*($P$4:$P$703=P18)*($C$4:$C$703=C18)*($D$4:$D$703&lt;D18)),0)</f>
        <v>0</v>
      </c>
      <c r="AC18" s="11" t="n">
        <f aca="false">IF(AND(Z18=1,AA18&gt;0,AB18&gt;1),P18,0)</f>
        <v>0</v>
      </c>
    </row>
    <row r="19" customFormat="false" ht="15" hidden="false" customHeight="false" outlineLevel="0" collapsed="false">
      <c r="A19" s="4" t="s">
        <v>223</v>
      </c>
      <c r="B19" s="4" t="s">
        <v>83</v>
      </c>
      <c r="C19" s="4" t="n">
        <v>1</v>
      </c>
      <c r="D19" s="4" t="n">
        <v>16</v>
      </c>
      <c r="E19" s="4" t="s">
        <v>112</v>
      </c>
      <c r="F19" s="4" t="n">
        <v>5</v>
      </c>
      <c r="G19" s="4" t="n">
        <v>2</v>
      </c>
      <c r="H19" s="4" t="n">
        <v>112150</v>
      </c>
      <c r="I19" s="13" t="b">
        <f aca="false">FALSE()</f>
        <v>0</v>
      </c>
      <c r="K19" s="4" t="s">
        <v>220</v>
      </c>
      <c r="L19" s="4" t="n">
        <v>3003.38</v>
      </c>
      <c r="M19" s="11" t="n">
        <f aca="false">IFERROR(MATCH(Controls!$B$3&amp;"|"&amp;B19,'Scenario inputs'!$A$4:$A$213,0),0)</f>
        <v>132</v>
      </c>
      <c r="N19" s="8" t="b">
        <f aca="false">IF(M19=0,FALSE(),F19&lt;Controls!$B$12)</f>
        <v>1</v>
      </c>
      <c r="O19" s="11" t="n">
        <f aca="false">IF(N19,IF(INDEX('Scenario inputs'!$E$4:$E$213,M19)=0,1,INDEX('Scenario inputs'!$F$4:$M$213,M19,MIN(MAX(F19-G19,0),INDEX('Scenario inputs'!$E$4:$E$213,M19)-1)+1)),0)</f>
        <v>0.357143</v>
      </c>
      <c r="P19" s="11" t="n">
        <f aca="false">H19*O19</f>
        <v>40053.58745</v>
      </c>
      <c r="Q19" s="11" t="n">
        <f aca="false">IF(M19=0,"",IF(ISNUMBER(INDEX('Scenario inputs'!$N$4:$N$213,M19)),INDEX('Scenario inputs'!$N$4:$N$213,M19),""))</f>
        <v>31.74</v>
      </c>
      <c r="R19" s="0" t="str">
        <f aca="false">IF(NOT(N19),"",IF(OR(E19="cash",E19="revenue"),E19,IF(E19="avoided_cost",IF(AND(I19,LEN(TRIM(J19))&gt;0),"avoided_cost_realised","avoided_cost_beside"),IF(ISNUMBER(Q19),"capacity_converted","capacity_hours"))))</f>
        <v>cash</v>
      </c>
      <c r="S19" s="11" t="n">
        <f aca="false">IF(OR(R19="",R19="capacity_hours"),0,IF(R19="capacity_converted",P19*Q19,P19))</f>
        <v>40053.58745</v>
      </c>
      <c r="T19" s="11" t="n">
        <f aca="false">IF(OR(R19="cash",R19="revenue",R19="avoided_cost_realised",R19="capacity_converted"),1,0)</f>
        <v>1</v>
      </c>
      <c r="U19" s="11" t="n">
        <f aca="false">IF(AND(N19,R19&lt;&gt;"capacity_hours",LEN(K19)&gt;0),1,0)</f>
        <v>1</v>
      </c>
      <c r="V19" s="11" t="n">
        <f aca="false">IF(U19=1,SUMPRODUCT(($K$4:$K$703=K19)*($F$4:$F$703=F19)*($U$4:$U$703=1)*($B$4:$B$703&lt;&gt;B19)),0)</f>
        <v>0</v>
      </c>
      <c r="W19" s="11" t="n">
        <f aca="false">IF(AND(U19=1,V19&gt;0),1+SUMPRODUCT(($K$4:$K$703=K19)*($F$4:$F$703=F19)*($U$4:$U$703=1)*($S$4:$S$703&gt;S19))+SUMPRODUCT(($K$4:$K$703=K19)*($F$4:$F$703=F19)*($U$4:$U$703=1)*($S$4:$S$703=S19)*($T$4:$T$703&gt;T19))+SUMPRODUCT(($K$4:$K$703=K19)*($F$4:$F$703=F19)*($U$4:$U$703=1)*($S$4:$S$703=S19)*($T$4:$T$703=T19)*($C$4:$C$703&lt;C19))+SUMPRODUCT(($K$4:$K$703=K19)*($F$4:$F$703=F19)*($U$4:$U$703=1)*($S$4:$S$703=S19)*($T$4:$T$703=T19)*($C$4:$C$703=C19)*($D$4:$D$703&lt;D19)),0)</f>
        <v>0</v>
      </c>
      <c r="X19" s="11" t="n">
        <f aca="false">IF(AND(U19=1,V19&gt;0,W19&gt;1),S19,0)</f>
        <v>0</v>
      </c>
      <c r="Y19" s="11" t="n">
        <f aca="false">IF(T19=1,X19/(1+Controls!$B$11)^F19,0)</f>
        <v>0</v>
      </c>
      <c r="Z19" s="11" t="n">
        <f aca="false">IF(AND(N19,E19="capacity",LEN(K19)&gt;0),1,0)</f>
        <v>0</v>
      </c>
      <c r="AA19" s="11" t="n">
        <f aca="false">IF(Z19=1,SUMPRODUCT(($K$4:$K$703=K19)*($F$4:$F$703=F19)*($Z$4:$Z$703=1)*($B$4:$B$703&lt;&gt;B19)),0)</f>
        <v>0</v>
      </c>
      <c r="AB19" s="11" t="n">
        <f aca="false">IF(AND(Z19=1,AA19&gt;0),1+SUMPRODUCT(($K$4:$K$703=K19)*($F$4:$F$703=F19)*($Z$4:$Z$703=1)*($P$4:$P$703&gt;P19))+SUMPRODUCT(($K$4:$K$703=K19)*($F$4:$F$703=F19)*($Z$4:$Z$703=1)*($P$4:$P$703=P19)*($C$4:$C$703&lt;C19))+SUMPRODUCT(($K$4:$K$703=K19)*($F$4:$F$703=F19)*($Z$4:$Z$703=1)*($P$4:$P$703=P19)*($C$4:$C$703=C19)*($D$4:$D$703&lt;D19)),0)</f>
        <v>0</v>
      </c>
      <c r="AC19" s="11" t="n">
        <f aca="false">IF(AND(Z19=1,AA19&gt;0,AB19&gt;1),P19,0)</f>
        <v>0</v>
      </c>
    </row>
    <row r="20" customFormat="false" ht="15" hidden="false" customHeight="false" outlineLevel="0" collapsed="false">
      <c r="A20" s="4" t="s">
        <v>224</v>
      </c>
      <c r="B20" s="4" t="s">
        <v>83</v>
      </c>
      <c r="C20" s="4" t="n">
        <v>1</v>
      </c>
      <c r="D20" s="4" t="n">
        <v>17</v>
      </c>
      <c r="E20" s="4" t="s">
        <v>112</v>
      </c>
      <c r="F20" s="4" t="n">
        <v>6</v>
      </c>
      <c r="G20" s="4" t="n">
        <v>2</v>
      </c>
      <c r="H20" s="4" t="n">
        <v>112150</v>
      </c>
      <c r="I20" s="13" t="b">
        <f aca="false">FALSE()</f>
        <v>0</v>
      </c>
      <c r="K20" s="4" t="s">
        <v>220</v>
      </c>
      <c r="L20" s="4" t="n">
        <v>4286.37</v>
      </c>
      <c r="M20" s="11" t="n">
        <f aca="false">IFERROR(MATCH(Controls!$B$3&amp;"|"&amp;B20,'Scenario inputs'!$A$4:$A$213,0),0)</f>
        <v>132</v>
      </c>
      <c r="N20" s="8" t="b">
        <f aca="false">IF(M20=0,FALSE(),F20&lt;Controls!$B$12)</f>
        <v>1</v>
      </c>
      <c r="O20" s="11" t="n">
        <f aca="false">IF(N20,IF(INDEX('Scenario inputs'!$E$4:$E$213,M20)=0,1,INDEX('Scenario inputs'!$F$4:$M$213,M20,MIN(MAX(F20-G20,0),INDEX('Scenario inputs'!$E$4:$E$213,M20)-1)+1)),0)</f>
        <v>0.535714</v>
      </c>
      <c r="P20" s="11" t="n">
        <f aca="false">H20*O20</f>
        <v>60080.3251</v>
      </c>
      <c r="Q20" s="11" t="n">
        <f aca="false">IF(M20=0,"",IF(ISNUMBER(INDEX('Scenario inputs'!$N$4:$N$213,M20)),INDEX('Scenario inputs'!$N$4:$N$213,M20),""))</f>
        <v>31.74</v>
      </c>
      <c r="R20" s="0" t="str">
        <f aca="false">IF(NOT(N20),"",IF(OR(E20="cash",E20="revenue"),E20,IF(E20="avoided_cost",IF(AND(I20,LEN(TRIM(J20))&gt;0),"avoided_cost_realised","avoided_cost_beside"),IF(ISNUMBER(Q20),"capacity_converted","capacity_hours"))))</f>
        <v>cash</v>
      </c>
      <c r="S20" s="11" t="n">
        <f aca="false">IF(OR(R20="",R20="capacity_hours"),0,IF(R20="capacity_converted",P20*Q20,P20))</f>
        <v>60080.3251</v>
      </c>
      <c r="T20" s="11" t="n">
        <f aca="false">IF(OR(R20="cash",R20="revenue",R20="avoided_cost_realised",R20="capacity_converted"),1,0)</f>
        <v>1</v>
      </c>
      <c r="U20" s="11" t="n">
        <f aca="false">IF(AND(N20,R20&lt;&gt;"capacity_hours",LEN(K20)&gt;0),1,0)</f>
        <v>1</v>
      </c>
      <c r="V20" s="11" t="n">
        <f aca="false">IF(U20=1,SUMPRODUCT(($K$4:$K$703=K20)*($F$4:$F$703=F20)*($U$4:$U$703=1)*($B$4:$B$703&lt;&gt;B20)),0)</f>
        <v>0</v>
      </c>
      <c r="W20" s="11" t="n">
        <f aca="false">IF(AND(U20=1,V20&gt;0),1+SUMPRODUCT(($K$4:$K$703=K20)*($F$4:$F$703=F20)*($U$4:$U$703=1)*($S$4:$S$703&gt;S20))+SUMPRODUCT(($K$4:$K$703=K20)*($F$4:$F$703=F20)*($U$4:$U$703=1)*($S$4:$S$703=S20)*($T$4:$T$703&gt;T20))+SUMPRODUCT(($K$4:$K$703=K20)*($F$4:$F$703=F20)*($U$4:$U$703=1)*($S$4:$S$703=S20)*($T$4:$T$703=T20)*($C$4:$C$703&lt;C20))+SUMPRODUCT(($K$4:$K$703=K20)*($F$4:$F$703=F20)*($U$4:$U$703=1)*($S$4:$S$703=S20)*($T$4:$T$703=T20)*($C$4:$C$703=C20)*($D$4:$D$703&lt;D20)),0)</f>
        <v>0</v>
      </c>
      <c r="X20" s="11" t="n">
        <f aca="false">IF(AND(U20=1,V20&gt;0,W20&gt;1),S20,0)</f>
        <v>0</v>
      </c>
      <c r="Y20" s="11" t="n">
        <f aca="false">IF(T20=1,X20/(1+Controls!$B$11)^F20,0)</f>
        <v>0</v>
      </c>
      <c r="Z20" s="11" t="n">
        <f aca="false">IF(AND(N20,E20="capacity",LEN(K20)&gt;0),1,0)</f>
        <v>0</v>
      </c>
      <c r="AA20" s="11" t="n">
        <f aca="false">IF(Z20=1,SUMPRODUCT(($K$4:$K$703=K20)*($F$4:$F$703=F20)*($Z$4:$Z$703=1)*($B$4:$B$703&lt;&gt;B20)),0)</f>
        <v>0</v>
      </c>
      <c r="AB20" s="11" t="n">
        <f aca="false">IF(AND(Z20=1,AA20&gt;0),1+SUMPRODUCT(($K$4:$K$703=K20)*($F$4:$F$703=F20)*($Z$4:$Z$703=1)*($P$4:$P$703&gt;P20))+SUMPRODUCT(($K$4:$K$703=K20)*($F$4:$F$703=F20)*($Z$4:$Z$703=1)*($P$4:$P$703=P20)*($C$4:$C$703&lt;C20))+SUMPRODUCT(($K$4:$K$703=K20)*($F$4:$F$703=F20)*($Z$4:$Z$703=1)*($P$4:$P$703=P20)*($C$4:$C$703=C20)*($D$4:$D$703&lt;D20)),0)</f>
        <v>0</v>
      </c>
      <c r="AC20" s="11" t="n">
        <f aca="false">IF(AND(Z20=1,AA20&gt;0,AB20&gt;1),P20,0)</f>
        <v>0</v>
      </c>
    </row>
    <row r="21" customFormat="false" ht="15" hidden="false" customHeight="false" outlineLevel="0" collapsed="false">
      <c r="A21" s="4" t="s">
        <v>225</v>
      </c>
      <c r="B21" s="4" t="s">
        <v>83</v>
      </c>
      <c r="C21" s="4" t="n">
        <v>1</v>
      </c>
      <c r="D21" s="4" t="n">
        <v>18</v>
      </c>
      <c r="E21" s="4" t="s">
        <v>112</v>
      </c>
      <c r="F21" s="4" t="n">
        <v>7</v>
      </c>
      <c r="G21" s="4" t="n">
        <v>2</v>
      </c>
      <c r="H21" s="4" t="n">
        <v>112150</v>
      </c>
      <c r="I21" s="13" t="b">
        <f aca="false">FALSE()</f>
        <v>0</v>
      </c>
      <c r="K21" s="4" t="s">
        <v>220</v>
      </c>
      <c r="L21" s="4" t="n">
        <v>6184.62</v>
      </c>
      <c r="M21" s="11" t="n">
        <f aca="false">IFERROR(MATCH(Controls!$B$3&amp;"|"&amp;B21,'Scenario inputs'!$A$4:$A$213,0),0)</f>
        <v>132</v>
      </c>
      <c r="N21" s="8" t="b">
        <f aca="false">IF(M21=0,FALSE(),F21&lt;Controls!$B$12)</f>
        <v>1</v>
      </c>
      <c r="O21" s="11" t="n">
        <f aca="false">IF(N21,IF(INDEX('Scenario inputs'!$E$4:$E$213,M21)=0,1,INDEX('Scenario inputs'!$F$4:$M$213,M21,MIN(MAX(F21-G21,0),INDEX('Scenario inputs'!$E$4:$E$213,M21)-1)+1)),0)</f>
        <v>0.75</v>
      </c>
      <c r="P21" s="11" t="n">
        <f aca="false">H21*O21</f>
        <v>84112.5</v>
      </c>
      <c r="Q21" s="11" t="n">
        <f aca="false">IF(M21=0,"",IF(ISNUMBER(INDEX('Scenario inputs'!$N$4:$N$213,M21)),INDEX('Scenario inputs'!$N$4:$N$213,M21),""))</f>
        <v>31.74</v>
      </c>
      <c r="R21" s="0" t="str">
        <f aca="false">IF(NOT(N21),"",IF(OR(E21="cash",E21="revenue"),E21,IF(E21="avoided_cost",IF(AND(I21,LEN(TRIM(J21))&gt;0),"avoided_cost_realised","avoided_cost_beside"),IF(ISNUMBER(Q21),"capacity_converted","capacity_hours"))))</f>
        <v>cash</v>
      </c>
      <c r="S21" s="11" t="n">
        <f aca="false">IF(OR(R21="",R21="capacity_hours"),0,IF(R21="capacity_converted",P21*Q21,P21))</f>
        <v>84112.5</v>
      </c>
      <c r="T21" s="11" t="n">
        <f aca="false">IF(OR(R21="cash",R21="revenue",R21="avoided_cost_realised",R21="capacity_converted"),1,0)</f>
        <v>1</v>
      </c>
      <c r="U21" s="11" t="n">
        <f aca="false">IF(AND(N21,R21&lt;&gt;"capacity_hours",LEN(K21)&gt;0),1,0)</f>
        <v>1</v>
      </c>
      <c r="V21" s="11" t="n">
        <f aca="false">IF(U21=1,SUMPRODUCT(($K$4:$K$703=K21)*($F$4:$F$703=F21)*($U$4:$U$703=1)*($B$4:$B$703&lt;&gt;B21)),0)</f>
        <v>0</v>
      </c>
      <c r="W21" s="11" t="n">
        <f aca="false">IF(AND(U21=1,V21&gt;0),1+SUMPRODUCT(($K$4:$K$703=K21)*($F$4:$F$703=F21)*($U$4:$U$703=1)*($S$4:$S$703&gt;S21))+SUMPRODUCT(($K$4:$K$703=K21)*($F$4:$F$703=F21)*($U$4:$U$703=1)*($S$4:$S$703=S21)*($T$4:$T$703&gt;T21))+SUMPRODUCT(($K$4:$K$703=K21)*($F$4:$F$703=F21)*($U$4:$U$703=1)*($S$4:$S$703=S21)*($T$4:$T$703=T21)*($C$4:$C$703&lt;C21))+SUMPRODUCT(($K$4:$K$703=K21)*($F$4:$F$703=F21)*($U$4:$U$703=1)*($S$4:$S$703=S21)*($T$4:$T$703=T21)*($C$4:$C$703=C21)*($D$4:$D$703&lt;D21)),0)</f>
        <v>0</v>
      </c>
      <c r="X21" s="11" t="n">
        <f aca="false">IF(AND(U21=1,V21&gt;0,W21&gt;1),S21,0)</f>
        <v>0</v>
      </c>
      <c r="Y21" s="11" t="n">
        <f aca="false">IF(T21=1,X21/(1+Controls!$B$11)^F21,0)</f>
        <v>0</v>
      </c>
      <c r="Z21" s="11" t="n">
        <f aca="false">IF(AND(N21,E21="capacity",LEN(K21)&gt;0),1,0)</f>
        <v>0</v>
      </c>
      <c r="AA21" s="11" t="n">
        <f aca="false">IF(Z21=1,SUMPRODUCT(($K$4:$K$703=K21)*($F$4:$F$703=F21)*($Z$4:$Z$703=1)*($B$4:$B$703&lt;&gt;B21)),0)</f>
        <v>0</v>
      </c>
      <c r="AB21" s="11" t="n">
        <f aca="false">IF(AND(Z21=1,AA21&gt;0),1+SUMPRODUCT(($K$4:$K$703=K21)*($F$4:$F$703=F21)*($Z$4:$Z$703=1)*($P$4:$P$703&gt;P21))+SUMPRODUCT(($K$4:$K$703=K21)*($F$4:$F$703=F21)*($Z$4:$Z$703=1)*($P$4:$P$703=P21)*($C$4:$C$703&lt;C21))+SUMPRODUCT(($K$4:$K$703=K21)*($F$4:$F$703=F21)*($Z$4:$Z$703=1)*($P$4:$P$703=P21)*($C$4:$C$703=C21)*($D$4:$D$703&lt;D21)),0)</f>
        <v>0</v>
      </c>
      <c r="AC21" s="11" t="n">
        <f aca="false">IF(AND(Z21=1,AA21&gt;0,AB21&gt;1),P21,0)</f>
        <v>0</v>
      </c>
    </row>
    <row r="22" customFormat="false" ht="15" hidden="false" customHeight="false" outlineLevel="0" collapsed="false">
      <c r="A22" s="4" t="s">
        <v>226</v>
      </c>
      <c r="B22" s="4" t="s">
        <v>83</v>
      </c>
      <c r="C22" s="4" t="n">
        <v>1</v>
      </c>
      <c r="D22" s="4" t="n">
        <v>19</v>
      </c>
      <c r="E22" s="4" t="s">
        <v>112</v>
      </c>
      <c r="F22" s="4" t="n">
        <v>8</v>
      </c>
      <c r="G22" s="4" t="n">
        <v>2</v>
      </c>
      <c r="H22" s="4" t="n">
        <v>112150</v>
      </c>
      <c r="I22" s="13" t="b">
        <f aca="false">FALSE()</f>
        <v>0</v>
      </c>
      <c r="K22" s="4" t="s">
        <v>220</v>
      </c>
      <c r="L22" s="4" t="n">
        <v>8082.87</v>
      </c>
      <c r="M22" s="11" t="n">
        <f aca="false">IFERROR(MATCH(Controls!$B$3&amp;"|"&amp;B22,'Scenario inputs'!$A$4:$A$213,0),0)</f>
        <v>132</v>
      </c>
      <c r="N22" s="8" t="b">
        <f aca="false">IF(M22=0,FALSE(),F22&lt;Controls!$B$12)</f>
        <v>1</v>
      </c>
      <c r="O22" s="11" t="n">
        <f aca="false">IF(N22,IF(INDEX('Scenario inputs'!$E$4:$E$213,M22)=0,1,INDEX('Scenario inputs'!$F$4:$M$213,M22,MIN(MAX(F22-G22,0),INDEX('Scenario inputs'!$E$4:$E$213,M22)-1)+1)),0)</f>
        <v>1</v>
      </c>
      <c r="P22" s="11" t="n">
        <f aca="false">H22*O22</f>
        <v>112150</v>
      </c>
      <c r="Q22" s="11" t="n">
        <f aca="false">IF(M22=0,"",IF(ISNUMBER(INDEX('Scenario inputs'!$N$4:$N$213,M22)),INDEX('Scenario inputs'!$N$4:$N$213,M22),""))</f>
        <v>31.74</v>
      </c>
      <c r="R22" s="0" t="str">
        <f aca="false">IF(NOT(N22),"",IF(OR(E22="cash",E22="revenue"),E22,IF(E22="avoided_cost",IF(AND(I22,LEN(TRIM(J22))&gt;0),"avoided_cost_realised","avoided_cost_beside"),IF(ISNUMBER(Q22),"capacity_converted","capacity_hours"))))</f>
        <v>cash</v>
      </c>
      <c r="S22" s="11" t="n">
        <f aca="false">IF(OR(R22="",R22="capacity_hours"),0,IF(R22="capacity_converted",P22*Q22,P22))</f>
        <v>112150</v>
      </c>
      <c r="T22" s="11" t="n">
        <f aca="false">IF(OR(R22="cash",R22="revenue",R22="avoided_cost_realised",R22="capacity_converted"),1,0)</f>
        <v>1</v>
      </c>
      <c r="U22" s="11" t="n">
        <f aca="false">IF(AND(N22,R22&lt;&gt;"capacity_hours",LEN(K22)&gt;0),1,0)</f>
        <v>1</v>
      </c>
      <c r="V22" s="11" t="n">
        <f aca="false">IF(U22=1,SUMPRODUCT(($K$4:$K$703=K22)*($F$4:$F$703=F22)*($U$4:$U$703=1)*($B$4:$B$703&lt;&gt;B22)),0)</f>
        <v>0</v>
      </c>
      <c r="W22" s="11" t="n">
        <f aca="false">IF(AND(U22=1,V22&gt;0),1+SUMPRODUCT(($K$4:$K$703=K22)*($F$4:$F$703=F22)*($U$4:$U$703=1)*($S$4:$S$703&gt;S22))+SUMPRODUCT(($K$4:$K$703=K22)*($F$4:$F$703=F22)*($U$4:$U$703=1)*($S$4:$S$703=S22)*($T$4:$T$703&gt;T22))+SUMPRODUCT(($K$4:$K$703=K22)*($F$4:$F$703=F22)*($U$4:$U$703=1)*($S$4:$S$703=S22)*($T$4:$T$703=T22)*($C$4:$C$703&lt;C22))+SUMPRODUCT(($K$4:$K$703=K22)*($F$4:$F$703=F22)*($U$4:$U$703=1)*($S$4:$S$703=S22)*($T$4:$T$703=T22)*($C$4:$C$703=C22)*($D$4:$D$703&lt;D22)),0)</f>
        <v>0</v>
      </c>
      <c r="X22" s="11" t="n">
        <f aca="false">IF(AND(U22=1,V22&gt;0,W22&gt;1),S22,0)</f>
        <v>0</v>
      </c>
      <c r="Y22" s="11" t="n">
        <f aca="false">IF(T22=1,X22/(1+Controls!$B$11)^F22,0)</f>
        <v>0</v>
      </c>
      <c r="Z22" s="11" t="n">
        <f aca="false">IF(AND(N22,E22="capacity",LEN(K22)&gt;0),1,0)</f>
        <v>0</v>
      </c>
      <c r="AA22" s="11" t="n">
        <f aca="false">IF(Z22=1,SUMPRODUCT(($K$4:$K$703=K22)*($F$4:$F$703=F22)*($Z$4:$Z$703=1)*($B$4:$B$703&lt;&gt;B22)),0)</f>
        <v>0</v>
      </c>
      <c r="AB22" s="11" t="n">
        <f aca="false">IF(AND(Z22=1,AA22&gt;0),1+SUMPRODUCT(($K$4:$K$703=K22)*($F$4:$F$703=F22)*($Z$4:$Z$703=1)*($P$4:$P$703&gt;P22))+SUMPRODUCT(($K$4:$K$703=K22)*($F$4:$F$703=F22)*($Z$4:$Z$703=1)*($P$4:$P$703=P22)*($C$4:$C$703&lt;C22))+SUMPRODUCT(($K$4:$K$703=K22)*($F$4:$F$703=F22)*($Z$4:$Z$703=1)*($P$4:$P$703=P22)*($C$4:$C$703=C22)*($D$4:$D$703&lt;D22)),0)</f>
        <v>0</v>
      </c>
      <c r="AC22" s="11" t="n">
        <f aca="false">IF(AND(Z22=1,AA22&gt;0,AB22&gt;1),P22,0)</f>
        <v>0</v>
      </c>
    </row>
    <row r="23" customFormat="false" ht="15" hidden="false" customHeight="false" outlineLevel="0" collapsed="false">
      <c r="A23" s="4" t="s">
        <v>227</v>
      </c>
      <c r="B23" s="4" t="s">
        <v>83</v>
      </c>
      <c r="C23" s="4" t="n">
        <v>1</v>
      </c>
      <c r="D23" s="4" t="n">
        <v>20</v>
      </c>
      <c r="E23" s="4" t="s">
        <v>112</v>
      </c>
      <c r="F23" s="4" t="n">
        <v>9</v>
      </c>
      <c r="G23" s="4" t="n">
        <v>2</v>
      </c>
      <c r="H23" s="4" t="n">
        <v>112150</v>
      </c>
      <c r="I23" s="13" t="b">
        <f aca="false">FALSE()</f>
        <v>0</v>
      </c>
      <c r="K23" s="4" t="s">
        <v>220</v>
      </c>
      <c r="L23" s="4" t="n">
        <v>7850.5</v>
      </c>
      <c r="M23" s="11" t="n">
        <f aca="false">IFERROR(MATCH(Controls!$B$3&amp;"|"&amp;B23,'Scenario inputs'!$A$4:$A$213,0),0)</f>
        <v>132</v>
      </c>
      <c r="N23" s="8" t="b">
        <f aca="false">IF(M23=0,FALSE(),F23&lt;Controls!$B$12)</f>
        <v>1</v>
      </c>
      <c r="O23" s="11" t="n">
        <f aca="false">IF(N23,IF(INDEX('Scenario inputs'!$E$4:$E$213,M23)=0,1,INDEX('Scenario inputs'!$F$4:$M$213,M23,MIN(MAX(F23-G23,0),INDEX('Scenario inputs'!$E$4:$E$213,M23)-1)+1)),0)</f>
        <v>1</v>
      </c>
      <c r="P23" s="11" t="n">
        <f aca="false">H23*O23</f>
        <v>112150</v>
      </c>
      <c r="Q23" s="11" t="n">
        <f aca="false">IF(M23=0,"",IF(ISNUMBER(INDEX('Scenario inputs'!$N$4:$N$213,M23)),INDEX('Scenario inputs'!$N$4:$N$213,M23),""))</f>
        <v>31.74</v>
      </c>
      <c r="R23" s="0" t="str">
        <f aca="false">IF(NOT(N23),"",IF(OR(E23="cash",E23="revenue"),E23,IF(E23="avoided_cost",IF(AND(I23,LEN(TRIM(J23))&gt;0),"avoided_cost_realised","avoided_cost_beside"),IF(ISNUMBER(Q23),"capacity_converted","capacity_hours"))))</f>
        <v>cash</v>
      </c>
      <c r="S23" s="11" t="n">
        <f aca="false">IF(OR(R23="",R23="capacity_hours"),0,IF(R23="capacity_converted",P23*Q23,P23))</f>
        <v>112150</v>
      </c>
      <c r="T23" s="11" t="n">
        <f aca="false">IF(OR(R23="cash",R23="revenue",R23="avoided_cost_realised",R23="capacity_converted"),1,0)</f>
        <v>1</v>
      </c>
      <c r="U23" s="11" t="n">
        <f aca="false">IF(AND(N23,R23&lt;&gt;"capacity_hours",LEN(K23)&gt;0),1,0)</f>
        <v>1</v>
      </c>
      <c r="V23" s="11" t="n">
        <f aca="false">IF(U23=1,SUMPRODUCT(($K$4:$K$703=K23)*($F$4:$F$703=F23)*($U$4:$U$703=1)*($B$4:$B$703&lt;&gt;B23)),0)</f>
        <v>0</v>
      </c>
      <c r="W23" s="11" t="n">
        <f aca="false">IF(AND(U23=1,V23&gt;0),1+SUMPRODUCT(($K$4:$K$703=K23)*($F$4:$F$703=F23)*($U$4:$U$703=1)*($S$4:$S$703&gt;S23))+SUMPRODUCT(($K$4:$K$703=K23)*($F$4:$F$703=F23)*($U$4:$U$703=1)*($S$4:$S$703=S23)*($T$4:$T$703&gt;T23))+SUMPRODUCT(($K$4:$K$703=K23)*($F$4:$F$703=F23)*($U$4:$U$703=1)*($S$4:$S$703=S23)*($T$4:$T$703=T23)*($C$4:$C$703&lt;C23))+SUMPRODUCT(($K$4:$K$703=K23)*($F$4:$F$703=F23)*($U$4:$U$703=1)*($S$4:$S$703=S23)*($T$4:$T$703=T23)*($C$4:$C$703=C23)*($D$4:$D$703&lt;D23)),0)</f>
        <v>0</v>
      </c>
      <c r="X23" s="11" t="n">
        <f aca="false">IF(AND(U23=1,V23&gt;0,W23&gt;1),S23,0)</f>
        <v>0</v>
      </c>
      <c r="Y23" s="11" t="n">
        <f aca="false">IF(T23=1,X23/(1+Controls!$B$11)^F23,0)</f>
        <v>0</v>
      </c>
      <c r="Z23" s="11" t="n">
        <f aca="false">IF(AND(N23,E23="capacity",LEN(K23)&gt;0),1,0)</f>
        <v>0</v>
      </c>
      <c r="AA23" s="11" t="n">
        <f aca="false">IF(Z23=1,SUMPRODUCT(($K$4:$K$703=K23)*($F$4:$F$703=F23)*($Z$4:$Z$703=1)*($B$4:$B$703&lt;&gt;B23)),0)</f>
        <v>0</v>
      </c>
      <c r="AB23" s="11" t="n">
        <f aca="false">IF(AND(Z23=1,AA23&gt;0),1+SUMPRODUCT(($K$4:$K$703=K23)*($F$4:$F$703=F23)*($Z$4:$Z$703=1)*($P$4:$P$703&gt;P23))+SUMPRODUCT(($K$4:$K$703=K23)*($F$4:$F$703=F23)*($Z$4:$Z$703=1)*($P$4:$P$703=P23)*($C$4:$C$703&lt;C23))+SUMPRODUCT(($K$4:$K$703=K23)*($F$4:$F$703=F23)*($Z$4:$Z$703=1)*($P$4:$P$703=P23)*($C$4:$C$703=C23)*($D$4:$D$703&lt;D23)),0)</f>
        <v>0</v>
      </c>
      <c r="AC23" s="11" t="n">
        <f aca="false">IF(AND(Z23=1,AA23&gt;0,AB23&gt;1),P23,0)</f>
        <v>0</v>
      </c>
    </row>
    <row r="24" customFormat="false" ht="15" hidden="false" customHeight="false" outlineLevel="0" collapsed="false">
      <c r="A24" s="4" t="s">
        <v>228</v>
      </c>
      <c r="B24" s="4" t="s">
        <v>83</v>
      </c>
      <c r="C24" s="4" t="n">
        <v>1</v>
      </c>
      <c r="D24" s="4" t="n">
        <v>21</v>
      </c>
      <c r="E24" s="4" t="s">
        <v>112</v>
      </c>
      <c r="F24" s="4" t="n">
        <v>10</v>
      </c>
      <c r="G24" s="4" t="n">
        <v>2</v>
      </c>
      <c r="H24" s="4" t="n">
        <v>112150</v>
      </c>
      <c r="I24" s="13" t="b">
        <f aca="false">FALSE()</f>
        <v>0</v>
      </c>
      <c r="K24" s="4" t="s">
        <v>220</v>
      </c>
      <c r="L24" s="4" t="n">
        <v>7850.5</v>
      </c>
      <c r="M24" s="11" t="n">
        <f aca="false">IFERROR(MATCH(Controls!$B$3&amp;"|"&amp;B24,'Scenario inputs'!$A$4:$A$213,0),0)</f>
        <v>132</v>
      </c>
      <c r="N24" s="8" t="b">
        <f aca="false">IF(M24=0,FALSE(),F24&lt;Controls!$B$12)</f>
        <v>1</v>
      </c>
      <c r="O24" s="11" t="n">
        <f aca="false">IF(N24,IF(INDEX('Scenario inputs'!$E$4:$E$213,M24)=0,1,INDEX('Scenario inputs'!$F$4:$M$213,M24,MIN(MAX(F24-G24,0),INDEX('Scenario inputs'!$E$4:$E$213,M24)-1)+1)),0)</f>
        <v>1</v>
      </c>
      <c r="P24" s="11" t="n">
        <f aca="false">H24*O24</f>
        <v>112150</v>
      </c>
      <c r="Q24" s="11" t="n">
        <f aca="false">IF(M24=0,"",IF(ISNUMBER(INDEX('Scenario inputs'!$N$4:$N$213,M24)),INDEX('Scenario inputs'!$N$4:$N$213,M24),""))</f>
        <v>31.74</v>
      </c>
      <c r="R24" s="0" t="str">
        <f aca="false">IF(NOT(N24),"",IF(OR(E24="cash",E24="revenue"),E24,IF(E24="avoided_cost",IF(AND(I24,LEN(TRIM(J24))&gt;0),"avoided_cost_realised","avoided_cost_beside"),IF(ISNUMBER(Q24),"capacity_converted","capacity_hours"))))</f>
        <v>cash</v>
      </c>
      <c r="S24" s="11" t="n">
        <f aca="false">IF(OR(R24="",R24="capacity_hours"),0,IF(R24="capacity_converted",P24*Q24,P24))</f>
        <v>112150</v>
      </c>
      <c r="T24" s="11" t="n">
        <f aca="false">IF(OR(R24="cash",R24="revenue",R24="avoided_cost_realised",R24="capacity_converted"),1,0)</f>
        <v>1</v>
      </c>
      <c r="U24" s="11" t="n">
        <f aca="false">IF(AND(N24,R24&lt;&gt;"capacity_hours",LEN(K24)&gt;0),1,0)</f>
        <v>1</v>
      </c>
      <c r="V24" s="11" t="n">
        <f aca="false">IF(U24=1,SUMPRODUCT(($K$4:$K$703=K24)*($F$4:$F$703=F24)*($U$4:$U$703=1)*($B$4:$B$703&lt;&gt;B24)),0)</f>
        <v>0</v>
      </c>
      <c r="W24" s="11" t="n">
        <f aca="false">IF(AND(U24=1,V24&gt;0),1+SUMPRODUCT(($K$4:$K$703=K24)*($F$4:$F$703=F24)*($U$4:$U$703=1)*($S$4:$S$703&gt;S24))+SUMPRODUCT(($K$4:$K$703=K24)*($F$4:$F$703=F24)*($U$4:$U$703=1)*($S$4:$S$703=S24)*($T$4:$T$703&gt;T24))+SUMPRODUCT(($K$4:$K$703=K24)*($F$4:$F$703=F24)*($U$4:$U$703=1)*($S$4:$S$703=S24)*($T$4:$T$703=T24)*($C$4:$C$703&lt;C24))+SUMPRODUCT(($K$4:$K$703=K24)*($F$4:$F$703=F24)*($U$4:$U$703=1)*($S$4:$S$703=S24)*($T$4:$T$703=T24)*($C$4:$C$703=C24)*($D$4:$D$703&lt;D24)),0)</f>
        <v>0</v>
      </c>
      <c r="X24" s="11" t="n">
        <f aca="false">IF(AND(U24=1,V24&gt;0,W24&gt;1),S24,0)</f>
        <v>0</v>
      </c>
      <c r="Y24" s="11" t="n">
        <f aca="false">IF(T24=1,X24/(1+Controls!$B$11)^F24,0)</f>
        <v>0</v>
      </c>
      <c r="Z24" s="11" t="n">
        <f aca="false">IF(AND(N24,E24="capacity",LEN(K24)&gt;0),1,0)</f>
        <v>0</v>
      </c>
      <c r="AA24" s="11" t="n">
        <f aca="false">IF(Z24=1,SUMPRODUCT(($K$4:$K$703=K24)*($F$4:$F$703=F24)*($Z$4:$Z$703=1)*($B$4:$B$703&lt;&gt;B24)),0)</f>
        <v>0</v>
      </c>
      <c r="AB24" s="11" t="n">
        <f aca="false">IF(AND(Z24=1,AA24&gt;0),1+SUMPRODUCT(($K$4:$K$703=K24)*($F$4:$F$703=F24)*($Z$4:$Z$703=1)*($P$4:$P$703&gt;P24))+SUMPRODUCT(($K$4:$K$703=K24)*($F$4:$F$703=F24)*($Z$4:$Z$703=1)*($P$4:$P$703=P24)*($C$4:$C$703&lt;C24))+SUMPRODUCT(($K$4:$K$703=K24)*($F$4:$F$703=F24)*($Z$4:$Z$703=1)*($P$4:$P$703=P24)*($C$4:$C$703=C24)*($D$4:$D$703&lt;D24)),0)</f>
        <v>0</v>
      </c>
      <c r="AC24" s="11" t="n">
        <f aca="false">IF(AND(Z24=1,AA24&gt;0,AB24&gt;1),P24,0)</f>
        <v>0</v>
      </c>
    </row>
    <row r="25" customFormat="false" ht="15" hidden="false" customHeight="false" outlineLevel="0" collapsed="false">
      <c r="A25" s="4" t="s">
        <v>229</v>
      </c>
      <c r="B25" s="4" t="s">
        <v>83</v>
      </c>
      <c r="C25" s="4" t="n">
        <v>1</v>
      </c>
      <c r="D25" s="4" t="n">
        <v>22</v>
      </c>
      <c r="E25" s="4" t="s">
        <v>112</v>
      </c>
      <c r="F25" s="4" t="n">
        <v>11</v>
      </c>
      <c r="G25" s="4" t="n">
        <v>2</v>
      </c>
      <c r="H25" s="4" t="n">
        <v>112150</v>
      </c>
      <c r="I25" s="13" t="b">
        <f aca="false">FALSE()</f>
        <v>0</v>
      </c>
      <c r="K25" s="4" t="s">
        <v>220</v>
      </c>
      <c r="L25" s="4" t="n">
        <v>7850.5</v>
      </c>
      <c r="M25" s="11" t="n">
        <f aca="false">IFERROR(MATCH(Controls!$B$3&amp;"|"&amp;B25,'Scenario inputs'!$A$4:$A$213,0),0)</f>
        <v>132</v>
      </c>
      <c r="N25" s="8" t="b">
        <f aca="false">IF(M25=0,FALSE(),F25&lt;Controls!$B$12)</f>
        <v>1</v>
      </c>
      <c r="O25" s="11" t="n">
        <f aca="false">IF(N25,IF(INDEX('Scenario inputs'!$E$4:$E$213,M25)=0,1,INDEX('Scenario inputs'!$F$4:$M$213,M25,MIN(MAX(F25-G25,0),INDEX('Scenario inputs'!$E$4:$E$213,M25)-1)+1)),0)</f>
        <v>1</v>
      </c>
      <c r="P25" s="11" t="n">
        <f aca="false">H25*O25</f>
        <v>112150</v>
      </c>
      <c r="Q25" s="11" t="n">
        <f aca="false">IF(M25=0,"",IF(ISNUMBER(INDEX('Scenario inputs'!$N$4:$N$213,M25)),INDEX('Scenario inputs'!$N$4:$N$213,M25),""))</f>
        <v>31.74</v>
      </c>
      <c r="R25" s="0" t="str">
        <f aca="false">IF(NOT(N25),"",IF(OR(E25="cash",E25="revenue"),E25,IF(E25="avoided_cost",IF(AND(I25,LEN(TRIM(J25))&gt;0),"avoided_cost_realised","avoided_cost_beside"),IF(ISNUMBER(Q25),"capacity_converted","capacity_hours"))))</f>
        <v>cash</v>
      </c>
      <c r="S25" s="11" t="n">
        <f aca="false">IF(OR(R25="",R25="capacity_hours"),0,IF(R25="capacity_converted",P25*Q25,P25))</f>
        <v>112150</v>
      </c>
      <c r="T25" s="11" t="n">
        <f aca="false">IF(OR(R25="cash",R25="revenue",R25="avoided_cost_realised",R25="capacity_converted"),1,0)</f>
        <v>1</v>
      </c>
      <c r="U25" s="11" t="n">
        <f aca="false">IF(AND(N25,R25&lt;&gt;"capacity_hours",LEN(K25)&gt;0),1,0)</f>
        <v>1</v>
      </c>
      <c r="V25" s="11" t="n">
        <f aca="false">IF(U25=1,SUMPRODUCT(($K$4:$K$703=K25)*($F$4:$F$703=F25)*($U$4:$U$703=1)*($B$4:$B$703&lt;&gt;B25)),0)</f>
        <v>0</v>
      </c>
      <c r="W25" s="11" t="n">
        <f aca="false">IF(AND(U25=1,V25&gt;0),1+SUMPRODUCT(($K$4:$K$703=K25)*($F$4:$F$703=F25)*($U$4:$U$703=1)*($S$4:$S$703&gt;S25))+SUMPRODUCT(($K$4:$K$703=K25)*($F$4:$F$703=F25)*($U$4:$U$703=1)*($S$4:$S$703=S25)*($T$4:$T$703&gt;T25))+SUMPRODUCT(($K$4:$K$703=K25)*($F$4:$F$703=F25)*($U$4:$U$703=1)*($S$4:$S$703=S25)*($T$4:$T$703=T25)*($C$4:$C$703&lt;C25))+SUMPRODUCT(($K$4:$K$703=K25)*($F$4:$F$703=F25)*($U$4:$U$703=1)*($S$4:$S$703=S25)*($T$4:$T$703=T25)*($C$4:$C$703=C25)*($D$4:$D$703&lt;D25)),0)</f>
        <v>0</v>
      </c>
      <c r="X25" s="11" t="n">
        <f aca="false">IF(AND(U25=1,V25&gt;0,W25&gt;1),S25,0)</f>
        <v>0</v>
      </c>
      <c r="Y25" s="11" t="n">
        <f aca="false">IF(T25=1,X25/(1+Controls!$B$11)^F25,0)</f>
        <v>0</v>
      </c>
      <c r="Z25" s="11" t="n">
        <f aca="false">IF(AND(N25,E25="capacity",LEN(K25)&gt;0),1,0)</f>
        <v>0</v>
      </c>
      <c r="AA25" s="11" t="n">
        <f aca="false">IF(Z25=1,SUMPRODUCT(($K$4:$K$703=K25)*($F$4:$F$703=F25)*($Z$4:$Z$703=1)*($B$4:$B$703&lt;&gt;B25)),0)</f>
        <v>0</v>
      </c>
      <c r="AB25" s="11" t="n">
        <f aca="false">IF(AND(Z25=1,AA25&gt;0),1+SUMPRODUCT(($K$4:$K$703=K25)*($F$4:$F$703=F25)*($Z$4:$Z$703=1)*($P$4:$P$703&gt;P25))+SUMPRODUCT(($K$4:$K$703=K25)*($F$4:$F$703=F25)*($Z$4:$Z$703=1)*($P$4:$P$703=P25)*($C$4:$C$703&lt;C25))+SUMPRODUCT(($K$4:$K$703=K25)*($F$4:$F$703=F25)*($Z$4:$Z$703=1)*($P$4:$P$703=P25)*($C$4:$C$703=C25)*($D$4:$D$703&lt;D25)),0)</f>
        <v>0</v>
      </c>
      <c r="AC25" s="11" t="n">
        <f aca="false">IF(AND(Z25=1,AA25&gt;0,AB25&gt;1),P25,0)</f>
        <v>0</v>
      </c>
    </row>
    <row r="26" customFormat="false" ht="15" hidden="false" customHeight="false" outlineLevel="0" collapsed="false">
      <c r="A26" s="4" t="s">
        <v>230</v>
      </c>
      <c r="B26" s="4" t="s">
        <v>83</v>
      </c>
      <c r="C26" s="4" t="n">
        <v>1</v>
      </c>
      <c r="D26" s="4" t="n">
        <v>23</v>
      </c>
      <c r="E26" s="4" t="s">
        <v>112</v>
      </c>
      <c r="F26" s="4" t="n">
        <v>12</v>
      </c>
      <c r="G26" s="4" t="n">
        <v>2</v>
      </c>
      <c r="H26" s="4" t="n">
        <v>112150</v>
      </c>
      <c r="I26" s="13" t="b">
        <f aca="false">FALSE()</f>
        <v>0</v>
      </c>
      <c r="K26" s="4" t="s">
        <v>220</v>
      </c>
      <c r="L26" s="4" t="n">
        <v>7850.5</v>
      </c>
      <c r="M26" s="11" t="n">
        <f aca="false">IFERROR(MATCH(Controls!$B$3&amp;"|"&amp;B26,'Scenario inputs'!$A$4:$A$213,0),0)</f>
        <v>132</v>
      </c>
      <c r="N26" s="8" t="b">
        <f aca="false">IF(M26=0,FALSE(),F26&lt;Controls!$B$12)</f>
        <v>1</v>
      </c>
      <c r="O26" s="11" t="n">
        <f aca="false">IF(N26,IF(INDEX('Scenario inputs'!$E$4:$E$213,M26)=0,1,INDEX('Scenario inputs'!$F$4:$M$213,M26,MIN(MAX(F26-G26,0),INDEX('Scenario inputs'!$E$4:$E$213,M26)-1)+1)),0)</f>
        <v>1</v>
      </c>
      <c r="P26" s="11" t="n">
        <f aca="false">H26*O26</f>
        <v>112150</v>
      </c>
      <c r="Q26" s="11" t="n">
        <f aca="false">IF(M26=0,"",IF(ISNUMBER(INDEX('Scenario inputs'!$N$4:$N$213,M26)),INDEX('Scenario inputs'!$N$4:$N$213,M26),""))</f>
        <v>31.74</v>
      </c>
      <c r="R26" s="0" t="str">
        <f aca="false">IF(NOT(N26),"",IF(OR(E26="cash",E26="revenue"),E26,IF(E26="avoided_cost",IF(AND(I26,LEN(TRIM(J26))&gt;0),"avoided_cost_realised","avoided_cost_beside"),IF(ISNUMBER(Q26),"capacity_converted","capacity_hours"))))</f>
        <v>cash</v>
      </c>
      <c r="S26" s="11" t="n">
        <f aca="false">IF(OR(R26="",R26="capacity_hours"),0,IF(R26="capacity_converted",P26*Q26,P26))</f>
        <v>112150</v>
      </c>
      <c r="T26" s="11" t="n">
        <f aca="false">IF(OR(R26="cash",R26="revenue",R26="avoided_cost_realised",R26="capacity_converted"),1,0)</f>
        <v>1</v>
      </c>
      <c r="U26" s="11" t="n">
        <f aca="false">IF(AND(N26,R26&lt;&gt;"capacity_hours",LEN(K26)&gt;0),1,0)</f>
        <v>1</v>
      </c>
      <c r="V26" s="11" t="n">
        <f aca="false">IF(U26=1,SUMPRODUCT(($K$4:$K$703=K26)*($F$4:$F$703=F26)*($U$4:$U$703=1)*($B$4:$B$703&lt;&gt;B26)),0)</f>
        <v>0</v>
      </c>
      <c r="W26" s="11" t="n">
        <f aca="false">IF(AND(U26=1,V26&gt;0),1+SUMPRODUCT(($K$4:$K$703=K26)*($F$4:$F$703=F26)*($U$4:$U$703=1)*($S$4:$S$703&gt;S26))+SUMPRODUCT(($K$4:$K$703=K26)*($F$4:$F$703=F26)*($U$4:$U$703=1)*($S$4:$S$703=S26)*($T$4:$T$703&gt;T26))+SUMPRODUCT(($K$4:$K$703=K26)*($F$4:$F$703=F26)*($U$4:$U$703=1)*($S$4:$S$703=S26)*($T$4:$T$703=T26)*($C$4:$C$703&lt;C26))+SUMPRODUCT(($K$4:$K$703=K26)*($F$4:$F$703=F26)*($U$4:$U$703=1)*($S$4:$S$703=S26)*($T$4:$T$703=T26)*($C$4:$C$703=C26)*($D$4:$D$703&lt;D26)),0)</f>
        <v>0</v>
      </c>
      <c r="X26" s="11" t="n">
        <f aca="false">IF(AND(U26=1,V26&gt;0,W26&gt;1),S26,0)</f>
        <v>0</v>
      </c>
      <c r="Y26" s="11" t="n">
        <f aca="false">IF(T26=1,X26/(1+Controls!$B$11)^F26,0)</f>
        <v>0</v>
      </c>
      <c r="Z26" s="11" t="n">
        <f aca="false">IF(AND(N26,E26="capacity",LEN(K26)&gt;0),1,0)</f>
        <v>0</v>
      </c>
      <c r="AA26" s="11" t="n">
        <f aca="false">IF(Z26=1,SUMPRODUCT(($K$4:$K$703=K26)*($F$4:$F$703=F26)*($Z$4:$Z$703=1)*($B$4:$B$703&lt;&gt;B26)),0)</f>
        <v>0</v>
      </c>
      <c r="AB26" s="11" t="n">
        <f aca="false">IF(AND(Z26=1,AA26&gt;0),1+SUMPRODUCT(($K$4:$K$703=K26)*($F$4:$F$703=F26)*($Z$4:$Z$703=1)*($P$4:$P$703&gt;P26))+SUMPRODUCT(($K$4:$K$703=K26)*($F$4:$F$703=F26)*($Z$4:$Z$703=1)*($P$4:$P$703=P26)*($C$4:$C$703&lt;C26))+SUMPRODUCT(($K$4:$K$703=K26)*($F$4:$F$703=F26)*($Z$4:$Z$703=1)*($P$4:$P$703=P26)*($C$4:$C$703=C26)*($D$4:$D$703&lt;D26)),0)</f>
        <v>0</v>
      </c>
      <c r="AC26" s="11" t="n">
        <f aca="false">IF(AND(Z26=1,AA26&gt;0,AB26&gt;1),P26,0)</f>
        <v>0</v>
      </c>
    </row>
    <row r="27" customFormat="false" ht="15" hidden="false" customHeight="false" outlineLevel="0" collapsed="false">
      <c r="A27" s="4" t="s">
        <v>231</v>
      </c>
      <c r="B27" s="4" t="s">
        <v>83</v>
      </c>
      <c r="C27" s="4" t="n">
        <v>1</v>
      </c>
      <c r="D27" s="4" t="n">
        <v>24</v>
      </c>
      <c r="E27" s="4" t="s">
        <v>112</v>
      </c>
      <c r="F27" s="4" t="n">
        <v>13</v>
      </c>
      <c r="G27" s="4" t="n">
        <v>2</v>
      </c>
      <c r="H27" s="4" t="n">
        <v>112150</v>
      </c>
      <c r="I27" s="13" t="b">
        <f aca="false">FALSE()</f>
        <v>0</v>
      </c>
      <c r="K27" s="4" t="s">
        <v>220</v>
      </c>
      <c r="L27" s="4" t="n">
        <v>7850.5</v>
      </c>
      <c r="M27" s="11" t="n">
        <f aca="false">IFERROR(MATCH(Controls!$B$3&amp;"|"&amp;B27,'Scenario inputs'!$A$4:$A$213,0),0)</f>
        <v>132</v>
      </c>
      <c r="N27" s="8" t="b">
        <f aca="false">IF(M27=0,FALSE(),F27&lt;Controls!$B$12)</f>
        <v>1</v>
      </c>
      <c r="O27" s="11" t="n">
        <f aca="false">IF(N27,IF(INDEX('Scenario inputs'!$E$4:$E$213,M27)=0,1,INDEX('Scenario inputs'!$F$4:$M$213,M27,MIN(MAX(F27-G27,0),INDEX('Scenario inputs'!$E$4:$E$213,M27)-1)+1)),0)</f>
        <v>1</v>
      </c>
      <c r="P27" s="11" t="n">
        <f aca="false">H27*O27</f>
        <v>112150</v>
      </c>
      <c r="Q27" s="11" t="n">
        <f aca="false">IF(M27=0,"",IF(ISNUMBER(INDEX('Scenario inputs'!$N$4:$N$213,M27)),INDEX('Scenario inputs'!$N$4:$N$213,M27),""))</f>
        <v>31.74</v>
      </c>
      <c r="R27" s="0" t="str">
        <f aca="false">IF(NOT(N27),"",IF(OR(E27="cash",E27="revenue"),E27,IF(E27="avoided_cost",IF(AND(I27,LEN(TRIM(J27))&gt;0),"avoided_cost_realised","avoided_cost_beside"),IF(ISNUMBER(Q27),"capacity_converted","capacity_hours"))))</f>
        <v>cash</v>
      </c>
      <c r="S27" s="11" t="n">
        <f aca="false">IF(OR(R27="",R27="capacity_hours"),0,IF(R27="capacity_converted",P27*Q27,P27))</f>
        <v>112150</v>
      </c>
      <c r="T27" s="11" t="n">
        <f aca="false">IF(OR(R27="cash",R27="revenue",R27="avoided_cost_realised",R27="capacity_converted"),1,0)</f>
        <v>1</v>
      </c>
      <c r="U27" s="11" t="n">
        <f aca="false">IF(AND(N27,R27&lt;&gt;"capacity_hours",LEN(K27)&gt;0),1,0)</f>
        <v>1</v>
      </c>
      <c r="V27" s="11" t="n">
        <f aca="false">IF(U27=1,SUMPRODUCT(($K$4:$K$703=K27)*($F$4:$F$703=F27)*($U$4:$U$703=1)*($B$4:$B$703&lt;&gt;B27)),0)</f>
        <v>0</v>
      </c>
      <c r="W27" s="11" t="n">
        <f aca="false">IF(AND(U27=1,V27&gt;0),1+SUMPRODUCT(($K$4:$K$703=K27)*($F$4:$F$703=F27)*($U$4:$U$703=1)*($S$4:$S$703&gt;S27))+SUMPRODUCT(($K$4:$K$703=K27)*($F$4:$F$703=F27)*($U$4:$U$703=1)*($S$4:$S$703=S27)*($T$4:$T$703&gt;T27))+SUMPRODUCT(($K$4:$K$703=K27)*($F$4:$F$703=F27)*($U$4:$U$703=1)*($S$4:$S$703=S27)*($T$4:$T$703=T27)*($C$4:$C$703&lt;C27))+SUMPRODUCT(($K$4:$K$703=K27)*($F$4:$F$703=F27)*($U$4:$U$703=1)*($S$4:$S$703=S27)*($T$4:$T$703=T27)*($C$4:$C$703=C27)*($D$4:$D$703&lt;D27)),0)</f>
        <v>0</v>
      </c>
      <c r="X27" s="11" t="n">
        <f aca="false">IF(AND(U27=1,V27&gt;0,W27&gt;1),S27,0)</f>
        <v>0</v>
      </c>
      <c r="Y27" s="11" t="n">
        <f aca="false">IF(T27=1,X27/(1+Controls!$B$11)^F27,0)</f>
        <v>0</v>
      </c>
      <c r="Z27" s="11" t="n">
        <f aca="false">IF(AND(N27,E27="capacity",LEN(K27)&gt;0),1,0)</f>
        <v>0</v>
      </c>
      <c r="AA27" s="11" t="n">
        <f aca="false">IF(Z27=1,SUMPRODUCT(($K$4:$K$703=K27)*($F$4:$F$703=F27)*($Z$4:$Z$703=1)*($B$4:$B$703&lt;&gt;B27)),0)</f>
        <v>0</v>
      </c>
      <c r="AB27" s="11" t="n">
        <f aca="false">IF(AND(Z27=1,AA27&gt;0),1+SUMPRODUCT(($K$4:$K$703=K27)*($F$4:$F$703=F27)*($Z$4:$Z$703=1)*($P$4:$P$703&gt;P27))+SUMPRODUCT(($K$4:$K$703=K27)*($F$4:$F$703=F27)*($Z$4:$Z$703=1)*($P$4:$P$703=P27)*($C$4:$C$703&lt;C27))+SUMPRODUCT(($K$4:$K$703=K27)*($F$4:$F$703=F27)*($Z$4:$Z$703=1)*($P$4:$P$703=P27)*($C$4:$C$703=C27)*($D$4:$D$703&lt;D27)),0)</f>
        <v>0</v>
      </c>
      <c r="AC27" s="11" t="n">
        <f aca="false">IF(AND(Z27=1,AA27&gt;0,AB27&gt;1),P27,0)</f>
        <v>0</v>
      </c>
    </row>
    <row r="28" customFormat="false" ht="15" hidden="false" customHeight="false" outlineLevel="0" collapsed="false">
      <c r="A28" s="4" t="s">
        <v>232</v>
      </c>
      <c r="B28" s="4" t="s">
        <v>83</v>
      </c>
      <c r="C28" s="4" t="n">
        <v>1</v>
      </c>
      <c r="D28" s="4" t="n">
        <v>25</v>
      </c>
      <c r="E28" s="4" t="s">
        <v>233</v>
      </c>
      <c r="F28" s="4" t="n">
        <v>1</v>
      </c>
      <c r="G28" s="4" t="n">
        <v>1</v>
      </c>
      <c r="H28" s="4" t="n">
        <v>1320.91</v>
      </c>
      <c r="I28" s="13" t="b">
        <f aca="false">FALSE()</f>
        <v>0</v>
      </c>
      <c r="K28" s="4" t="s">
        <v>234</v>
      </c>
      <c r="L28" s="4" t="n">
        <v>8.69</v>
      </c>
      <c r="M28" s="11" t="n">
        <f aca="false">IFERROR(MATCH(Controls!$B$3&amp;"|"&amp;B28,'Scenario inputs'!$A$4:$A$213,0),0)</f>
        <v>132</v>
      </c>
      <c r="N28" s="8" t="b">
        <f aca="false">IF(M28=0,FALSE(),F28&lt;Controls!$B$12)</f>
        <v>1</v>
      </c>
      <c r="O28" s="11" t="n">
        <f aca="false">IF(N28,IF(INDEX('Scenario inputs'!$E$4:$E$213,M28)=0,1,INDEX('Scenario inputs'!$F$4:$M$213,M28,MIN(MAX(F28-G28,0),INDEX('Scenario inputs'!$E$4:$E$213,M28)-1)+1)),0)</f>
        <v>0.035714</v>
      </c>
      <c r="P28" s="11" t="n">
        <f aca="false">H28*O28</f>
        <v>47.17497974</v>
      </c>
      <c r="Q28" s="11" t="n">
        <f aca="false">IF(M28=0,"",IF(ISNUMBER(INDEX('Scenario inputs'!$N$4:$N$213,M28)),INDEX('Scenario inputs'!$N$4:$N$213,M28),""))</f>
        <v>31.74</v>
      </c>
      <c r="R28" s="0" t="str">
        <f aca="false">IF(NOT(N28),"",IF(OR(E28="cash",E28="revenue"),E28,IF(E28="avoided_cost",IF(AND(I28,LEN(TRIM(J28))&gt;0),"avoided_cost_realised","avoided_cost_beside"),IF(ISNUMBER(Q28),"capacity_converted","capacity_hours"))))</f>
        <v>capacity_converted</v>
      </c>
      <c r="S28" s="11" t="n">
        <f aca="false">IF(OR(R28="",R28="capacity_hours"),0,IF(R28="capacity_converted",P28*Q28,P28))</f>
        <v>1497.3338569476</v>
      </c>
      <c r="T28" s="11" t="n">
        <f aca="false">IF(OR(R28="cash",R28="revenue",R28="avoided_cost_realised",R28="capacity_converted"),1,0)</f>
        <v>1</v>
      </c>
      <c r="U28" s="11" t="n">
        <f aca="false">IF(AND(N28,R28&lt;&gt;"capacity_hours",LEN(K28)&gt;0),1,0)</f>
        <v>1</v>
      </c>
      <c r="V28" s="11" t="n">
        <f aca="false">IF(U28=1,SUMPRODUCT(($K$4:$K$703=K28)*($F$4:$F$703=F28)*($U$4:$U$703=1)*($B$4:$B$703&lt;&gt;B28)),0)</f>
        <v>0</v>
      </c>
      <c r="W28" s="11" t="n">
        <f aca="false">IF(AND(U28=1,V28&gt;0),1+SUMPRODUCT(($K$4:$K$703=K28)*($F$4:$F$703=F28)*($U$4:$U$703=1)*($S$4:$S$703&gt;S28))+SUMPRODUCT(($K$4:$K$703=K28)*($F$4:$F$703=F28)*($U$4:$U$703=1)*($S$4:$S$703=S28)*($T$4:$T$703&gt;T28))+SUMPRODUCT(($K$4:$K$703=K28)*($F$4:$F$703=F28)*($U$4:$U$703=1)*($S$4:$S$703=S28)*($T$4:$T$703=T28)*($C$4:$C$703&lt;C28))+SUMPRODUCT(($K$4:$K$703=K28)*($F$4:$F$703=F28)*($U$4:$U$703=1)*($S$4:$S$703=S28)*($T$4:$T$703=T28)*($C$4:$C$703=C28)*($D$4:$D$703&lt;D28)),0)</f>
        <v>0</v>
      </c>
      <c r="X28" s="11" t="n">
        <f aca="false">IF(AND(U28=1,V28&gt;0,W28&gt;1),S28,0)</f>
        <v>0</v>
      </c>
      <c r="Y28" s="11" t="n">
        <f aca="false">IF(T28=1,X28/(1+Controls!$B$11)^F28,0)</f>
        <v>0</v>
      </c>
      <c r="Z28" s="11" t="n">
        <f aca="false">IF(AND(N28,E28="capacity",LEN(K28)&gt;0),1,0)</f>
        <v>1</v>
      </c>
      <c r="AA28" s="11" t="n">
        <f aca="false">IF(Z28=1,SUMPRODUCT(($K$4:$K$703=K28)*($F$4:$F$703=F28)*($Z$4:$Z$703=1)*($B$4:$B$703&lt;&gt;B28)),0)</f>
        <v>0</v>
      </c>
      <c r="AB28" s="11" t="n">
        <f aca="false">IF(AND(Z28=1,AA28&gt;0),1+SUMPRODUCT(($K$4:$K$703=K28)*($F$4:$F$703=F28)*($Z$4:$Z$703=1)*($P$4:$P$703&gt;P28))+SUMPRODUCT(($K$4:$K$703=K28)*($F$4:$F$703=F28)*($Z$4:$Z$703=1)*($P$4:$P$703=P28)*($C$4:$C$703&lt;C28))+SUMPRODUCT(($K$4:$K$703=K28)*($F$4:$F$703=F28)*($Z$4:$Z$703=1)*($P$4:$P$703=P28)*($C$4:$C$703=C28)*($D$4:$D$703&lt;D28)),0)</f>
        <v>0</v>
      </c>
      <c r="AC28" s="11" t="n">
        <f aca="false">IF(AND(Z28=1,AA28&gt;0,AB28&gt;1),P28,0)</f>
        <v>0</v>
      </c>
    </row>
    <row r="29" customFormat="false" ht="15" hidden="false" customHeight="false" outlineLevel="0" collapsed="false">
      <c r="A29" s="4" t="s">
        <v>235</v>
      </c>
      <c r="B29" s="4" t="s">
        <v>83</v>
      </c>
      <c r="C29" s="4" t="n">
        <v>1</v>
      </c>
      <c r="D29" s="4" t="n">
        <v>26</v>
      </c>
      <c r="E29" s="4" t="s">
        <v>233</v>
      </c>
      <c r="F29" s="4" t="n">
        <v>2</v>
      </c>
      <c r="G29" s="4" t="n">
        <v>1</v>
      </c>
      <c r="H29" s="4" t="n">
        <v>1320.91</v>
      </c>
      <c r="I29" s="13" t="b">
        <f aca="false">FALSE()</f>
        <v>0</v>
      </c>
      <c r="K29" s="4" t="s">
        <v>234</v>
      </c>
      <c r="L29" s="4" t="n">
        <v>25.53</v>
      </c>
      <c r="M29" s="11" t="n">
        <f aca="false">IFERROR(MATCH(Controls!$B$3&amp;"|"&amp;B29,'Scenario inputs'!$A$4:$A$213,0),0)</f>
        <v>132</v>
      </c>
      <c r="N29" s="8" t="b">
        <f aca="false">IF(M29=0,FALSE(),F29&lt;Controls!$B$12)</f>
        <v>1</v>
      </c>
      <c r="O29" s="11" t="n">
        <f aca="false">IF(N29,IF(INDEX('Scenario inputs'!$E$4:$E$213,M29)=0,1,INDEX('Scenario inputs'!$F$4:$M$213,M29,MIN(MAX(F29-G29,0),INDEX('Scenario inputs'!$E$4:$E$213,M29)-1)+1)),0)</f>
        <v>0.107143</v>
      </c>
      <c r="P29" s="11" t="n">
        <f aca="false">H29*O29</f>
        <v>141.52626013</v>
      </c>
      <c r="Q29" s="11" t="n">
        <f aca="false">IF(M29=0,"",IF(ISNUMBER(INDEX('Scenario inputs'!$N$4:$N$213,M29)),INDEX('Scenario inputs'!$N$4:$N$213,M29),""))</f>
        <v>31.74</v>
      </c>
      <c r="R29" s="0" t="str">
        <f aca="false">IF(NOT(N29),"",IF(OR(E29="cash",E29="revenue"),E29,IF(E29="avoided_cost",IF(AND(I29,LEN(TRIM(J29))&gt;0),"avoided_cost_realised","avoided_cost_beside"),IF(ISNUMBER(Q29),"capacity_converted","capacity_hours"))))</f>
        <v>capacity_converted</v>
      </c>
      <c r="S29" s="11" t="n">
        <f aca="false">IF(OR(R29="",R29="capacity_hours"),0,IF(R29="capacity_converted",P29*Q29,P29))</f>
        <v>4492.0434965262</v>
      </c>
      <c r="T29" s="11" t="n">
        <f aca="false">IF(OR(R29="cash",R29="revenue",R29="avoided_cost_realised",R29="capacity_converted"),1,0)</f>
        <v>1</v>
      </c>
      <c r="U29" s="11" t="n">
        <f aca="false">IF(AND(N29,R29&lt;&gt;"capacity_hours",LEN(K29)&gt;0),1,0)</f>
        <v>1</v>
      </c>
      <c r="V29" s="11" t="n">
        <f aca="false">IF(U29=1,SUMPRODUCT(($K$4:$K$703=K29)*($F$4:$F$703=F29)*($U$4:$U$703=1)*($B$4:$B$703&lt;&gt;B29)),0)</f>
        <v>0</v>
      </c>
      <c r="W29" s="11" t="n">
        <f aca="false">IF(AND(U29=1,V29&gt;0),1+SUMPRODUCT(($K$4:$K$703=K29)*($F$4:$F$703=F29)*($U$4:$U$703=1)*($S$4:$S$703&gt;S29))+SUMPRODUCT(($K$4:$K$703=K29)*($F$4:$F$703=F29)*($U$4:$U$703=1)*($S$4:$S$703=S29)*($T$4:$T$703&gt;T29))+SUMPRODUCT(($K$4:$K$703=K29)*($F$4:$F$703=F29)*($U$4:$U$703=1)*($S$4:$S$703=S29)*($T$4:$T$703=T29)*($C$4:$C$703&lt;C29))+SUMPRODUCT(($K$4:$K$703=K29)*($F$4:$F$703=F29)*($U$4:$U$703=1)*($S$4:$S$703=S29)*($T$4:$T$703=T29)*($C$4:$C$703=C29)*($D$4:$D$703&lt;D29)),0)</f>
        <v>0</v>
      </c>
      <c r="X29" s="11" t="n">
        <f aca="false">IF(AND(U29=1,V29&gt;0,W29&gt;1),S29,0)</f>
        <v>0</v>
      </c>
      <c r="Y29" s="11" t="n">
        <f aca="false">IF(T29=1,X29/(1+Controls!$B$11)^F29,0)</f>
        <v>0</v>
      </c>
      <c r="Z29" s="11" t="n">
        <f aca="false">IF(AND(N29,E29="capacity",LEN(K29)&gt;0),1,0)</f>
        <v>1</v>
      </c>
      <c r="AA29" s="11" t="n">
        <f aca="false">IF(Z29=1,SUMPRODUCT(($K$4:$K$703=K29)*($F$4:$F$703=F29)*($Z$4:$Z$703=1)*($B$4:$B$703&lt;&gt;B29)),0)</f>
        <v>0</v>
      </c>
      <c r="AB29" s="11" t="n">
        <f aca="false">IF(AND(Z29=1,AA29&gt;0),1+SUMPRODUCT(($K$4:$K$703=K29)*($F$4:$F$703=F29)*($Z$4:$Z$703=1)*($P$4:$P$703&gt;P29))+SUMPRODUCT(($K$4:$K$703=K29)*($F$4:$F$703=F29)*($Z$4:$Z$703=1)*($P$4:$P$703=P29)*($C$4:$C$703&lt;C29))+SUMPRODUCT(($K$4:$K$703=K29)*($F$4:$F$703=F29)*($Z$4:$Z$703=1)*($P$4:$P$703=P29)*($C$4:$C$703=C29)*($D$4:$D$703&lt;D29)),0)</f>
        <v>0</v>
      </c>
      <c r="AC29" s="11" t="n">
        <f aca="false">IF(AND(Z29=1,AA29&gt;0,AB29&gt;1),P29,0)</f>
        <v>0</v>
      </c>
    </row>
    <row r="30" customFormat="false" ht="15" hidden="false" customHeight="false" outlineLevel="0" collapsed="false">
      <c r="A30" s="4" t="s">
        <v>236</v>
      </c>
      <c r="B30" s="4" t="s">
        <v>83</v>
      </c>
      <c r="C30" s="4" t="n">
        <v>1</v>
      </c>
      <c r="D30" s="4" t="n">
        <v>27</v>
      </c>
      <c r="E30" s="4" t="s">
        <v>233</v>
      </c>
      <c r="F30" s="4" t="n">
        <v>3</v>
      </c>
      <c r="G30" s="4" t="n">
        <v>1</v>
      </c>
      <c r="H30" s="4" t="n">
        <v>1320.91</v>
      </c>
      <c r="I30" s="13" t="b">
        <f aca="false">FALSE()</f>
        <v>0</v>
      </c>
      <c r="K30" s="4" t="s">
        <v>234</v>
      </c>
      <c r="L30" s="4" t="n">
        <v>53.17</v>
      </c>
      <c r="M30" s="11" t="n">
        <f aca="false">IFERROR(MATCH(Controls!$B$3&amp;"|"&amp;B30,'Scenario inputs'!$A$4:$A$213,0),0)</f>
        <v>132</v>
      </c>
      <c r="N30" s="8" t="b">
        <f aca="false">IF(M30=0,FALSE(),F30&lt;Controls!$B$12)</f>
        <v>1</v>
      </c>
      <c r="O30" s="11" t="n">
        <f aca="false">IF(N30,IF(INDEX('Scenario inputs'!$E$4:$E$213,M30)=0,1,INDEX('Scenario inputs'!$F$4:$M$213,M30,MIN(MAX(F30-G30,0),INDEX('Scenario inputs'!$E$4:$E$213,M30)-1)+1)),0)</f>
        <v>0.214286</v>
      </c>
      <c r="P30" s="11" t="n">
        <f aca="false">H30*O30</f>
        <v>283.05252026</v>
      </c>
      <c r="Q30" s="11" t="n">
        <f aca="false">IF(M30=0,"",IF(ISNUMBER(INDEX('Scenario inputs'!$N$4:$N$213,M30)),INDEX('Scenario inputs'!$N$4:$N$213,M30),""))</f>
        <v>31.74</v>
      </c>
      <c r="R30" s="0" t="str">
        <f aca="false">IF(NOT(N30),"",IF(OR(E30="cash",E30="revenue"),E30,IF(E30="avoided_cost",IF(AND(I30,LEN(TRIM(J30))&gt;0),"avoided_cost_realised","avoided_cost_beside"),IF(ISNUMBER(Q30),"capacity_converted","capacity_hours"))))</f>
        <v>capacity_converted</v>
      </c>
      <c r="S30" s="11" t="n">
        <f aca="false">IF(OR(R30="",R30="capacity_hours"),0,IF(R30="capacity_converted",P30*Q30,P30))</f>
        <v>8984.0869930524</v>
      </c>
      <c r="T30" s="11" t="n">
        <f aca="false">IF(OR(R30="cash",R30="revenue",R30="avoided_cost_realised",R30="capacity_converted"),1,0)</f>
        <v>1</v>
      </c>
      <c r="U30" s="11" t="n">
        <f aca="false">IF(AND(N30,R30&lt;&gt;"capacity_hours",LEN(K30)&gt;0),1,0)</f>
        <v>1</v>
      </c>
      <c r="V30" s="11" t="n">
        <f aca="false">IF(U30=1,SUMPRODUCT(($K$4:$K$703=K30)*($F$4:$F$703=F30)*($U$4:$U$703=1)*($B$4:$B$703&lt;&gt;B30)),0)</f>
        <v>1</v>
      </c>
      <c r="W30" s="11" t="n">
        <f aca="false">IF(AND(U30=1,V30&gt;0),1+SUMPRODUCT(($K$4:$K$703=K30)*($F$4:$F$703=F30)*($U$4:$U$703=1)*($S$4:$S$703&gt;S30))+SUMPRODUCT(($K$4:$K$703=K30)*($F$4:$F$703=F30)*($U$4:$U$703=1)*($S$4:$S$703=S30)*($T$4:$T$703&gt;T30))+SUMPRODUCT(($K$4:$K$703=K30)*($F$4:$F$703=F30)*($U$4:$U$703=1)*($S$4:$S$703=S30)*($T$4:$T$703=T30)*($C$4:$C$703&lt;C30))+SUMPRODUCT(($K$4:$K$703=K30)*($F$4:$F$703=F30)*($U$4:$U$703=1)*($S$4:$S$703=S30)*($T$4:$T$703=T30)*($C$4:$C$703=C30)*($D$4:$D$703&lt;D30)),0)</f>
        <v>1</v>
      </c>
      <c r="X30" s="11" t="n">
        <f aca="false">IF(AND(U30=1,V30&gt;0,W30&gt;1),S30,0)</f>
        <v>0</v>
      </c>
      <c r="Y30" s="11" t="n">
        <f aca="false">IF(T30=1,X30/(1+Controls!$B$11)^F30,0)</f>
        <v>0</v>
      </c>
      <c r="Z30" s="11" t="n">
        <f aca="false">IF(AND(N30,E30="capacity",LEN(K30)&gt;0),1,0)</f>
        <v>1</v>
      </c>
      <c r="AA30" s="11" t="n">
        <f aca="false">IF(Z30=1,SUMPRODUCT(($K$4:$K$703=K30)*($F$4:$F$703=F30)*($Z$4:$Z$703=1)*($B$4:$B$703&lt;&gt;B30)),0)</f>
        <v>1</v>
      </c>
      <c r="AB30" s="11" t="n">
        <f aca="false">IF(AND(Z30=1,AA30&gt;0),1+SUMPRODUCT(($K$4:$K$703=K30)*($F$4:$F$703=F30)*($Z$4:$Z$703=1)*($P$4:$P$703&gt;P30))+SUMPRODUCT(($K$4:$K$703=K30)*($F$4:$F$703=F30)*($Z$4:$Z$703=1)*($P$4:$P$703=P30)*($C$4:$C$703&lt;C30))+SUMPRODUCT(($K$4:$K$703=K30)*($F$4:$F$703=F30)*($Z$4:$Z$703=1)*($P$4:$P$703=P30)*($C$4:$C$703=C30)*($D$4:$D$703&lt;D30)),0)</f>
        <v>1</v>
      </c>
      <c r="AC30" s="11" t="n">
        <f aca="false">IF(AND(Z30=1,AA30&gt;0,AB30&gt;1),P30,0)</f>
        <v>0</v>
      </c>
    </row>
    <row r="31" customFormat="false" ht="15" hidden="false" customHeight="false" outlineLevel="0" collapsed="false">
      <c r="A31" s="4" t="s">
        <v>237</v>
      </c>
      <c r="B31" s="4" t="s">
        <v>83</v>
      </c>
      <c r="C31" s="4" t="n">
        <v>1</v>
      </c>
      <c r="D31" s="4" t="n">
        <v>28</v>
      </c>
      <c r="E31" s="4" t="s">
        <v>233</v>
      </c>
      <c r="F31" s="4" t="n">
        <v>4</v>
      </c>
      <c r="G31" s="4" t="n">
        <v>1</v>
      </c>
      <c r="H31" s="4" t="n">
        <v>1320.91</v>
      </c>
      <c r="I31" s="13" t="b">
        <f aca="false">FALSE()</f>
        <v>0</v>
      </c>
      <c r="K31" s="4" t="s">
        <v>234</v>
      </c>
      <c r="L31" s="4" t="n">
        <v>88.62</v>
      </c>
      <c r="M31" s="11" t="n">
        <f aca="false">IFERROR(MATCH(Controls!$B$3&amp;"|"&amp;B31,'Scenario inputs'!$A$4:$A$213,0),0)</f>
        <v>132</v>
      </c>
      <c r="N31" s="8" t="b">
        <f aca="false">IF(M31=0,FALSE(),F31&lt;Controls!$B$12)</f>
        <v>1</v>
      </c>
      <c r="O31" s="11" t="n">
        <f aca="false">IF(N31,IF(INDEX('Scenario inputs'!$E$4:$E$213,M31)=0,1,INDEX('Scenario inputs'!$F$4:$M$213,M31,MIN(MAX(F31-G31,0),INDEX('Scenario inputs'!$E$4:$E$213,M31)-1)+1)),0)</f>
        <v>0.357143</v>
      </c>
      <c r="P31" s="11" t="n">
        <f aca="false">H31*O31</f>
        <v>471.75376013</v>
      </c>
      <c r="Q31" s="11" t="n">
        <f aca="false">IF(M31=0,"",IF(ISNUMBER(INDEX('Scenario inputs'!$N$4:$N$213,M31)),INDEX('Scenario inputs'!$N$4:$N$213,M31),""))</f>
        <v>31.74</v>
      </c>
      <c r="R31" s="0" t="str">
        <f aca="false">IF(NOT(N31),"",IF(OR(E31="cash",E31="revenue"),E31,IF(E31="avoided_cost",IF(AND(I31,LEN(TRIM(J31))&gt;0),"avoided_cost_realised","avoided_cost_beside"),IF(ISNUMBER(Q31),"capacity_converted","capacity_hours"))))</f>
        <v>capacity_converted</v>
      </c>
      <c r="S31" s="11" t="n">
        <f aca="false">IF(OR(R31="",R31="capacity_hours"),0,IF(R31="capacity_converted",P31*Q31,P31))</f>
        <v>14973.4643465262</v>
      </c>
      <c r="T31" s="11" t="n">
        <f aca="false">IF(OR(R31="cash",R31="revenue",R31="avoided_cost_realised",R31="capacity_converted"),1,0)</f>
        <v>1</v>
      </c>
      <c r="U31" s="11" t="n">
        <f aca="false">IF(AND(N31,R31&lt;&gt;"capacity_hours",LEN(K31)&gt;0),1,0)</f>
        <v>1</v>
      </c>
      <c r="V31" s="11" t="n">
        <f aca="false">IF(U31=1,SUMPRODUCT(($K$4:$K$703=K31)*($F$4:$F$703=F31)*($U$4:$U$703=1)*($B$4:$B$703&lt;&gt;B31)),0)</f>
        <v>1</v>
      </c>
      <c r="W31" s="11" t="n">
        <f aca="false">IF(AND(U31=1,V31&gt;0),1+SUMPRODUCT(($K$4:$K$703=K31)*($F$4:$F$703=F31)*($U$4:$U$703=1)*($S$4:$S$703&gt;S31))+SUMPRODUCT(($K$4:$K$703=K31)*($F$4:$F$703=F31)*($U$4:$U$703=1)*($S$4:$S$703=S31)*($T$4:$T$703&gt;T31))+SUMPRODUCT(($K$4:$K$703=K31)*($F$4:$F$703=F31)*($U$4:$U$703=1)*($S$4:$S$703=S31)*($T$4:$T$703=T31)*($C$4:$C$703&lt;C31))+SUMPRODUCT(($K$4:$K$703=K31)*($F$4:$F$703=F31)*($U$4:$U$703=1)*($S$4:$S$703=S31)*($T$4:$T$703=T31)*($C$4:$C$703=C31)*($D$4:$D$703&lt;D31)),0)</f>
        <v>1</v>
      </c>
      <c r="X31" s="11" t="n">
        <f aca="false">IF(AND(U31=1,V31&gt;0,W31&gt;1),S31,0)</f>
        <v>0</v>
      </c>
      <c r="Y31" s="11" t="n">
        <f aca="false">IF(T31=1,X31/(1+Controls!$B$11)^F31,0)</f>
        <v>0</v>
      </c>
      <c r="Z31" s="11" t="n">
        <f aca="false">IF(AND(N31,E31="capacity",LEN(K31)&gt;0),1,0)</f>
        <v>1</v>
      </c>
      <c r="AA31" s="11" t="n">
        <f aca="false">IF(Z31=1,SUMPRODUCT(($K$4:$K$703=K31)*($F$4:$F$703=F31)*($Z$4:$Z$703=1)*($B$4:$B$703&lt;&gt;B31)),0)</f>
        <v>1</v>
      </c>
      <c r="AB31" s="11" t="n">
        <f aca="false">IF(AND(Z31=1,AA31&gt;0),1+SUMPRODUCT(($K$4:$K$703=K31)*($F$4:$F$703=F31)*($Z$4:$Z$703=1)*($P$4:$P$703&gt;P31))+SUMPRODUCT(($K$4:$K$703=K31)*($F$4:$F$703=F31)*($Z$4:$Z$703=1)*($P$4:$P$703=P31)*($C$4:$C$703&lt;C31))+SUMPRODUCT(($K$4:$K$703=K31)*($F$4:$F$703=F31)*($Z$4:$Z$703=1)*($P$4:$P$703=P31)*($C$4:$C$703=C31)*($D$4:$D$703&lt;D31)),0)</f>
        <v>1</v>
      </c>
      <c r="AC31" s="11" t="n">
        <f aca="false">IF(AND(Z31=1,AA31&gt;0,AB31&gt;1),P31,0)</f>
        <v>0</v>
      </c>
    </row>
    <row r="32" customFormat="false" ht="15" hidden="false" customHeight="false" outlineLevel="0" collapsed="false">
      <c r="A32" s="4" t="s">
        <v>238</v>
      </c>
      <c r="B32" s="4" t="s">
        <v>83</v>
      </c>
      <c r="C32" s="4" t="n">
        <v>1</v>
      </c>
      <c r="D32" s="4" t="n">
        <v>29</v>
      </c>
      <c r="E32" s="4" t="s">
        <v>233</v>
      </c>
      <c r="F32" s="4" t="n">
        <v>5</v>
      </c>
      <c r="G32" s="4" t="n">
        <v>1</v>
      </c>
      <c r="H32" s="4" t="n">
        <v>1320.91</v>
      </c>
      <c r="I32" s="13" t="b">
        <f aca="false">FALSE()</f>
        <v>0</v>
      </c>
      <c r="K32" s="4" t="s">
        <v>234</v>
      </c>
      <c r="L32" s="4" t="n">
        <v>130.3</v>
      </c>
      <c r="M32" s="11" t="n">
        <f aca="false">IFERROR(MATCH(Controls!$B$3&amp;"|"&amp;B32,'Scenario inputs'!$A$4:$A$213,0),0)</f>
        <v>132</v>
      </c>
      <c r="N32" s="8" t="b">
        <f aca="false">IF(M32=0,FALSE(),F32&lt;Controls!$B$12)</f>
        <v>1</v>
      </c>
      <c r="O32" s="11" t="n">
        <f aca="false">IF(N32,IF(INDEX('Scenario inputs'!$E$4:$E$213,M32)=0,1,INDEX('Scenario inputs'!$F$4:$M$213,M32,MIN(MAX(F32-G32,0),INDEX('Scenario inputs'!$E$4:$E$213,M32)-1)+1)),0)</f>
        <v>0.535714</v>
      </c>
      <c r="P32" s="11" t="n">
        <f aca="false">H32*O32</f>
        <v>707.62997974</v>
      </c>
      <c r="Q32" s="11" t="n">
        <f aca="false">IF(M32=0,"",IF(ISNUMBER(INDEX('Scenario inputs'!$N$4:$N$213,M32)),INDEX('Scenario inputs'!$N$4:$N$213,M32),""))</f>
        <v>31.74</v>
      </c>
      <c r="R32" s="0" t="str">
        <f aca="false">IF(NOT(N32),"",IF(OR(E32="cash",E32="revenue"),E32,IF(E32="avoided_cost",IF(AND(I32,LEN(TRIM(J32))&gt;0),"avoided_cost_realised","avoided_cost_beside"),IF(ISNUMBER(Q32),"capacity_converted","capacity_hours"))))</f>
        <v>capacity_converted</v>
      </c>
      <c r="S32" s="11" t="n">
        <f aca="false">IF(OR(R32="",R32="capacity_hours"),0,IF(R32="capacity_converted",P32*Q32,P32))</f>
        <v>22460.1755569476</v>
      </c>
      <c r="T32" s="11" t="n">
        <f aca="false">IF(OR(R32="cash",R32="revenue",R32="avoided_cost_realised",R32="capacity_converted"),1,0)</f>
        <v>1</v>
      </c>
      <c r="U32" s="11" t="n">
        <f aca="false">IF(AND(N32,R32&lt;&gt;"capacity_hours",LEN(K32)&gt;0),1,0)</f>
        <v>1</v>
      </c>
      <c r="V32" s="11" t="n">
        <f aca="false">IF(U32=1,SUMPRODUCT(($K$4:$K$703=K32)*($F$4:$F$703=F32)*($U$4:$U$703=1)*($B$4:$B$703&lt;&gt;B32)),0)</f>
        <v>1</v>
      </c>
      <c r="W32" s="11" t="n">
        <f aca="false">IF(AND(U32=1,V32&gt;0),1+SUMPRODUCT(($K$4:$K$703=K32)*($F$4:$F$703=F32)*($U$4:$U$703=1)*($S$4:$S$703&gt;S32))+SUMPRODUCT(($K$4:$K$703=K32)*($F$4:$F$703=F32)*($U$4:$U$703=1)*($S$4:$S$703=S32)*($T$4:$T$703&gt;T32))+SUMPRODUCT(($K$4:$K$703=K32)*($F$4:$F$703=F32)*($U$4:$U$703=1)*($S$4:$S$703=S32)*($T$4:$T$703=T32)*($C$4:$C$703&lt;C32))+SUMPRODUCT(($K$4:$K$703=K32)*($F$4:$F$703=F32)*($U$4:$U$703=1)*($S$4:$S$703=S32)*($T$4:$T$703=T32)*($C$4:$C$703=C32)*($D$4:$D$703&lt;D32)),0)</f>
        <v>1</v>
      </c>
      <c r="X32" s="11" t="n">
        <f aca="false">IF(AND(U32=1,V32&gt;0,W32&gt;1),S32,0)</f>
        <v>0</v>
      </c>
      <c r="Y32" s="11" t="n">
        <f aca="false">IF(T32=1,X32/(1+Controls!$B$11)^F32,0)</f>
        <v>0</v>
      </c>
      <c r="Z32" s="11" t="n">
        <f aca="false">IF(AND(N32,E32="capacity",LEN(K32)&gt;0),1,0)</f>
        <v>1</v>
      </c>
      <c r="AA32" s="11" t="n">
        <f aca="false">IF(Z32=1,SUMPRODUCT(($K$4:$K$703=K32)*($F$4:$F$703=F32)*($Z$4:$Z$703=1)*($B$4:$B$703&lt;&gt;B32)),0)</f>
        <v>1</v>
      </c>
      <c r="AB32" s="11" t="n">
        <f aca="false">IF(AND(Z32=1,AA32&gt;0),1+SUMPRODUCT(($K$4:$K$703=K32)*($F$4:$F$703=F32)*($Z$4:$Z$703=1)*($P$4:$P$703&gt;P32))+SUMPRODUCT(($K$4:$K$703=K32)*($F$4:$F$703=F32)*($Z$4:$Z$703=1)*($P$4:$P$703=P32)*($C$4:$C$703&lt;C32))+SUMPRODUCT(($K$4:$K$703=K32)*($F$4:$F$703=F32)*($Z$4:$Z$703=1)*($P$4:$P$703=P32)*($C$4:$C$703=C32)*($D$4:$D$703&lt;D32)),0)</f>
        <v>1</v>
      </c>
      <c r="AC32" s="11" t="n">
        <f aca="false">IF(AND(Z32=1,AA32&gt;0,AB32&gt;1),P32,0)</f>
        <v>0</v>
      </c>
    </row>
    <row r="33" customFormat="false" ht="15" hidden="false" customHeight="false" outlineLevel="0" collapsed="false">
      <c r="A33" s="4" t="s">
        <v>239</v>
      </c>
      <c r="B33" s="4" t="s">
        <v>83</v>
      </c>
      <c r="C33" s="4" t="n">
        <v>1</v>
      </c>
      <c r="D33" s="4" t="n">
        <v>30</v>
      </c>
      <c r="E33" s="4" t="s">
        <v>233</v>
      </c>
      <c r="F33" s="4" t="n">
        <v>6</v>
      </c>
      <c r="G33" s="4" t="n">
        <v>1</v>
      </c>
      <c r="H33" s="4" t="n">
        <v>1320.91</v>
      </c>
      <c r="I33" s="13" t="b">
        <f aca="false">FALSE()</f>
        <v>0</v>
      </c>
      <c r="K33" s="4" t="s">
        <v>234</v>
      </c>
      <c r="L33" s="4" t="n">
        <v>191.64</v>
      </c>
      <c r="M33" s="11" t="n">
        <f aca="false">IFERROR(MATCH(Controls!$B$3&amp;"|"&amp;B33,'Scenario inputs'!$A$4:$A$213,0),0)</f>
        <v>132</v>
      </c>
      <c r="N33" s="8" t="b">
        <f aca="false">IF(M33=0,FALSE(),F33&lt;Controls!$B$12)</f>
        <v>1</v>
      </c>
      <c r="O33" s="11" t="n">
        <f aca="false">IF(N33,IF(INDEX('Scenario inputs'!$E$4:$E$213,M33)=0,1,INDEX('Scenario inputs'!$F$4:$M$213,M33,MIN(MAX(F33-G33,0),INDEX('Scenario inputs'!$E$4:$E$213,M33)-1)+1)),0)</f>
        <v>0.75</v>
      </c>
      <c r="P33" s="11" t="n">
        <f aca="false">H33*O33</f>
        <v>990.6825</v>
      </c>
      <c r="Q33" s="11" t="n">
        <f aca="false">IF(M33=0,"",IF(ISNUMBER(INDEX('Scenario inputs'!$N$4:$N$213,M33)),INDEX('Scenario inputs'!$N$4:$N$213,M33),""))</f>
        <v>31.74</v>
      </c>
      <c r="R33" s="0" t="str">
        <f aca="false">IF(NOT(N33),"",IF(OR(E33="cash",E33="revenue"),E33,IF(E33="avoided_cost",IF(AND(I33,LEN(TRIM(J33))&gt;0),"avoided_cost_realised","avoided_cost_beside"),IF(ISNUMBER(Q33),"capacity_converted","capacity_hours"))))</f>
        <v>capacity_converted</v>
      </c>
      <c r="S33" s="11" t="n">
        <f aca="false">IF(OR(R33="",R33="capacity_hours"),0,IF(R33="capacity_converted",P33*Q33,P33))</f>
        <v>31444.26255</v>
      </c>
      <c r="T33" s="11" t="n">
        <f aca="false">IF(OR(R33="cash",R33="revenue",R33="avoided_cost_realised",R33="capacity_converted"),1,0)</f>
        <v>1</v>
      </c>
      <c r="U33" s="11" t="n">
        <f aca="false">IF(AND(N33,R33&lt;&gt;"capacity_hours",LEN(K33)&gt;0),1,0)</f>
        <v>1</v>
      </c>
      <c r="V33" s="11" t="n">
        <f aca="false">IF(U33=1,SUMPRODUCT(($K$4:$K$703=K33)*($F$4:$F$703=F33)*($U$4:$U$703=1)*($B$4:$B$703&lt;&gt;B33)),0)</f>
        <v>1</v>
      </c>
      <c r="W33" s="11" t="n">
        <f aca="false">IF(AND(U33=1,V33&gt;0),1+SUMPRODUCT(($K$4:$K$703=K33)*($F$4:$F$703=F33)*($U$4:$U$703=1)*($S$4:$S$703&gt;S33))+SUMPRODUCT(($K$4:$K$703=K33)*($F$4:$F$703=F33)*($U$4:$U$703=1)*($S$4:$S$703=S33)*($T$4:$T$703&gt;T33))+SUMPRODUCT(($K$4:$K$703=K33)*($F$4:$F$703=F33)*($U$4:$U$703=1)*($S$4:$S$703=S33)*($T$4:$T$703=T33)*($C$4:$C$703&lt;C33))+SUMPRODUCT(($K$4:$K$703=K33)*($F$4:$F$703=F33)*($U$4:$U$703=1)*($S$4:$S$703=S33)*($T$4:$T$703=T33)*($C$4:$C$703=C33)*($D$4:$D$703&lt;D33)),0)</f>
        <v>1</v>
      </c>
      <c r="X33" s="11" t="n">
        <f aca="false">IF(AND(U33=1,V33&gt;0,W33&gt;1),S33,0)</f>
        <v>0</v>
      </c>
      <c r="Y33" s="11" t="n">
        <f aca="false">IF(T33=1,X33/(1+Controls!$B$11)^F33,0)</f>
        <v>0</v>
      </c>
      <c r="Z33" s="11" t="n">
        <f aca="false">IF(AND(N33,E33="capacity",LEN(K33)&gt;0),1,0)</f>
        <v>1</v>
      </c>
      <c r="AA33" s="11" t="n">
        <f aca="false">IF(Z33=1,SUMPRODUCT(($K$4:$K$703=K33)*($F$4:$F$703=F33)*($Z$4:$Z$703=1)*($B$4:$B$703&lt;&gt;B33)),0)</f>
        <v>1</v>
      </c>
      <c r="AB33" s="11" t="n">
        <f aca="false">IF(AND(Z33=1,AA33&gt;0),1+SUMPRODUCT(($K$4:$K$703=K33)*($F$4:$F$703=F33)*($Z$4:$Z$703=1)*($P$4:$P$703&gt;P33))+SUMPRODUCT(($K$4:$K$703=K33)*($F$4:$F$703=F33)*($Z$4:$Z$703=1)*($P$4:$P$703=P33)*($C$4:$C$703&lt;C33))+SUMPRODUCT(($K$4:$K$703=K33)*($F$4:$F$703=F33)*($Z$4:$Z$703=1)*($P$4:$P$703=P33)*($C$4:$C$703=C33)*($D$4:$D$703&lt;D33)),0)</f>
        <v>1</v>
      </c>
      <c r="AC33" s="11" t="n">
        <f aca="false">IF(AND(Z33=1,AA33&gt;0,AB33&gt;1),P33,0)</f>
        <v>0</v>
      </c>
    </row>
    <row r="34" customFormat="false" ht="15" hidden="false" customHeight="false" outlineLevel="0" collapsed="false">
      <c r="A34" s="4" t="s">
        <v>240</v>
      </c>
      <c r="B34" s="4" t="s">
        <v>83</v>
      </c>
      <c r="C34" s="4" t="n">
        <v>1</v>
      </c>
      <c r="D34" s="4" t="n">
        <v>31</v>
      </c>
      <c r="E34" s="4" t="s">
        <v>233</v>
      </c>
      <c r="F34" s="4" t="n">
        <v>7</v>
      </c>
      <c r="G34" s="4" t="n">
        <v>1</v>
      </c>
      <c r="H34" s="4" t="n">
        <v>1320.91</v>
      </c>
      <c r="I34" s="13" t="b">
        <f aca="false">FALSE()</f>
        <v>0</v>
      </c>
      <c r="K34" s="4" t="s">
        <v>234</v>
      </c>
      <c r="L34" s="4" t="n">
        <v>243.23</v>
      </c>
      <c r="M34" s="11" t="n">
        <f aca="false">IFERROR(MATCH(Controls!$B$3&amp;"|"&amp;B34,'Scenario inputs'!$A$4:$A$213,0),0)</f>
        <v>132</v>
      </c>
      <c r="N34" s="8" t="b">
        <f aca="false">IF(M34=0,FALSE(),F34&lt;Controls!$B$12)</f>
        <v>1</v>
      </c>
      <c r="O34" s="11" t="n">
        <f aca="false">IF(N34,IF(INDEX('Scenario inputs'!$E$4:$E$213,M34)=0,1,INDEX('Scenario inputs'!$F$4:$M$213,M34,MIN(MAX(F34-G34,0),INDEX('Scenario inputs'!$E$4:$E$213,M34)-1)+1)),0)</f>
        <v>1</v>
      </c>
      <c r="P34" s="11" t="n">
        <f aca="false">H34*O34</f>
        <v>1320.91</v>
      </c>
      <c r="Q34" s="11" t="n">
        <f aca="false">IF(M34=0,"",IF(ISNUMBER(INDEX('Scenario inputs'!$N$4:$N$213,M34)),INDEX('Scenario inputs'!$N$4:$N$213,M34),""))</f>
        <v>31.74</v>
      </c>
      <c r="R34" s="0" t="str">
        <f aca="false">IF(NOT(N34),"",IF(OR(E34="cash",E34="revenue"),E34,IF(E34="avoided_cost",IF(AND(I34,LEN(TRIM(J34))&gt;0),"avoided_cost_realised","avoided_cost_beside"),IF(ISNUMBER(Q34),"capacity_converted","capacity_hours"))))</f>
        <v>capacity_converted</v>
      </c>
      <c r="S34" s="11" t="n">
        <f aca="false">IF(OR(R34="",R34="capacity_hours"),0,IF(R34="capacity_converted",P34*Q34,P34))</f>
        <v>41925.6834</v>
      </c>
      <c r="T34" s="11" t="n">
        <f aca="false">IF(OR(R34="cash",R34="revenue",R34="avoided_cost_realised",R34="capacity_converted"),1,0)</f>
        <v>1</v>
      </c>
      <c r="U34" s="11" t="n">
        <f aca="false">IF(AND(N34,R34&lt;&gt;"capacity_hours",LEN(K34)&gt;0),1,0)</f>
        <v>1</v>
      </c>
      <c r="V34" s="11" t="n">
        <f aca="false">IF(U34=1,SUMPRODUCT(($K$4:$K$703=K34)*($F$4:$F$703=F34)*($U$4:$U$703=1)*($B$4:$B$703&lt;&gt;B34)),0)</f>
        <v>1</v>
      </c>
      <c r="W34" s="11" t="n">
        <f aca="false">IF(AND(U34=1,V34&gt;0),1+SUMPRODUCT(($K$4:$K$703=K34)*($F$4:$F$703=F34)*($U$4:$U$703=1)*($S$4:$S$703&gt;S34))+SUMPRODUCT(($K$4:$K$703=K34)*($F$4:$F$703=F34)*($U$4:$U$703=1)*($S$4:$S$703=S34)*($T$4:$T$703&gt;T34))+SUMPRODUCT(($K$4:$K$703=K34)*($F$4:$F$703=F34)*($U$4:$U$703=1)*($S$4:$S$703=S34)*($T$4:$T$703=T34)*($C$4:$C$703&lt;C34))+SUMPRODUCT(($K$4:$K$703=K34)*($F$4:$F$703=F34)*($U$4:$U$703=1)*($S$4:$S$703=S34)*($T$4:$T$703=T34)*($C$4:$C$703=C34)*($D$4:$D$703&lt;D34)),0)</f>
        <v>1</v>
      </c>
      <c r="X34" s="11" t="n">
        <f aca="false">IF(AND(U34=1,V34&gt;0,W34&gt;1),S34,0)</f>
        <v>0</v>
      </c>
      <c r="Y34" s="11" t="n">
        <f aca="false">IF(T34=1,X34/(1+Controls!$B$11)^F34,0)</f>
        <v>0</v>
      </c>
      <c r="Z34" s="11" t="n">
        <f aca="false">IF(AND(N34,E34="capacity",LEN(K34)&gt;0),1,0)</f>
        <v>1</v>
      </c>
      <c r="AA34" s="11" t="n">
        <f aca="false">IF(Z34=1,SUMPRODUCT(($K$4:$K$703=K34)*($F$4:$F$703=F34)*($Z$4:$Z$703=1)*($B$4:$B$703&lt;&gt;B34)),0)</f>
        <v>1</v>
      </c>
      <c r="AB34" s="11" t="n">
        <f aca="false">IF(AND(Z34=1,AA34&gt;0),1+SUMPRODUCT(($K$4:$K$703=K34)*($F$4:$F$703=F34)*($Z$4:$Z$703=1)*($P$4:$P$703&gt;P34))+SUMPRODUCT(($K$4:$K$703=K34)*($F$4:$F$703=F34)*($Z$4:$Z$703=1)*($P$4:$P$703=P34)*($C$4:$C$703&lt;C34))+SUMPRODUCT(($K$4:$K$703=K34)*($F$4:$F$703=F34)*($Z$4:$Z$703=1)*($P$4:$P$703=P34)*($C$4:$C$703=C34)*($D$4:$D$703&lt;D34)),0)</f>
        <v>1</v>
      </c>
      <c r="AC34" s="11" t="n">
        <f aca="false">IF(AND(Z34=1,AA34&gt;0,AB34&gt;1),P34,0)</f>
        <v>0</v>
      </c>
    </row>
    <row r="35" customFormat="false" ht="15" hidden="false" customHeight="false" outlineLevel="0" collapsed="false">
      <c r="A35" s="4" t="s">
        <v>241</v>
      </c>
      <c r="B35" s="4" t="s">
        <v>83</v>
      </c>
      <c r="C35" s="4" t="n">
        <v>1</v>
      </c>
      <c r="D35" s="4" t="n">
        <v>32</v>
      </c>
      <c r="E35" s="4" t="s">
        <v>233</v>
      </c>
      <c r="F35" s="4" t="n">
        <v>8</v>
      </c>
      <c r="G35" s="4" t="n">
        <v>1</v>
      </c>
      <c r="H35" s="4" t="n">
        <v>1320.91</v>
      </c>
      <c r="I35" s="13" t="b">
        <f aca="false">FALSE()</f>
        <v>0</v>
      </c>
      <c r="K35" s="4" t="s">
        <v>234</v>
      </c>
      <c r="L35" s="4" t="n">
        <v>235.86</v>
      </c>
      <c r="M35" s="11" t="n">
        <f aca="false">IFERROR(MATCH(Controls!$B$3&amp;"|"&amp;B35,'Scenario inputs'!$A$4:$A$213,0),0)</f>
        <v>132</v>
      </c>
      <c r="N35" s="8" t="b">
        <f aca="false">IF(M35=0,FALSE(),F35&lt;Controls!$B$12)</f>
        <v>1</v>
      </c>
      <c r="O35" s="11" t="n">
        <f aca="false">IF(N35,IF(INDEX('Scenario inputs'!$E$4:$E$213,M35)=0,1,INDEX('Scenario inputs'!$F$4:$M$213,M35,MIN(MAX(F35-G35,0),INDEX('Scenario inputs'!$E$4:$E$213,M35)-1)+1)),0)</f>
        <v>1</v>
      </c>
      <c r="P35" s="11" t="n">
        <f aca="false">H35*O35</f>
        <v>1320.91</v>
      </c>
      <c r="Q35" s="11" t="n">
        <f aca="false">IF(M35=0,"",IF(ISNUMBER(INDEX('Scenario inputs'!$N$4:$N$213,M35)),INDEX('Scenario inputs'!$N$4:$N$213,M35),""))</f>
        <v>31.74</v>
      </c>
      <c r="R35" s="0" t="str">
        <f aca="false">IF(NOT(N35),"",IF(OR(E35="cash",E35="revenue"),E35,IF(E35="avoided_cost",IF(AND(I35,LEN(TRIM(J35))&gt;0),"avoided_cost_realised","avoided_cost_beside"),IF(ISNUMBER(Q35),"capacity_converted","capacity_hours"))))</f>
        <v>capacity_converted</v>
      </c>
      <c r="S35" s="11" t="n">
        <f aca="false">IF(OR(R35="",R35="capacity_hours"),0,IF(R35="capacity_converted",P35*Q35,P35))</f>
        <v>41925.6834</v>
      </c>
      <c r="T35" s="11" t="n">
        <f aca="false">IF(OR(R35="cash",R35="revenue",R35="avoided_cost_realised",R35="capacity_converted"),1,0)</f>
        <v>1</v>
      </c>
      <c r="U35" s="11" t="n">
        <f aca="false">IF(AND(N35,R35&lt;&gt;"capacity_hours",LEN(K35)&gt;0),1,0)</f>
        <v>1</v>
      </c>
      <c r="V35" s="11" t="n">
        <f aca="false">IF(U35=1,SUMPRODUCT(($K$4:$K$703=K35)*($F$4:$F$703=F35)*($U$4:$U$703=1)*($B$4:$B$703&lt;&gt;B35)),0)</f>
        <v>1</v>
      </c>
      <c r="W35" s="11" t="n">
        <f aca="false">IF(AND(U35=1,V35&gt;0),1+SUMPRODUCT(($K$4:$K$703=K35)*($F$4:$F$703=F35)*($U$4:$U$703=1)*($S$4:$S$703&gt;S35))+SUMPRODUCT(($K$4:$K$703=K35)*($F$4:$F$703=F35)*($U$4:$U$703=1)*($S$4:$S$703=S35)*($T$4:$T$703&gt;T35))+SUMPRODUCT(($K$4:$K$703=K35)*($F$4:$F$703=F35)*($U$4:$U$703=1)*($S$4:$S$703=S35)*($T$4:$T$703=T35)*($C$4:$C$703&lt;C35))+SUMPRODUCT(($K$4:$K$703=K35)*($F$4:$F$703=F35)*($U$4:$U$703=1)*($S$4:$S$703=S35)*($T$4:$T$703=T35)*($C$4:$C$703=C35)*($D$4:$D$703&lt;D35)),0)</f>
        <v>1</v>
      </c>
      <c r="X35" s="11" t="n">
        <f aca="false">IF(AND(U35=1,V35&gt;0,W35&gt;1),S35,0)</f>
        <v>0</v>
      </c>
      <c r="Y35" s="11" t="n">
        <f aca="false">IF(T35=1,X35/(1+Controls!$B$11)^F35,0)</f>
        <v>0</v>
      </c>
      <c r="Z35" s="11" t="n">
        <f aca="false">IF(AND(N35,E35="capacity",LEN(K35)&gt;0),1,0)</f>
        <v>1</v>
      </c>
      <c r="AA35" s="11" t="n">
        <f aca="false">IF(Z35=1,SUMPRODUCT(($K$4:$K$703=K35)*($F$4:$F$703=F35)*($Z$4:$Z$703=1)*($B$4:$B$703&lt;&gt;B35)),0)</f>
        <v>1</v>
      </c>
      <c r="AB35" s="11" t="n">
        <f aca="false">IF(AND(Z35=1,AA35&gt;0),1+SUMPRODUCT(($K$4:$K$703=K35)*($F$4:$F$703=F35)*($Z$4:$Z$703=1)*($P$4:$P$703&gt;P35))+SUMPRODUCT(($K$4:$K$703=K35)*($F$4:$F$703=F35)*($Z$4:$Z$703=1)*($P$4:$P$703=P35)*($C$4:$C$703&lt;C35))+SUMPRODUCT(($K$4:$K$703=K35)*($F$4:$F$703=F35)*($Z$4:$Z$703=1)*($P$4:$P$703=P35)*($C$4:$C$703=C35)*($D$4:$D$703&lt;D35)),0)</f>
        <v>1</v>
      </c>
      <c r="AC35" s="11" t="n">
        <f aca="false">IF(AND(Z35=1,AA35&gt;0,AB35&gt;1),P35,0)</f>
        <v>0</v>
      </c>
    </row>
    <row r="36" customFormat="false" ht="15" hidden="false" customHeight="false" outlineLevel="0" collapsed="false">
      <c r="A36" s="4" t="s">
        <v>242</v>
      </c>
      <c r="B36" s="4" t="s">
        <v>83</v>
      </c>
      <c r="C36" s="4" t="n">
        <v>1</v>
      </c>
      <c r="D36" s="4" t="n">
        <v>33</v>
      </c>
      <c r="E36" s="4" t="s">
        <v>233</v>
      </c>
      <c r="F36" s="4" t="n">
        <v>9</v>
      </c>
      <c r="G36" s="4" t="n">
        <v>1</v>
      </c>
      <c r="H36" s="4" t="n">
        <v>1320.91</v>
      </c>
      <c r="I36" s="13" t="b">
        <f aca="false">FALSE()</f>
        <v>0</v>
      </c>
      <c r="K36" s="4" t="s">
        <v>234</v>
      </c>
      <c r="L36" s="4" t="n">
        <v>264.18</v>
      </c>
      <c r="M36" s="11" t="n">
        <f aca="false">IFERROR(MATCH(Controls!$B$3&amp;"|"&amp;B36,'Scenario inputs'!$A$4:$A$213,0),0)</f>
        <v>132</v>
      </c>
      <c r="N36" s="8" t="b">
        <f aca="false">IF(M36=0,FALSE(),F36&lt;Controls!$B$12)</f>
        <v>1</v>
      </c>
      <c r="O36" s="11" t="n">
        <f aca="false">IF(N36,IF(INDEX('Scenario inputs'!$E$4:$E$213,M36)=0,1,INDEX('Scenario inputs'!$F$4:$M$213,M36,MIN(MAX(F36-G36,0),INDEX('Scenario inputs'!$E$4:$E$213,M36)-1)+1)),0)</f>
        <v>1</v>
      </c>
      <c r="P36" s="11" t="n">
        <f aca="false">H36*O36</f>
        <v>1320.91</v>
      </c>
      <c r="Q36" s="11" t="n">
        <f aca="false">IF(M36=0,"",IF(ISNUMBER(INDEX('Scenario inputs'!$N$4:$N$213,M36)),INDEX('Scenario inputs'!$N$4:$N$213,M36),""))</f>
        <v>31.74</v>
      </c>
      <c r="R36" s="0" t="str">
        <f aca="false">IF(NOT(N36),"",IF(OR(E36="cash",E36="revenue"),E36,IF(E36="avoided_cost",IF(AND(I36,LEN(TRIM(J36))&gt;0),"avoided_cost_realised","avoided_cost_beside"),IF(ISNUMBER(Q36),"capacity_converted","capacity_hours"))))</f>
        <v>capacity_converted</v>
      </c>
      <c r="S36" s="11" t="n">
        <f aca="false">IF(OR(R36="",R36="capacity_hours"),0,IF(R36="capacity_converted",P36*Q36,P36))</f>
        <v>41925.6834</v>
      </c>
      <c r="T36" s="11" t="n">
        <f aca="false">IF(OR(R36="cash",R36="revenue",R36="avoided_cost_realised",R36="capacity_converted"),1,0)</f>
        <v>1</v>
      </c>
      <c r="U36" s="11" t="n">
        <f aca="false">IF(AND(N36,R36&lt;&gt;"capacity_hours",LEN(K36)&gt;0),1,0)</f>
        <v>1</v>
      </c>
      <c r="V36" s="11" t="n">
        <f aca="false">IF(U36=1,SUMPRODUCT(($K$4:$K$703=K36)*($F$4:$F$703=F36)*($U$4:$U$703=1)*($B$4:$B$703&lt;&gt;B36)),0)</f>
        <v>1</v>
      </c>
      <c r="W36" s="11" t="n">
        <f aca="false">IF(AND(U36=1,V36&gt;0),1+SUMPRODUCT(($K$4:$K$703=K36)*($F$4:$F$703=F36)*($U$4:$U$703=1)*($S$4:$S$703&gt;S36))+SUMPRODUCT(($K$4:$K$703=K36)*($F$4:$F$703=F36)*($U$4:$U$703=1)*($S$4:$S$703=S36)*($T$4:$T$703&gt;T36))+SUMPRODUCT(($K$4:$K$703=K36)*($F$4:$F$703=F36)*($U$4:$U$703=1)*($S$4:$S$703=S36)*($T$4:$T$703=T36)*($C$4:$C$703&lt;C36))+SUMPRODUCT(($K$4:$K$703=K36)*($F$4:$F$703=F36)*($U$4:$U$703=1)*($S$4:$S$703=S36)*($T$4:$T$703=T36)*($C$4:$C$703=C36)*($D$4:$D$703&lt;D36)),0)</f>
        <v>1</v>
      </c>
      <c r="X36" s="11" t="n">
        <f aca="false">IF(AND(U36=1,V36&gt;0,W36&gt;1),S36,0)</f>
        <v>0</v>
      </c>
      <c r="Y36" s="11" t="n">
        <f aca="false">IF(T36=1,X36/(1+Controls!$B$11)^F36,0)</f>
        <v>0</v>
      </c>
      <c r="Z36" s="11" t="n">
        <f aca="false">IF(AND(N36,E36="capacity",LEN(K36)&gt;0),1,0)</f>
        <v>1</v>
      </c>
      <c r="AA36" s="11" t="n">
        <f aca="false">IF(Z36=1,SUMPRODUCT(($K$4:$K$703=K36)*($F$4:$F$703=F36)*($Z$4:$Z$703=1)*($B$4:$B$703&lt;&gt;B36)),0)</f>
        <v>1</v>
      </c>
      <c r="AB36" s="11" t="n">
        <f aca="false">IF(AND(Z36=1,AA36&gt;0),1+SUMPRODUCT(($K$4:$K$703=K36)*($F$4:$F$703=F36)*($Z$4:$Z$703=1)*($P$4:$P$703&gt;P36))+SUMPRODUCT(($K$4:$K$703=K36)*($F$4:$F$703=F36)*($Z$4:$Z$703=1)*($P$4:$P$703=P36)*($C$4:$C$703&lt;C36))+SUMPRODUCT(($K$4:$K$703=K36)*($F$4:$F$703=F36)*($Z$4:$Z$703=1)*($P$4:$P$703=P36)*($C$4:$C$703=C36)*($D$4:$D$703&lt;D36)),0)</f>
        <v>1</v>
      </c>
      <c r="AC36" s="11" t="n">
        <f aca="false">IF(AND(Z36=1,AA36&gt;0,AB36&gt;1),P36,0)</f>
        <v>0</v>
      </c>
    </row>
    <row r="37" customFormat="false" ht="15" hidden="false" customHeight="false" outlineLevel="0" collapsed="false">
      <c r="A37" s="4" t="s">
        <v>243</v>
      </c>
      <c r="B37" s="4" t="s">
        <v>83</v>
      </c>
      <c r="C37" s="4" t="n">
        <v>1</v>
      </c>
      <c r="D37" s="4" t="n">
        <v>34</v>
      </c>
      <c r="E37" s="4" t="s">
        <v>233</v>
      </c>
      <c r="F37" s="4" t="n">
        <v>10</v>
      </c>
      <c r="G37" s="4" t="n">
        <v>1</v>
      </c>
      <c r="H37" s="4" t="n">
        <v>1320.91</v>
      </c>
      <c r="I37" s="13" t="b">
        <f aca="false">FALSE()</f>
        <v>0</v>
      </c>
      <c r="K37" s="4" t="s">
        <v>234</v>
      </c>
      <c r="L37" s="4" t="n">
        <v>264.18</v>
      </c>
      <c r="M37" s="11" t="n">
        <f aca="false">IFERROR(MATCH(Controls!$B$3&amp;"|"&amp;B37,'Scenario inputs'!$A$4:$A$213,0),0)</f>
        <v>132</v>
      </c>
      <c r="N37" s="8" t="b">
        <f aca="false">IF(M37=0,FALSE(),F37&lt;Controls!$B$12)</f>
        <v>1</v>
      </c>
      <c r="O37" s="11" t="n">
        <f aca="false">IF(N37,IF(INDEX('Scenario inputs'!$E$4:$E$213,M37)=0,1,INDEX('Scenario inputs'!$F$4:$M$213,M37,MIN(MAX(F37-G37,0),INDEX('Scenario inputs'!$E$4:$E$213,M37)-1)+1)),0)</f>
        <v>1</v>
      </c>
      <c r="P37" s="11" t="n">
        <f aca="false">H37*O37</f>
        <v>1320.91</v>
      </c>
      <c r="Q37" s="11" t="n">
        <f aca="false">IF(M37=0,"",IF(ISNUMBER(INDEX('Scenario inputs'!$N$4:$N$213,M37)),INDEX('Scenario inputs'!$N$4:$N$213,M37),""))</f>
        <v>31.74</v>
      </c>
      <c r="R37" s="0" t="str">
        <f aca="false">IF(NOT(N37),"",IF(OR(E37="cash",E37="revenue"),E37,IF(E37="avoided_cost",IF(AND(I37,LEN(TRIM(J37))&gt;0),"avoided_cost_realised","avoided_cost_beside"),IF(ISNUMBER(Q37),"capacity_converted","capacity_hours"))))</f>
        <v>capacity_converted</v>
      </c>
      <c r="S37" s="11" t="n">
        <f aca="false">IF(OR(R37="",R37="capacity_hours"),0,IF(R37="capacity_converted",P37*Q37,P37))</f>
        <v>41925.6834</v>
      </c>
      <c r="T37" s="11" t="n">
        <f aca="false">IF(OR(R37="cash",R37="revenue",R37="avoided_cost_realised",R37="capacity_converted"),1,0)</f>
        <v>1</v>
      </c>
      <c r="U37" s="11" t="n">
        <f aca="false">IF(AND(N37,R37&lt;&gt;"capacity_hours",LEN(K37)&gt;0),1,0)</f>
        <v>1</v>
      </c>
      <c r="V37" s="11" t="n">
        <f aca="false">IF(U37=1,SUMPRODUCT(($K$4:$K$703=K37)*($F$4:$F$703=F37)*($U$4:$U$703=1)*($B$4:$B$703&lt;&gt;B37)),0)</f>
        <v>1</v>
      </c>
      <c r="W37" s="11" t="n">
        <f aca="false">IF(AND(U37=1,V37&gt;0),1+SUMPRODUCT(($K$4:$K$703=K37)*($F$4:$F$703=F37)*($U$4:$U$703=1)*($S$4:$S$703&gt;S37))+SUMPRODUCT(($K$4:$K$703=K37)*($F$4:$F$703=F37)*($U$4:$U$703=1)*($S$4:$S$703=S37)*($T$4:$T$703&gt;T37))+SUMPRODUCT(($K$4:$K$703=K37)*($F$4:$F$703=F37)*($U$4:$U$703=1)*($S$4:$S$703=S37)*($T$4:$T$703=T37)*($C$4:$C$703&lt;C37))+SUMPRODUCT(($K$4:$K$703=K37)*($F$4:$F$703=F37)*($U$4:$U$703=1)*($S$4:$S$703=S37)*($T$4:$T$703=T37)*($C$4:$C$703=C37)*($D$4:$D$703&lt;D37)),0)</f>
        <v>1</v>
      </c>
      <c r="X37" s="11" t="n">
        <f aca="false">IF(AND(U37=1,V37&gt;0,W37&gt;1),S37,0)</f>
        <v>0</v>
      </c>
      <c r="Y37" s="11" t="n">
        <f aca="false">IF(T37=1,X37/(1+Controls!$B$11)^F37,0)</f>
        <v>0</v>
      </c>
      <c r="Z37" s="11" t="n">
        <f aca="false">IF(AND(N37,E37="capacity",LEN(K37)&gt;0),1,0)</f>
        <v>1</v>
      </c>
      <c r="AA37" s="11" t="n">
        <f aca="false">IF(Z37=1,SUMPRODUCT(($K$4:$K$703=K37)*($F$4:$F$703=F37)*($Z$4:$Z$703=1)*($B$4:$B$703&lt;&gt;B37)),0)</f>
        <v>1</v>
      </c>
      <c r="AB37" s="11" t="n">
        <f aca="false">IF(AND(Z37=1,AA37&gt;0),1+SUMPRODUCT(($K$4:$K$703=K37)*($F$4:$F$703=F37)*($Z$4:$Z$703=1)*($P$4:$P$703&gt;P37))+SUMPRODUCT(($K$4:$K$703=K37)*($F$4:$F$703=F37)*($Z$4:$Z$703=1)*($P$4:$P$703=P37)*($C$4:$C$703&lt;C37))+SUMPRODUCT(($K$4:$K$703=K37)*($F$4:$F$703=F37)*($Z$4:$Z$703=1)*($P$4:$P$703=P37)*($C$4:$C$703=C37)*($D$4:$D$703&lt;D37)),0)</f>
        <v>1</v>
      </c>
      <c r="AC37" s="11" t="n">
        <f aca="false">IF(AND(Z37=1,AA37&gt;0,AB37&gt;1),P37,0)</f>
        <v>0</v>
      </c>
    </row>
    <row r="38" customFormat="false" ht="15" hidden="false" customHeight="false" outlineLevel="0" collapsed="false">
      <c r="A38" s="4" t="s">
        <v>244</v>
      </c>
      <c r="B38" s="4" t="s">
        <v>83</v>
      </c>
      <c r="C38" s="4" t="n">
        <v>1</v>
      </c>
      <c r="D38" s="4" t="n">
        <v>35</v>
      </c>
      <c r="E38" s="4" t="s">
        <v>233</v>
      </c>
      <c r="F38" s="4" t="n">
        <v>11</v>
      </c>
      <c r="G38" s="4" t="n">
        <v>1</v>
      </c>
      <c r="H38" s="4" t="n">
        <v>1320.91</v>
      </c>
      <c r="I38" s="13" t="b">
        <f aca="false">FALSE()</f>
        <v>0</v>
      </c>
      <c r="K38" s="4" t="s">
        <v>234</v>
      </c>
      <c r="L38" s="4" t="n">
        <v>264.18</v>
      </c>
      <c r="M38" s="11" t="n">
        <f aca="false">IFERROR(MATCH(Controls!$B$3&amp;"|"&amp;B38,'Scenario inputs'!$A$4:$A$213,0),0)</f>
        <v>132</v>
      </c>
      <c r="N38" s="8" t="b">
        <f aca="false">IF(M38=0,FALSE(),F38&lt;Controls!$B$12)</f>
        <v>1</v>
      </c>
      <c r="O38" s="11" t="n">
        <f aca="false">IF(N38,IF(INDEX('Scenario inputs'!$E$4:$E$213,M38)=0,1,INDEX('Scenario inputs'!$F$4:$M$213,M38,MIN(MAX(F38-G38,0),INDEX('Scenario inputs'!$E$4:$E$213,M38)-1)+1)),0)</f>
        <v>1</v>
      </c>
      <c r="P38" s="11" t="n">
        <f aca="false">H38*O38</f>
        <v>1320.91</v>
      </c>
      <c r="Q38" s="11" t="n">
        <f aca="false">IF(M38=0,"",IF(ISNUMBER(INDEX('Scenario inputs'!$N$4:$N$213,M38)),INDEX('Scenario inputs'!$N$4:$N$213,M38),""))</f>
        <v>31.74</v>
      </c>
      <c r="R38" s="0" t="str">
        <f aca="false">IF(NOT(N38),"",IF(OR(E38="cash",E38="revenue"),E38,IF(E38="avoided_cost",IF(AND(I38,LEN(TRIM(J38))&gt;0),"avoided_cost_realised","avoided_cost_beside"),IF(ISNUMBER(Q38),"capacity_converted","capacity_hours"))))</f>
        <v>capacity_converted</v>
      </c>
      <c r="S38" s="11" t="n">
        <f aca="false">IF(OR(R38="",R38="capacity_hours"),0,IF(R38="capacity_converted",P38*Q38,P38))</f>
        <v>41925.6834</v>
      </c>
      <c r="T38" s="11" t="n">
        <f aca="false">IF(OR(R38="cash",R38="revenue",R38="avoided_cost_realised",R38="capacity_converted"),1,0)</f>
        <v>1</v>
      </c>
      <c r="U38" s="11" t="n">
        <f aca="false">IF(AND(N38,R38&lt;&gt;"capacity_hours",LEN(K38)&gt;0),1,0)</f>
        <v>1</v>
      </c>
      <c r="V38" s="11" t="n">
        <f aca="false">IF(U38=1,SUMPRODUCT(($K$4:$K$703=K38)*($F$4:$F$703=F38)*($U$4:$U$703=1)*($B$4:$B$703&lt;&gt;B38)),0)</f>
        <v>1</v>
      </c>
      <c r="W38" s="11" t="n">
        <f aca="false">IF(AND(U38=1,V38&gt;0),1+SUMPRODUCT(($K$4:$K$703=K38)*($F$4:$F$703=F38)*($U$4:$U$703=1)*($S$4:$S$703&gt;S38))+SUMPRODUCT(($K$4:$K$703=K38)*($F$4:$F$703=F38)*($U$4:$U$703=1)*($S$4:$S$703=S38)*($T$4:$T$703&gt;T38))+SUMPRODUCT(($K$4:$K$703=K38)*($F$4:$F$703=F38)*($U$4:$U$703=1)*($S$4:$S$703=S38)*($T$4:$T$703=T38)*($C$4:$C$703&lt;C38))+SUMPRODUCT(($K$4:$K$703=K38)*($F$4:$F$703=F38)*($U$4:$U$703=1)*($S$4:$S$703=S38)*($T$4:$T$703=T38)*($C$4:$C$703=C38)*($D$4:$D$703&lt;D38)),0)</f>
        <v>1</v>
      </c>
      <c r="X38" s="11" t="n">
        <f aca="false">IF(AND(U38=1,V38&gt;0,W38&gt;1),S38,0)</f>
        <v>0</v>
      </c>
      <c r="Y38" s="11" t="n">
        <f aca="false">IF(T38=1,X38/(1+Controls!$B$11)^F38,0)</f>
        <v>0</v>
      </c>
      <c r="Z38" s="11" t="n">
        <f aca="false">IF(AND(N38,E38="capacity",LEN(K38)&gt;0),1,0)</f>
        <v>1</v>
      </c>
      <c r="AA38" s="11" t="n">
        <f aca="false">IF(Z38=1,SUMPRODUCT(($K$4:$K$703=K38)*($F$4:$F$703=F38)*($Z$4:$Z$703=1)*($B$4:$B$703&lt;&gt;B38)),0)</f>
        <v>1</v>
      </c>
      <c r="AB38" s="11" t="n">
        <f aca="false">IF(AND(Z38=1,AA38&gt;0),1+SUMPRODUCT(($K$4:$K$703=K38)*($F$4:$F$703=F38)*($Z$4:$Z$703=1)*($P$4:$P$703&gt;P38))+SUMPRODUCT(($K$4:$K$703=K38)*($F$4:$F$703=F38)*($Z$4:$Z$703=1)*($P$4:$P$703=P38)*($C$4:$C$703&lt;C38))+SUMPRODUCT(($K$4:$K$703=K38)*($F$4:$F$703=F38)*($Z$4:$Z$703=1)*($P$4:$P$703=P38)*($C$4:$C$703=C38)*($D$4:$D$703&lt;D38)),0)</f>
        <v>1</v>
      </c>
      <c r="AC38" s="11" t="n">
        <f aca="false">IF(AND(Z38=1,AA38&gt;0,AB38&gt;1),P38,0)</f>
        <v>0</v>
      </c>
    </row>
    <row r="39" customFormat="false" ht="15" hidden="false" customHeight="false" outlineLevel="0" collapsed="false">
      <c r="A39" s="4" t="s">
        <v>245</v>
      </c>
      <c r="B39" s="4" t="s">
        <v>83</v>
      </c>
      <c r="C39" s="4" t="n">
        <v>1</v>
      </c>
      <c r="D39" s="4" t="n">
        <v>36</v>
      </c>
      <c r="E39" s="4" t="s">
        <v>233</v>
      </c>
      <c r="F39" s="4" t="n">
        <v>12</v>
      </c>
      <c r="G39" s="4" t="n">
        <v>1</v>
      </c>
      <c r="H39" s="4" t="n">
        <v>1320.91</v>
      </c>
      <c r="I39" s="13" t="b">
        <f aca="false">FALSE()</f>
        <v>0</v>
      </c>
      <c r="K39" s="4" t="s">
        <v>234</v>
      </c>
      <c r="L39" s="4" t="n">
        <v>264.18</v>
      </c>
      <c r="M39" s="11" t="n">
        <f aca="false">IFERROR(MATCH(Controls!$B$3&amp;"|"&amp;B39,'Scenario inputs'!$A$4:$A$213,0),0)</f>
        <v>132</v>
      </c>
      <c r="N39" s="8" t="b">
        <f aca="false">IF(M39=0,FALSE(),F39&lt;Controls!$B$12)</f>
        <v>1</v>
      </c>
      <c r="O39" s="11" t="n">
        <f aca="false">IF(N39,IF(INDEX('Scenario inputs'!$E$4:$E$213,M39)=0,1,INDEX('Scenario inputs'!$F$4:$M$213,M39,MIN(MAX(F39-G39,0),INDEX('Scenario inputs'!$E$4:$E$213,M39)-1)+1)),0)</f>
        <v>1</v>
      </c>
      <c r="P39" s="11" t="n">
        <f aca="false">H39*O39</f>
        <v>1320.91</v>
      </c>
      <c r="Q39" s="11" t="n">
        <f aca="false">IF(M39=0,"",IF(ISNUMBER(INDEX('Scenario inputs'!$N$4:$N$213,M39)),INDEX('Scenario inputs'!$N$4:$N$213,M39),""))</f>
        <v>31.74</v>
      </c>
      <c r="R39" s="0" t="str">
        <f aca="false">IF(NOT(N39),"",IF(OR(E39="cash",E39="revenue"),E39,IF(E39="avoided_cost",IF(AND(I39,LEN(TRIM(J39))&gt;0),"avoided_cost_realised","avoided_cost_beside"),IF(ISNUMBER(Q39),"capacity_converted","capacity_hours"))))</f>
        <v>capacity_converted</v>
      </c>
      <c r="S39" s="11" t="n">
        <f aca="false">IF(OR(R39="",R39="capacity_hours"),0,IF(R39="capacity_converted",P39*Q39,P39))</f>
        <v>41925.6834</v>
      </c>
      <c r="T39" s="11" t="n">
        <f aca="false">IF(OR(R39="cash",R39="revenue",R39="avoided_cost_realised",R39="capacity_converted"),1,0)</f>
        <v>1</v>
      </c>
      <c r="U39" s="11" t="n">
        <f aca="false">IF(AND(N39,R39&lt;&gt;"capacity_hours",LEN(K39)&gt;0),1,0)</f>
        <v>1</v>
      </c>
      <c r="V39" s="11" t="n">
        <f aca="false">IF(U39=1,SUMPRODUCT(($K$4:$K$703=K39)*($F$4:$F$703=F39)*($U$4:$U$703=1)*($B$4:$B$703&lt;&gt;B39)),0)</f>
        <v>1</v>
      </c>
      <c r="W39" s="11" t="n">
        <f aca="false">IF(AND(U39=1,V39&gt;0),1+SUMPRODUCT(($K$4:$K$703=K39)*($F$4:$F$703=F39)*($U$4:$U$703=1)*($S$4:$S$703&gt;S39))+SUMPRODUCT(($K$4:$K$703=K39)*($F$4:$F$703=F39)*($U$4:$U$703=1)*($S$4:$S$703=S39)*($T$4:$T$703&gt;T39))+SUMPRODUCT(($K$4:$K$703=K39)*($F$4:$F$703=F39)*($U$4:$U$703=1)*($S$4:$S$703=S39)*($T$4:$T$703=T39)*($C$4:$C$703&lt;C39))+SUMPRODUCT(($K$4:$K$703=K39)*($F$4:$F$703=F39)*($U$4:$U$703=1)*($S$4:$S$703=S39)*($T$4:$T$703=T39)*($C$4:$C$703=C39)*($D$4:$D$703&lt;D39)),0)</f>
        <v>1</v>
      </c>
      <c r="X39" s="11" t="n">
        <f aca="false">IF(AND(U39=1,V39&gt;0,W39&gt;1),S39,0)</f>
        <v>0</v>
      </c>
      <c r="Y39" s="11" t="n">
        <f aca="false">IF(T39=1,X39/(1+Controls!$B$11)^F39,0)</f>
        <v>0</v>
      </c>
      <c r="Z39" s="11" t="n">
        <f aca="false">IF(AND(N39,E39="capacity",LEN(K39)&gt;0),1,0)</f>
        <v>1</v>
      </c>
      <c r="AA39" s="11" t="n">
        <f aca="false">IF(Z39=1,SUMPRODUCT(($K$4:$K$703=K39)*($F$4:$F$703=F39)*($Z$4:$Z$703=1)*($B$4:$B$703&lt;&gt;B39)),0)</f>
        <v>1</v>
      </c>
      <c r="AB39" s="11" t="n">
        <f aca="false">IF(AND(Z39=1,AA39&gt;0),1+SUMPRODUCT(($K$4:$K$703=K39)*($F$4:$F$703=F39)*($Z$4:$Z$703=1)*($P$4:$P$703&gt;P39))+SUMPRODUCT(($K$4:$K$703=K39)*($F$4:$F$703=F39)*($Z$4:$Z$703=1)*($P$4:$P$703=P39)*($C$4:$C$703&lt;C39))+SUMPRODUCT(($K$4:$K$703=K39)*($F$4:$F$703=F39)*($Z$4:$Z$703=1)*($P$4:$P$703=P39)*($C$4:$C$703=C39)*($D$4:$D$703&lt;D39)),0)</f>
        <v>1</v>
      </c>
      <c r="AC39" s="11" t="n">
        <f aca="false">IF(AND(Z39=1,AA39&gt;0,AB39&gt;1),P39,0)</f>
        <v>0</v>
      </c>
    </row>
    <row r="40" customFormat="false" ht="15" hidden="false" customHeight="false" outlineLevel="0" collapsed="false">
      <c r="A40" s="4" t="s">
        <v>246</v>
      </c>
      <c r="B40" s="4" t="s">
        <v>84</v>
      </c>
      <c r="C40" s="4" t="n">
        <v>2</v>
      </c>
      <c r="D40" s="4" t="n">
        <v>37</v>
      </c>
      <c r="E40" s="4" t="s">
        <v>112</v>
      </c>
      <c r="F40" s="4" t="n">
        <v>2</v>
      </c>
      <c r="G40" s="4" t="n">
        <v>2</v>
      </c>
      <c r="H40" s="4" t="n">
        <v>129050</v>
      </c>
      <c r="I40" s="13" t="b">
        <f aca="false">FALSE()</f>
        <v>0</v>
      </c>
      <c r="K40" s="4" t="s">
        <v>247</v>
      </c>
      <c r="L40" s="4" t="n">
        <v>974.57</v>
      </c>
      <c r="M40" s="11" t="n">
        <f aca="false">IFERROR(MATCH(Controls!$B$3&amp;"|"&amp;B40,'Scenario inputs'!$A$4:$A$213,0),0)</f>
        <v>133</v>
      </c>
      <c r="N40" s="8" t="b">
        <f aca="false">IF(M40=0,FALSE(),F40&lt;Controls!$B$12)</f>
        <v>1</v>
      </c>
      <c r="O40" s="11" t="n">
        <f aca="false">IF(N40,IF(INDEX('Scenario inputs'!$E$4:$E$213,M40)=0,1,INDEX('Scenario inputs'!$F$4:$M$213,M40,MIN(MAX(F40-G40,0),INDEX('Scenario inputs'!$E$4:$E$213,M40)-1)+1)),0)</f>
        <v>0.035714</v>
      </c>
      <c r="P40" s="11" t="n">
        <f aca="false">H40*O40</f>
        <v>4608.8917</v>
      </c>
      <c r="Q40" s="11" t="n">
        <f aca="false">IF(M40=0,"",IF(ISNUMBER(INDEX('Scenario inputs'!$N$4:$N$213,M40)),INDEX('Scenario inputs'!$N$4:$N$213,M40),""))</f>
        <v>34.67</v>
      </c>
      <c r="R40" s="0" t="str">
        <f aca="false">IF(NOT(N40),"",IF(OR(E40="cash",E40="revenue"),E40,IF(E40="avoided_cost",IF(AND(I40,LEN(TRIM(J40))&gt;0),"avoided_cost_realised","avoided_cost_beside"),IF(ISNUMBER(Q40),"capacity_converted","capacity_hours"))))</f>
        <v>cash</v>
      </c>
      <c r="S40" s="11" t="n">
        <f aca="false">IF(OR(R40="",R40="capacity_hours"),0,IF(R40="capacity_converted",P40*Q40,P40))</f>
        <v>4608.8917</v>
      </c>
      <c r="T40" s="11" t="n">
        <f aca="false">IF(OR(R40="cash",R40="revenue",R40="avoided_cost_realised",R40="capacity_converted"),1,0)</f>
        <v>1</v>
      </c>
      <c r="U40" s="11" t="n">
        <f aca="false">IF(AND(N40,R40&lt;&gt;"capacity_hours",LEN(K40)&gt;0),1,0)</f>
        <v>1</v>
      </c>
      <c r="V40" s="11" t="n">
        <f aca="false">IF(U40=1,SUMPRODUCT(($K$4:$K$703=K40)*($F$4:$F$703=F40)*($U$4:$U$703=1)*($B$4:$B$703&lt;&gt;B40)),0)</f>
        <v>0</v>
      </c>
      <c r="W40" s="11" t="n">
        <f aca="false">IF(AND(U40=1,V40&gt;0),1+SUMPRODUCT(($K$4:$K$703=K40)*($F$4:$F$703=F40)*($U$4:$U$703=1)*($S$4:$S$703&gt;S40))+SUMPRODUCT(($K$4:$K$703=K40)*($F$4:$F$703=F40)*($U$4:$U$703=1)*($S$4:$S$703=S40)*($T$4:$T$703&gt;T40))+SUMPRODUCT(($K$4:$K$703=K40)*($F$4:$F$703=F40)*($U$4:$U$703=1)*($S$4:$S$703=S40)*($T$4:$T$703=T40)*($C$4:$C$703&lt;C40))+SUMPRODUCT(($K$4:$K$703=K40)*($F$4:$F$703=F40)*($U$4:$U$703=1)*($S$4:$S$703=S40)*($T$4:$T$703=T40)*($C$4:$C$703=C40)*($D$4:$D$703&lt;D40)),0)</f>
        <v>0</v>
      </c>
      <c r="X40" s="11" t="n">
        <f aca="false">IF(AND(U40=1,V40&gt;0,W40&gt;1),S40,0)</f>
        <v>0</v>
      </c>
      <c r="Y40" s="11" t="n">
        <f aca="false">IF(T40=1,X40/(1+Controls!$B$11)^F40,0)</f>
        <v>0</v>
      </c>
      <c r="Z40" s="11" t="n">
        <f aca="false">IF(AND(N40,E40="capacity",LEN(K40)&gt;0),1,0)</f>
        <v>0</v>
      </c>
      <c r="AA40" s="11" t="n">
        <f aca="false">IF(Z40=1,SUMPRODUCT(($K$4:$K$703=K40)*($F$4:$F$703=F40)*($Z$4:$Z$703=1)*($B$4:$B$703&lt;&gt;B40)),0)</f>
        <v>0</v>
      </c>
      <c r="AB40" s="11" t="n">
        <f aca="false">IF(AND(Z40=1,AA40&gt;0),1+SUMPRODUCT(($K$4:$K$703=K40)*($F$4:$F$703=F40)*($Z$4:$Z$703=1)*($P$4:$P$703&gt;P40))+SUMPRODUCT(($K$4:$K$703=K40)*($F$4:$F$703=F40)*($Z$4:$Z$703=1)*($P$4:$P$703=P40)*($C$4:$C$703&lt;C40))+SUMPRODUCT(($K$4:$K$703=K40)*($F$4:$F$703=F40)*($Z$4:$Z$703=1)*($P$4:$P$703=P40)*($C$4:$C$703=C40)*($D$4:$D$703&lt;D40)),0)</f>
        <v>0</v>
      </c>
      <c r="AC40" s="11" t="n">
        <f aca="false">IF(AND(Z40=1,AA40&gt;0,AB40&gt;1),P40,0)</f>
        <v>0</v>
      </c>
    </row>
    <row r="41" customFormat="false" ht="15" hidden="false" customHeight="false" outlineLevel="0" collapsed="false">
      <c r="A41" s="4" t="s">
        <v>248</v>
      </c>
      <c r="B41" s="4" t="s">
        <v>84</v>
      </c>
      <c r="C41" s="4" t="n">
        <v>2</v>
      </c>
      <c r="D41" s="4" t="n">
        <v>38</v>
      </c>
      <c r="E41" s="4" t="s">
        <v>112</v>
      </c>
      <c r="F41" s="4" t="n">
        <v>3</v>
      </c>
      <c r="G41" s="4" t="n">
        <v>2</v>
      </c>
      <c r="H41" s="4" t="n">
        <v>129050</v>
      </c>
      <c r="I41" s="13" t="b">
        <f aca="false">FALSE()</f>
        <v>0</v>
      </c>
      <c r="K41" s="4" t="s">
        <v>247</v>
      </c>
      <c r="L41" s="4" t="n">
        <v>2811.29</v>
      </c>
      <c r="M41" s="11" t="n">
        <f aca="false">IFERROR(MATCH(Controls!$B$3&amp;"|"&amp;B41,'Scenario inputs'!$A$4:$A$213,0),0)</f>
        <v>133</v>
      </c>
      <c r="N41" s="8" t="b">
        <f aca="false">IF(M41=0,FALSE(),F41&lt;Controls!$B$12)</f>
        <v>1</v>
      </c>
      <c r="O41" s="11" t="n">
        <f aca="false">IF(N41,IF(INDEX('Scenario inputs'!$E$4:$E$213,M41)=0,1,INDEX('Scenario inputs'!$F$4:$M$213,M41,MIN(MAX(F41-G41,0),INDEX('Scenario inputs'!$E$4:$E$213,M41)-1)+1)),0)</f>
        <v>0.107143</v>
      </c>
      <c r="P41" s="11" t="n">
        <f aca="false">H41*O41</f>
        <v>13826.80415</v>
      </c>
      <c r="Q41" s="11" t="n">
        <f aca="false">IF(M41=0,"",IF(ISNUMBER(INDEX('Scenario inputs'!$N$4:$N$213,M41)),INDEX('Scenario inputs'!$N$4:$N$213,M41),""))</f>
        <v>34.67</v>
      </c>
      <c r="R41" s="0" t="str">
        <f aca="false">IF(NOT(N41),"",IF(OR(E41="cash",E41="revenue"),E41,IF(E41="avoided_cost",IF(AND(I41,LEN(TRIM(J41))&gt;0),"avoided_cost_realised","avoided_cost_beside"),IF(ISNUMBER(Q41),"capacity_converted","capacity_hours"))))</f>
        <v>cash</v>
      </c>
      <c r="S41" s="11" t="n">
        <f aca="false">IF(OR(R41="",R41="capacity_hours"),0,IF(R41="capacity_converted",P41*Q41,P41))</f>
        <v>13826.80415</v>
      </c>
      <c r="T41" s="11" t="n">
        <f aca="false">IF(OR(R41="cash",R41="revenue",R41="avoided_cost_realised",R41="capacity_converted"),1,0)</f>
        <v>1</v>
      </c>
      <c r="U41" s="11" t="n">
        <f aca="false">IF(AND(N41,R41&lt;&gt;"capacity_hours",LEN(K41)&gt;0),1,0)</f>
        <v>1</v>
      </c>
      <c r="V41" s="11" t="n">
        <f aca="false">IF(U41=1,SUMPRODUCT(($K$4:$K$703=K41)*($F$4:$F$703=F41)*($U$4:$U$703=1)*($B$4:$B$703&lt;&gt;B41)),0)</f>
        <v>0</v>
      </c>
      <c r="W41" s="11" t="n">
        <f aca="false">IF(AND(U41=1,V41&gt;0),1+SUMPRODUCT(($K$4:$K$703=K41)*($F$4:$F$703=F41)*($U$4:$U$703=1)*($S$4:$S$703&gt;S41))+SUMPRODUCT(($K$4:$K$703=K41)*($F$4:$F$703=F41)*($U$4:$U$703=1)*($S$4:$S$703=S41)*($T$4:$T$703&gt;T41))+SUMPRODUCT(($K$4:$K$703=K41)*($F$4:$F$703=F41)*($U$4:$U$703=1)*($S$4:$S$703=S41)*($T$4:$T$703=T41)*($C$4:$C$703&lt;C41))+SUMPRODUCT(($K$4:$K$703=K41)*($F$4:$F$703=F41)*($U$4:$U$703=1)*($S$4:$S$703=S41)*($T$4:$T$703=T41)*($C$4:$C$703=C41)*($D$4:$D$703&lt;D41)),0)</f>
        <v>0</v>
      </c>
      <c r="X41" s="11" t="n">
        <f aca="false">IF(AND(U41=1,V41&gt;0,W41&gt;1),S41,0)</f>
        <v>0</v>
      </c>
      <c r="Y41" s="11" t="n">
        <f aca="false">IF(T41=1,X41/(1+Controls!$B$11)^F41,0)</f>
        <v>0</v>
      </c>
      <c r="Z41" s="11" t="n">
        <f aca="false">IF(AND(N41,E41="capacity",LEN(K41)&gt;0),1,0)</f>
        <v>0</v>
      </c>
      <c r="AA41" s="11" t="n">
        <f aca="false">IF(Z41=1,SUMPRODUCT(($K$4:$K$703=K41)*($F$4:$F$703=F41)*($Z$4:$Z$703=1)*($B$4:$B$703&lt;&gt;B41)),0)</f>
        <v>0</v>
      </c>
      <c r="AB41" s="11" t="n">
        <f aca="false">IF(AND(Z41=1,AA41&gt;0),1+SUMPRODUCT(($K$4:$K$703=K41)*($F$4:$F$703=F41)*($Z$4:$Z$703=1)*($P$4:$P$703&gt;P41))+SUMPRODUCT(($K$4:$K$703=K41)*($F$4:$F$703=F41)*($Z$4:$Z$703=1)*($P$4:$P$703=P41)*($C$4:$C$703&lt;C41))+SUMPRODUCT(($K$4:$K$703=K41)*($F$4:$F$703=F41)*($Z$4:$Z$703=1)*($P$4:$P$703=P41)*($C$4:$C$703=C41)*($D$4:$D$703&lt;D41)),0)</f>
        <v>0</v>
      </c>
      <c r="AC41" s="11" t="n">
        <f aca="false">IF(AND(Z41=1,AA41&gt;0,AB41&gt;1),P41,0)</f>
        <v>0</v>
      </c>
    </row>
    <row r="42" customFormat="false" ht="15" hidden="false" customHeight="false" outlineLevel="0" collapsed="false">
      <c r="A42" s="4" t="s">
        <v>249</v>
      </c>
      <c r="B42" s="4" t="s">
        <v>84</v>
      </c>
      <c r="C42" s="4" t="n">
        <v>2</v>
      </c>
      <c r="D42" s="4" t="n">
        <v>39</v>
      </c>
      <c r="E42" s="4" t="s">
        <v>112</v>
      </c>
      <c r="F42" s="4" t="n">
        <v>4</v>
      </c>
      <c r="G42" s="4" t="n">
        <v>2</v>
      </c>
      <c r="H42" s="4" t="n">
        <v>129050</v>
      </c>
      <c r="I42" s="13" t="b">
        <f aca="false">FALSE()</f>
        <v>0</v>
      </c>
      <c r="K42" s="4" t="s">
        <v>247</v>
      </c>
      <c r="L42" s="4" t="n">
        <v>5847.49</v>
      </c>
      <c r="M42" s="11" t="n">
        <f aca="false">IFERROR(MATCH(Controls!$B$3&amp;"|"&amp;B42,'Scenario inputs'!$A$4:$A$213,0),0)</f>
        <v>133</v>
      </c>
      <c r="N42" s="8" t="b">
        <f aca="false">IF(M42=0,FALSE(),F42&lt;Controls!$B$12)</f>
        <v>1</v>
      </c>
      <c r="O42" s="11" t="n">
        <f aca="false">IF(N42,IF(INDEX('Scenario inputs'!$E$4:$E$213,M42)=0,1,INDEX('Scenario inputs'!$F$4:$M$213,M42,MIN(MAX(F42-G42,0),INDEX('Scenario inputs'!$E$4:$E$213,M42)-1)+1)),0)</f>
        <v>0.214286</v>
      </c>
      <c r="P42" s="11" t="n">
        <f aca="false">H42*O42</f>
        <v>27653.6083</v>
      </c>
      <c r="Q42" s="11" t="n">
        <f aca="false">IF(M42=0,"",IF(ISNUMBER(INDEX('Scenario inputs'!$N$4:$N$213,M42)),INDEX('Scenario inputs'!$N$4:$N$213,M42),""))</f>
        <v>34.67</v>
      </c>
      <c r="R42" s="0" t="str">
        <f aca="false">IF(NOT(N42),"",IF(OR(E42="cash",E42="revenue"),E42,IF(E42="avoided_cost",IF(AND(I42,LEN(TRIM(J42))&gt;0),"avoided_cost_realised","avoided_cost_beside"),IF(ISNUMBER(Q42),"capacity_converted","capacity_hours"))))</f>
        <v>cash</v>
      </c>
      <c r="S42" s="11" t="n">
        <f aca="false">IF(OR(R42="",R42="capacity_hours"),0,IF(R42="capacity_converted",P42*Q42,P42))</f>
        <v>27653.6083</v>
      </c>
      <c r="T42" s="11" t="n">
        <f aca="false">IF(OR(R42="cash",R42="revenue",R42="avoided_cost_realised",R42="capacity_converted"),1,0)</f>
        <v>1</v>
      </c>
      <c r="U42" s="11" t="n">
        <f aca="false">IF(AND(N42,R42&lt;&gt;"capacity_hours",LEN(K42)&gt;0),1,0)</f>
        <v>1</v>
      </c>
      <c r="V42" s="11" t="n">
        <f aca="false">IF(U42=1,SUMPRODUCT(($K$4:$K$703=K42)*($F$4:$F$703=F42)*($U$4:$U$703=1)*($B$4:$B$703&lt;&gt;B42)),0)</f>
        <v>0</v>
      </c>
      <c r="W42" s="11" t="n">
        <f aca="false">IF(AND(U42=1,V42&gt;0),1+SUMPRODUCT(($K$4:$K$703=K42)*($F$4:$F$703=F42)*($U$4:$U$703=1)*($S$4:$S$703&gt;S42))+SUMPRODUCT(($K$4:$K$703=K42)*($F$4:$F$703=F42)*($U$4:$U$703=1)*($S$4:$S$703=S42)*($T$4:$T$703&gt;T42))+SUMPRODUCT(($K$4:$K$703=K42)*($F$4:$F$703=F42)*($U$4:$U$703=1)*($S$4:$S$703=S42)*($T$4:$T$703=T42)*($C$4:$C$703&lt;C42))+SUMPRODUCT(($K$4:$K$703=K42)*($F$4:$F$703=F42)*($U$4:$U$703=1)*($S$4:$S$703=S42)*($T$4:$T$703=T42)*($C$4:$C$703=C42)*($D$4:$D$703&lt;D42)),0)</f>
        <v>0</v>
      </c>
      <c r="X42" s="11" t="n">
        <f aca="false">IF(AND(U42=1,V42&gt;0,W42&gt;1),S42,0)</f>
        <v>0</v>
      </c>
      <c r="Y42" s="11" t="n">
        <f aca="false">IF(T42=1,X42/(1+Controls!$B$11)^F42,0)</f>
        <v>0</v>
      </c>
      <c r="Z42" s="11" t="n">
        <f aca="false">IF(AND(N42,E42="capacity",LEN(K42)&gt;0),1,0)</f>
        <v>0</v>
      </c>
      <c r="AA42" s="11" t="n">
        <f aca="false">IF(Z42=1,SUMPRODUCT(($K$4:$K$703=K42)*($F$4:$F$703=F42)*($Z$4:$Z$703=1)*($B$4:$B$703&lt;&gt;B42)),0)</f>
        <v>0</v>
      </c>
      <c r="AB42" s="11" t="n">
        <f aca="false">IF(AND(Z42=1,AA42&gt;0),1+SUMPRODUCT(($K$4:$K$703=K42)*($F$4:$F$703=F42)*($Z$4:$Z$703=1)*($P$4:$P$703&gt;P42))+SUMPRODUCT(($K$4:$K$703=K42)*($F$4:$F$703=F42)*($Z$4:$Z$703=1)*($P$4:$P$703=P42)*($C$4:$C$703&lt;C42))+SUMPRODUCT(($K$4:$K$703=K42)*($F$4:$F$703=F42)*($Z$4:$Z$703=1)*($P$4:$P$703=P42)*($C$4:$C$703=C42)*($D$4:$D$703&lt;D42)),0)</f>
        <v>0</v>
      </c>
      <c r="AC42" s="11" t="n">
        <f aca="false">IF(AND(Z42=1,AA42&gt;0,AB42&gt;1),P42,0)</f>
        <v>0</v>
      </c>
    </row>
    <row r="43" customFormat="false" ht="15" hidden="false" customHeight="false" outlineLevel="0" collapsed="false">
      <c r="A43" s="4" t="s">
        <v>250</v>
      </c>
      <c r="B43" s="4" t="s">
        <v>84</v>
      </c>
      <c r="C43" s="4" t="n">
        <v>2</v>
      </c>
      <c r="D43" s="4" t="n">
        <v>40</v>
      </c>
      <c r="E43" s="4" t="s">
        <v>112</v>
      </c>
      <c r="F43" s="4" t="n">
        <v>5</v>
      </c>
      <c r="G43" s="4" t="n">
        <v>2</v>
      </c>
      <c r="H43" s="4" t="n">
        <v>129050</v>
      </c>
      <c r="I43" s="13" t="b">
        <f aca="false">FALSE()</f>
        <v>0</v>
      </c>
      <c r="K43" s="4" t="s">
        <v>247</v>
      </c>
      <c r="L43" s="4" t="n">
        <v>9089.84</v>
      </c>
      <c r="M43" s="11" t="n">
        <f aca="false">IFERROR(MATCH(Controls!$B$3&amp;"|"&amp;B43,'Scenario inputs'!$A$4:$A$213,0),0)</f>
        <v>133</v>
      </c>
      <c r="N43" s="8" t="b">
        <f aca="false">IF(M43=0,FALSE(),F43&lt;Controls!$B$12)</f>
        <v>1</v>
      </c>
      <c r="O43" s="11" t="n">
        <f aca="false">IF(N43,IF(INDEX('Scenario inputs'!$E$4:$E$213,M43)=0,1,INDEX('Scenario inputs'!$F$4:$M$213,M43,MIN(MAX(F43-G43,0),INDEX('Scenario inputs'!$E$4:$E$213,M43)-1)+1)),0)</f>
        <v>0.357143</v>
      </c>
      <c r="P43" s="11" t="n">
        <f aca="false">H43*O43</f>
        <v>46089.30415</v>
      </c>
      <c r="Q43" s="11" t="n">
        <f aca="false">IF(M43=0,"",IF(ISNUMBER(INDEX('Scenario inputs'!$N$4:$N$213,M43)),INDEX('Scenario inputs'!$N$4:$N$213,M43),""))</f>
        <v>34.67</v>
      </c>
      <c r="R43" s="0" t="str">
        <f aca="false">IF(NOT(N43),"",IF(OR(E43="cash",E43="revenue"),E43,IF(E43="avoided_cost",IF(AND(I43,LEN(TRIM(J43))&gt;0),"avoided_cost_realised","avoided_cost_beside"),IF(ISNUMBER(Q43),"capacity_converted","capacity_hours"))))</f>
        <v>cash</v>
      </c>
      <c r="S43" s="11" t="n">
        <f aca="false">IF(OR(R43="",R43="capacity_hours"),0,IF(R43="capacity_converted",P43*Q43,P43))</f>
        <v>46089.30415</v>
      </c>
      <c r="T43" s="11" t="n">
        <f aca="false">IF(OR(R43="cash",R43="revenue",R43="avoided_cost_realised",R43="capacity_converted"),1,0)</f>
        <v>1</v>
      </c>
      <c r="U43" s="11" t="n">
        <f aca="false">IF(AND(N43,R43&lt;&gt;"capacity_hours",LEN(K43)&gt;0),1,0)</f>
        <v>1</v>
      </c>
      <c r="V43" s="11" t="n">
        <f aca="false">IF(U43=1,SUMPRODUCT(($K$4:$K$703=K43)*($F$4:$F$703=F43)*($U$4:$U$703=1)*($B$4:$B$703&lt;&gt;B43)),0)</f>
        <v>0</v>
      </c>
      <c r="W43" s="11" t="n">
        <f aca="false">IF(AND(U43=1,V43&gt;0),1+SUMPRODUCT(($K$4:$K$703=K43)*($F$4:$F$703=F43)*($U$4:$U$703=1)*($S$4:$S$703&gt;S43))+SUMPRODUCT(($K$4:$K$703=K43)*($F$4:$F$703=F43)*($U$4:$U$703=1)*($S$4:$S$703=S43)*($T$4:$T$703&gt;T43))+SUMPRODUCT(($K$4:$K$703=K43)*($F$4:$F$703=F43)*($U$4:$U$703=1)*($S$4:$S$703=S43)*($T$4:$T$703=T43)*($C$4:$C$703&lt;C43))+SUMPRODUCT(($K$4:$K$703=K43)*($F$4:$F$703=F43)*($U$4:$U$703=1)*($S$4:$S$703=S43)*($T$4:$T$703=T43)*($C$4:$C$703=C43)*($D$4:$D$703&lt;D43)),0)</f>
        <v>0</v>
      </c>
      <c r="X43" s="11" t="n">
        <f aca="false">IF(AND(U43=1,V43&gt;0,W43&gt;1),S43,0)</f>
        <v>0</v>
      </c>
      <c r="Y43" s="11" t="n">
        <f aca="false">IF(T43=1,X43/(1+Controls!$B$11)^F43,0)</f>
        <v>0</v>
      </c>
      <c r="Z43" s="11" t="n">
        <f aca="false">IF(AND(N43,E43="capacity",LEN(K43)&gt;0),1,0)</f>
        <v>0</v>
      </c>
      <c r="AA43" s="11" t="n">
        <f aca="false">IF(Z43=1,SUMPRODUCT(($K$4:$K$703=K43)*($F$4:$F$703=F43)*($Z$4:$Z$703=1)*($B$4:$B$703&lt;&gt;B43)),0)</f>
        <v>0</v>
      </c>
      <c r="AB43" s="11" t="n">
        <f aca="false">IF(AND(Z43=1,AA43&gt;0),1+SUMPRODUCT(($K$4:$K$703=K43)*($F$4:$F$703=F43)*($Z$4:$Z$703=1)*($P$4:$P$703&gt;P43))+SUMPRODUCT(($K$4:$K$703=K43)*($F$4:$F$703=F43)*($Z$4:$Z$703=1)*($P$4:$P$703=P43)*($C$4:$C$703&lt;C43))+SUMPRODUCT(($K$4:$K$703=K43)*($F$4:$F$703=F43)*($Z$4:$Z$703=1)*($P$4:$P$703=P43)*($C$4:$C$703=C43)*($D$4:$D$703&lt;D43)),0)</f>
        <v>0</v>
      </c>
      <c r="AC43" s="11" t="n">
        <f aca="false">IF(AND(Z43=1,AA43&gt;0,AB43&gt;1),P43,0)</f>
        <v>0</v>
      </c>
    </row>
    <row r="44" customFormat="false" ht="15" hidden="false" customHeight="false" outlineLevel="0" collapsed="false">
      <c r="A44" s="4" t="s">
        <v>251</v>
      </c>
      <c r="B44" s="4" t="s">
        <v>84</v>
      </c>
      <c r="C44" s="4" t="n">
        <v>2</v>
      </c>
      <c r="D44" s="4" t="n">
        <v>41</v>
      </c>
      <c r="E44" s="4" t="s">
        <v>112</v>
      </c>
      <c r="F44" s="4" t="n">
        <v>6</v>
      </c>
      <c r="G44" s="4" t="n">
        <v>2</v>
      </c>
      <c r="H44" s="4" t="n">
        <v>129050</v>
      </c>
      <c r="I44" s="13" t="b">
        <f aca="false">FALSE()</f>
        <v>0</v>
      </c>
      <c r="K44" s="4" t="s">
        <v>247</v>
      </c>
      <c r="L44" s="4" t="n">
        <v>13494.18</v>
      </c>
      <c r="M44" s="11" t="n">
        <f aca="false">IFERROR(MATCH(Controls!$B$3&amp;"|"&amp;B44,'Scenario inputs'!$A$4:$A$213,0),0)</f>
        <v>133</v>
      </c>
      <c r="N44" s="8" t="b">
        <f aca="false">IF(M44=0,FALSE(),F44&lt;Controls!$B$12)</f>
        <v>1</v>
      </c>
      <c r="O44" s="11" t="n">
        <f aca="false">IF(N44,IF(INDEX('Scenario inputs'!$E$4:$E$213,M44)=0,1,INDEX('Scenario inputs'!$F$4:$M$213,M44,MIN(MAX(F44-G44,0),INDEX('Scenario inputs'!$E$4:$E$213,M44)-1)+1)),0)</f>
        <v>0.535714</v>
      </c>
      <c r="P44" s="11" t="n">
        <f aca="false">H44*O44</f>
        <v>69133.8917</v>
      </c>
      <c r="Q44" s="11" t="n">
        <f aca="false">IF(M44=0,"",IF(ISNUMBER(INDEX('Scenario inputs'!$N$4:$N$213,M44)),INDEX('Scenario inputs'!$N$4:$N$213,M44),""))</f>
        <v>34.67</v>
      </c>
      <c r="R44" s="0" t="str">
        <f aca="false">IF(NOT(N44),"",IF(OR(E44="cash",E44="revenue"),E44,IF(E44="avoided_cost",IF(AND(I44,LEN(TRIM(J44))&gt;0),"avoided_cost_realised","avoided_cost_beside"),IF(ISNUMBER(Q44),"capacity_converted","capacity_hours"))))</f>
        <v>cash</v>
      </c>
      <c r="S44" s="11" t="n">
        <f aca="false">IF(OR(R44="",R44="capacity_hours"),0,IF(R44="capacity_converted",P44*Q44,P44))</f>
        <v>69133.8917</v>
      </c>
      <c r="T44" s="11" t="n">
        <f aca="false">IF(OR(R44="cash",R44="revenue",R44="avoided_cost_realised",R44="capacity_converted"),1,0)</f>
        <v>1</v>
      </c>
      <c r="U44" s="11" t="n">
        <f aca="false">IF(AND(N44,R44&lt;&gt;"capacity_hours",LEN(K44)&gt;0),1,0)</f>
        <v>1</v>
      </c>
      <c r="V44" s="11" t="n">
        <f aca="false">IF(U44=1,SUMPRODUCT(($K$4:$K$703=K44)*($F$4:$F$703=F44)*($U$4:$U$703=1)*($B$4:$B$703&lt;&gt;B44)),0)</f>
        <v>0</v>
      </c>
      <c r="W44" s="11" t="n">
        <f aca="false">IF(AND(U44=1,V44&gt;0),1+SUMPRODUCT(($K$4:$K$703=K44)*($F$4:$F$703=F44)*($U$4:$U$703=1)*($S$4:$S$703&gt;S44))+SUMPRODUCT(($K$4:$K$703=K44)*($F$4:$F$703=F44)*($U$4:$U$703=1)*($S$4:$S$703=S44)*($T$4:$T$703&gt;T44))+SUMPRODUCT(($K$4:$K$703=K44)*($F$4:$F$703=F44)*($U$4:$U$703=1)*($S$4:$S$703=S44)*($T$4:$T$703=T44)*($C$4:$C$703&lt;C44))+SUMPRODUCT(($K$4:$K$703=K44)*($F$4:$F$703=F44)*($U$4:$U$703=1)*($S$4:$S$703=S44)*($T$4:$T$703=T44)*($C$4:$C$703=C44)*($D$4:$D$703&lt;D44)),0)</f>
        <v>0</v>
      </c>
      <c r="X44" s="11" t="n">
        <f aca="false">IF(AND(U44=1,V44&gt;0,W44&gt;1),S44,0)</f>
        <v>0</v>
      </c>
      <c r="Y44" s="11" t="n">
        <f aca="false">IF(T44=1,X44/(1+Controls!$B$11)^F44,0)</f>
        <v>0</v>
      </c>
      <c r="Z44" s="11" t="n">
        <f aca="false">IF(AND(N44,E44="capacity",LEN(K44)&gt;0),1,0)</f>
        <v>0</v>
      </c>
      <c r="AA44" s="11" t="n">
        <f aca="false">IF(Z44=1,SUMPRODUCT(($K$4:$K$703=K44)*($F$4:$F$703=F44)*($Z$4:$Z$703=1)*($B$4:$B$703&lt;&gt;B44)),0)</f>
        <v>0</v>
      </c>
      <c r="AB44" s="11" t="n">
        <f aca="false">IF(AND(Z44=1,AA44&gt;0),1+SUMPRODUCT(($K$4:$K$703=K44)*($F$4:$F$703=F44)*($Z$4:$Z$703=1)*($P$4:$P$703&gt;P44))+SUMPRODUCT(($K$4:$K$703=K44)*($F$4:$F$703=F44)*($Z$4:$Z$703=1)*($P$4:$P$703=P44)*($C$4:$C$703&lt;C44))+SUMPRODUCT(($K$4:$K$703=K44)*($F$4:$F$703=F44)*($Z$4:$Z$703=1)*($P$4:$P$703=P44)*($C$4:$C$703=C44)*($D$4:$D$703&lt;D44)),0)</f>
        <v>0</v>
      </c>
      <c r="AC44" s="11" t="n">
        <f aca="false">IF(AND(Z44=1,AA44&gt;0,AB44&gt;1),P44,0)</f>
        <v>0</v>
      </c>
    </row>
    <row r="45" customFormat="false" ht="15" hidden="false" customHeight="false" outlineLevel="0" collapsed="false">
      <c r="A45" s="4" t="s">
        <v>252</v>
      </c>
      <c r="B45" s="4" t="s">
        <v>84</v>
      </c>
      <c r="C45" s="4" t="n">
        <v>2</v>
      </c>
      <c r="D45" s="4" t="n">
        <v>42</v>
      </c>
      <c r="E45" s="4" t="s">
        <v>112</v>
      </c>
      <c r="F45" s="4" t="n">
        <v>7</v>
      </c>
      <c r="G45" s="4" t="n">
        <v>2</v>
      </c>
      <c r="H45" s="4" t="n">
        <v>129050</v>
      </c>
      <c r="I45" s="13" t="b">
        <f aca="false">FALSE()</f>
        <v>0</v>
      </c>
      <c r="K45" s="4" t="s">
        <v>247</v>
      </c>
      <c r="L45" s="4" t="n">
        <v>20269.4</v>
      </c>
      <c r="M45" s="11" t="n">
        <f aca="false">IFERROR(MATCH(Controls!$B$3&amp;"|"&amp;B45,'Scenario inputs'!$A$4:$A$213,0),0)</f>
        <v>133</v>
      </c>
      <c r="N45" s="8" t="b">
        <f aca="false">IF(M45=0,FALSE(),F45&lt;Controls!$B$12)</f>
        <v>1</v>
      </c>
      <c r="O45" s="11" t="n">
        <f aca="false">IF(N45,IF(INDEX('Scenario inputs'!$E$4:$E$213,M45)=0,1,INDEX('Scenario inputs'!$F$4:$M$213,M45,MIN(MAX(F45-G45,0),INDEX('Scenario inputs'!$E$4:$E$213,M45)-1)+1)),0)</f>
        <v>0.75</v>
      </c>
      <c r="P45" s="11" t="n">
        <f aca="false">H45*O45</f>
        <v>96787.5</v>
      </c>
      <c r="Q45" s="11" t="n">
        <f aca="false">IF(M45=0,"",IF(ISNUMBER(INDEX('Scenario inputs'!$N$4:$N$213,M45)),INDEX('Scenario inputs'!$N$4:$N$213,M45),""))</f>
        <v>34.67</v>
      </c>
      <c r="R45" s="0" t="str">
        <f aca="false">IF(NOT(N45),"",IF(OR(E45="cash",E45="revenue"),E45,IF(E45="avoided_cost",IF(AND(I45,LEN(TRIM(J45))&gt;0),"avoided_cost_realised","avoided_cost_beside"),IF(ISNUMBER(Q45),"capacity_converted","capacity_hours"))))</f>
        <v>cash</v>
      </c>
      <c r="S45" s="11" t="n">
        <f aca="false">IF(OR(R45="",R45="capacity_hours"),0,IF(R45="capacity_converted",P45*Q45,P45))</f>
        <v>96787.5</v>
      </c>
      <c r="T45" s="11" t="n">
        <f aca="false">IF(OR(R45="cash",R45="revenue",R45="avoided_cost_realised",R45="capacity_converted"),1,0)</f>
        <v>1</v>
      </c>
      <c r="U45" s="11" t="n">
        <f aca="false">IF(AND(N45,R45&lt;&gt;"capacity_hours",LEN(K45)&gt;0),1,0)</f>
        <v>1</v>
      </c>
      <c r="V45" s="11" t="n">
        <f aca="false">IF(U45=1,SUMPRODUCT(($K$4:$K$703=K45)*($F$4:$F$703=F45)*($U$4:$U$703=1)*($B$4:$B$703&lt;&gt;B45)),0)</f>
        <v>0</v>
      </c>
      <c r="W45" s="11" t="n">
        <f aca="false">IF(AND(U45=1,V45&gt;0),1+SUMPRODUCT(($K$4:$K$703=K45)*($F$4:$F$703=F45)*($U$4:$U$703=1)*($S$4:$S$703&gt;S45))+SUMPRODUCT(($K$4:$K$703=K45)*($F$4:$F$703=F45)*($U$4:$U$703=1)*($S$4:$S$703=S45)*($T$4:$T$703&gt;T45))+SUMPRODUCT(($K$4:$K$703=K45)*($F$4:$F$703=F45)*($U$4:$U$703=1)*($S$4:$S$703=S45)*($T$4:$T$703=T45)*($C$4:$C$703&lt;C45))+SUMPRODUCT(($K$4:$K$703=K45)*($F$4:$F$703=F45)*($U$4:$U$703=1)*($S$4:$S$703=S45)*($T$4:$T$703=T45)*($C$4:$C$703=C45)*($D$4:$D$703&lt;D45)),0)</f>
        <v>0</v>
      </c>
      <c r="X45" s="11" t="n">
        <f aca="false">IF(AND(U45=1,V45&gt;0,W45&gt;1),S45,0)</f>
        <v>0</v>
      </c>
      <c r="Y45" s="11" t="n">
        <f aca="false">IF(T45=1,X45/(1+Controls!$B$11)^F45,0)</f>
        <v>0</v>
      </c>
      <c r="Z45" s="11" t="n">
        <f aca="false">IF(AND(N45,E45="capacity",LEN(K45)&gt;0),1,0)</f>
        <v>0</v>
      </c>
      <c r="AA45" s="11" t="n">
        <f aca="false">IF(Z45=1,SUMPRODUCT(($K$4:$K$703=K45)*($F$4:$F$703=F45)*($Z$4:$Z$703=1)*($B$4:$B$703&lt;&gt;B45)),0)</f>
        <v>0</v>
      </c>
      <c r="AB45" s="11" t="n">
        <f aca="false">IF(AND(Z45=1,AA45&gt;0),1+SUMPRODUCT(($K$4:$K$703=K45)*($F$4:$F$703=F45)*($Z$4:$Z$703=1)*($P$4:$P$703&gt;P45))+SUMPRODUCT(($K$4:$K$703=K45)*($F$4:$F$703=F45)*($Z$4:$Z$703=1)*($P$4:$P$703=P45)*($C$4:$C$703&lt;C45))+SUMPRODUCT(($K$4:$K$703=K45)*($F$4:$F$703=F45)*($Z$4:$Z$703=1)*($P$4:$P$703=P45)*($C$4:$C$703=C45)*($D$4:$D$703&lt;D45)),0)</f>
        <v>0</v>
      </c>
      <c r="AC45" s="11" t="n">
        <f aca="false">IF(AND(Z45=1,AA45&gt;0,AB45&gt;1),P45,0)</f>
        <v>0</v>
      </c>
    </row>
    <row r="46" customFormat="false" ht="15" hidden="false" customHeight="false" outlineLevel="0" collapsed="false">
      <c r="A46" s="4" t="s">
        <v>253</v>
      </c>
      <c r="B46" s="4" t="s">
        <v>84</v>
      </c>
      <c r="C46" s="4" t="n">
        <v>2</v>
      </c>
      <c r="D46" s="4" t="n">
        <v>43</v>
      </c>
      <c r="E46" s="4" t="s">
        <v>112</v>
      </c>
      <c r="F46" s="4" t="n">
        <v>8</v>
      </c>
      <c r="G46" s="4" t="n">
        <v>2</v>
      </c>
      <c r="H46" s="4" t="n">
        <v>129050</v>
      </c>
      <c r="I46" s="13" t="b">
        <f aca="false">FALSE()</f>
        <v>0</v>
      </c>
      <c r="K46" s="4" t="s">
        <v>247</v>
      </c>
      <c r="L46" s="4" t="n">
        <v>27025.87</v>
      </c>
      <c r="M46" s="11" t="n">
        <f aca="false">IFERROR(MATCH(Controls!$B$3&amp;"|"&amp;B46,'Scenario inputs'!$A$4:$A$213,0),0)</f>
        <v>133</v>
      </c>
      <c r="N46" s="8" t="b">
        <f aca="false">IF(M46=0,FALSE(),F46&lt;Controls!$B$12)</f>
        <v>1</v>
      </c>
      <c r="O46" s="11" t="n">
        <f aca="false">IF(N46,IF(INDEX('Scenario inputs'!$E$4:$E$213,M46)=0,1,INDEX('Scenario inputs'!$F$4:$M$213,M46,MIN(MAX(F46-G46,0),INDEX('Scenario inputs'!$E$4:$E$213,M46)-1)+1)),0)</f>
        <v>1</v>
      </c>
      <c r="P46" s="11" t="n">
        <f aca="false">H46*O46</f>
        <v>129050</v>
      </c>
      <c r="Q46" s="11" t="n">
        <f aca="false">IF(M46=0,"",IF(ISNUMBER(INDEX('Scenario inputs'!$N$4:$N$213,M46)),INDEX('Scenario inputs'!$N$4:$N$213,M46),""))</f>
        <v>34.67</v>
      </c>
      <c r="R46" s="0" t="str">
        <f aca="false">IF(NOT(N46),"",IF(OR(E46="cash",E46="revenue"),E46,IF(E46="avoided_cost",IF(AND(I46,LEN(TRIM(J46))&gt;0),"avoided_cost_realised","avoided_cost_beside"),IF(ISNUMBER(Q46),"capacity_converted","capacity_hours"))))</f>
        <v>cash</v>
      </c>
      <c r="S46" s="11" t="n">
        <f aca="false">IF(OR(R46="",R46="capacity_hours"),0,IF(R46="capacity_converted",P46*Q46,P46))</f>
        <v>129050</v>
      </c>
      <c r="T46" s="11" t="n">
        <f aca="false">IF(OR(R46="cash",R46="revenue",R46="avoided_cost_realised",R46="capacity_converted"),1,0)</f>
        <v>1</v>
      </c>
      <c r="U46" s="11" t="n">
        <f aca="false">IF(AND(N46,R46&lt;&gt;"capacity_hours",LEN(K46)&gt;0),1,0)</f>
        <v>1</v>
      </c>
      <c r="V46" s="11" t="n">
        <f aca="false">IF(U46=1,SUMPRODUCT(($K$4:$K$703=K46)*($F$4:$F$703=F46)*($U$4:$U$703=1)*($B$4:$B$703&lt;&gt;B46)),0)</f>
        <v>0</v>
      </c>
      <c r="W46" s="11" t="n">
        <f aca="false">IF(AND(U46=1,V46&gt;0),1+SUMPRODUCT(($K$4:$K$703=K46)*($F$4:$F$703=F46)*($U$4:$U$703=1)*($S$4:$S$703&gt;S46))+SUMPRODUCT(($K$4:$K$703=K46)*($F$4:$F$703=F46)*($U$4:$U$703=1)*($S$4:$S$703=S46)*($T$4:$T$703&gt;T46))+SUMPRODUCT(($K$4:$K$703=K46)*($F$4:$F$703=F46)*($U$4:$U$703=1)*($S$4:$S$703=S46)*($T$4:$T$703=T46)*($C$4:$C$703&lt;C46))+SUMPRODUCT(($K$4:$K$703=K46)*($F$4:$F$703=F46)*($U$4:$U$703=1)*($S$4:$S$703=S46)*($T$4:$T$703=T46)*($C$4:$C$703=C46)*($D$4:$D$703&lt;D46)),0)</f>
        <v>0</v>
      </c>
      <c r="X46" s="11" t="n">
        <f aca="false">IF(AND(U46=1,V46&gt;0,W46&gt;1),S46,0)</f>
        <v>0</v>
      </c>
      <c r="Y46" s="11" t="n">
        <f aca="false">IF(T46=1,X46/(1+Controls!$B$11)^F46,0)</f>
        <v>0</v>
      </c>
      <c r="Z46" s="11" t="n">
        <f aca="false">IF(AND(N46,E46="capacity",LEN(K46)&gt;0),1,0)</f>
        <v>0</v>
      </c>
      <c r="AA46" s="11" t="n">
        <f aca="false">IF(Z46=1,SUMPRODUCT(($K$4:$K$703=K46)*($F$4:$F$703=F46)*($Z$4:$Z$703=1)*($B$4:$B$703&lt;&gt;B46)),0)</f>
        <v>0</v>
      </c>
      <c r="AB46" s="11" t="n">
        <f aca="false">IF(AND(Z46=1,AA46&gt;0),1+SUMPRODUCT(($K$4:$K$703=K46)*($F$4:$F$703=F46)*($Z$4:$Z$703=1)*($P$4:$P$703&gt;P46))+SUMPRODUCT(($K$4:$K$703=K46)*($F$4:$F$703=F46)*($Z$4:$Z$703=1)*($P$4:$P$703=P46)*($C$4:$C$703&lt;C46))+SUMPRODUCT(($K$4:$K$703=K46)*($F$4:$F$703=F46)*($Z$4:$Z$703=1)*($P$4:$P$703=P46)*($C$4:$C$703=C46)*($D$4:$D$703&lt;D46)),0)</f>
        <v>0</v>
      </c>
      <c r="AC46" s="11" t="n">
        <f aca="false">IF(AND(Z46=1,AA46&gt;0,AB46&gt;1),P46,0)</f>
        <v>0</v>
      </c>
    </row>
    <row r="47" customFormat="false" ht="15" hidden="false" customHeight="false" outlineLevel="0" collapsed="false">
      <c r="A47" s="4" t="s">
        <v>254</v>
      </c>
      <c r="B47" s="4" t="s">
        <v>84</v>
      </c>
      <c r="C47" s="4" t="n">
        <v>2</v>
      </c>
      <c r="D47" s="4" t="n">
        <v>44</v>
      </c>
      <c r="E47" s="4" t="s">
        <v>112</v>
      </c>
      <c r="F47" s="4" t="n">
        <v>9</v>
      </c>
      <c r="G47" s="4" t="n">
        <v>2</v>
      </c>
      <c r="H47" s="4" t="n">
        <v>129050</v>
      </c>
      <c r="I47" s="13" t="b">
        <f aca="false">FALSE()</f>
        <v>0</v>
      </c>
      <c r="K47" s="4" t="s">
        <v>247</v>
      </c>
      <c r="L47" s="4" t="n">
        <v>25474.47</v>
      </c>
      <c r="M47" s="11" t="n">
        <f aca="false">IFERROR(MATCH(Controls!$B$3&amp;"|"&amp;B47,'Scenario inputs'!$A$4:$A$213,0),0)</f>
        <v>133</v>
      </c>
      <c r="N47" s="8" t="b">
        <f aca="false">IF(M47=0,FALSE(),F47&lt;Controls!$B$12)</f>
        <v>1</v>
      </c>
      <c r="O47" s="11" t="n">
        <f aca="false">IF(N47,IF(INDEX('Scenario inputs'!$E$4:$E$213,M47)=0,1,INDEX('Scenario inputs'!$F$4:$M$213,M47,MIN(MAX(F47-G47,0),INDEX('Scenario inputs'!$E$4:$E$213,M47)-1)+1)),0)</f>
        <v>1</v>
      </c>
      <c r="P47" s="11" t="n">
        <f aca="false">H47*O47</f>
        <v>129050</v>
      </c>
      <c r="Q47" s="11" t="n">
        <f aca="false">IF(M47=0,"",IF(ISNUMBER(INDEX('Scenario inputs'!$N$4:$N$213,M47)),INDEX('Scenario inputs'!$N$4:$N$213,M47),""))</f>
        <v>34.67</v>
      </c>
      <c r="R47" s="0" t="str">
        <f aca="false">IF(NOT(N47),"",IF(OR(E47="cash",E47="revenue"),E47,IF(E47="avoided_cost",IF(AND(I47,LEN(TRIM(J47))&gt;0),"avoided_cost_realised","avoided_cost_beside"),IF(ISNUMBER(Q47),"capacity_converted","capacity_hours"))))</f>
        <v>cash</v>
      </c>
      <c r="S47" s="11" t="n">
        <f aca="false">IF(OR(R47="",R47="capacity_hours"),0,IF(R47="capacity_converted",P47*Q47,P47))</f>
        <v>129050</v>
      </c>
      <c r="T47" s="11" t="n">
        <f aca="false">IF(OR(R47="cash",R47="revenue",R47="avoided_cost_realised",R47="capacity_converted"),1,0)</f>
        <v>1</v>
      </c>
      <c r="U47" s="11" t="n">
        <f aca="false">IF(AND(N47,R47&lt;&gt;"capacity_hours",LEN(K47)&gt;0),1,0)</f>
        <v>1</v>
      </c>
      <c r="V47" s="11" t="n">
        <f aca="false">IF(U47=1,SUMPRODUCT(($K$4:$K$703=K47)*($F$4:$F$703=F47)*($U$4:$U$703=1)*($B$4:$B$703&lt;&gt;B47)),0)</f>
        <v>0</v>
      </c>
      <c r="W47" s="11" t="n">
        <f aca="false">IF(AND(U47=1,V47&gt;0),1+SUMPRODUCT(($K$4:$K$703=K47)*($F$4:$F$703=F47)*($U$4:$U$703=1)*($S$4:$S$703&gt;S47))+SUMPRODUCT(($K$4:$K$703=K47)*($F$4:$F$703=F47)*($U$4:$U$703=1)*($S$4:$S$703=S47)*($T$4:$T$703&gt;T47))+SUMPRODUCT(($K$4:$K$703=K47)*($F$4:$F$703=F47)*($U$4:$U$703=1)*($S$4:$S$703=S47)*($T$4:$T$703=T47)*($C$4:$C$703&lt;C47))+SUMPRODUCT(($K$4:$K$703=K47)*($F$4:$F$703=F47)*($U$4:$U$703=1)*($S$4:$S$703=S47)*($T$4:$T$703=T47)*($C$4:$C$703=C47)*($D$4:$D$703&lt;D47)),0)</f>
        <v>0</v>
      </c>
      <c r="X47" s="11" t="n">
        <f aca="false">IF(AND(U47=1,V47&gt;0,W47&gt;1),S47,0)</f>
        <v>0</v>
      </c>
      <c r="Y47" s="11" t="n">
        <f aca="false">IF(T47=1,X47/(1+Controls!$B$11)^F47,0)</f>
        <v>0</v>
      </c>
      <c r="Z47" s="11" t="n">
        <f aca="false">IF(AND(N47,E47="capacity",LEN(K47)&gt;0),1,0)</f>
        <v>0</v>
      </c>
      <c r="AA47" s="11" t="n">
        <f aca="false">IF(Z47=1,SUMPRODUCT(($K$4:$K$703=K47)*($F$4:$F$703=F47)*($Z$4:$Z$703=1)*($B$4:$B$703&lt;&gt;B47)),0)</f>
        <v>0</v>
      </c>
      <c r="AB47" s="11" t="n">
        <f aca="false">IF(AND(Z47=1,AA47&gt;0),1+SUMPRODUCT(($K$4:$K$703=K47)*($F$4:$F$703=F47)*($Z$4:$Z$703=1)*($P$4:$P$703&gt;P47))+SUMPRODUCT(($K$4:$K$703=K47)*($F$4:$F$703=F47)*($Z$4:$Z$703=1)*($P$4:$P$703=P47)*($C$4:$C$703&lt;C47))+SUMPRODUCT(($K$4:$K$703=K47)*($F$4:$F$703=F47)*($Z$4:$Z$703=1)*($P$4:$P$703=P47)*($C$4:$C$703=C47)*($D$4:$D$703&lt;D47)),0)</f>
        <v>0</v>
      </c>
      <c r="AC47" s="11" t="n">
        <f aca="false">IF(AND(Z47=1,AA47&gt;0,AB47&gt;1),P47,0)</f>
        <v>0</v>
      </c>
    </row>
    <row r="48" customFormat="false" ht="15" hidden="false" customHeight="false" outlineLevel="0" collapsed="false">
      <c r="A48" s="4" t="s">
        <v>255</v>
      </c>
      <c r="B48" s="4" t="s">
        <v>84</v>
      </c>
      <c r="C48" s="4" t="n">
        <v>2</v>
      </c>
      <c r="D48" s="4" t="n">
        <v>45</v>
      </c>
      <c r="E48" s="4" t="s">
        <v>112</v>
      </c>
      <c r="F48" s="4" t="n">
        <v>10</v>
      </c>
      <c r="G48" s="4" t="n">
        <v>2</v>
      </c>
      <c r="H48" s="4" t="n">
        <v>129050</v>
      </c>
      <c r="I48" s="13" t="b">
        <f aca="false">FALSE()</f>
        <v>0</v>
      </c>
      <c r="K48" s="4" t="s">
        <v>247</v>
      </c>
      <c r="L48" s="4" t="n">
        <v>25474.47</v>
      </c>
      <c r="M48" s="11" t="n">
        <f aca="false">IFERROR(MATCH(Controls!$B$3&amp;"|"&amp;B48,'Scenario inputs'!$A$4:$A$213,0),0)</f>
        <v>133</v>
      </c>
      <c r="N48" s="8" t="b">
        <f aca="false">IF(M48=0,FALSE(),F48&lt;Controls!$B$12)</f>
        <v>1</v>
      </c>
      <c r="O48" s="11" t="n">
        <f aca="false">IF(N48,IF(INDEX('Scenario inputs'!$E$4:$E$213,M48)=0,1,INDEX('Scenario inputs'!$F$4:$M$213,M48,MIN(MAX(F48-G48,0),INDEX('Scenario inputs'!$E$4:$E$213,M48)-1)+1)),0)</f>
        <v>1</v>
      </c>
      <c r="P48" s="11" t="n">
        <f aca="false">H48*O48</f>
        <v>129050</v>
      </c>
      <c r="Q48" s="11" t="n">
        <f aca="false">IF(M48=0,"",IF(ISNUMBER(INDEX('Scenario inputs'!$N$4:$N$213,M48)),INDEX('Scenario inputs'!$N$4:$N$213,M48),""))</f>
        <v>34.67</v>
      </c>
      <c r="R48" s="0" t="str">
        <f aca="false">IF(NOT(N48),"",IF(OR(E48="cash",E48="revenue"),E48,IF(E48="avoided_cost",IF(AND(I48,LEN(TRIM(J48))&gt;0),"avoided_cost_realised","avoided_cost_beside"),IF(ISNUMBER(Q48),"capacity_converted","capacity_hours"))))</f>
        <v>cash</v>
      </c>
      <c r="S48" s="11" t="n">
        <f aca="false">IF(OR(R48="",R48="capacity_hours"),0,IF(R48="capacity_converted",P48*Q48,P48))</f>
        <v>129050</v>
      </c>
      <c r="T48" s="11" t="n">
        <f aca="false">IF(OR(R48="cash",R48="revenue",R48="avoided_cost_realised",R48="capacity_converted"),1,0)</f>
        <v>1</v>
      </c>
      <c r="U48" s="11" t="n">
        <f aca="false">IF(AND(N48,R48&lt;&gt;"capacity_hours",LEN(K48)&gt;0),1,0)</f>
        <v>1</v>
      </c>
      <c r="V48" s="11" t="n">
        <f aca="false">IF(U48=1,SUMPRODUCT(($K$4:$K$703=K48)*($F$4:$F$703=F48)*($U$4:$U$703=1)*($B$4:$B$703&lt;&gt;B48)),0)</f>
        <v>0</v>
      </c>
      <c r="W48" s="11" t="n">
        <f aca="false">IF(AND(U48=1,V48&gt;0),1+SUMPRODUCT(($K$4:$K$703=K48)*($F$4:$F$703=F48)*($U$4:$U$703=1)*($S$4:$S$703&gt;S48))+SUMPRODUCT(($K$4:$K$703=K48)*($F$4:$F$703=F48)*($U$4:$U$703=1)*($S$4:$S$703=S48)*($T$4:$T$703&gt;T48))+SUMPRODUCT(($K$4:$K$703=K48)*($F$4:$F$703=F48)*($U$4:$U$703=1)*($S$4:$S$703=S48)*($T$4:$T$703=T48)*($C$4:$C$703&lt;C48))+SUMPRODUCT(($K$4:$K$703=K48)*($F$4:$F$703=F48)*($U$4:$U$703=1)*($S$4:$S$703=S48)*($T$4:$T$703=T48)*($C$4:$C$703=C48)*($D$4:$D$703&lt;D48)),0)</f>
        <v>0</v>
      </c>
      <c r="X48" s="11" t="n">
        <f aca="false">IF(AND(U48=1,V48&gt;0,W48&gt;1),S48,0)</f>
        <v>0</v>
      </c>
      <c r="Y48" s="11" t="n">
        <f aca="false">IF(T48=1,X48/(1+Controls!$B$11)^F48,0)</f>
        <v>0</v>
      </c>
      <c r="Z48" s="11" t="n">
        <f aca="false">IF(AND(N48,E48="capacity",LEN(K48)&gt;0),1,0)</f>
        <v>0</v>
      </c>
      <c r="AA48" s="11" t="n">
        <f aca="false">IF(Z48=1,SUMPRODUCT(($K$4:$K$703=K48)*($F$4:$F$703=F48)*($Z$4:$Z$703=1)*($B$4:$B$703&lt;&gt;B48)),0)</f>
        <v>0</v>
      </c>
      <c r="AB48" s="11" t="n">
        <f aca="false">IF(AND(Z48=1,AA48&gt;0),1+SUMPRODUCT(($K$4:$K$703=K48)*($F$4:$F$703=F48)*($Z$4:$Z$703=1)*($P$4:$P$703&gt;P48))+SUMPRODUCT(($K$4:$K$703=K48)*($F$4:$F$703=F48)*($Z$4:$Z$703=1)*($P$4:$P$703=P48)*($C$4:$C$703&lt;C48))+SUMPRODUCT(($K$4:$K$703=K48)*($F$4:$F$703=F48)*($Z$4:$Z$703=1)*($P$4:$P$703=P48)*($C$4:$C$703=C48)*($D$4:$D$703&lt;D48)),0)</f>
        <v>0</v>
      </c>
      <c r="AC48" s="11" t="n">
        <f aca="false">IF(AND(Z48=1,AA48&gt;0,AB48&gt;1),P48,0)</f>
        <v>0</v>
      </c>
    </row>
    <row r="49" customFormat="false" ht="15" hidden="false" customHeight="false" outlineLevel="0" collapsed="false">
      <c r="A49" s="4" t="s">
        <v>256</v>
      </c>
      <c r="B49" s="4" t="s">
        <v>84</v>
      </c>
      <c r="C49" s="4" t="n">
        <v>2</v>
      </c>
      <c r="D49" s="4" t="n">
        <v>46</v>
      </c>
      <c r="E49" s="4" t="s">
        <v>112</v>
      </c>
      <c r="F49" s="4" t="n">
        <v>11</v>
      </c>
      <c r="G49" s="4" t="n">
        <v>2</v>
      </c>
      <c r="H49" s="4" t="n">
        <v>129050</v>
      </c>
      <c r="I49" s="13" t="b">
        <f aca="false">FALSE()</f>
        <v>0</v>
      </c>
      <c r="K49" s="4" t="s">
        <v>247</v>
      </c>
      <c r="L49" s="4" t="n">
        <v>25474.47</v>
      </c>
      <c r="M49" s="11" t="n">
        <f aca="false">IFERROR(MATCH(Controls!$B$3&amp;"|"&amp;B49,'Scenario inputs'!$A$4:$A$213,0),0)</f>
        <v>133</v>
      </c>
      <c r="N49" s="8" t="b">
        <f aca="false">IF(M49=0,FALSE(),F49&lt;Controls!$B$12)</f>
        <v>1</v>
      </c>
      <c r="O49" s="11" t="n">
        <f aca="false">IF(N49,IF(INDEX('Scenario inputs'!$E$4:$E$213,M49)=0,1,INDEX('Scenario inputs'!$F$4:$M$213,M49,MIN(MAX(F49-G49,0),INDEX('Scenario inputs'!$E$4:$E$213,M49)-1)+1)),0)</f>
        <v>1</v>
      </c>
      <c r="P49" s="11" t="n">
        <f aca="false">H49*O49</f>
        <v>129050</v>
      </c>
      <c r="Q49" s="11" t="n">
        <f aca="false">IF(M49=0,"",IF(ISNUMBER(INDEX('Scenario inputs'!$N$4:$N$213,M49)),INDEX('Scenario inputs'!$N$4:$N$213,M49),""))</f>
        <v>34.67</v>
      </c>
      <c r="R49" s="0" t="str">
        <f aca="false">IF(NOT(N49),"",IF(OR(E49="cash",E49="revenue"),E49,IF(E49="avoided_cost",IF(AND(I49,LEN(TRIM(J49))&gt;0),"avoided_cost_realised","avoided_cost_beside"),IF(ISNUMBER(Q49),"capacity_converted","capacity_hours"))))</f>
        <v>cash</v>
      </c>
      <c r="S49" s="11" t="n">
        <f aca="false">IF(OR(R49="",R49="capacity_hours"),0,IF(R49="capacity_converted",P49*Q49,P49))</f>
        <v>129050</v>
      </c>
      <c r="T49" s="11" t="n">
        <f aca="false">IF(OR(R49="cash",R49="revenue",R49="avoided_cost_realised",R49="capacity_converted"),1,0)</f>
        <v>1</v>
      </c>
      <c r="U49" s="11" t="n">
        <f aca="false">IF(AND(N49,R49&lt;&gt;"capacity_hours",LEN(K49)&gt;0),1,0)</f>
        <v>1</v>
      </c>
      <c r="V49" s="11" t="n">
        <f aca="false">IF(U49=1,SUMPRODUCT(($K$4:$K$703=K49)*($F$4:$F$703=F49)*($U$4:$U$703=1)*($B$4:$B$703&lt;&gt;B49)),0)</f>
        <v>0</v>
      </c>
      <c r="W49" s="11" t="n">
        <f aca="false">IF(AND(U49=1,V49&gt;0),1+SUMPRODUCT(($K$4:$K$703=K49)*($F$4:$F$703=F49)*($U$4:$U$703=1)*($S$4:$S$703&gt;S49))+SUMPRODUCT(($K$4:$K$703=K49)*($F$4:$F$703=F49)*($U$4:$U$703=1)*($S$4:$S$703=S49)*($T$4:$T$703&gt;T49))+SUMPRODUCT(($K$4:$K$703=K49)*($F$4:$F$703=F49)*($U$4:$U$703=1)*($S$4:$S$703=S49)*($T$4:$T$703=T49)*($C$4:$C$703&lt;C49))+SUMPRODUCT(($K$4:$K$703=K49)*($F$4:$F$703=F49)*($U$4:$U$703=1)*($S$4:$S$703=S49)*($T$4:$T$703=T49)*($C$4:$C$703=C49)*($D$4:$D$703&lt;D49)),0)</f>
        <v>0</v>
      </c>
      <c r="X49" s="11" t="n">
        <f aca="false">IF(AND(U49=1,V49&gt;0,W49&gt;1),S49,0)</f>
        <v>0</v>
      </c>
      <c r="Y49" s="11" t="n">
        <f aca="false">IF(T49=1,X49/(1+Controls!$B$11)^F49,0)</f>
        <v>0</v>
      </c>
      <c r="Z49" s="11" t="n">
        <f aca="false">IF(AND(N49,E49="capacity",LEN(K49)&gt;0),1,0)</f>
        <v>0</v>
      </c>
      <c r="AA49" s="11" t="n">
        <f aca="false">IF(Z49=1,SUMPRODUCT(($K$4:$K$703=K49)*($F$4:$F$703=F49)*($Z$4:$Z$703=1)*($B$4:$B$703&lt;&gt;B49)),0)</f>
        <v>0</v>
      </c>
      <c r="AB49" s="11" t="n">
        <f aca="false">IF(AND(Z49=1,AA49&gt;0),1+SUMPRODUCT(($K$4:$K$703=K49)*($F$4:$F$703=F49)*($Z$4:$Z$703=1)*($P$4:$P$703&gt;P49))+SUMPRODUCT(($K$4:$K$703=K49)*($F$4:$F$703=F49)*($Z$4:$Z$703=1)*($P$4:$P$703=P49)*($C$4:$C$703&lt;C49))+SUMPRODUCT(($K$4:$K$703=K49)*($F$4:$F$703=F49)*($Z$4:$Z$703=1)*($P$4:$P$703=P49)*($C$4:$C$703=C49)*($D$4:$D$703&lt;D49)),0)</f>
        <v>0</v>
      </c>
      <c r="AC49" s="11" t="n">
        <f aca="false">IF(AND(Z49=1,AA49&gt;0,AB49&gt;1),P49,0)</f>
        <v>0</v>
      </c>
    </row>
    <row r="50" customFormat="false" ht="15" hidden="false" customHeight="false" outlineLevel="0" collapsed="false">
      <c r="A50" s="4" t="s">
        <v>257</v>
      </c>
      <c r="B50" s="4" t="s">
        <v>84</v>
      </c>
      <c r="C50" s="4" t="n">
        <v>2</v>
      </c>
      <c r="D50" s="4" t="n">
        <v>47</v>
      </c>
      <c r="E50" s="4" t="s">
        <v>112</v>
      </c>
      <c r="F50" s="4" t="n">
        <v>12</v>
      </c>
      <c r="G50" s="4" t="n">
        <v>2</v>
      </c>
      <c r="H50" s="4" t="n">
        <v>129050</v>
      </c>
      <c r="I50" s="13" t="b">
        <f aca="false">FALSE()</f>
        <v>0</v>
      </c>
      <c r="K50" s="4" t="s">
        <v>247</v>
      </c>
      <c r="L50" s="4" t="n">
        <v>25474.47</v>
      </c>
      <c r="M50" s="11" t="n">
        <f aca="false">IFERROR(MATCH(Controls!$B$3&amp;"|"&amp;B50,'Scenario inputs'!$A$4:$A$213,0),0)</f>
        <v>133</v>
      </c>
      <c r="N50" s="8" t="b">
        <f aca="false">IF(M50=0,FALSE(),F50&lt;Controls!$B$12)</f>
        <v>1</v>
      </c>
      <c r="O50" s="11" t="n">
        <f aca="false">IF(N50,IF(INDEX('Scenario inputs'!$E$4:$E$213,M50)=0,1,INDEX('Scenario inputs'!$F$4:$M$213,M50,MIN(MAX(F50-G50,0),INDEX('Scenario inputs'!$E$4:$E$213,M50)-1)+1)),0)</f>
        <v>1</v>
      </c>
      <c r="P50" s="11" t="n">
        <f aca="false">H50*O50</f>
        <v>129050</v>
      </c>
      <c r="Q50" s="11" t="n">
        <f aca="false">IF(M50=0,"",IF(ISNUMBER(INDEX('Scenario inputs'!$N$4:$N$213,M50)),INDEX('Scenario inputs'!$N$4:$N$213,M50),""))</f>
        <v>34.67</v>
      </c>
      <c r="R50" s="0" t="str">
        <f aca="false">IF(NOT(N50),"",IF(OR(E50="cash",E50="revenue"),E50,IF(E50="avoided_cost",IF(AND(I50,LEN(TRIM(J50))&gt;0),"avoided_cost_realised","avoided_cost_beside"),IF(ISNUMBER(Q50),"capacity_converted","capacity_hours"))))</f>
        <v>cash</v>
      </c>
      <c r="S50" s="11" t="n">
        <f aca="false">IF(OR(R50="",R50="capacity_hours"),0,IF(R50="capacity_converted",P50*Q50,P50))</f>
        <v>129050</v>
      </c>
      <c r="T50" s="11" t="n">
        <f aca="false">IF(OR(R50="cash",R50="revenue",R50="avoided_cost_realised",R50="capacity_converted"),1,0)</f>
        <v>1</v>
      </c>
      <c r="U50" s="11" t="n">
        <f aca="false">IF(AND(N50,R50&lt;&gt;"capacity_hours",LEN(K50)&gt;0),1,0)</f>
        <v>1</v>
      </c>
      <c r="V50" s="11" t="n">
        <f aca="false">IF(U50=1,SUMPRODUCT(($K$4:$K$703=K50)*($F$4:$F$703=F50)*($U$4:$U$703=1)*($B$4:$B$703&lt;&gt;B50)),0)</f>
        <v>0</v>
      </c>
      <c r="W50" s="11" t="n">
        <f aca="false">IF(AND(U50=1,V50&gt;0),1+SUMPRODUCT(($K$4:$K$703=K50)*($F$4:$F$703=F50)*($U$4:$U$703=1)*($S$4:$S$703&gt;S50))+SUMPRODUCT(($K$4:$K$703=K50)*($F$4:$F$703=F50)*($U$4:$U$703=1)*($S$4:$S$703=S50)*($T$4:$T$703&gt;T50))+SUMPRODUCT(($K$4:$K$703=K50)*($F$4:$F$703=F50)*($U$4:$U$703=1)*($S$4:$S$703=S50)*($T$4:$T$703=T50)*($C$4:$C$703&lt;C50))+SUMPRODUCT(($K$4:$K$703=K50)*($F$4:$F$703=F50)*($U$4:$U$703=1)*($S$4:$S$703=S50)*($T$4:$T$703=T50)*($C$4:$C$703=C50)*($D$4:$D$703&lt;D50)),0)</f>
        <v>0</v>
      </c>
      <c r="X50" s="11" t="n">
        <f aca="false">IF(AND(U50=1,V50&gt;0,W50&gt;1),S50,0)</f>
        <v>0</v>
      </c>
      <c r="Y50" s="11" t="n">
        <f aca="false">IF(T50=1,X50/(1+Controls!$B$11)^F50,0)</f>
        <v>0</v>
      </c>
      <c r="Z50" s="11" t="n">
        <f aca="false">IF(AND(N50,E50="capacity",LEN(K50)&gt;0),1,0)</f>
        <v>0</v>
      </c>
      <c r="AA50" s="11" t="n">
        <f aca="false">IF(Z50=1,SUMPRODUCT(($K$4:$K$703=K50)*($F$4:$F$703=F50)*($Z$4:$Z$703=1)*($B$4:$B$703&lt;&gt;B50)),0)</f>
        <v>0</v>
      </c>
      <c r="AB50" s="11" t="n">
        <f aca="false">IF(AND(Z50=1,AA50&gt;0),1+SUMPRODUCT(($K$4:$K$703=K50)*($F$4:$F$703=F50)*($Z$4:$Z$703=1)*($P$4:$P$703&gt;P50))+SUMPRODUCT(($K$4:$K$703=K50)*($F$4:$F$703=F50)*($Z$4:$Z$703=1)*($P$4:$P$703=P50)*($C$4:$C$703&lt;C50))+SUMPRODUCT(($K$4:$K$703=K50)*($F$4:$F$703=F50)*($Z$4:$Z$703=1)*($P$4:$P$703=P50)*($C$4:$C$703=C50)*($D$4:$D$703&lt;D50)),0)</f>
        <v>0</v>
      </c>
      <c r="AC50" s="11" t="n">
        <f aca="false">IF(AND(Z50=1,AA50&gt;0,AB50&gt;1),P50,0)</f>
        <v>0</v>
      </c>
    </row>
    <row r="51" customFormat="false" ht="15" hidden="false" customHeight="false" outlineLevel="0" collapsed="false">
      <c r="A51" s="4" t="s">
        <v>258</v>
      </c>
      <c r="B51" s="4" t="s">
        <v>84</v>
      </c>
      <c r="C51" s="4" t="n">
        <v>2</v>
      </c>
      <c r="D51" s="4" t="n">
        <v>48</v>
      </c>
      <c r="E51" s="4" t="s">
        <v>112</v>
      </c>
      <c r="F51" s="4" t="n">
        <v>13</v>
      </c>
      <c r="G51" s="4" t="n">
        <v>2</v>
      </c>
      <c r="H51" s="4" t="n">
        <v>129050</v>
      </c>
      <c r="I51" s="13" t="b">
        <f aca="false">FALSE()</f>
        <v>0</v>
      </c>
      <c r="K51" s="4" t="s">
        <v>247</v>
      </c>
      <c r="L51" s="4" t="n">
        <v>25474.47</v>
      </c>
      <c r="M51" s="11" t="n">
        <f aca="false">IFERROR(MATCH(Controls!$B$3&amp;"|"&amp;B51,'Scenario inputs'!$A$4:$A$213,0),0)</f>
        <v>133</v>
      </c>
      <c r="N51" s="8" t="b">
        <f aca="false">IF(M51=0,FALSE(),F51&lt;Controls!$B$12)</f>
        <v>1</v>
      </c>
      <c r="O51" s="11" t="n">
        <f aca="false">IF(N51,IF(INDEX('Scenario inputs'!$E$4:$E$213,M51)=0,1,INDEX('Scenario inputs'!$F$4:$M$213,M51,MIN(MAX(F51-G51,0),INDEX('Scenario inputs'!$E$4:$E$213,M51)-1)+1)),0)</f>
        <v>1</v>
      </c>
      <c r="P51" s="11" t="n">
        <f aca="false">H51*O51</f>
        <v>129050</v>
      </c>
      <c r="Q51" s="11" t="n">
        <f aca="false">IF(M51=0,"",IF(ISNUMBER(INDEX('Scenario inputs'!$N$4:$N$213,M51)),INDEX('Scenario inputs'!$N$4:$N$213,M51),""))</f>
        <v>34.67</v>
      </c>
      <c r="R51" s="0" t="str">
        <f aca="false">IF(NOT(N51),"",IF(OR(E51="cash",E51="revenue"),E51,IF(E51="avoided_cost",IF(AND(I51,LEN(TRIM(J51))&gt;0),"avoided_cost_realised","avoided_cost_beside"),IF(ISNUMBER(Q51),"capacity_converted","capacity_hours"))))</f>
        <v>cash</v>
      </c>
      <c r="S51" s="11" t="n">
        <f aca="false">IF(OR(R51="",R51="capacity_hours"),0,IF(R51="capacity_converted",P51*Q51,P51))</f>
        <v>129050</v>
      </c>
      <c r="T51" s="11" t="n">
        <f aca="false">IF(OR(R51="cash",R51="revenue",R51="avoided_cost_realised",R51="capacity_converted"),1,0)</f>
        <v>1</v>
      </c>
      <c r="U51" s="11" t="n">
        <f aca="false">IF(AND(N51,R51&lt;&gt;"capacity_hours",LEN(K51)&gt;0),1,0)</f>
        <v>1</v>
      </c>
      <c r="V51" s="11" t="n">
        <f aca="false">IF(U51=1,SUMPRODUCT(($K$4:$K$703=K51)*($F$4:$F$703=F51)*($U$4:$U$703=1)*($B$4:$B$703&lt;&gt;B51)),0)</f>
        <v>0</v>
      </c>
      <c r="W51" s="11" t="n">
        <f aca="false">IF(AND(U51=1,V51&gt;0),1+SUMPRODUCT(($K$4:$K$703=K51)*($F$4:$F$703=F51)*($U$4:$U$703=1)*($S$4:$S$703&gt;S51))+SUMPRODUCT(($K$4:$K$703=K51)*($F$4:$F$703=F51)*($U$4:$U$703=1)*($S$4:$S$703=S51)*($T$4:$T$703&gt;T51))+SUMPRODUCT(($K$4:$K$703=K51)*($F$4:$F$703=F51)*($U$4:$U$703=1)*($S$4:$S$703=S51)*($T$4:$T$703=T51)*($C$4:$C$703&lt;C51))+SUMPRODUCT(($K$4:$K$703=K51)*($F$4:$F$703=F51)*($U$4:$U$703=1)*($S$4:$S$703=S51)*($T$4:$T$703=T51)*($C$4:$C$703=C51)*($D$4:$D$703&lt;D51)),0)</f>
        <v>0</v>
      </c>
      <c r="X51" s="11" t="n">
        <f aca="false">IF(AND(U51=1,V51&gt;0,W51&gt;1),S51,0)</f>
        <v>0</v>
      </c>
      <c r="Y51" s="11" t="n">
        <f aca="false">IF(T51=1,X51/(1+Controls!$B$11)^F51,0)</f>
        <v>0</v>
      </c>
      <c r="Z51" s="11" t="n">
        <f aca="false">IF(AND(N51,E51="capacity",LEN(K51)&gt;0),1,0)</f>
        <v>0</v>
      </c>
      <c r="AA51" s="11" t="n">
        <f aca="false">IF(Z51=1,SUMPRODUCT(($K$4:$K$703=K51)*($F$4:$F$703=F51)*($Z$4:$Z$703=1)*($B$4:$B$703&lt;&gt;B51)),0)</f>
        <v>0</v>
      </c>
      <c r="AB51" s="11" t="n">
        <f aca="false">IF(AND(Z51=1,AA51&gt;0),1+SUMPRODUCT(($K$4:$K$703=K51)*($F$4:$F$703=F51)*($Z$4:$Z$703=1)*($P$4:$P$703&gt;P51))+SUMPRODUCT(($K$4:$K$703=K51)*($F$4:$F$703=F51)*($Z$4:$Z$703=1)*($P$4:$P$703=P51)*($C$4:$C$703&lt;C51))+SUMPRODUCT(($K$4:$K$703=K51)*($F$4:$F$703=F51)*($Z$4:$Z$703=1)*($P$4:$P$703=P51)*($C$4:$C$703=C51)*($D$4:$D$703&lt;D51)),0)</f>
        <v>0</v>
      </c>
      <c r="AC51" s="11" t="n">
        <f aca="false">IF(AND(Z51=1,AA51&gt;0,AB51&gt;1),P51,0)</f>
        <v>0</v>
      </c>
    </row>
    <row r="52" customFormat="false" ht="15" hidden="false" customHeight="false" outlineLevel="0" collapsed="false">
      <c r="A52" s="4" t="s">
        <v>259</v>
      </c>
      <c r="B52" s="4" t="s">
        <v>84</v>
      </c>
      <c r="C52" s="4" t="n">
        <v>2</v>
      </c>
      <c r="D52" s="4" t="n">
        <v>49</v>
      </c>
      <c r="E52" s="4" t="s">
        <v>205</v>
      </c>
      <c r="F52" s="4" t="n">
        <v>3</v>
      </c>
      <c r="G52" s="4" t="n">
        <v>3</v>
      </c>
      <c r="H52" s="4" t="n">
        <v>38700</v>
      </c>
      <c r="I52" s="13" t="b">
        <f aca="false">FALSE()</f>
        <v>0</v>
      </c>
      <c r="K52" s="4" t="s">
        <v>260</v>
      </c>
      <c r="L52" s="4" t="n">
        <v>65.55</v>
      </c>
      <c r="M52" s="11" t="n">
        <f aca="false">IFERROR(MATCH(Controls!$B$3&amp;"|"&amp;B52,'Scenario inputs'!$A$4:$A$213,0),0)</f>
        <v>133</v>
      </c>
      <c r="N52" s="8" t="b">
        <f aca="false">IF(M52=0,FALSE(),F52&lt;Controls!$B$12)</f>
        <v>1</v>
      </c>
      <c r="O52" s="11" t="n">
        <f aca="false">IF(N52,IF(INDEX('Scenario inputs'!$E$4:$E$213,M52)=0,1,INDEX('Scenario inputs'!$F$4:$M$213,M52,MIN(MAX(F52-G52,0),INDEX('Scenario inputs'!$E$4:$E$213,M52)-1)+1)),0)</f>
        <v>0.035714</v>
      </c>
      <c r="P52" s="11" t="n">
        <f aca="false">H52*O52</f>
        <v>1382.1318</v>
      </c>
      <c r="Q52" s="11" t="n">
        <f aca="false">IF(M52=0,"",IF(ISNUMBER(INDEX('Scenario inputs'!$N$4:$N$213,M52)),INDEX('Scenario inputs'!$N$4:$N$213,M52),""))</f>
        <v>34.67</v>
      </c>
      <c r="R52" s="0" t="str">
        <f aca="false">IF(NOT(N52),"",IF(OR(E52="cash",E52="revenue"),E52,IF(E52="avoided_cost",IF(AND(I52,LEN(TRIM(J52))&gt;0),"avoided_cost_realised","avoided_cost_beside"),IF(ISNUMBER(Q52),"capacity_converted","capacity_hours"))))</f>
        <v>avoided_cost_beside</v>
      </c>
      <c r="S52" s="11" t="n">
        <f aca="false">IF(OR(R52="",R52="capacity_hours"),0,IF(R52="capacity_converted",P52*Q52,P52))</f>
        <v>1382.1318</v>
      </c>
      <c r="T52" s="11" t="n">
        <f aca="false">IF(OR(R52="cash",R52="revenue",R52="avoided_cost_realised",R52="capacity_converted"),1,0)</f>
        <v>0</v>
      </c>
      <c r="U52" s="11" t="n">
        <f aca="false">IF(AND(N52,R52&lt;&gt;"capacity_hours",LEN(K52)&gt;0),1,0)</f>
        <v>1</v>
      </c>
      <c r="V52" s="11" t="n">
        <f aca="false">IF(U52=1,SUMPRODUCT(($K$4:$K$703=K52)*($F$4:$F$703=F52)*($U$4:$U$703=1)*($B$4:$B$703&lt;&gt;B52)),0)</f>
        <v>0</v>
      </c>
      <c r="W52" s="11" t="n">
        <f aca="false">IF(AND(U52=1,V52&gt;0),1+SUMPRODUCT(($K$4:$K$703=K52)*($F$4:$F$703=F52)*($U$4:$U$703=1)*($S$4:$S$703&gt;S52))+SUMPRODUCT(($K$4:$K$703=K52)*($F$4:$F$703=F52)*($U$4:$U$703=1)*($S$4:$S$703=S52)*($T$4:$T$703&gt;T52))+SUMPRODUCT(($K$4:$K$703=K52)*($F$4:$F$703=F52)*($U$4:$U$703=1)*($S$4:$S$703=S52)*($T$4:$T$703=T52)*($C$4:$C$703&lt;C52))+SUMPRODUCT(($K$4:$K$703=K52)*($F$4:$F$703=F52)*($U$4:$U$703=1)*($S$4:$S$703=S52)*($T$4:$T$703=T52)*($C$4:$C$703=C52)*($D$4:$D$703&lt;D52)),0)</f>
        <v>0</v>
      </c>
      <c r="X52" s="11" t="n">
        <f aca="false">IF(AND(U52=1,V52&gt;0,W52&gt;1),S52,0)</f>
        <v>0</v>
      </c>
      <c r="Y52" s="11" t="n">
        <f aca="false">IF(T52=1,X52/(1+Controls!$B$11)^F52,0)</f>
        <v>0</v>
      </c>
      <c r="Z52" s="11" t="n">
        <f aca="false">IF(AND(N52,E52="capacity",LEN(K52)&gt;0),1,0)</f>
        <v>0</v>
      </c>
      <c r="AA52" s="11" t="n">
        <f aca="false">IF(Z52=1,SUMPRODUCT(($K$4:$K$703=K52)*($F$4:$F$703=F52)*($Z$4:$Z$703=1)*($B$4:$B$703&lt;&gt;B52)),0)</f>
        <v>0</v>
      </c>
      <c r="AB52" s="11" t="n">
        <f aca="false">IF(AND(Z52=1,AA52&gt;0),1+SUMPRODUCT(($K$4:$K$703=K52)*($F$4:$F$703=F52)*($Z$4:$Z$703=1)*($P$4:$P$703&gt;P52))+SUMPRODUCT(($K$4:$K$703=K52)*($F$4:$F$703=F52)*($Z$4:$Z$703=1)*($P$4:$P$703=P52)*($C$4:$C$703&lt;C52))+SUMPRODUCT(($K$4:$K$703=K52)*($F$4:$F$703=F52)*($Z$4:$Z$703=1)*($P$4:$P$703=P52)*($C$4:$C$703=C52)*($D$4:$D$703&lt;D52)),0)</f>
        <v>0</v>
      </c>
      <c r="AC52" s="11" t="n">
        <f aca="false">IF(AND(Z52=1,AA52&gt;0,AB52&gt;1),P52,0)</f>
        <v>0</v>
      </c>
    </row>
    <row r="53" customFormat="false" ht="15" hidden="false" customHeight="false" outlineLevel="0" collapsed="false">
      <c r="A53" s="4" t="s">
        <v>261</v>
      </c>
      <c r="B53" s="4" t="s">
        <v>84</v>
      </c>
      <c r="C53" s="4" t="n">
        <v>2</v>
      </c>
      <c r="D53" s="4" t="n">
        <v>50</v>
      </c>
      <c r="E53" s="4" t="s">
        <v>205</v>
      </c>
      <c r="F53" s="4" t="n">
        <v>4</v>
      </c>
      <c r="G53" s="4" t="n">
        <v>3</v>
      </c>
      <c r="H53" s="4" t="n">
        <v>38700</v>
      </c>
      <c r="I53" s="13" t="b">
        <f aca="false">FALSE()</f>
        <v>0</v>
      </c>
      <c r="K53" s="4" t="s">
        <v>260</v>
      </c>
      <c r="L53" s="4" t="n">
        <v>181.51</v>
      </c>
      <c r="M53" s="11" t="n">
        <f aca="false">IFERROR(MATCH(Controls!$B$3&amp;"|"&amp;B53,'Scenario inputs'!$A$4:$A$213,0),0)</f>
        <v>133</v>
      </c>
      <c r="N53" s="8" t="b">
        <f aca="false">IF(M53=0,FALSE(),F53&lt;Controls!$B$12)</f>
        <v>1</v>
      </c>
      <c r="O53" s="11" t="n">
        <f aca="false">IF(N53,IF(INDEX('Scenario inputs'!$E$4:$E$213,M53)=0,1,INDEX('Scenario inputs'!$F$4:$M$213,M53,MIN(MAX(F53-G53,0),INDEX('Scenario inputs'!$E$4:$E$213,M53)-1)+1)),0)</f>
        <v>0.107143</v>
      </c>
      <c r="P53" s="11" t="n">
        <f aca="false">H53*O53</f>
        <v>4146.4341</v>
      </c>
      <c r="Q53" s="11" t="n">
        <f aca="false">IF(M53=0,"",IF(ISNUMBER(INDEX('Scenario inputs'!$N$4:$N$213,M53)),INDEX('Scenario inputs'!$N$4:$N$213,M53),""))</f>
        <v>34.67</v>
      </c>
      <c r="R53" s="0" t="str">
        <f aca="false">IF(NOT(N53),"",IF(OR(E53="cash",E53="revenue"),E53,IF(E53="avoided_cost",IF(AND(I53,LEN(TRIM(J53))&gt;0),"avoided_cost_realised","avoided_cost_beside"),IF(ISNUMBER(Q53),"capacity_converted","capacity_hours"))))</f>
        <v>avoided_cost_beside</v>
      </c>
      <c r="S53" s="11" t="n">
        <f aca="false">IF(OR(R53="",R53="capacity_hours"),0,IF(R53="capacity_converted",P53*Q53,P53))</f>
        <v>4146.4341</v>
      </c>
      <c r="T53" s="11" t="n">
        <f aca="false">IF(OR(R53="cash",R53="revenue",R53="avoided_cost_realised",R53="capacity_converted"),1,0)</f>
        <v>0</v>
      </c>
      <c r="U53" s="11" t="n">
        <f aca="false">IF(AND(N53,R53&lt;&gt;"capacity_hours",LEN(K53)&gt;0),1,0)</f>
        <v>1</v>
      </c>
      <c r="V53" s="11" t="n">
        <f aca="false">IF(U53=1,SUMPRODUCT(($K$4:$K$703=K53)*($F$4:$F$703=F53)*($U$4:$U$703=1)*($B$4:$B$703&lt;&gt;B53)),0)</f>
        <v>0</v>
      </c>
      <c r="W53" s="11" t="n">
        <f aca="false">IF(AND(U53=1,V53&gt;0),1+SUMPRODUCT(($K$4:$K$703=K53)*($F$4:$F$703=F53)*($U$4:$U$703=1)*($S$4:$S$703&gt;S53))+SUMPRODUCT(($K$4:$K$703=K53)*($F$4:$F$703=F53)*($U$4:$U$703=1)*($S$4:$S$703=S53)*($T$4:$T$703&gt;T53))+SUMPRODUCT(($K$4:$K$703=K53)*($F$4:$F$703=F53)*($U$4:$U$703=1)*($S$4:$S$703=S53)*($T$4:$T$703=T53)*($C$4:$C$703&lt;C53))+SUMPRODUCT(($K$4:$K$703=K53)*($F$4:$F$703=F53)*($U$4:$U$703=1)*($S$4:$S$703=S53)*($T$4:$T$703=T53)*($C$4:$C$703=C53)*($D$4:$D$703&lt;D53)),0)</f>
        <v>0</v>
      </c>
      <c r="X53" s="11" t="n">
        <f aca="false">IF(AND(U53=1,V53&gt;0,W53&gt;1),S53,0)</f>
        <v>0</v>
      </c>
      <c r="Y53" s="11" t="n">
        <f aca="false">IF(T53=1,X53/(1+Controls!$B$11)^F53,0)</f>
        <v>0</v>
      </c>
      <c r="Z53" s="11" t="n">
        <f aca="false">IF(AND(N53,E53="capacity",LEN(K53)&gt;0),1,0)</f>
        <v>0</v>
      </c>
      <c r="AA53" s="11" t="n">
        <f aca="false">IF(Z53=1,SUMPRODUCT(($K$4:$K$703=K53)*($F$4:$F$703=F53)*($Z$4:$Z$703=1)*($B$4:$B$703&lt;&gt;B53)),0)</f>
        <v>0</v>
      </c>
      <c r="AB53" s="11" t="n">
        <f aca="false">IF(AND(Z53=1,AA53&gt;0),1+SUMPRODUCT(($K$4:$K$703=K53)*($F$4:$F$703=F53)*($Z$4:$Z$703=1)*($P$4:$P$703&gt;P53))+SUMPRODUCT(($K$4:$K$703=K53)*($F$4:$F$703=F53)*($Z$4:$Z$703=1)*($P$4:$P$703=P53)*($C$4:$C$703&lt;C53))+SUMPRODUCT(($K$4:$K$703=K53)*($F$4:$F$703=F53)*($Z$4:$Z$703=1)*($P$4:$P$703=P53)*($C$4:$C$703=C53)*($D$4:$D$703&lt;D53)),0)</f>
        <v>0</v>
      </c>
      <c r="AC53" s="11" t="n">
        <f aca="false">IF(AND(Z53=1,AA53&gt;0,AB53&gt;1),P53,0)</f>
        <v>0</v>
      </c>
    </row>
    <row r="54" customFormat="false" ht="15" hidden="false" customHeight="false" outlineLevel="0" collapsed="false">
      <c r="A54" s="4" t="s">
        <v>262</v>
      </c>
      <c r="B54" s="4" t="s">
        <v>84</v>
      </c>
      <c r="C54" s="4" t="n">
        <v>2</v>
      </c>
      <c r="D54" s="4" t="n">
        <v>51</v>
      </c>
      <c r="E54" s="4" t="s">
        <v>205</v>
      </c>
      <c r="F54" s="4" t="n">
        <v>5</v>
      </c>
      <c r="G54" s="4" t="n">
        <v>3</v>
      </c>
      <c r="H54" s="4" t="n">
        <v>38700</v>
      </c>
      <c r="I54" s="13" t="b">
        <f aca="false">FALSE()</f>
        <v>0</v>
      </c>
      <c r="K54" s="4" t="s">
        <v>260</v>
      </c>
      <c r="L54" s="4" t="n">
        <v>363.03</v>
      </c>
      <c r="M54" s="11" t="n">
        <f aca="false">IFERROR(MATCH(Controls!$B$3&amp;"|"&amp;B54,'Scenario inputs'!$A$4:$A$213,0),0)</f>
        <v>133</v>
      </c>
      <c r="N54" s="8" t="b">
        <f aca="false">IF(M54=0,FALSE(),F54&lt;Controls!$B$12)</f>
        <v>1</v>
      </c>
      <c r="O54" s="11" t="n">
        <f aca="false">IF(N54,IF(INDEX('Scenario inputs'!$E$4:$E$213,M54)=0,1,INDEX('Scenario inputs'!$F$4:$M$213,M54,MIN(MAX(F54-G54,0),INDEX('Scenario inputs'!$E$4:$E$213,M54)-1)+1)),0)</f>
        <v>0.214286</v>
      </c>
      <c r="P54" s="11" t="n">
        <f aca="false">H54*O54</f>
        <v>8292.8682</v>
      </c>
      <c r="Q54" s="11" t="n">
        <f aca="false">IF(M54=0,"",IF(ISNUMBER(INDEX('Scenario inputs'!$N$4:$N$213,M54)),INDEX('Scenario inputs'!$N$4:$N$213,M54),""))</f>
        <v>34.67</v>
      </c>
      <c r="R54" s="0" t="str">
        <f aca="false">IF(NOT(N54),"",IF(OR(E54="cash",E54="revenue"),E54,IF(E54="avoided_cost",IF(AND(I54,LEN(TRIM(J54))&gt;0),"avoided_cost_realised","avoided_cost_beside"),IF(ISNUMBER(Q54),"capacity_converted","capacity_hours"))))</f>
        <v>avoided_cost_beside</v>
      </c>
      <c r="S54" s="11" t="n">
        <f aca="false">IF(OR(R54="",R54="capacity_hours"),0,IF(R54="capacity_converted",P54*Q54,P54))</f>
        <v>8292.8682</v>
      </c>
      <c r="T54" s="11" t="n">
        <f aca="false">IF(OR(R54="cash",R54="revenue",R54="avoided_cost_realised",R54="capacity_converted"),1,0)</f>
        <v>0</v>
      </c>
      <c r="U54" s="11" t="n">
        <f aca="false">IF(AND(N54,R54&lt;&gt;"capacity_hours",LEN(K54)&gt;0),1,0)</f>
        <v>1</v>
      </c>
      <c r="V54" s="11" t="n">
        <f aca="false">IF(U54=1,SUMPRODUCT(($K$4:$K$703=K54)*($F$4:$F$703=F54)*($U$4:$U$703=1)*($B$4:$B$703&lt;&gt;B54)),0)</f>
        <v>0</v>
      </c>
      <c r="W54" s="11" t="n">
        <f aca="false">IF(AND(U54=1,V54&gt;0),1+SUMPRODUCT(($K$4:$K$703=K54)*($F$4:$F$703=F54)*($U$4:$U$703=1)*($S$4:$S$703&gt;S54))+SUMPRODUCT(($K$4:$K$703=K54)*($F$4:$F$703=F54)*($U$4:$U$703=1)*($S$4:$S$703=S54)*($T$4:$T$703&gt;T54))+SUMPRODUCT(($K$4:$K$703=K54)*($F$4:$F$703=F54)*($U$4:$U$703=1)*($S$4:$S$703=S54)*($T$4:$T$703=T54)*($C$4:$C$703&lt;C54))+SUMPRODUCT(($K$4:$K$703=K54)*($F$4:$F$703=F54)*($U$4:$U$703=1)*($S$4:$S$703=S54)*($T$4:$T$703=T54)*($C$4:$C$703=C54)*($D$4:$D$703&lt;D54)),0)</f>
        <v>0</v>
      </c>
      <c r="X54" s="11" t="n">
        <f aca="false">IF(AND(U54=1,V54&gt;0,W54&gt;1),S54,0)</f>
        <v>0</v>
      </c>
      <c r="Y54" s="11" t="n">
        <f aca="false">IF(T54=1,X54/(1+Controls!$B$11)^F54,0)</f>
        <v>0</v>
      </c>
      <c r="Z54" s="11" t="n">
        <f aca="false">IF(AND(N54,E54="capacity",LEN(K54)&gt;0),1,0)</f>
        <v>0</v>
      </c>
      <c r="AA54" s="11" t="n">
        <f aca="false">IF(Z54=1,SUMPRODUCT(($K$4:$K$703=K54)*($F$4:$F$703=F54)*($Z$4:$Z$703=1)*($B$4:$B$703&lt;&gt;B54)),0)</f>
        <v>0</v>
      </c>
      <c r="AB54" s="11" t="n">
        <f aca="false">IF(AND(Z54=1,AA54&gt;0),1+SUMPRODUCT(($K$4:$K$703=K54)*($F$4:$F$703=F54)*($Z$4:$Z$703=1)*($P$4:$P$703&gt;P54))+SUMPRODUCT(($K$4:$K$703=K54)*($F$4:$F$703=F54)*($Z$4:$Z$703=1)*($P$4:$P$703=P54)*($C$4:$C$703&lt;C54))+SUMPRODUCT(($K$4:$K$703=K54)*($F$4:$F$703=F54)*($Z$4:$Z$703=1)*($P$4:$P$703=P54)*($C$4:$C$703=C54)*($D$4:$D$703&lt;D54)),0)</f>
        <v>0</v>
      </c>
      <c r="AC54" s="11" t="n">
        <f aca="false">IF(AND(Z54=1,AA54&gt;0,AB54&gt;1),P54,0)</f>
        <v>0</v>
      </c>
    </row>
    <row r="55" customFormat="false" ht="15" hidden="false" customHeight="false" outlineLevel="0" collapsed="false">
      <c r="A55" s="4" t="s">
        <v>263</v>
      </c>
      <c r="B55" s="4" t="s">
        <v>84</v>
      </c>
      <c r="C55" s="4" t="n">
        <v>2</v>
      </c>
      <c r="D55" s="4" t="n">
        <v>52</v>
      </c>
      <c r="E55" s="4" t="s">
        <v>205</v>
      </c>
      <c r="F55" s="4" t="n">
        <v>6</v>
      </c>
      <c r="G55" s="4" t="n">
        <v>3</v>
      </c>
      <c r="H55" s="4" t="n">
        <v>38700</v>
      </c>
      <c r="I55" s="13" t="b">
        <f aca="false">FALSE()</f>
        <v>0</v>
      </c>
      <c r="K55" s="4" t="s">
        <v>260</v>
      </c>
      <c r="L55" s="4" t="n">
        <v>655.47</v>
      </c>
      <c r="M55" s="11" t="n">
        <f aca="false">IFERROR(MATCH(Controls!$B$3&amp;"|"&amp;B55,'Scenario inputs'!$A$4:$A$213,0),0)</f>
        <v>133</v>
      </c>
      <c r="N55" s="8" t="b">
        <f aca="false">IF(M55=0,FALSE(),F55&lt;Controls!$B$12)</f>
        <v>1</v>
      </c>
      <c r="O55" s="11" t="n">
        <f aca="false">IF(N55,IF(INDEX('Scenario inputs'!$E$4:$E$213,M55)=0,1,INDEX('Scenario inputs'!$F$4:$M$213,M55,MIN(MAX(F55-G55,0),INDEX('Scenario inputs'!$E$4:$E$213,M55)-1)+1)),0)</f>
        <v>0.357143</v>
      </c>
      <c r="P55" s="11" t="n">
        <f aca="false">H55*O55</f>
        <v>13821.4341</v>
      </c>
      <c r="Q55" s="11" t="n">
        <f aca="false">IF(M55=0,"",IF(ISNUMBER(INDEX('Scenario inputs'!$N$4:$N$213,M55)),INDEX('Scenario inputs'!$N$4:$N$213,M55),""))</f>
        <v>34.67</v>
      </c>
      <c r="R55" s="0" t="str">
        <f aca="false">IF(NOT(N55),"",IF(OR(E55="cash",E55="revenue"),E55,IF(E55="avoided_cost",IF(AND(I55,LEN(TRIM(J55))&gt;0),"avoided_cost_realised","avoided_cost_beside"),IF(ISNUMBER(Q55),"capacity_converted","capacity_hours"))))</f>
        <v>avoided_cost_beside</v>
      </c>
      <c r="S55" s="11" t="n">
        <f aca="false">IF(OR(R55="",R55="capacity_hours"),0,IF(R55="capacity_converted",P55*Q55,P55))</f>
        <v>13821.4341</v>
      </c>
      <c r="T55" s="11" t="n">
        <f aca="false">IF(OR(R55="cash",R55="revenue",R55="avoided_cost_realised",R55="capacity_converted"),1,0)</f>
        <v>0</v>
      </c>
      <c r="U55" s="11" t="n">
        <f aca="false">IF(AND(N55,R55&lt;&gt;"capacity_hours",LEN(K55)&gt;0),1,0)</f>
        <v>1</v>
      </c>
      <c r="V55" s="11" t="n">
        <f aca="false">IF(U55=1,SUMPRODUCT(($K$4:$K$703=K55)*($F$4:$F$703=F55)*($U$4:$U$703=1)*($B$4:$B$703&lt;&gt;B55)),0)</f>
        <v>0</v>
      </c>
      <c r="W55" s="11" t="n">
        <f aca="false">IF(AND(U55=1,V55&gt;0),1+SUMPRODUCT(($K$4:$K$703=K55)*($F$4:$F$703=F55)*($U$4:$U$703=1)*($S$4:$S$703&gt;S55))+SUMPRODUCT(($K$4:$K$703=K55)*($F$4:$F$703=F55)*($U$4:$U$703=1)*($S$4:$S$703=S55)*($T$4:$T$703&gt;T55))+SUMPRODUCT(($K$4:$K$703=K55)*($F$4:$F$703=F55)*($U$4:$U$703=1)*($S$4:$S$703=S55)*($T$4:$T$703=T55)*($C$4:$C$703&lt;C55))+SUMPRODUCT(($K$4:$K$703=K55)*($F$4:$F$703=F55)*($U$4:$U$703=1)*($S$4:$S$703=S55)*($T$4:$T$703=T55)*($C$4:$C$703=C55)*($D$4:$D$703&lt;D55)),0)</f>
        <v>0</v>
      </c>
      <c r="X55" s="11" t="n">
        <f aca="false">IF(AND(U55=1,V55&gt;0,W55&gt;1),S55,0)</f>
        <v>0</v>
      </c>
      <c r="Y55" s="11" t="n">
        <f aca="false">IF(T55=1,X55/(1+Controls!$B$11)^F55,0)</f>
        <v>0</v>
      </c>
      <c r="Z55" s="11" t="n">
        <f aca="false">IF(AND(N55,E55="capacity",LEN(K55)&gt;0),1,0)</f>
        <v>0</v>
      </c>
      <c r="AA55" s="11" t="n">
        <f aca="false">IF(Z55=1,SUMPRODUCT(($K$4:$K$703=K55)*($F$4:$F$703=F55)*($Z$4:$Z$703=1)*($B$4:$B$703&lt;&gt;B55)),0)</f>
        <v>0</v>
      </c>
      <c r="AB55" s="11" t="n">
        <f aca="false">IF(AND(Z55=1,AA55&gt;0),1+SUMPRODUCT(($K$4:$K$703=K55)*($F$4:$F$703=F55)*($Z$4:$Z$703=1)*($P$4:$P$703&gt;P55))+SUMPRODUCT(($K$4:$K$703=K55)*($F$4:$F$703=F55)*($Z$4:$Z$703=1)*($P$4:$P$703=P55)*($C$4:$C$703&lt;C55))+SUMPRODUCT(($K$4:$K$703=K55)*($F$4:$F$703=F55)*($Z$4:$Z$703=1)*($P$4:$P$703=P55)*($C$4:$C$703=C55)*($D$4:$D$703&lt;D55)),0)</f>
        <v>0</v>
      </c>
      <c r="AC55" s="11" t="n">
        <f aca="false">IF(AND(Z55=1,AA55&gt;0,AB55&gt;1),P55,0)</f>
        <v>0</v>
      </c>
    </row>
    <row r="56" customFormat="false" ht="15" hidden="false" customHeight="false" outlineLevel="0" collapsed="false">
      <c r="A56" s="4" t="s">
        <v>264</v>
      </c>
      <c r="B56" s="4" t="s">
        <v>84</v>
      </c>
      <c r="C56" s="4" t="n">
        <v>2</v>
      </c>
      <c r="D56" s="4" t="n">
        <v>53</v>
      </c>
      <c r="E56" s="4" t="s">
        <v>205</v>
      </c>
      <c r="F56" s="4" t="n">
        <v>7</v>
      </c>
      <c r="G56" s="4" t="n">
        <v>3</v>
      </c>
      <c r="H56" s="4" t="n">
        <v>38700</v>
      </c>
      <c r="I56" s="13" t="b">
        <f aca="false">FALSE()</f>
        <v>0</v>
      </c>
      <c r="K56" s="4" t="s">
        <v>260</v>
      </c>
      <c r="L56" s="4" t="n">
        <v>917.02</v>
      </c>
      <c r="M56" s="11" t="n">
        <f aca="false">IFERROR(MATCH(Controls!$B$3&amp;"|"&amp;B56,'Scenario inputs'!$A$4:$A$213,0),0)</f>
        <v>133</v>
      </c>
      <c r="N56" s="8" t="b">
        <f aca="false">IF(M56=0,FALSE(),F56&lt;Controls!$B$12)</f>
        <v>1</v>
      </c>
      <c r="O56" s="11" t="n">
        <f aca="false">IF(N56,IF(INDEX('Scenario inputs'!$E$4:$E$213,M56)=0,1,INDEX('Scenario inputs'!$F$4:$M$213,M56,MIN(MAX(F56-G56,0),INDEX('Scenario inputs'!$E$4:$E$213,M56)-1)+1)),0)</f>
        <v>0.535714</v>
      </c>
      <c r="P56" s="11" t="n">
        <f aca="false">H56*O56</f>
        <v>20732.1318</v>
      </c>
      <c r="Q56" s="11" t="n">
        <f aca="false">IF(M56=0,"",IF(ISNUMBER(INDEX('Scenario inputs'!$N$4:$N$213,M56)),INDEX('Scenario inputs'!$N$4:$N$213,M56),""))</f>
        <v>34.67</v>
      </c>
      <c r="R56" s="0" t="str">
        <f aca="false">IF(NOT(N56),"",IF(OR(E56="cash",E56="revenue"),E56,IF(E56="avoided_cost",IF(AND(I56,LEN(TRIM(J56))&gt;0),"avoided_cost_realised","avoided_cost_beside"),IF(ISNUMBER(Q56),"capacity_converted","capacity_hours"))))</f>
        <v>avoided_cost_beside</v>
      </c>
      <c r="S56" s="11" t="n">
        <f aca="false">IF(OR(R56="",R56="capacity_hours"),0,IF(R56="capacity_converted",P56*Q56,P56))</f>
        <v>20732.1318</v>
      </c>
      <c r="T56" s="11" t="n">
        <f aca="false">IF(OR(R56="cash",R56="revenue",R56="avoided_cost_realised",R56="capacity_converted"),1,0)</f>
        <v>0</v>
      </c>
      <c r="U56" s="11" t="n">
        <f aca="false">IF(AND(N56,R56&lt;&gt;"capacity_hours",LEN(K56)&gt;0),1,0)</f>
        <v>1</v>
      </c>
      <c r="V56" s="11" t="n">
        <f aca="false">IF(U56=1,SUMPRODUCT(($K$4:$K$703=K56)*($F$4:$F$703=F56)*($U$4:$U$703=1)*($B$4:$B$703&lt;&gt;B56)),0)</f>
        <v>0</v>
      </c>
      <c r="W56" s="11" t="n">
        <f aca="false">IF(AND(U56=1,V56&gt;0),1+SUMPRODUCT(($K$4:$K$703=K56)*($F$4:$F$703=F56)*($U$4:$U$703=1)*($S$4:$S$703&gt;S56))+SUMPRODUCT(($K$4:$K$703=K56)*($F$4:$F$703=F56)*($U$4:$U$703=1)*($S$4:$S$703=S56)*($T$4:$T$703&gt;T56))+SUMPRODUCT(($K$4:$K$703=K56)*($F$4:$F$703=F56)*($U$4:$U$703=1)*($S$4:$S$703=S56)*($T$4:$T$703=T56)*($C$4:$C$703&lt;C56))+SUMPRODUCT(($K$4:$K$703=K56)*($F$4:$F$703=F56)*($U$4:$U$703=1)*($S$4:$S$703=S56)*($T$4:$T$703=T56)*($C$4:$C$703=C56)*($D$4:$D$703&lt;D56)),0)</f>
        <v>0</v>
      </c>
      <c r="X56" s="11" t="n">
        <f aca="false">IF(AND(U56=1,V56&gt;0,W56&gt;1),S56,0)</f>
        <v>0</v>
      </c>
      <c r="Y56" s="11" t="n">
        <f aca="false">IF(T56=1,X56/(1+Controls!$B$11)^F56,0)</f>
        <v>0</v>
      </c>
      <c r="Z56" s="11" t="n">
        <f aca="false">IF(AND(N56,E56="capacity",LEN(K56)&gt;0),1,0)</f>
        <v>0</v>
      </c>
      <c r="AA56" s="11" t="n">
        <f aca="false">IF(Z56=1,SUMPRODUCT(($K$4:$K$703=K56)*($F$4:$F$703=F56)*($Z$4:$Z$703=1)*($B$4:$B$703&lt;&gt;B56)),0)</f>
        <v>0</v>
      </c>
      <c r="AB56" s="11" t="n">
        <f aca="false">IF(AND(Z56=1,AA56&gt;0),1+SUMPRODUCT(($K$4:$K$703=K56)*($F$4:$F$703=F56)*($Z$4:$Z$703=1)*($P$4:$P$703&gt;P56))+SUMPRODUCT(($K$4:$K$703=K56)*($F$4:$F$703=F56)*($Z$4:$Z$703=1)*($P$4:$P$703=P56)*($C$4:$C$703&lt;C56))+SUMPRODUCT(($K$4:$K$703=K56)*($F$4:$F$703=F56)*($Z$4:$Z$703=1)*($P$4:$P$703=P56)*($C$4:$C$703=C56)*($D$4:$D$703&lt;D56)),0)</f>
        <v>0</v>
      </c>
      <c r="AC56" s="11" t="n">
        <f aca="false">IF(AND(Z56=1,AA56&gt;0,AB56&gt;1),P56,0)</f>
        <v>0</v>
      </c>
    </row>
    <row r="57" customFormat="false" ht="15" hidden="false" customHeight="false" outlineLevel="0" collapsed="false">
      <c r="A57" s="4" t="s">
        <v>265</v>
      </c>
      <c r="B57" s="4" t="s">
        <v>84</v>
      </c>
      <c r="C57" s="4" t="n">
        <v>2</v>
      </c>
      <c r="D57" s="4" t="n">
        <v>54</v>
      </c>
      <c r="E57" s="4" t="s">
        <v>205</v>
      </c>
      <c r="F57" s="4" t="n">
        <v>8</v>
      </c>
      <c r="G57" s="4" t="n">
        <v>3</v>
      </c>
      <c r="H57" s="4" t="n">
        <v>38700</v>
      </c>
      <c r="I57" s="13" t="b">
        <f aca="false">FALSE()</f>
        <v>0</v>
      </c>
      <c r="K57" s="4" t="s">
        <v>260</v>
      </c>
      <c r="L57" s="4" t="n">
        <v>1376.48</v>
      </c>
      <c r="M57" s="11" t="n">
        <f aca="false">IFERROR(MATCH(Controls!$B$3&amp;"|"&amp;B57,'Scenario inputs'!$A$4:$A$213,0),0)</f>
        <v>133</v>
      </c>
      <c r="N57" s="8" t="b">
        <f aca="false">IF(M57=0,FALSE(),F57&lt;Controls!$B$12)</f>
        <v>1</v>
      </c>
      <c r="O57" s="11" t="n">
        <f aca="false">IF(N57,IF(INDEX('Scenario inputs'!$E$4:$E$213,M57)=0,1,INDEX('Scenario inputs'!$F$4:$M$213,M57,MIN(MAX(F57-G57,0),INDEX('Scenario inputs'!$E$4:$E$213,M57)-1)+1)),0)</f>
        <v>0.75</v>
      </c>
      <c r="P57" s="11" t="n">
        <f aca="false">H57*O57</f>
        <v>29025</v>
      </c>
      <c r="Q57" s="11" t="n">
        <f aca="false">IF(M57=0,"",IF(ISNUMBER(INDEX('Scenario inputs'!$N$4:$N$213,M57)),INDEX('Scenario inputs'!$N$4:$N$213,M57),""))</f>
        <v>34.67</v>
      </c>
      <c r="R57" s="0" t="str">
        <f aca="false">IF(NOT(N57),"",IF(OR(E57="cash",E57="revenue"),E57,IF(E57="avoided_cost",IF(AND(I57,LEN(TRIM(J57))&gt;0),"avoided_cost_realised","avoided_cost_beside"),IF(ISNUMBER(Q57),"capacity_converted","capacity_hours"))))</f>
        <v>avoided_cost_beside</v>
      </c>
      <c r="S57" s="11" t="n">
        <f aca="false">IF(OR(R57="",R57="capacity_hours"),0,IF(R57="capacity_converted",P57*Q57,P57))</f>
        <v>29025</v>
      </c>
      <c r="T57" s="11" t="n">
        <f aca="false">IF(OR(R57="cash",R57="revenue",R57="avoided_cost_realised",R57="capacity_converted"),1,0)</f>
        <v>0</v>
      </c>
      <c r="U57" s="11" t="n">
        <f aca="false">IF(AND(N57,R57&lt;&gt;"capacity_hours",LEN(K57)&gt;0),1,0)</f>
        <v>1</v>
      </c>
      <c r="V57" s="11" t="n">
        <f aca="false">IF(U57=1,SUMPRODUCT(($K$4:$K$703=K57)*($F$4:$F$703=F57)*($U$4:$U$703=1)*($B$4:$B$703&lt;&gt;B57)),0)</f>
        <v>0</v>
      </c>
      <c r="W57" s="11" t="n">
        <f aca="false">IF(AND(U57=1,V57&gt;0),1+SUMPRODUCT(($K$4:$K$703=K57)*($F$4:$F$703=F57)*($U$4:$U$703=1)*($S$4:$S$703&gt;S57))+SUMPRODUCT(($K$4:$K$703=K57)*($F$4:$F$703=F57)*($U$4:$U$703=1)*($S$4:$S$703=S57)*($T$4:$T$703&gt;T57))+SUMPRODUCT(($K$4:$K$703=K57)*($F$4:$F$703=F57)*($U$4:$U$703=1)*($S$4:$S$703=S57)*($T$4:$T$703=T57)*($C$4:$C$703&lt;C57))+SUMPRODUCT(($K$4:$K$703=K57)*($F$4:$F$703=F57)*($U$4:$U$703=1)*($S$4:$S$703=S57)*($T$4:$T$703=T57)*($C$4:$C$703=C57)*($D$4:$D$703&lt;D57)),0)</f>
        <v>0</v>
      </c>
      <c r="X57" s="11" t="n">
        <f aca="false">IF(AND(U57=1,V57&gt;0,W57&gt;1),S57,0)</f>
        <v>0</v>
      </c>
      <c r="Y57" s="11" t="n">
        <f aca="false">IF(T57=1,X57/(1+Controls!$B$11)^F57,0)</f>
        <v>0</v>
      </c>
      <c r="Z57" s="11" t="n">
        <f aca="false">IF(AND(N57,E57="capacity",LEN(K57)&gt;0),1,0)</f>
        <v>0</v>
      </c>
      <c r="AA57" s="11" t="n">
        <f aca="false">IF(Z57=1,SUMPRODUCT(($K$4:$K$703=K57)*($F$4:$F$703=F57)*($Z$4:$Z$703=1)*($B$4:$B$703&lt;&gt;B57)),0)</f>
        <v>0</v>
      </c>
      <c r="AB57" s="11" t="n">
        <f aca="false">IF(AND(Z57=1,AA57&gt;0),1+SUMPRODUCT(($K$4:$K$703=K57)*($F$4:$F$703=F57)*($Z$4:$Z$703=1)*($P$4:$P$703&gt;P57))+SUMPRODUCT(($K$4:$K$703=K57)*($F$4:$F$703=F57)*($Z$4:$Z$703=1)*($P$4:$P$703=P57)*($C$4:$C$703&lt;C57))+SUMPRODUCT(($K$4:$K$703=K57)*($F$4:$F$703=F57)*($Z$4:$Z$703=1)*($P$4:$P$703=P57)*($C$4:$C$703=C57)*($D$4:$D$703&lt;D57)),0)</f>
        <v>0</v>
      </c>
      <c r="AC57" s="11" t="n">
        <f aca="false">IF(AND(Z57=1,AA57&gt;0,AB57&gt;1),P57,0)</f>
        <v>0</v>
      </c>
    </row>
    <row r="58" customFormat="false" ht="15" hidden="false" customHeight="false" outlineLevel="0" collapsed="false">
      <c r="A58" s="4" t="s">
        <v>266</v>
      </c>
      <c r="B58" s="4" t="s">
        <v>84</v>
      </c>
      <c r="C58" s="4" t="n">
        <v>2</v>
      </c>
      <c r="D58" s="4" t="n">
        <v>55</v>
      </c>
      <c r="E58" s="4" t="s">
        <v>205</v>
      </c>
      <c r="F58" s="4" t="n">
        <v>9</v>
      </c>
      <c r="G58" s="4" t="n">
        <v>3</v>
      </c>
      <c r="H58" s="4" t="n">
        <v>38700</v>
      </c>
      <c r="I58" s="13" t="b">
        <f aca="false">FALSE()</f>
        <v>0</v>
      </c>
      <c r="K58" s="4" t="s">
        <v>260</v>
      </c>
      <c r="L58" s="4" t="n">
        <v>2205.9</v>
      </c>
      <c r="M58" s="11" t="n">
        <f aca="false">IFERROR(MATCH(Controls!$B$3&amp;"|"&amp;B58,'Scenario inputs'!$A$4:$A$213,0),0)</f>
        <v>133</v>
      </c>
      <c r="N58" s="8" t="b">
        <f aca="false">IF(M58=0,FALSE(),F58&lt;Controls!$B$12)</f>
        <v>1</v>
      </c>
      <c r="O58" s="11" t="n">
        <f aca="false">IF(N58,IF(INDEX('Scenario inputs'!$E$4:$E$213,M58)=0,1,INDEX('Scenario inputs'!$F$4:$M$213,M58,MIN(MAX(F58-G58,0),INDEX('Scenario inputs'!$E$4:$E$213,M58)-1)+1)),0)</f>
        <v>1</v>
      </c>
      <c r="P58" s="11" t="n">
        <f aca="false">H58*O58</f>
        <v>38700</v>
      </c>
      <c r="Q58" s="11" t="n">
        <f aca="false">IF(M58=0,"",IF(ISNUMBER(INDEX('Scenario inputs'!$N$4:$N$213,M58)),INDEX('Scenario inputs'!$N$4:$N$213,M58),""))</f>
        <v>34.67</v>
      </c>
      <c r="R58" s="0" t="str">
        <f aca="false">IF(NOT(N58),"",IF(OR(E58="cash",E58="revenue"),E58,IF(E58="avoided_cost",IF(AND(I58,LEN(TRIM(J58))&gt;0),"avoided_cost_realised","avoided_cost_beside"),IF(ISNUMBER(Q58),"capacity_converted","capacity_hours"))))</f>
        <v>avoided_cost_beside</v>
      </c>
      <c r="S58" s="11" t="n">
        <f aca="false">IF(OR(R58="",R58="capacity_hours"),0,IF(R58="capacity_converted",P58*Q58,P58))</f>
        <v>38700</v>
      </c>
      <c r="T58" s="11" t="n">
        <f aca="false">IF(OR(R58="cash",R58="revenue",R58="avoided_cost_realised",R58="capacity_converted"),1,0)</f>
        <v>0</v>
      </c>
      <c r="U58" s="11" t="n">
        <f aca="false">IF(AND(N58,R58&lt;&gt;"capacity_hours",LEN(K58)&gt;0),1,0)</f>
        <v>1</v>
      </c>
      <c r="V58" s="11" t="n">
        <f aca="false">IF(U58=1,SUMPRODUCT(($K$4:$K$703=K58)*($F$4:$F$703=F58)*($U$4:$U$703=1)*($B$4:$B$703&lt;&gt;B58)),0)</f>
        <v>0</v>
      </c>
      <c r="W58" s="11" t="n">
        <f aca="false">IF(AND(U58=1,V58&gt;0),1+SUMPRODUCT(($K$4:$K$703=K58)*($F$4:$F$703=F58)*($U$4:$U$703=1)*($S$4:$S$703&gt;S58))+SUMPRODUCT(($K$4:$K$703=K58)*($F$4:$F$703=F58)*($U$4:$U$703=1)*($S$4:$S$703=S58)*($T$4:$T$703&gt;T58))+SUMPRODUCT(($K$4:$K$703=K58)*($F$4:$F$703=F58)*($U$4:$U$703=1)*($S$4:$S$703=S58)*($T$4:$T$703=T58)*($C$4:$C$703&lt;C58))+SUMPRODUCT(($K$4:$K$703=K58)*($F$4:$F$703=F58)*($U$4:$U$703=1)*($S$4:$S$703=S58)*($T$4:$T$703=T58)*($C$4:$C$703=C58)*($D$4:$D$703&lt;D58)),0)</f>
        <v>0</v>
      </c>
      <c r="X58" s="11" t="n">
        <f aca="false">IF(AND(U58=1,V58&gt;0,W58&gt;1),S58,0)</f>
        <v>0</v>
      </c>
      <c r="Y58" s="11" t="n">
        <f aca="false">IF(T58=1,X58/(1+Controls!$B$11)^F58,0)</f>
        <v>0</v>
      </c>
      <c r="Z58" s="11" t="n">
        <f aca="false">IF(AND(N58,E58="capacity",LEN(K58)&gt;0),1,0)</f>
        <v>0</v>
      </c>
      <c r="AA58" s="11" t="n">
        <f aca="false">IF(Z58=1,SUMPRODUCT(($K$4:$K$703=K58)*($F$4:$F$703=F58)*($Z$4:$Z$703=1)*($B$4:$B$703&lt;&gt;B58)),0)</f>
        <v>0</v>
      </c>
      <c r="AB58" s="11" t="n">
        <f aca="false">IF(AND(Z58=1,AA58&gt;0),1+SUMPRODUCT(($K$4:$K$703=K58)*($F$4:$F$703=F58)*($Z$4:$Z$703=1)*($P$4:$P$703&gt;P58))+SUMPRODUCT(($K$4:$K$703=K58)*($F$4:$F$703=F58)*($Z$4:$Z$703=1)*($P$4:$P$703=P58)*($C$4:$C$703&lt;C58))+SUMPRODUCT(($K$4:$K$703=K58)*($F$4:$F$703=F58)*($Z$4:$Z$703=1)*($P$4:$P$703=P58)*($C$4:$C$703=C58)*($D$4:$D$703&lt;D58)),0)</f>
        <v>0</v>
      </c>
      <c r="AC58" s="11" t="n">
        <f aca="false">IF(AND(Z58=1,AA58&gt;0,AB58&gt;1),P58,0)</f>
        <v>0</v>
      </c>
    </row>
    <row r="59" customFormat="false" ht="15" hidden="false" customHeight="false" outlineLevel="0" collapsed="false">
      <c r="A59" s="4" t="s">
        <v>267</v>
      </c>
      <c r="B59" s="4" t="s">
        <v>84</v>
      </c>
      <c r="C59" s="4" t="n">
        <v>2</v>
      </c>
      <c r="D59" s="4" t="n">
        <v>56</v>
      </c>
      <c r="E59" s="4" t="s">
        <v>205</v>
      </c>
      <c r="F59" s="4" t="n">
        <v>10</v>
      </c>
      <c r="G59" s="4" t="n">
        <v>3</v>
      </c>
      <c r="H59" s="4" t="n">
        <v>38700</v>
      </c>
      <c r="I59" s="13" t="b">
        <f aca="false">FALSE()</f>
        <v>0</v>
      </c>
      <c r="K59" s="4" t="s">
        <v>260</v>
      </c>
      <c r="L59" s="4" t="n">
        <v>2205.9</v>
      </c>
      <c r="M59" s="11" t="n">
        <f aca="false">IFERROR(MATCH(Controls!$B$3&amp;"|"&amp;B59,'Scenario inputs'!$A$4:$A$213,0),0)</f>
        <v>133</v>
      </c>
      <c r="N59" s="8" t="b">
        <f aca="false">IF(M59=0,FALSE(),F59&lt;Controls!$B$12)</f>
        <v>1</v>
      </c>
      <c r="O59" s="11" t="n">
        <f aca="false">IF(N59,IF(INDEX('Scenario inputs'!$E$4:$E$213,M59)=0,1,INDEX('Scenario inputs'!$F$4:$M$213,M59,MIN(MAX(F59-G59,0),INDEX('Scenario inputs'!$E$4:$E$213,M59)-1)+1)),0)</f>
        <v>1</v>
      </c>
      <c r="P59" s="11" t="n">
        <f aca="false">H59*O59</f>
        <v>38700</v>
      </c>
      <c r="Q59" s="11" t="n">
        <f aca="false">IF(M59=0,"",IF(ISNUMBER(INDEX('Scenario inputs'!$N$4:$N$213,M59)),INDEX('Scenario inputs'!$N$4:$N$213,M59),""))</f>
        <v>34.67</v>
      </c>
      <c r="R59" s="0" t="str">
        <f aca="false">IF(NOT(N59),"",IF(OR(E59="cash",E59="revenue"),E59,IF(E59="avoided_cost",IF(AND(I59,LEN(TRIM(J59))&gt;0),"avoided_cost_realised","avoided_cost_beside"),IF(ISNUMBER(Q59),"capacity_converted","capacity_hours"))))</f>
        <v>avoided_cost_beside</v>
      </c>
      <c r="S59" s="11" t="n">
        <f aca="false">IF(OR(R59="",R59="capacity_hours"),0,IF(R59="capacity_converted",P59*Q59,P59))</f>
        <v>38700</v>
      </c>
      <c r="T59" s="11" t="n">
        <f aca="false">IF(OR(R59="cash",R59="revenue",R59="avoided_cost_realised",R59="capacity_converted"),1,0)</f>
        <v>0</v>
      </c>
      <c r="U59" s="11" t="n">
        <f aca="false">IF(AND(N59,R59&lt;&gt;"capacity_hours",LEN(K59)&gt;0),1,0)</f>
        <v>1</v>
      </c>
      <c r="V59" s="11" t="n">
        <f aca="false">IF(U59=1,SUMPRODUCT(($K$4:$K$703=K59)*($F$4:$F$703=F59)*($U$4:$U$703=1)*($B$4:$B$703&lt;&gt;B59)),0)</f>
        <v>0</v>
      </c>
      <c r="W59" s="11" t="n">
        <f aca="false">IF(AND(U59=1,V59&gt;0),1+SUMPRODUCT(($K$4:$K$703=K59)*($F$4:$F$703=F59)*($U$4:$U$703=1)*($S$4:$S$703&gt;S59))+SUMPRODUCT(($K$4:$K$703=K59)*($F$4:$F$703=F59)*($U$4:$U$703=1)*($S$4:$S$703=S59)*($T$4:$T$703&gt;T59))+SUMPRODUCT(($K$4:$K$703=K59)*($F$4:$F$703=F59)*($U$4:$U$703=1)*($S$4:$S$703=S59)*($T$4:$T$703=T59)*($C$4:$C$703&lt;C59))+SUMPRODUCT(($K$4:$K$703=K59)*($F$4:$F$703=F59)*($U$4:$U$703=1)*($S$4:$S$703=S59)*($T$4:$T$703=T59)*($C$4:$C$703=C59)*($D$4:$D$703&lt;D59)),0)</f>
        <v>0</v>
      </c>
      <c r="X59" s="11" t="n">
        <f aca="false">IF(AND(U59=1,V59&gt;0,W59&gt;1),S59,0)</f>
        <v>0</v>
      </c>
      <c r="Y59" s="11" t="n">
        <f aca="false">IF(T59=1,X59/(1+Controls!$B$11)^F59,0)</f>
        <v>0</v>
      </c>
      <c r="Z59" s="11" t="n">
        <f aca="false">IF(AND(N59,E59="capacity",LEN(K59)&gt;0),1,0)</f>
        <v>0</v>
      </c>
      <c r="AA59" s="11" t="n">
        <f aca="false">IF(Z59=1,SUMPRODUCT(($K$4:$K$703=K59)*($F$4:$F$703=F59)*($Z$4:$Z$703=1)*($B$4:$B$703&lt;&gt;B59)),0)</f>
        <v>0</v>
      </c>
      <c r="AB59" s="11" t="n">
        <f aca="false">IF(AND(Z59=1,AA59&gt;0),1+SUMPRODUCT(($K$4:$K$703=K59)*($F$4:$F$703=F59)*($Z$4:$Z$703=1)*($P$4:$P$703&gt;P59))+SUMPRODUCT(($K$4:$K$703=K59)*($F$4:$F$703=F59)*($Z$4:$Z$703=1)*($P$4:$P$703=P59)*($C$4:$C$703&lt;C59))+SUMPRODUCT(($K$4:$K$703=K59)*($F$4:$F$703=F59)*($Z$4:$Z$703=1)*($P$4:$P$703=P59)*($C$4:$C$703=C59)*($D$4:$D$703&lt;D59)),0)</f>
        <v>0</v>
      </c>
      <c r="AC59" s="11" t="n">
        <f aca="false">IF(AND(Z59=1,AA59&gt;0,AB59&gt;1),P59,0)</f>
        <v>0</v>
      </c>
    </row>
    <row r="60" customFormat="false" ht="15" hidden="false" customHeight="false" outlineLevel="0" collapsed="false">
      <c r="A60" s="4" t="s">
        <v>268</v>
      </c>
      <c r="B60" s="4" t="s">
        <v>84</v>
      </c>
      <c r="C60" s="4" t="n">
        <v>2</v>
      </c>
      <c r="D60" s="4" t="n">
        <v>57</v>
      </c>
      <c r="E60" s="4" t="s">
        <v>205</v>
      </c>
      <c r="F60" s="4" t="n">
        <v>11</v>
      </c>
      <c r="G60" s="4" t="n">
        <v>3</v>
      </c>
      <c r="H60" s="4" t="n">
        <v>38700</v>
      </c>
      <c r="I60" s="13" t="b">
        <f aca="false">FALSE()</f>
        <v>0</v>
      </c>
      <c r="K60" s="4" t="s">
        <v>260</v>
      </c>
      <c r="L60" s="4" t="n">
        <v>2205.9</v>
      </c>
      <c r="M60" s="11" t="n">
        <f aca="false">IFERROR(MATCH(Controls!$B$3&amp;"|"&amp;B60,'Scenario inputs'!$A$4:$A$213,0),0)</f>
        <v>133</v>
      </c>
      <c r="N60" s="8" t="b">
        <f aca="false">IF(M60=0,FALSE(),F60&lt;Controls!$B$12)</f>
        <v>1</v>
      </c>
      <c r="O60" s="11" t="n">
        <f aca="false">IF(N60,IF(INDEX('Scenario inputs'!$E$4:$E$213,M60)=0,1,INDEX('Scenario inputs'!$F$4:$M$213,M60,MIN(MAX(F60-G60,0),INDEX('Scenario inputs'!$E$4:$E$213,M60)-1)+1)),0)</f>
        <v>1</v>
      </c>
      <c r="P60" s="11" t="n">
        <f aca="false">H60*O60</f>
        <v>38700</v>
      </c>
      <c r="Q60" s="11" t="n">
        <f aca="false">IF(M60=0,"",IF(ISNUMBER(INDEX('Scenario inputs'!$N$4:$N$213,M60)),INDEX('Scenario inputs'!$N$4:$N$213,M60),""))</f>
        <v>34.67</v>
      </c>
      <c r="R60" s="0" t="str">
        <f aca="false">IF(NOT(N60),"",IF(OR(E60="cash",E60="revenue"),E60,IF(E60="avoided_cost",IF(AND(I60,LEN(TRIM(J60))&gt;0),"avoided_cost_realised","avoided_cost_beside"),IF(ISNUMBER(Q60),"capacity_converted","capacity_hours"))))</f>
        <v>avoided_cost_beside</v>
      </c>
      <c r="S60" s="11" t="n">
        <f aca="false">IF(OR(R60="",R60="capacity_hours"),0,IF(R60="capacity_converted",P60*Q60,P60))</f>
        <v>38700</v>
      </c>
      <c r="T60" s="11" t="n">
        <f aca="false">IF(OR(R60="cash",R60="revenue",R60="avoided_cost_realised",R60="capacity_converted"),1,0)</f>
        <v>0</v>
      </c>
      <c r="U60" s="11" t="n">
        <f aca="false">IF(AND(N60,R60&lt;&gt;"capacity_hours",LEN(K60)&gt;0),1,0)</f>
        <v>1</v>
      </c>
      <c r="V60" s="11" t="n">
        <f aca="false">IF(U60=1,SUMPRODUCT(($K$4:$K$703=K60)*($F$4:$F$703=F60)*($U$4:$U$703=1)*($B$4:$B$703&lt;&gt;B60)),0)</f>
        <v>0</v>
      </c>
      <c r="W60" s="11" t="n">
        <f aca="false">IF(AND(U60=1,V60&gt;0),1+SUMPRODUCT(($K$4:$K$703=K60)*($F$4:$F$703=F60)*($U$4:$U$703=1)*($S$4:$S$703&gt;S60))+SUMPRODUCT(($K$4:$K$703=K60)*($F$4:$F$703=F60)*($U$4:$U$703=1)*($S$4:$S$703=S60)*($T$4:$T$703&gt;T60))+SUMPRODUCT(($K$4:$K$703=K60)*($F$4:$F$703=F60)*($U$4:$U$703=1)*($S$4:$S$703=S60)*($T$4:$T$703=T60)*($C$4:$C$703&lt;C60))+SUMPRODUCT(($K$4:$K$703=K60)*($F$4:$F$703=F60)*($U$4:$U$703=1)*($S$4:$S$703=S60)*($T$4:$T$703=T60)*($C$4:$C$703=C60)*($D$4:$D$703&lt;D60)),0)</f>
        <v>0</v>
      </c>
      <c r="X60" s="11" t="n">
        <f aca="false">IF(AND(U60=1,V60&gt;0,W60&gt;1),S60,0)</f>
        <v>0</v>
      </c>
      <c r="Y60" s="11" t="n">
        <f aca="false">IF(T60=1,X60/(1+Controls!$B$11)^F60,0)</f>
        <v>0</v>
      </c>
      <c r="Z60" s="11" t="n">
        <f aca="false">IF(AND(N60,E60="capacity",LEN(K60)&gt;0),1,0)</f>
        <v>0</v>
      </c>
      <c r="AA60" s="11" t="n">
        <f aca="false">IF(Z60=1,SUMPRODUCT(($K$4:$K$703=K60)*($F$4:$F$703=F60)*($Z$4:$Z$703=1)*($B$4:$B$703&lt;&gt;B60)),0)</f>
        <v>0</v>
      </c>
      <c r="AB60" s="11" t="n">
        <f aca="false">IF(AND(Z60=1,AA60&gt;0),1+SUMPRODUCT(($K$4:$K$703=K60)*($F$4:$F$703=F60)*($Z$4:$Z$703=1)*($P$4:$P$703&gt;P60))+SUMPRODUCT(($K$4:$K$703=K60)*($F$4:$F$703=F60)*($Z$4:$Z$703=1)*($P$4:$P$703=P60)*($C$4:$C$703&lt;C60))+SUMPRODUCT(($K$4:$K$703=K60)*($F$4:$F$703=F60)*($Z$4:$Z$703=1)*($P$4:$P$703=P60)*($C$4:$C$703=C60)*($D$4:$D$703&lt;D60)),0)</f>
        <v>0</v>
      </c>
      <c r="AC60" s="11" t="n">
        <f aca="false">IF(AND(Z60=1,AA60&gt;0,AB60&gt;1),P60,0)</f>
        <v>0</v>
      </c>
    </row>
    <row r="61" customFormat="false" ht="15" hidden="false" customHeight="false" outlineLevel="0" collapsed="false">
      <c r="A61" s="4" t="s">
        <v>269</v>
      </c>
      <c r="B61" s="4" t="s">
        <v>84</v>
      </c>
      <c r="C61" s="4" t="n">
        <v>2</v>
      </c>
      <c r="D61" s="4" t="n">
        <v>58</v>
      </c>
      <c r="E61" s="4" t="s">
        <v>205</v>
      </c>
      <c r="F61" s="4" t="n">
        <v>12</v>
      </c>
      <c r="G61" s="4" t="n">
        <v>3</v>
      </c>
      <c r="H61" s="4" t="n">
        <v>38700</v>
      </c>
      <c r="I61" s="13" t="b">
        <f aca="false">FALSE()</f>
        <v>0</v>
      </c>
      <c r="K61" s="4" t="s">
        <v>260</v>
      </c>
      <c r="L61" s="4" t="n">
        <v>2205.9</v>
      </c>
      <c r="M61" s="11" t="n">
        <f aca="false">IFERROR(MATCH(Controls!$B$3&amp;"|"&amp;B61,'Scenario inputs'!$A$4:$A$213,0),0)</f>
        <v>133</v>
      </c>
      <c r="N61" s="8" t="b">
        <f aca="false">IF(M61=0,FALSE(),F61&lt;Controls!$B$12)</f>
        <v>1</v>
      </c>
      <c r="O61" s="11" t="n">
        <f aca="false">IF(N61,IF(INDEX('Scenario inputs'!$E$4:$E$213,M61)=0,1,INDEX('Scenario inputs'!$F$4:$M$213,M61,MIN(MAX(F61-G61,0),INDEX('Scenario inputs'!$E$4:$E$213,M61)-1)+1)),0)</f>
        <v>1</v>
      </c>
      <c r="P61" s="11" t="n">
        <f aca="false">H61*O61</f>
        <v>38700</v>
      </c>
      <c r="Q61" s="11" t="n">
        <f aca="false">IF(M61=0,"",IF(ISNUMBER(INDEX('Scenario inputs'!$N$4:$N$213,M61)),INDEX('Scenario inputs'!$N$4:$N$213,M61),""))</f>
        <v>34.67</v>
      </c>
      <c r="R61" s="0" t="str">
        <f aca="false">IF(NOT(N61),"",IF(OR(E61="cash",E61="revenue"),E61,IF(E61="avoided_cost",IF(AND(I61,LEN(TRIM(J61))&gt;0),"avoided_cost_realised","avoided_cost_beside"),IF(ISNUMBER(Q61),"capacity_converted","capacity_hours"))))</f>
        <v>avoided_cost_beside</v>
      </c>
      <c r="S61" s="11" t="n">
        <f aca="false">IF(OR(R61="",R61="capacity_hours"),0,IF(R61="capacity_converted",P61*Q61,P61))</f>
        <v>38700</v>
      </c>
      <c r="T61" s="11" t="n">
        <f aca="false">IF(OR(R61="cash",R61="revenue",R61="avoided_cost_realised",R61="capacity_converted"),1,0)</f>
        <v>0</v>
      </c>
      <c r="U61" s="11" t="n">
        <f aca="false">IF(AND(N61,R61&lt;&gt;"capacity_hours",LEN(K61)&gt;0),1,0)</f>
        <v>1</v>
      </c>
      <c r="V61" s="11" t="n">
        <f aca="false">IF(U61=1,SUMPRODUCT(($K$4:$K$703=K61)*($F$4:$F$703=F61)*($U$4:$U$703=1)*($B$4:$B$703&lt;&gt;B61)),0)</f>
        <v>0</v>
      </c>
      <c r="W61" s="11" t="n">
        <f aca="false">IF(AND(U61=1,V61&gt;0),1+SUMPRODUCT(($K$4:$K$703=K61)*($F$4:$F$703=F61)*($U$4:$U$703=1)*($S$4:$S$703&gt;S61))+SUMPRODUCT(($K$4:$K$703=K61)*($F$4:$F$703=F61)*($U$4:$U$703=1)*($S$4:$S$703=S61)*($T$4:$T$703&gt;T61))+SUMPRODUCT(($K$4:$K$703=K61)*($F$4:$F$703=F61)*($U$4:$U$703=1)*($S$4:$S$703=S61)*($T$4:$T$703=T61)*($C$4:$C$703&lt;C61))+SUMPRODUCT(($K$4:$K$703=K61)*($F$4:$F$703=F61)*($U$4:$U$703=1)*($S$4:$S$703=S61)*($T$4:$T$703=T61)*($C$4:$C$703=C61)*($D$4:$D$703&lt;D61)),0)</f>
        <v>0</v>
      </c>
      <c r="X61" s="11" t="n">
        <f aca="false">IF(AND(U61=1,V61&gt;0,W61&gt;1),S61,0)</f>
        <v>0</v>
      </c>
      <c r="Y61" s="11" t="n">
        <f aca="false">IF(T61=1,X61/(1+Controls!$B$11)^F61,0)</f>
        <v>0</v>
      </c>
      <c r="Z61" s="11" t="n">
        <f aca="false">IF(AND(N61,E61="capacity",LEN(K61)&gt;0),1,0)</f>
        <v>0</v>
      </c>
      <c r="AA61" s="11" t="n">
        <f aca="false">IF(Z61=1,SUMPRODUCT(($K$4:$K$703=K61)*($F$4:$F$703=F61)*($Z$4:$Z$703=1)*($B$4:$B$703&lt;&gt;B61)),0)</f>
        <v>0</v>
      </c>
      <c r="AB61" s="11" t="n">
        <f aca="false">IF(AND(Z61=1,AA61&gt;0),1+SUMPRODUCT(($K$4:$K$703=K61)*($F$4:$F$703=F61)*($Z$4:$Z$703=1)*($P$4:$P$703&gt;P61))+SUMPRODUCT(($K$4:$K$703=K61)*($F$4:$F$703=F61)*($Z$4:$Z$703=1)*($P$4:$P$703=P61)*($C$4:$C$703&lt;C61))+SUMPRODUCT(($K$4:$K$703=K61)*($F$4:$F$703=F61)*($Z$4:$Z$703=1)*($P$4:$P$703=P61)*($C$4:$C$703=C61)*($D$4:$D$703&lt;D61)),0)</f>
        <v>0</v>
      </c>
      <c r="AC61" s="11" t="n">
        <f aca="false">IF(AND(Z61=1,AA61&gt;0,AB61&gt;1),P61,0)</f>
        <v>0</v>
      </c>
    </row>
    <row r="62" customFormat="false" ht="15" hidden="false" customHeight="false" outlineLevel="0" collapsed="false">
      <c r="A62" s="4" t="s">
        <v>270</v>
      </c>
      <c r="B62" s="4" t="s">
        <v>84</v>
      </c>
      <c r="C62" s="4" t="n">
        <v>2</v>
      </c>
      <c r="D62" s="4" t="n">
        <v>59</v>
      </c>
      <c r="E62" s="4" t="s">
        <v>205</v>
      </c>
      <c r="F62" s="4" t="n">
        <v>13</v>
      </c>
      <c r="G62" s="4" t="n">
        <v>3</v>
      </c>
      <c r="H62" s="4" t="n">
        <v>38700</v>
      </c>
      <c r="I62" s="13" t="b">
        <f aca="false">FALSE()</f>
        <v>0</v>
      </c>
      <c r="K62" s="4" t="s">
        <v>260</v>
      </c>
      <c r="L62" s="4" t="n">
        <v>2205.9</v>
      </c>
      <c r="M62" s="11" t="n">
        <f aca="false">IFERROR(MATCH(Controls!$B$3&amp;"|"&amp;B62,'Scenario inputs'!$A$4:$A$213,0),0)</f>
        <v>133</v>
      </c>
      <c r="N62" s="8" t="b">
        <f aca="false">IF(M62=0,FALSE(),F62&lt;Controls!$B$12)</f>
        <v>1</v>
      </c>
      <c r="O62" s="11" t="n">
        <f aca="false">IF(N62,IF(INDEX('Scenario inputs'!$E$4:$E$213,M62)=0,1,INDEX('Scenario inputs'!$F$4:$M$213,M62,MIN(MAX(F62-G62,0),INDEX('Scenario inputs'!$E$4:$E$213,M62)-1)+1)),0)</f>
        <v>1</v>
      </c>
      <c r="P62" s="11" t="n">
        <f aca="false">H62*O62</f>
        <v>38700</v>
      </c>
      <c r="Q62" s="11" t="n">
        <f aca="false">IF(M62=0,"",IF(ISNUMBER(INDEX('Scenario inputs'!$N$4:$N$213,M62)),INDEX('Scenario inputs'!$N$4:$N$213,M62),""))</f>
        <v>34.67</v>
      </c>
      <c r="R62" s="0" t="str">
        <f aca="false">IF(NOT(N62),"",IF(OR(E62="cash",E62="revenue"),E62,IF(E62="avoided_cost",IF(AND(I62,LEN(TRIM(J62))&gt;0),"avoided_cost_realised","avoided_cost_beside"),IF(ISNUMBER(Q62),"capacity_converted","capacity_hours"))))</f>
        <v>avoided_cost_beside</v>
      </c>
      <c r="S62" s="11" t="n">
        <f aca="false">IF(OR(R62="",R62="capacity_hours"),0,IF(R62="capacity_converted",P62*Q62,P62))</f>
        <v>38700</v>
      </c>
      <c r="T62" s="11" t="n">
        <f aca="false">IF(OR(R62="cash",R62="revenue",R62="avoided_cost_realised",R62="capacity_converted"),1,0)</f>
        <v>0</v>
      </c>
      <c r="U62" s="11" t="n">
        <f aca="false">IF(AND(N62,R62&lt;&gt;"capacity_hours",LEN(K62)&gt;0),1,0)</f>
        <v>1</v>
      </c>
      <c r="V62" s="11" t="n">
        <f aca="false">IF(U62=1,SUMPRODUCT(($K$4:$K$703=K62)*($F$4:$F$703=F62)*($U$4:$U$703=1)*($B$4:$B$703&lt;&gt;B62)),0)</f>
        <v>0</v>
      </c>
      <c r="W62" s="11" t="n">
        <f aca="false">IF(AND(U62=1,V62&gt;0),1+SUMPRODUCT(($K$4:$K$703=K62)*($F$4:$F$703=F62)*($U$4:$U$703=1)*($S$4:$S$703&gt;S62))+SUMPRODUCT(($K$4:$K$703=K62)*($F$4:$F$703=F62)*($U$4:$U$703=1)*($S$4:$S$703=S62)*($T$4:$T$703&gt;T62))+SUMPRODUCT(($K$4:$K$703=K62)*($F$4:$F$703=F62)*($U$4:$U$703=1)*($S$4:$S$703=S62)*($T$4:$T$703=T62)*($C$4:$C$703&lt;C62))+SUMPRODUCT(($K$4:$K$703=K62)*($F$4:$F$703=F62)*($U$4:$U$703=1)*($S$4:$S$703=S62)*($T$4:$T$703=T62)*($C$4:$C$703=C62)*($D$4:$D$703&lt;D62)),0)</f>
        <v>0</v>
      </c>
      <c r="X62" s="11" t="n">
        <f aca="false">IF(AND(U62=1,V62&gt;0,W62&gt;1),S62,0)</f>
        <v>0</v>
      </c>
      <c r="Y62" s="11" t="n">
        <f aca="false">IF(T62=1,X62/(1+Controls!$B$11)^F62,0)</f>
        <v>0</v>
      </c>
      <c r="Z62" s="11" t="n">
        <f aca="false">IF(AND(N62,E62="capacity",LEN(K62)&gt;0),1,0)</f>
        <v>0</v>
      </c>
      <c r="AA62" s="11" t="n">
        <f aca="false">IF(Z62=1,SUMPRODUCT(($K$4:$K$703=K62)*($F$4:$F$703=F62)*($Z$4:$Z$703=1)*($B$4:$B$703&lt;&gt;B62)),0)</f>
        <v>0</v>
      </c>
      <c r="AB62" s="11" t="n">
        <f aca="false">IF(AND(Z62=1,AA62&gt;0),1+SUMPRODUCT(($K$4:$K$703=K62)*($F$4:$F$703=F62)*($Z$4:$Z$703=1)*($P$4:$P$703&gt;P62))+SUMPRODUCT(($K$4:$K$703=K62)*($F$4:$F$703=F62)*($Z$4:$Z$703=1)*($P$4:$P$703=P62)*($C$4:$C$703&lt;C62))+SUMPRODUCT(($K$4:$K$703=K62)*($F$4:$F$703=F62)*($Z$4:$Z$703=1)*($P$4:$P$703=P62)*($C$4:$C$703=C62)*($D$4:$D$703&lt;D62)),0)</f>
        <v>0</v>
      </c>
      <c r="AC62" s="11" t="n">
        <f aca="false">IF(AND(Z62=1,AA62&gt;0,AB62&gt;1),P62,0)</f>
        <v>0</v>
      </c>
    </row>
    <row r="63" customFormat="false" ht="15" hidden="false" customHeight="false" outlineLevel="0" collapsed="false">
      <c r="A63" s="4" t="s">
        <v>271</v>
      </c>
      <c r="B63" s="4" t="s">
        <v>84</v>
      </c>
      <c r="C63" s="4" t="n">
        <v>2</v>
      </c>
      <c r="D63" s="4" t="n">
        <v>60</v>
      </c>
      <c r="E63" s="4" t="s">
        <v>205</v>
      </c>
      <c r="F63" s="4" t="n">
        <v>14</v>
      </c>
      <c r="G63" s="4" t="n">
        <v>3</v>
      </c>
      <c r="H63" s="4" t="n">
        <v>38700</v>
      </c>
      <c r="I63" s="13" t="b">
        <f aca="false">FALSE()</f>
        <v>0</v>
      </c>
      <c r="K63" s="4" t="s">
        <v>260</v>
      </c>
      <c r="L63" s="4" t="n">
        <v>2205.9</v>
      </c>
      <c r="M63" s="11" t="n">
        <f aca="false">IFERROR(MATCH(Controls!$B$3&amp;"|"&amp;B63,'Scenario inputs'!$A$4:$A$213,0),0)</f>
        <v>133</v>
      </c>
      <c r="N63" s="8" t="b">
        <f aca="false">IF(M63=0,FALSE(),F63&lt;Controls!$B$12)</f>
        <v>1</v>
      </c>
      <c r="O63" s="11" t="n">
        <f aca="false">IF(N63,IF(INDEX('Scenario inputs'!$E$4:$E$213,M63)=0,1,INDEX('Scenario inputs'!$F$4:$M$213,M63,MIN(MAX(F63-G63,0),INDEX('Scenario inputs'!$E$4:$E$213,M63)-1)+1)),0)</f>
        <v>1</v>
      </c>
      <c r="P63" s="11" t="n">
        <f aca="false">H63*O63</f>
        <v>38700</v>
      </c>
      <c r="Q63" s="11" t="n">
        <f aca="false">IF(M63=0,"",IF(ISNUMBER(INDEX('Scenario inputs'!$N$4:$N$213,M63)),INDEX('Scenario inputs'!$N$4:$N$213,M63),""))</f>
        <v>34.67</v>
      </c>
      <c r="R63" s="0" t="str">
        <f aca="false">IF(NOT(N63),"",IF(OR(E63="cash",E63="revenue"),E63,IF(E63="avoided_cost",IF(AND(I63,LEN(TRIM(J63))&gt;0),"avoided_cost_realised","avoided_cost_beside"),IF(ISNUMBER(Q63),"capacity_converted","capacity_hours"))))</f>
        <v>avoided_cost_beside</v>
      </c>
      <c r="S63" s="11" t="n">
        <f aca="false">IF(OR(R63="",R63="capacity_hours"),0,IF(R63="capacity_converted",P63*Q63,P63))</f>
        <v>38700</v>
      </c>
      <c r="T63" s="11" t="n">
        <f aca="false">IF(OR(R63="cash",R63="revenue",R63="avoided_cost_realised",R63="capacity_converted"),1,0)</f>
        <v>0</v>
      </c>
      <c r="U63" s="11" t="n">
        <f aca="false">IF(AND(N63,R63&lt;&gt;"capacity_hours",LEN(K63)&gt;0),1,0)</f>
        <v>1</v>
      </c>
      <c r="V63" s="11" t="n">
        <f aca="false">IF(U63=1,SUMPRODUCT(($K$4:$K$703=K63)*($F$4:$F$703=F63)*($U$4:$U$703=1)*($B$4:$B$703&lt;&gt;B63)),0)</f>
        <v>0</v>
      </c>
      <c r="W63" s="11" t="n">
        <f aca="false">IF(AND(U63=1,V63&gt;0),1+SUMPRODUCT(($K$4:$K$703=K63)*($F$4:$F$703=F63)*($U$4:$U$703=1)*($S$4:$S$703&gt;S63))+SUMPRODUCT(($K$4:$K$703=K63)*($F$4:$F$703=F63)*($U$4:$U$703=1)*($S$4:$S$703=S63)*($T$4:$T$703&gt;T63))+SUMPRODUCT(($K$4:$K$703=K63)*($F$4:$F$703=F63)*($U$4:$U$703=1)*($S$4:$S$703=S63)*($T$4:$T$703=T63)*($C$4:$C$703&lt;C63))+SUMPRODUCT(($K$4:$K$703=K63)*($F$4:$F$703=F63)*($U$4:$U$703=1)*($S$4:$S$703=S63)*($T$4:$T$703=T63)*($C$4:$C$703=C63)*($D$4:$D$703&lt;D63)),0)</f>
        <v>0</v>
      </c>
      <c r="X63" s="11" t="n">
        <f aca="false">IF(AND(U63=1,V63&gt;0,W63&gt;1),S63,0)</f>
        <v>0</v>
      </c>
      <c r="Y63" s="11" t="n">
        <f aca="false">IF(T63=1,X63/(1+Controls!$B$11)^F63,0)</f>
        <v>0</v>
      </c>
      <c r="Z63" s="11" t="n">
        <f aca="false">IF(AND(N63,E63="capacity",LEN(K63)&gt;0),1,0)</f>
        <v>0</v>
      </c>
      <c r="AA63" s="11" t="n">
        <f aca="false">IF(Z63=1,SUMPRODUCT(($K$4:$K$703=K63)*($F$4:$F$703=F63)*($Z$4:$Z$703=1)*($B$4:$B$703&lt;&gt;B63)),0)</f>
        <v>0</v>
      </c>
      <c r="AB63" s="11" t="n">
        <f aca="false">IF(AND(Z63=1,AA63&gt;0),1+SUMPRODUCT(($K$4:$K$703=K63)*($F$4:$F$703=F63)*($Z$4:$Z$703=1)*($P$4:$P$703&gt;P63))+SUMPRODUCT(($K$4:$K$703=K63)*($F$4:$F$703=F63)*($Z$4:$Z$703=1)*($P$4:$P$703=P63)*($C$4:$C$703&lt;C63))+SUMPRODUCT(($K$4:$K$703=K63)*($F$4:$F$703=F63)*($Z$4:$Z$703=1)*($P$4:$P$703=P63)*($C$4:$C$703=C63)*($D$4:$D$703&lt;D63)),0)</f>
        <v>0</v>
      </c>
      <c r="AC63" s="11" t="n">
        <f aca="false">IF(AND(Z63=1,AA63&gt;0,AB63&gt;1),P63,0)</f>
        <v>0</v>
      </c>
    </row>
    <row r="64" customFormat="false" ht="15" hidden="false" customHeight="false" outlineLevel="0" collapsed="false">
      <c r="A64" s="4" t="s">
        <v>272</v>
      </c>
      <c r="B64" s="4" t="s">
        <v>84</v>
      </c>
      <c r="C64" s="4" t="n">
        <v>2</v>
      </c>
      <c r="D64" s="4" t="n">
        <v>61</v>
      </c>
      <c r="E64" s="4" t="s">
        <v>233</v>
      </c>
      <c r="F64" s="4" t="n">
        <v>3</v>
      </c>
      <c r="G64" s="4" t="n">
        <v>3</v>
      </c>
      <c r="H64" s="4" t="n">
        <v>995.8</v>
      </c>
      <c r="I64" s="13" t="b">
        <f aca="false">FALSE()</f>
        <v>0</v>
      </c>
      <c r="K64" s="4" t="s">
        <v>234</v>
      </c>
      <c r="L64" s="4" t="n">
        <v>7.38</v>
      </c>
      <c r="M64" s="11" t="n">
        <f aca="false">IFERROR(MATCH(Controls!$B$3&amp;"|"&amp;B64,'Scenario inputs'!$A$4:$A$213,0),0)</f>
        <v>133</v>
      </c>
      <c r="N64" s="8" t="b">
        <f aca="false">IF(M64=0,FALSE(),F64&lt;Controls!$B$12)</f>
        <v>1</v>
      </c>
      <c r="O64" s="11" t="n">
        <f aca="false">IF(N64,IF(INDEX('Scenario inputs'!$E$4:$E$213,M64)=0,1,INDEX('Scenario inputs'!$F$4:$M$213,M64,MIN(MAX(F64-G64,0),INDEX('Scenario inputs'!$E$4:$E$213,M64)-1)+1)),0)</f>
        <v>0.035714</v>
      </c>
      <c r="P64" s="11" t="n">
        <f aca="false">H64*O64</f>
        <v>35.5640012</v>
      </c>
      <c r="Q64" s="11" t="n">
        <f aca="false">IF(M64=0,"",IF(ISNUMBER(INDEX('Scenario inputs'!$N$4:$N$213,M64)),INDEX('Scenario inputs'!$N$4:$N$213,M64),""))</f>
        <v>34.67</v>
      </c>
      <c r="R64" s="0" t="str">
        <f aca="false">IF(NOT(N64),"",IF(OR(E64="cash",E64="revenue"),E64,IF(E64="avoided_cost",IF(AND(I64,LEN(TRIM(J64))&gt;0),"avoided_cost_realised","avoided_cost_beside"),IF(ISNUMBER(Q64),"capacity_converted","capacity_hours"))))</f>
        <v>capacity_converted</v>
      </c>
      <c r="S64" s="11" t="n">
        <f aca="false">IF(OR(R64="",R64="capacity_hours"),0,IF(R64="capacity_converted",P64*Q64,P64))</f>
        <v>1233.003921604</v>
      </c>
      <c r="T64" s="11" t="n">
        <f aca="false">IF(OR(R64="cash",R64="revenue",R64="avoided_cost_realised",R64="capacity_converted"),1,0)</f>
        <v>1</v>
      </c>
      <c r="U64" s="11" t="n">
        <f aca="false">IF(AND(N64,R64&lt;&gt;"capacity_hours",LEN(K64)&gt;0),1,0)</f>
        <v>1</v>
      </c>
      <c r="V64" s="11" t="n">
        <f aca="false">IF(U64=1,SUMPRODUCT(($K$4:$K$703=K64)*($F$4:$F$703=F64)*($U$4:$U$703=1)*($B$4:$B$703&lt;&gt;B64)),0)</f>
        <v>1</v>
      </c>
      <c r="W64" s="11" t="n">
        <f aca="false">IF(AND(U64=1,V64&gt;0),1+SUMPRODUCT(($K$4:$K$703=K64)*($F$4:$F$703=F64)*($U$4:$U$703=1)*($S$4:$S$703&gt;S64))+SUMPRODUCT(($K$4:$K$703=K64)*($F$4:$F$703=F64)*($U$4:$U$703=1)*($S$4:$S$703=S64)*($T$4:$T$703&gt;T64))+SUMPRODUCT(($K$4:$K$703=K64)*($F$4:$F$703=F64)*($U$4:$U$703=1)*($S$4:$S$703=S64)*($T$4:$T$703=T64)*($C$4:$C$703&lt;C64))+SUMPRODUCT(($K$4:$K$703=K64)*($F$4:$F$703=F64)*($U$4:$U$703=1)*($S$4:$S$703=S64)*($T$4:$T$703=T64)*($C$4:$C$703=C64)*($D$4:$D$703&lt;D64)),0)</f>
        <v>2</v>
      </c>
      <c r="X64" s="11" t="n">
        <f aca="false">IF(AND(U64=1,V64&gt;0,W64&gt;1),S64,0)</f>
        <v>1233.003921604</v>
      </c>
      <c r="Y64" s="11" t="n">
        <f aca="false">IF(T64=1,X64/(1+Controls!$B$11)^F64,0)</f>
        <v>1209.50747850221</v>
      </c>
      <c r="Z64" s="11" t="n">
        <f aca="false">IF(AND(N64,E64="capacity",LEN(K64)&gt;0),1,0)</f>
        <v>1</v>
      </c>
      <c r="AA64" s="11" t="n">
        <f aca="false">IF(Z64=1,SUMPRODUCT(($K$4:$K$703=K64)*($F$4:$F$703=F64)*($Z$4:$Z$703=1)*($B$4:$B$703&lt;&gt;B64)),0)</f>
        <v>1</v>
      </c>
      <c r="AB64" s="11" t="n">
        <f aca="false">IF(AND(Z64=1,AA64&gt;0),1+SUMPRODUCT(($K$4:$K$703=K64)*($F$4:$F$703=F64)*($Z$4:$Z$703=1)*($P$4:$P$703&gt;P64))+SUMPRODUCT(($K$4:$K$703=K64)*($F$4:$F$703=F64)*($Z$4:$Z$703=1)*($P$4:$P$703=P64)*($C$4:$C$703&lt;C64))+SUMPRODUCT(($K$4:$K$703=K64)*($F$4:$F$703=F64)*($Z$4:$Z$703=1)*($P$4:$P$703=P64)*($C$4:$C$703=C64)*($D$4:$D$703&lt;D64)),0)</f>
        <v>2</v>
      </c>
      <c r="AC64" s="11" t="n">
        <f aca="false">IF(AND(Z64=1,AA64&gt;0,AB64&gt;1),P64,0)</f>
        <v>35.5640012</v>
      </c>
    </row>
    <row r="65" customFormat="false" ht="15" hidden="false" customHeight="false" outlineLevel="0" collapsed="false">
      <c r="A65" s="4" t="s">
        <v>273</v>
      </c>
      <c r="B65" s="4" t="s">
        <v>84</v>
      </c>
      <c r="C65" s="4" t="n">
        <v>2</v>
      </c>
      <c r="D65" s="4" t="n">
        <v>62</v>
      </c>
      <c r="E65" s="4" t="s">
        <v>233</v>
      </c>
      <c r="F65" s="4" t="n">
        <v>4</v>
      </c>
      <c r="G65" s="4" t="n">
        <v>3</v>
      </c>
      <c r="H65" s="4" t="n">
        <v>995.8</v>
      </c>
      <c r="I65" s="13" t="b">
        <f aca="false">FALSE()</f>
        <v>0</v>
      </c>
      <c r="K65" s="4" t="s">
        <v>234</v>
      </c>
      <c r="L65" s="4" t="n">
        <v>21.92</v>
      </c>
      <c r="M65" s="11" t="n">
        <f aca="false">IFERROR(MATCH(Controls!$B$3&amp;"|"&amp;B65,'Scenario inputs'!$A$4:$A$213,0),0)</f>
        <v>133</v>
      </c>
      <c r="N65" s="8" t="b">
        <f aca="false">IF(M65=0,FALSE(),F65&lt;Controls!$B$12)</f>
        <v>1</v>
      </c>
      <c r="O65" s="11" t="n">
        <f aca="false">IF(N65,IF(INDEX('Scenario inputs'!$E$4:$E$213,M65)=0,1,INDEX('Scenario inputs'!$F$4:$M$213,M65,MIN(MAX(F65-G65,0),INDEX('Scenario inputs'!$E$4:$E$213,M65)-1)+1)),0)</f>
        <v>0.107143</v>
      </c>
      <c r="P65" s="11" t="n">
        <f aca="false">H65*O65</f>
        <v>106.6929994</v>
      </c>
      <c r="Q65" s="11" t="n">
        <f aca="false">IF(M65=0,"",IF(ISNUMBER(INDEX('Scenario inputs'!$N$4:$N$213,M65)),INDEX('Scenario inputs'!$N$4:$N$213,M65),""))</f>
        <v>34.67</v>
      </c>
      <c r="R65" s="0" t="str">
        <f aca="false">IF(NOT(N65),"",IF(OR(E65="cash",E65="revenue"),E65,IF(E65="avoided_cost",IF(AND(I65,LEN(TRIM(J65))&gt;0),"avoided_cost_realised","avoided_cost_beside"),IF(ISNUMBER(Q65),"capacity_converted","capacity_hours"))))</f>
        <v>capacity_converted</v>
      </c>
      <c r="S65" s="11" t="n">
        <f aca="false">IF(OR(R65="",R65="capacity_hours"),0,IF(R65="capacity_converted",P65*Q65,P65))</f>
        <v>3699.046289198</v>
      </c>
      <c r="T65" s="11" t="n">
        <f aca="false">IF(OR(R65="cash",R65="revenue",R65="avoided_cost_realised",R65="capacity_converted"),1,0)</f>
        <v>1</v>
      </c>
      <c r="U65" s="11" t="n">
        <f aca="false">IF(AND(N65,R65&lt;&gt;"capacity_hours",LEN(K65)&gt;0),1,0)</f>
        <v>1</v>
      </c>
      <c r="V65" s="11" t="n">
        <f aca="false">IF(U65=1,SUMPRODUCT(($K$4:$K$703=K65)*($F$4:$F$703=F65)*($U$4:$U$703=1)*($B$4:$B$703&lt;&gt;B65)),0)</f>
        <v>1</v>
      </c>
      <c r="W65" s="11" t="n">
        <f aca="false">IF(AND(U65=1,V65&gt;0),1+SUMPRODUCT(($K$4:$K$703=K65)*($F$4:$F$703=F65)*($U$4:$U$703=1)*($S$4:$S$703&gt;S65))+SUMPRODUCT(($K$4:$K$703=K65)*($F$4:$F$703=F65)*($U$4:$U$703=1)*($S$4:$S$703=S65)*($T$4:$T$703&gt;T65))+SUMPRODUCT(($K$4:$K$703=K65)*($F$4:$F$703=F65)*($U$4:$U$703=1)*($S$4:$S$703=S65)*($T$4:$T$703=T65)*($C$4:$C$703&lt;C65))+SUMPRODUCT(($K$4:$K$703=K65)*($F$4:$F$703=F65)*($U$4:$U$703=1)*($S$4:$S$703=S65)*($T$4:$T$703=T65)*($C$4:$C$703=C65)*($D$4:$D$703&lt;D65)),0)</f>
        <v>2</v>
      </c>
      <c r="X65" s="11" t="n">
        <f aca="false">IF(AND(U65=1,V65&gt;0,W65&gt;1),S65,0)</f>
        <v>3699.046289198</v>
      </c>
      <c r="Y65" s="11" t="n">
        <f aca="false">IF(T65=1,X65/(1+Controls!$B$11)^F65,0)</f>
        <v>3605.35941948201</v>
      </c>
      <c r="Z65" s="11" t="n">
        <f aca="false">IF(AND(N65,E65="capacity",LEN(K65)&gt;0),1,0)</f>
        <v>1</v>
      </c>
      <c r="AA65" s="11" t="n">
        <f aca="false">IF(Z65=1,SUMPRODUCT(($K$4:$K$703=K65)*($F$4:$F$703=F65)*($Z$4:$Z$703=1)*($B$4:$B$703&lt;&gt;B65)),0)</f>
        <v>1</v>
      </c>
      <c r="AB65" s="11" t="n">
        <f aca="false">IF(AND(Z65=1,AA65&gt;0),1+SUMPRODUCT(($K$4:$K$703=K65)*($F$4:$F$703=F65)*($Z$4:$Z$703=1)*($P$4:$P$703&gt;P65))+SUMPRODUCT(($K$4:$K$703=K65)*($F$4:$F$703=F65)*($Z$4:$Z$703=1)*($P$4:$P$703=P65)*($C$4:$C$703&lt;C65))+SUMPRODUCT(($K$4:$K$703=K65)*($F$4:$F$703=F65)*($Z$4:$Z$703=1)*($P$4:$P$703=P65)*($C$4:$C$703=C65)*($D$4:$D$703&lt;D65)),0)</f>
        <v>2</v>
      </c>
      <c r="AC65" s="11" t="n">
        <f aca="false">IF(AND(Z65=1,AA65&gt;0,AB65&gt;1),P65,0)</f>
        <v>106.6929994</v>
      </c>
    </row>
    <row r="66" customFormat="false" ht="15" hidden="false" customHeight="false" outlineLevel="0" collapsed="false">
      <c r="A66" s="4" t="s">
        <v>274</v>
      </c>
      <c r="B66" s="4" t="s">
        <v>84</v>
      </c>
      <c r="C66" s="4" t="n">
        <v>2</v>
      </c>
      <c r="D66" s="4" t="n">
        <v>63</v>
      </c>
      <c r="E66" s="4" t="s">
        <v>233</v>
      </c>
      <c r="F66" s="4" t="n">
        <v>5</v>
      </c>
      <c r="G66" s="4" t="n">
        <v>3</v>
      </c>
      <c r="H66" s="4" t="n">
        <v>995.8</v>
      </c>
      <c r="I66" s="13" t="b">
        <f aca="false">FALSE()</f>
        <v>0</v>
      </c>
      <c r="K66" s="4" t="s">
        <v>234</v>
      </c>
      <c r="L66" s="4" t="n">
        <v>44.73</v>
      </c>
      <c r="M66" s="11" t="n">
        <f aca="false">IFERROR(MATCH(Controls!$B$3&amp;"|"&amp;B66,'Scenario inputs'!$A$4:$A$213,0),0)</f>
        <v>133</v>
      </c>
      <c r="N66" s="8" t="b">
        <f aca="false">IF(M66=0,FALSE(),F66&lt;Controls!$B$12)</f>
        <v>1</v>
      </c>
      <c r="O66" s="11" t="n">
        <f aca="false">IF(N66,IF(INDEX('Scenario inputs'!$E$4:$E$213,M66)=0,1,INDEX('Scenario inputs'!$F$4:$M$213,M66,MIN(MAX(F66-G66,0),INDEX('Scenario inputs'!$E$4:$E$213,M66)-1)+1)),0)</f>
        <v>0.214286</v>
      </c>
      <c r="P66" s="11" t="n">
        <f aca="false">H66*O66</f>
        <v>213.3859988</v>
      </c>
      <c r="Q66" s="11" t="n">
        <f aca="false">IF(M66=0,"",IF(ISNUMBER(INDEX('Scenario inputs'!$N$4:$N$213,M66)),INDEX('Scenario inputs'!$N$4:$N$213,M66),""))</f>
        <v>34.67</v>
      </c>
      <c r="R66" s="0" t="str">
        <f aca="false">IF(NOT(N66),"",IF(OR(E66="cash",E66="revenue"),E66,IF(E66="avoided_cost",IF(AND(I66,LEN(TRIM(J66))&gt;0),"avoided_cost_realised","avoided_cost_beside"),IF(ISNUMBER(Q66),"capacity_converted","capacity_hours"))))</f>
        <v>capacity_converted</v>
      </c>
      <c r="S66" s="11" t="n">
        <f aca="false">IF(OR(R66="",R66="capacity_hours"),0,IF(R66="capacity_converted",P66*Q66,P66))</f>
        <v>7398.092578396</v>
      </c>
      <c r="T66" s="11" t="n">
        <f aca="false">IF(OR(R66="cash",R66="revenue",R66="avoided_cost_realised",R66="capacity_converted"),1,0)</f>
        <v>1</v>
      </c>
      <c r="U66" s="11" t="n">
        <f aca="false">IF(AND(N66,R66&lt;&gt;"capacity_hours",LEN(K66)&gt;0),1,0)</f>
        <v>1</v>
      </c>
      <c r="V66" s="11" t="n">
        <f aca="false">IF(U66=1,SUMPRODUCT(($K$4:$K$703=K66)*($F$4:$F$703=F66)*($U$4:$U$703=1)*($B$4:$B$703&lt;&gt;B66)),0)</f>
        <v>1</v>
      </c>
      <c r="W66" s="11" t="n">
        <f aca="false">IF(AND(U66=1,V66&gt;0),1+SUMPRODUCT(($K$4:$K$703=K66)*($F$4:$F$703=F66)*($U$4:$U$703=1)*($S$4:$S$703&gt;S66))+SUMPRODUCT(($K$4:$K$703=K66)*($F$4:$F$703=F66)*($U$4:$U$703=1)*($S$4:$S$703=S66)*($T$4:$T$703&gt;T66))+SUMPRODUCT(($K$4:$K$703=K66)*($F$4:$F$703=F66)*($U$4:$U$703=1)*($S$4:$S$703=S66)*($T$4:$T$703=T66)*($C$4:$C$703&lt;C66))+SUMPRODUCT(($K$4:$K$703=K66)*($F$4:$F$703=F66)*($U$4:$U$703=1)*($S$4:$S$703=S66)*($T$4:$T$703=T66)*($C$4:$C$703=C66)*($D$4:$D$703&lt;D66)),0)</f>
        <v>2</v>
      </c>
      <c r="X66" s="11" t="n">
        <f aca="false">IF(AND(U66=1,V66&gt;0,W66&gt;1),S66,0)</f>
        <v>7398.092578396</v>
      </c>
      <c r="Y66" s="11" t="n">
        <f aca="false">IF(T66=1,X66/(1+Controls!$B$11)^F66,0)</f>
        <v>7164.6216631831</v>
      </c>
      <c r="Z66" s="11" t="n">
        <f aca="false">IF(AND(N66,E66="capacity",LEN(K66)&gt;0),1,0)</f>
        <v>1</v>
      </c>
      <c r="AA66" s="11" t="n">
        <f aca="false">IF(Z66=1,SUMPRODUCT(($K$4:$K$703=K66)*($F$4:$F$703=F66)*($Z$4:$Z$703=1)*($B$4:$B$703&lt;&gt;B66)),0)</f>
        <v>1</v>
      </c>
      <c r="AB66" s="11" t="n">
        <f aca="false">IF(AND(Z66=1,AA66&gt;0),1+SUMPRODUCT(($K$4:$K$703=K66)*($F$4:$F$703=F66)*($Z$4:$Z$703=1)*($P$4:$P$703&gt;P66))+SUMPRODUCT(($K$4:$K$703=K66)*($F$4:$F$703=F66)*($Z$4:$Z$703=1)*($P$4:$P$703=P66)*($C$4:$C$703&lt;C66))+SUMPRODUCT(($K$4:$K$703=K66)*($F$4:$F$703=F66)*($Z$4:$Z$703=1)*($P$4:$P$703=P66)*($C$4:$C$703=C66)*($D$4:$D$703&lt;D66)),0)</f>
        <v>2</v>
      </c>
      <c r="AC66" s="11" t="n">
        <f aca="false">IF(AND(Z66=1,AA66&gt;0,AB66&gt;1),P66,0)</f>
        <v>213.3859988</v>
      </c>
    </row>
    <row r="67" customFormat="false" ht="15" hidden="false" customHeight="false" outlineLevel="0" collapsed="false">
      <c r="A67" s="4" t="s">
        <v>275</v>
      </c>
      <c r="B67" s="4" t="s">
        <v>84</v>
      </c>
      <c r="C67" s="4" t="n">
        <v>2</v>
      </c>
      <c r="D67" s="4" t="n">
        <v>64</v>
      </c>
      <c r="E67" s="4" t="s">
        <v>233</v>
      </c>
      <c r="F67" s="4" t="n">
        <v>6</v>
      </c>
      <c r="G67" s="4" t="n">
        <v>3</v>
      </c>
      <c r="H67" s="4" t="n">
        <v>995.8</v>
      </c>
      <c r="I67" s="13" t="b">
        <f aca="false">FALSE()</f>
        <v>0</v>
      </c>
      <c r="K67" s="4" t="s">
        <v>234</v>
      </c>
      <c r="L67" s="4" t="n">
        <v>73.81</v>
      </c>
      <c r="M67" s="11" t="n">
        <f aca="false">IFERROR(MATCH(Controls!$B$3&amp;"|"&amp;B67,'Scenario inputs'!$A$4:$A$213,0),0)</f>
        <v>133</v>
      </c>
      <c r="N67" s="8" t="b">
        <f aca="false">IF(M67=0,FALSE(),F67&lt;Controls!$B$12)</f>
        <v>1</v>
      </c>
      <c r="O67" s="11" t="n">
        <f aca="false">IF(N67,IF(INDEX('Scenario inputs'!$E$4:$E$213,M67)=0,1,INDEX('Scenario inputs'!$F$4:$M$213,M67,MIN(MAX(F67-G67,0),INDEX('Scenario inputs'!$E$4:$E$213,M67)-1)+1)),0)</f>
        <v>0.357143</v>
      </c>
      <c r="P67" s="11" t="n">
        <f aca="false">H67*O67</f>
        <v>355.6429994</v>
      </c>
      <c r="Q67" s="11" t="n">
        <f aca="false">IF(M67=0,"",IF(ISNUMBER(INDEX('Scenario inputs'!$N$4:$N$213,M67)),INDEX('Scenario inputs'!$N$4:$N$213,M67),""))</f>
        <v>34.67</v>
      </c>
      <c r="R67" s="0" t="str">
        <f aca="false">IF(NOT(N67),"",IF(OR(E67="cash",E67="revenue"),E67,IF(E67="avoided_cost",IF(AND(I67,LEN(TRIM(J67))&gt;0),"avoided_cost_realised","avoided_cost_beside"),IF(ISNUMBER(Q67),"capacity_converted","capacity_hours"))))</f>
        <v>capacity_converted</v>
      </c>
      <c r="S67" s="11" t="n">
        <f aca="false">IF(OR(R67="",R67="capacity_hours"),0,IF(R67="capacity_converted",P67*Q67,P67))</f>
        <v>12330.142789198</v>
      </c>
      <c r="T67" s="11" t="n">
        <f aca="false">IF(OR(R67="cash",R67="revenue",R67="avoided_cost_realised",R67="capacity_converted"),1,0)</f>
        <v>1</v>
      </c>
      <c r="U67" s="11" t="n">
        <f aca="false">IF(AND(N67,R67&lt;&gt;"capacity_hours",LEN(K67)&gt;0),1,0)</f>
        <v>1</v>
      </c>
      <c r="V67" s="11" t="n">
        <f aca="false">IF(U67=1,SUMPRODUCT(($K$4:$K$703=K67)*($F$4:$F$703=F67)*($U$4:$U$703=1)*($B$4:$B$703&lt;&gt;B67)),0)</f>
        <v>1</v>
      </c>
      <c r="W67" s="11" t="n">
        <f aca="false">IF(AND(U67=1,V67&gt;0),1+SUMPRODUCT(($K$4:$K$703=K67)*($F$4:$F$703=F67)*($U$4:$U$703=1)*($S$4:$S$703&gt;S67))+SUMPRODUCT(($K$4:$K$703=K67)*($F$4:$F$703=F67)*($U$4:$U$703=1)*($S$4:$S$703=S67)*($T$4:$T$703&gt;T67))+SUMPRODUCT(($K$4:$K$703=K67)*($F$4:$F$703=F67)*($U$4:$U$703=1)*($S$4:$S$703=S67)*($T$4:$T$703=T67)*($C$4:$C$703&lt;C67))+SUMPRODUCT(($K$4:$K$703=K67)*($F$4:$F$703=F67)*($U$4:$U$703=1)*($S$4:$S$703=S67)*($T$4:$T$703=T67)*($C$4:$C$703=C67)*($D$4:$D$703&lt;D67)),0)</f>
        <v>2</v>
      </c>
      <c r="X67" s="11" t="n">
        <f aca="false">IF(AND(U67=1,V67&gt;0,W67&gt;1),S67,0)</f>
        <v>12330.142789198</v>
      </c>
      <c r="Y67" s="11" t="n">
        <f aca="false">IF(T67=1,X67/(1+Controls!$B$11)^F67,0)</f>
        <v>11864.6875605882</v>
      </c>
      <c r="Z67" s="11" t="n">
        <f aca="false">IF(AND(N67,E67="capacity",LEN(K67)&gt;0),1,0)</f>
        <v>1</v>
      </c>
      <c r="AA67" s="11" t="n">
        <f aca="false">IF(Z67=1,SUMPRODUCT(($K$4:$K$703=K67)*($F$4:$F$703=F67)*($Z$4:$Z$703=1)*($B$4:$B$703&lt;&gt;B67)),0)</f>
        <v>1</v>
      </c>
      <c r="AB67" s="11" t="n">
        <f aca="false">IF(AND(Z67=1,AA67&gt;0),1+SUMPRODUCT(($K$4:$K$703=K67)*($F$4:$F$703=F67)*($Z$4:$Z$703=1)*($P$4:$P$703&gt;P67))+SUMPRODUCT(($K$4:$K$703=K67)*($F$4:$F$703=F67)*($Z$4:$Z$703=1)*($P$4:$P$703=P67)*($C$4:$C$703&lt;C67))+SUMPRODUCT(($K$4:$K$703=K67)*($F$4:$F$703=F67)*($Z$4:$Z$703=1)*($P$4:$P$703=P67)*($C$4:$C$703=C67)*($D$4:$D$703&lt;D67)),0)</f>
        <v>2</v>
      </c>
      <c r="AC67" s="11" t="n">
        <f aca="false">IF(AND(Z67=1,AA67&gt;0,AB67&gt;1),P67,0)</f>
        <v>355.6429994</v>
      </c>
    </row>
    <row r="68" customFormat="false" ht="15" hidden="false" customHeight="false" outlineLevel="0" collapsed="false">
      <c r="A68" s="4" t="s">
        <v>276</v>
      </c>
      <c r="B68" s="4" t="s">
        <v>84</v>
      </c>
      <c r="C68" s="4" t="n">
        <v>2</v>
      </c>
      <c r="D68" s="4" t="n">
        <v>65</v>
      </c>
      <c r="E68" s="4" t="s">
        <v>233</v>
      </c>
      <c r="F68" s="4" t="n">
        <v>7</v>
      </c>
      <c r="G68" s="4" t="n">
        <v>3</v>
      </c>
      <c r="H68" s="4" t="n">
        <v>995.8</v>
      </c>
      <c r="I68" s="13" t="b">
        <f aca="false">FALSE()</f>
        <v>0</v>
      </c>
      <c r="K68" s="4" t="s">
        <v>234</v>
      </c>
      <c r="L68" s="4" t="n">
        <v>110.72</v>
      </c>
      <c r="M68" s="11" t="n">
        <f aca="false">IFERROR(MATCH(Controls!$B$3&amp;"|"&amp;B68,'Scenario inputs'!$A$4:$A$213,0),0)</f>
        <v>133</v>
      </c>
      <c r="N68" s="8" t="b">
        <f aca="false">IF(M68=0,FALSE(),F68&lt;Controls!$B$12)</f>
        <v>1</v>
      </c>
      <c r="O68" s="11" t="n">
        <f aca="false">IF(N68,IF(INDEX('Scenario inputs'!$E$4:$E$213,M68)=0,1,INDEX('Scenario inputs'!$F$4:$M$213,M68,MIN(MAX(F68-G68,0),INDEX('Scenario inputs'!$E$4:$E$213,M68)-1)+1)),0)</f>
        <v>0.535714</v>
      </c>
      <c r="P68" s="11" t="n">
        <f aca="false">H68*O68</f>
        <v>533.4640012</v>
      </c>
      <c r="Q68" s="11" t="n">
        <f aca="false">IF(M68=0,"",IF(ISNUMBER(INDEX('Scenario inputs'!$N$4:$N$213,M68)),INDEX('Scenario inputs'!$N$4:$N$213,M68),""))</f>
        <v>34.67</v>
      </c>
      <c r="R68" s="0" t="str">
        <f aca="false">IF(NOT(N68),"",IF(OR(E68="cash",E68="revenue"),E68,IF(E68="avoided_cost",IF(AND(I68,LEN(TRIM(J68))&gt;0),"avoided_cost_realised","avoided_cost_beside"),IF(ISNUMBER(Q68),"capacity_converted","capacity_hours"))))</f>
        <v>capacity_converted</v>
      </c>
      <c r="S68" s="11" t="n">
        <f aca="false">IF(OR(R68="",R68="capacity_hours"),0,IF(R68="capacity_converted",P68*Q68,P68))</f>
        <v>18495.196921604</v>
      </c>
      <c r="T68" s="11" t="n">
        <f aca="false">IF(OR(R68="cash",R68="revenue",R68="avoided_cost_realised",R68="capacity_converted"),1,0)</f>
        <v>1</v>
      </c>
      <c r="U68" s="11" t="n">
        <f aca="false">IF(AND(N68,R68&lt;&gt;"capacity_hours",LEN(K68)&gt;0),1,0)</f>
        <v>1</v>
      </c>
      <c r="V68" s="11" t="n">
        <f aca="false">IF(U68=1,SUMPRODUCT(($K$4:$K$703=K68)*($F$4:$F$703=F68)*($U$4:$U$703=1)*($B$4:$B$703&lt;&gt;B68)),0)</f>
        <v>1</v>
      </c>
      <c r="W68" s="11" t="n">
        <f aca="false">IF(AND(U68=1,V68&gt;0),1+SUMPRODUCT(($K$4:$K$703=K68)*($F$4:$F$703=F68)*($U$4:$U$703=1)*($S$4:$S$703&gt;S68))+SUMPRODUCT(($K$4:$K$703=K68)*($F$4:$F$703=F68)*($U$4:$U$703=1)*($S$4:$S$703=S68)*($T$4:$T$703&gt;T68))+SUMPRODUCT(($K$4:$K$703=K68)*($F$4:$F$703=F68)*($U$4:$U$703=1)*($S$4:$S$703=S68)*($T$4:$T$703=T68)*($C$4:$C$703&lt;C68))+SUMPRODUCT(($K$4:$K$703=K68)*($F$4:$F$703=F68)*($U$4:$U$703=1)*($S$4:$S$703=S68)*($T$4:$T$703=T68)*($C$4:$C$703=C68)*($D$4:$D$703&lt;D68)),0)</f>
        <v>2</v>
      </c>
      <c r="X68" s="11" t="n">
        <f aca="false">IF(AND(U68=1,V68&gt;0,W68&gt;1),S68,0)</f>
        <v>18495.196921604</v>
      </c>
      <c r="Y68" s="11" t="n">
        <f aca="false">IF(T68=1,X68/(1+Controls!$B$11)^F68,0)</f>
        <v>17683.2407592811</v>
      </c>
      <c r="Z68" s="11" t="n">
        <f aca="false">IF(AND(N68,E68="capacity",LEN(K68)&gt;0),1,0)</f>
        <v>1</v>
      </c>
      <c r="AA68" s="11" t="n">
        <f aca="false">IF(Z68=1,SUMPRODUCT(($K$4:$K$703=K68)*($F$4:$F$703=F68)*($Z$4:$Z$703=1)*($B$4:$B$703&lt;&gt;B68)),0)</f>
        <v>1</v>
      </c>
      <c r="AB68" s="11" t="n">
        <f aca="false">IF(AND(Z68=1,AA68&gt;0),1+SUMPRODUCT(($K$4:$K$703=K68)*($F$4:$F$703=F68)*($Z$4:$Z$703=1)*($P$4:$P$703&gt;P68))+SUMPRODUCT(($K$4:$K$703=K68)*($F$4:$F$703=F68)*($Z$4:$Z$703=1)*($P$4:$P$703=P68)*($C$4:$C$703&lt;C68))+SUMPRODUCT(($K$4:$K$703=K68)*($F$4:$F$703=F68)*($Z$4:$Z$703=1)*($P$4:$P$703=P68)*($C$4:$C$703=C68)*($D$4:$D$703&lt;D68)),0)</f>
        <v>2</v>
      </c>
      <c r="AC68" s="11" t="n">
        <f aca="false">IF(AND(Z68=1,AA68&gt;0,AB68&gt;1),P68,0)</f>
        <v>533.4640012</v>
      </c>
    </row>
    <row r="69" customFormat="false" ht="15" hidden="false" customHeight="false" outlineLevel="0" collapsed="false">
      <c r="A69" s="4" t="s">
        <v>277</v>
      </c>
      <c r="B69" s="4" t="s">
        <v>84</v>
      </c>
      <c r="C69" s="4" t="n">
        <v>2</v>
      </c>
      <c r="D69" s="4" t="n">
        <v>66</v>
      </c>
      <c r="E69" s="4" t="s">
        <v>233</v>
      </c>
      <c r="F69" s="4" t="n">
        <v>8</v>
      </c>
      <c r="G69" s="4" t="n">
        <v>3</v>
      </c>
      <c r="H69" s="4" t="n">
        <v>995.8</v>
      </c>
      <c r="I69" s="13" t="b">
        <f aca="false">FALSE()</f>
        <v>0</v>
      </c>
      <c r="K69" s="4" t="s">
        <v>234</v>
      </c>
      <c r="L69" s="4" t="n">
        <v>158.11</v>
      </c>
      <c r="M69" s="11" t="n">
        <f aca="false">IFERROR(MATCH(Controls!$B$3&amp;"|"&amp;B69,'Scenario inputs'!$A$4:$A$213,0),0)</f>
        <v>133</v>
      </c>
      <c r="N69" s="8" t="b">
        <f aca="false">IF(M69=0,FALSE(),F69&lt;Controls!$B$12)</f>
        <v>1</v>
      </c>
      <c r="O69" s="11" t="n">
        <f aca="false">IF(N69,IF(INDEX('Scenario inputs'!$E$4:$E$213,M69)=0,1,INDEX('Scenario inputs'!$F$4:$M$213,M69,MIN(MAX(F69-G69,0),INDEX('Scenario inputs'!$E$4:$E$213,M69)-1)+1)),0)</f>
        <v>0.75</v>
      </c>
      <c r="P69" s="11" t="n">
        <f aca="false">H69*O69</f>
        <v>746.85</v>
      </c>
      <c r="Q69" s="11" t="n">
        <f aca="false">IF(M69=0,"",IF(ISNUMBER(INDEX('Scenario inputs'!$N$4:$N$213,M69)),INDEX('Scenario inputs'!$N$4:$N$213,M69),""))</f>
        <v>34.67</v>
      </c>
      <c r="R69" s="0" t="str">
        <f aca="false">IF(NOT(N69),"",IF(OR(E69="cash",E69="revenue"),E69,IF(E69="avoided_cost",IF(AND(I69,LEN(TRIM(J69))&gt;0),"avoided_cost_realised","avoided_cost_beside"),IF(ISNUMBER(Q69),"capacity_converted","capacity_hours"))))</f>
        <v>capacity_converted</v>
      </c>
      <c r="S69" s="11" t="n">
        <f aca="false">IF(OR(R69="",R69="capacity_hours"),0,IF(R69="capacity_converted",P69*Q69,P69))</f>
        <v>25893.2895</v>
      </c>
      <c r="T69" s="11" t="n">
        <f aca="false">IF(OR(R69="cash",R69="revenue",R69="avoided_cost_realised",R69="capacity_converted"),1,0)</f>
        <v>1</v>
      </c>
      <c r="U69" s="11" t="n">
        <f aca="false">IF(AND(N69,R69&lt;&gt;"capacity_hours",LEN(K69)&gt;0),1,0)</f>
        <v>1</v>
      </c>
      <c r="V69" s="11" t="n">
        <f aca="false">IF(U69=1,SUMPRODUCT(($K$4:$K$703=K69)*($F$4:$F$703=F69)*($U$4:$U$703=1)*($B$4:$B$703&lt;&gt;B69)),0)</f>
        <v>1</v>
      </c>
      <c r="W69" s="11" t="n">
        <f aca="false">IF(AND(U69=1,V69&gt;0),1+SUMPRODUCT(($K$4:$K$703=K69)*($F$4:$F$703=F69)*($U$4:$U$703=1)*($S$4:$S$703&gt;S69))+SUMPRODUCT(($K$4:$K$703=K69)*($F$4:$F$703=F69)*($U$4:$U$703=1)*($S$4:$S$703=S69)*($T$4:$T$703&gt;T69))+SUMPRODUCT(($K$4:$K$703=K69)*($F$4:$F$703=F69)*($U$4:$U$703=1)*($S$4:$S$703=S69)*($T$4:$T$703=T69)*($C$4:$C$703&lt;C69))+SUMPRODUCT(($K$4:$K$703=K69)*($F$4:$F$703=F69)*($U$4:$U$703=1)*($S$4:$S$703=S69)*($T$4:$T$703=T69)*($C$4:$C$703=C69)*($D$4:$D$703&lt;D69)),0)</f>
        <v>2</v>
      </c>
      <c r="X69" s="11" t="n">
        <f aca="false">IF(AND(U69=1,V69&gt;0,W69&gt;1),S69,0)</f>
        <v>25893.2895</v>
      </c>
      <c r="Y69" s="11" t="n">
        <f aca="false">IF(T69=1,X69/(1+Controls!$B$11)^F69,0)</f>
        <v>24598.2849014312</v>
      </c>
      <c r="Z69" s="11" t="n">
        <f aca="false">IF(AND(N69,E69="capacity",LEN(K69)&gt;0),1,0)</f>
        <v>1</v>
      </c>
      <c r="AA69" s="11" t="n">
        <f aca="false">IF(Z69=1,SUMPRODUCT(($K$4:$K$703=K69)*($F$4:$F$703=F69)*($Z$4:$Z$703=1)*($B$4:$B$703&lt;&gt;B69)),0)</f>
        <v>1</v>
      </c>
      <c r="AB69" s="11" t="n">
        <f aca="false">IF(AND(Z69=1,AA69&gt;0),1+SUMPRODUCT(($K$4:$K$703=K69)*($F$4:$F$703=F69)*($Z$4:$Z$703=1)*($P$4:$P$703&gt;P69))+SUMPRODUCT(($K$4:$K$703=K69)*($F$4:$F$703=F69)*($Z$4:$Z$703=1)*($P$4:$P$703=P69)*($C$4:$C$703&lt;C69))+SUMPRODUCT(($K$4:$K$703=K69)*($F$4:$F$703=F69)*($Z$4:$Z$703=1)*($P$4:$P$703=P69)*($C$4:$C$703=C69)*($D$4:$D$703&lt;D69)),0)</f>
        <v>2</v>
      </c>
      <c r="AC69" s="11" t="n">
        <f aca="false">IF(AND(Z69=1,AA69&gt;0,AB69&gt;1),P69,0)</f>
        <v>746.85</v>
      </c>
    </row>
    <row r="70" customFormat="false" ht="15" hidden="false" customHeight="false" outlineLevel="0" collapsed="false">
      <c r="A70" s="4" t="s">
        <v>278</v>
      </c>
      <c r="B70" s="4" t="s">
        <v>84</v>
      </c>
      <c r="C70" s="4" t="n">
        <v>2</v>
      </c>
      <c r="D70" s="4" t="n">
        <v>67</v>
      </c>
      <c r="E70" s="4" t="s">
        <v>233</v>
      </c>
      <c r="F70" s="4" t="n">
        <v>9</v>
      </c>
      <c r="G70" s="4" t="n">
        <v>3</v>
      </c>
      <c r="H70" s="4" t="n">
        <v>995.8</v>
      </c>
      <c r="I70" s="13" t="b">
        <f aca="false">FALSE()</f>
        <v>0</v>
      </c>
      <c r="K70" s="4" t="s">
        <v>234</v>
      </c>
      <c r="L70" s="4" t="n">
        <v>219.87</v>
      </c>
      <c r="M70" s="11" t="n">
        <f aca="false">IFERROR(MATCH(Controls!$B$3&amp;"|"&amp;B70,'Scenario inputs'!$A$4:$A$213,0),0)</f>
        <v>133</v>
      </c>
      <c r="N70" s="8" t="b">
        <f aca="false">IF(M70=0,FALSE(),F70&lt;Controls!$B$12)</f>
        <v>1</v>
      </c>
      <c r="O70" s="11" t="n">
        <f aca="false">IF(N70,IF(INDEX('Scenario inputs'!$E$4:$E$213,M70)=0,1,INDEX('Scenario inputs'!$F$4:$M$213,M70,MIN(MAX(F70-G70,0),INDEX('Scenario inputs'!$E$4:$E$213,M70)-1)+1)),0)</f>
        <v>1</v>
      </c>
      <c r="P70" s="11" t="n">
        <f aca="false">H70*O70</f>
        <v>995.8</v>
      </c>
      <c r="Q70" s="11" t="n">
        <f aca="false">IF(M70=0,"",IF(ISNUMBER(INDEX('Scenario inputs'!$N$4:$N$213,M70)),INDEX('Scenario inputs'!$N$4:$N$213,M70),""))</f>
        <v>34.67</v>
      </c>
      <c r="R70" s="0" t="str">
        <f aca="false">IF(NOT(N70),"",IF(OR(E70="cash",E70="revenue"),E70,IF(E70="avoided_cost",IF(AND(I70,LEN(TRIM(J70))&gt;0),"avoided_cost_realised","avoided_cost_beside"),IF(ISNUMBER(Q70),"capacity_converted","capacity_hours"))))</f>
        <v>capacity_converted</v>
      </c>
      <c r="S70" s="11" t="n">
        <f aca="false">IF(OR(R70="",R70="capacity_hours"),0,IF(R70="capacity_converted",P70*Q70,P70))</f>
        <v>34524.386</v>
      </c>
      <c r="T70" s="11" t="n">
        <f aca="false">IF(OR(R70="cash",R70="revenue",R70="avoided_cost_realised",R70="capacity_converted"),1,0)</f>
        <v>1</v>
      </c>
      <c r="U70" s="11" t="n">
        <f aca="false">IF(AND(N70,R70&lt;&gt;"capacity_hours",LEN(K70)&gt;0),1,0)</f>
        <v>1</v>
      </c>
      <c r="V70" s="11" t="n">
        <f aca="false">IF(U70=1,SUMPRODUCT(($K$4:$K$703=K70)*($F$4:$F$703=F70)*($U$4:$U$703=1)*($B$4:$B$703&lt;&gt;B70)),0)</f>
        <v>1</v>
      </c>
      <c r="W70" s="11" t="n">
        <f aca="false">IF(AND(U70=1,V70&gt;0),1+SUMPRODUCT(($K$4:$K$703=K70)*($F$4:$F$703=F70)*($U$4:$U$703=1)*($S$4:$S$703&gt;S70))+SUMPRODUCT(($K$4:$K$703=K70)*($F$4:$F$703=F70)*($U$4:$U$703=1)*($S$4:$S$703=S70)*($T$4:$T$703&gt;T70))+SUMPRODUCT(($K$4:$K$703=K70)*($F$4:$F$703=F70)*($U$4:$U$703=1)*($S$4:$S$703=S70)*($T$4:$T$703=T70)*($C$4:$C$703&lt;C70))+SUMPRODUCT(($K$4:$K$703=K70)*($F$4:$F$703=F70)*($U$4:$U$703=1)*($S$4:$S$703=S70)*($T$4:$T$703=T70)*($C$4:$C$703=C70)*($D$4:$D$703&lt;D70)),0)</f>
        <v>2</v>
      </c>
      <c r="X70" s="11" t="n">
        <f aca="false">IF(AND(U70=1,V70&gt;0,W70&gt;1),S70,0)</f>
        <v>34524.386</v>
      </c>
      <c r="Y70" s="11" t="n">
        <f aca="false">IF(T70=1,X70/(1+Controls!$B$11)^F70,0)</f>
        <v>32588.0417413445</v>
      </c>
      <c r="Z70" s="11" t="n">
        <f aca="false">IF(AND(N70,E70="capacity",LEN(K70)&gt;0),1,0)</f>
        <v>1</v>
      </c>
      <c r="AA70" s="11" t="n">
        <f aca="false">IF(Z70=1,SUMPRODUCT(($K$4:$K$703=K70)*($F$4:$F$703=F70)*($Z$4:$Z$703=1)*($B$4:$B$703&lt;&gt;B70)),0)</f>
        <v>1</v>
      </c>
      <c r="AB70" s="11" t="n">
        <f aca="false">IF(AND(Z70=1,AA70&gt;0),1+SUMPRODUCT(($K$4:$K$703=K70)*($F$4:$F$703=F70)*($Z$4:$Z$703=1)*($P$4:$P$703&gt;P70))+SUMPRODUCT(($K$4:$K$703=K70)*($F$4:$F$703=F70)*($Z$4:$Z$703=1)*($P$4:$P$703=P70)*($C$4:$C$703&lt;C70))+SUMPRODUCT(($K$4:$K$703=K70)*($F$4:$F$703=F70)*($Z$4:$Z$703=1)*($P$4:$P$703=P70)*($C$4:$C$703=C70)*($D$4:$D$703&lt;D70)),0)</f>
        <v>2</v>
      </c>
      <c r="AC70" s="11" t="n">
        <f aca="false">IF(AND(Z70=1,AA70&gt;0,AB70&gt;1),P70,0)</f>
        <v>995.8</v>
      </c>
    </row>
    <row r="71" customFormat="false" ht="15" hidden="false" customHeight="false" outlineLevel="0" collapsed="false">
      <c r="A71" s="4" t="s">
        <v>279</v>
      </c>
      <c r="B71" s="4" t="s">
        <v>84</v>
      </c>
      <c r="C71" s="4" t="n">
        <v>2</v>
      </c>
      <c r="D71" s="4" t="n">
        <v>68</v>
      </c>
      <c r="E71" s="4" t="s">
        <v>233</v>
      </c>
      <c r="F71" s="4" t="n">
        <v>10</v>
      </c>
      <c r="G71" s="4" t="n">
        <v>3</v>
      </c>
      <c r="H71" s="4" t="n">
        <v>995.8</v>
      </c>
      <c r="I71" s="13" t="b">
        <f aca="false">FALSE()</f>
        <v>0</v>
      </c>
      <c r="K71" s="4" t="s">
        <v>234</v>
      </c>
      <c r="L71" s="4" t="n">
        <v>219.87</v>
      </c>
      <c r="M71" s="11" t="n">
        <f aca="false">IFERROR(MATCH(Controls!$B$3&amp;"|"&amp;B71,'Scenario inputs'!$A$4:$A$213,0),0)</f>
        <v>133</v>
      </c>
      <c r="N71" s="8" t="b">
        <f aca="false">IF(M71=0,FALSE(),F71&lt;Controls!$B$12)</f>
        <v>1</v>
      </c>
      <c r="O71" s="11" t="n">
        <f aca="false">IF(N71,IF(INDEX('Scenario inputs'!$E$4:$E$213,M71)=0,1,INDEX('Scenario inputs'!$F$4:$M$213,M71,MIN(MAX(F71-G71,0),INDEX('Scenario inputs'!$E$4:$E$213,M71)-1)+1)),0)</f>
        <v>1</v>
      </c>
      <c r="P71" s="11" t="n">
        <f aca="false">H71*O71</f>
        <v>995.8</v>
      </c>
      <c r="Q71" s="11" t="n">
        <f aca="false">IF(M71=0,"",IF(ISNUMBER(INDEX('Scenario inputs'!$N$4:$N$213,M71)),INDEX('Scenario inputs'!$N$4:$N$213,M71),""))</f>
        <v>34.67</v>
      </c>
      <c r="R71" s="0" t="str">
        <f aca="false">IF(NOT(N71),"",IF(OR(E71="cash",E71="revenue"),E71,IF(E71="avoided_cost",IF(AND(I71,LEN(TRIM(J71))&gt;0),"avoided_cost_realised","avoided_cost_beside"),IF(ISNUMBER(Q71),"capacity_converted","capacity_hours"))))</f>
        <v>capacity_converted</v>
      </c>
      <c r="S71" s="11" t="n">
        <f aca="false">IF(OR(R71="",R71="capacity_hours"),0,IF(R71="capacity_converted",P71*Q71,P71))</f>
        <v>34524.386</v>
      </c>
      <c r="T71" s="11" t="n">
        <f aca="false">IF(OR(R71="cash",R71="revenue",R71="avoided_cost_realised",R71="capacity_converted"),1,0)</f>
        <v>1</v>
      </c>
      <c r="U71" s="11" t="n">
        <f aca="false">IF(AND(N71,R71&lt;&gt;"capacity_hours",LEN(K71)&gt;0),1,0)</f>
        <v>1</v>
      </c>
      <c r="V71" s="11" t="n">
        <f aca="false">IF(U71=1,SUMPRODUCT(($K$4:$K$703=K71)*($F$4:$F$703=F71)*($U$4:$U$703=1)*($B$4:$B$703&lt;&gt;B71)),0)</f>
        <v>1</v>
      </c>
      <c r="W71" s="11" t="n">
        <f aca="false">IF(AND(U71=1,V71&gt;0),1+SUMPRODUCT(($K$4:$K$703=K71)*($F$4:$F$703=F71)*($U$4:$U$703=1)*($S$4:$S$703&gt;S71))+SUMPRODUCT(($K$4:$K$703=K71)*($F$4:$F$703=F71)*($U$4:$U$703=1)*($S$4:$S$703=S71)*($T$4:$T$703&gt;T71))+SUMPRODUCT(($K$4:$K$703=K71)*($F$4:$F$703=F71)*($U$4:$U$703=1)*($S$4:$S$703=S71)*($T$4:$T$703=T71)*($C$4:$C$703&lt;C71))+SUMPRODUCT(($K$4:$K$703=K71)*($F$4:$F$703=F71)*($U$4:$U$703=1)*($S$4:$S$703=S71)*($T$4:$T$703=T71)*($C$4:$C$703=C71)*($D$4:$D$703&lt;D71)),0)</f>
        <v>2</v>
      </c>
      <c r="X71" s="11" t="n">
        <f aca="false">IF(AND(U71=1,V71&gt;0,W71&gt;1),S71,0)</f>
        <v>34524.386</v>
      </c>
      <c r="Y71" s="11" t="n">
        <f aca="false">IF(T71=1,X71/(1+Controls!$B$11)^F71,0)</f>
        <v>32379.7106828113</v>
      </c>
      <c r="Z71" s="11" t="n">
        <f aca="false">IF(AND(N71,E71="capacity",LEN(K71)&gt;0),1,0)</f>
        <v>1</v>
      </c>
      <c r="AA71" s="11" t="n">
        <f aca="false">IF(Z71=1,SUMPRODUCT(($K$4:$K$703=K71)*($F$4:$F$703=F71)*($Z$4:$Z$703=1)*($B$4:$B$703&lt;&gt;B71)),0)</f>
        <v>1</v>
      </c>
      <c r="AB71" s="11" t="n">
        <f aca="false">IF(AND(Z71=1,AA71&gt;0),1+SUMPRODUCT(($K$4:$K$703=K71)*($F$4:$F$703=F71)*($Z$4:$Z$703=1)*($P$4:$P$703&gt;P71))+SUMPRODUCT(($K$4:$K$703=K71)*($F$4:$F$703=F71)*($Z$4:$Z$703=1)*($P$4:$P$703=P71)*($C$4:$C$703&lt;C71))+SUMPRODUCT(($K$4:$K$703=K71)*($F$4:$F$703=F71)*($Z$4:$Z$703=1)*($P$4:$P$703=P71)*($C$4:$C$703=C71)*($D$4:$D$703&lt;D71)),0)</f>
        <v>2</v>
      </c>
      <c r="AC71" s="11" t="n">
        <f aca="false">IF(AND(Z71=1,AA71&gt;0,AB71&gt;1),P71,0)</f>
        <v>995.8</v>
      </c>
    </row>
    <row r="72" customFormat="false" ht="15" hidden="false" customHeight="false" outlineLevel="0" collapsed="false">
      <c r="A72" s="4" t="s">
        <v>280</v>
      </c>
      <c r="B72" s="4" t="s">
        <v>84</v>
      </c>
      <c r="C72" s="4" t="n">
        <v>2</v>
      </c>
      <c r="D72" s="4" t="n">
        <v>69</v>
      </c>
      <c r="E72" s="4" t="s">
        <v>233</v>
      </c>
      <c r="F72" s="4" t="n">
        <v>11</v>
      </c>
      <c r="G72" s="4" t="n">
        <v>3</v>
      </c>
      <c r="H72" s="4" t="n">
        <v>995.8</v>
      </c>
      <c r="I72" s="13" t="b">
        <f aca="false">FALSE()</f>
        <v>0</v>
      </c>
      <c r="K72" s="4" t="s">
        <v>234</v>
      </c>
      <c r="L72" s="4" t="n">
        <v>219.87</v>
      </c>
      <c r="M72" s="11" t="n">
        <f aca="false">IFERROR(MATCH(Controls!$B$3&amp;"|"&amp;B72,'Scenario inputs'!$A$4:$A$213,0),0)</f>
        <v>133</v>
      </c>
      <c r="N72" s="8" t="b">
        <f aca="false">IF(M72=0,FALSE(),F72&lt;Controls!$B$12)</f>
        <v>1</v>
      </c>
      <c r="O72" s="11" t="n">
        <f aca="false">IF(N72,IF(INDEX('Scenario inputs'!$E$4:$E$213,M72)=0,1,INDEX('Scenario inputs'!$F$4:$M$213,M72,MIN(MAX(F72-G72,0),INDEX('Scenario inputs'!$E$4:$E$213,M72)-1)+1)),0)</f>
        <v>1</v>
      </c>
      <c r="P72" s="11" t="n">
        <f aca="false">H72*O72</f>
        <v>995.8</v>
      </c>
      <c r="Q72" s="11" t="n">
        <f aca="false">IF(M72=0,"",IF(ISNUMBER(INDEX('Scenario inputs'!$N$4:$N$213,M72)),INDEX('Scenario inputs'!$N$4:$N$213,M72),""))</f>
        <v>34.67</v>
      </c>
      <c r="R72" s="0" t="str">
        <f aca="false">IF(NOT(N72),"",IF(OR(E72="cash",E72="revenue"),E72,IF(E72="avoided_cost",IF(AND(I72,LEN(TRIM(J72))&gt;0),"avoided_cost_realised","avoided_cost_beside"),IF(ISNUMBER(Q72),"capacity_converted","capacity_hours"))))</f>
        <v>capacity_converted</v>
      </c>
      <c r="S72" s="11" t="n">
        <f aca="false">IF(OR(R72="",R72="capacity_hours"),0,IF(R72="capacity_converted",P72*Q72,P72))</f>
        <v>34524.386</v>
      </c>
      <c r="T72" s="11" t="n">
        <f aca="false">IF(OR(R72="cash",R72="revenue",R72="avoided_cost_realised",R72="capacity_converted"),1,0)</f>
        <v>1</v>
      </c>
      <c r="U72" s="11" t="n">
        <f aca="false">IF(AND(N72,R72&lt;&gt;"capacity_hours",LEN(K72)&gt;0),1,0)</f>
        <v>1</v>
      </c>
      <c r="V72" s="11" t="n">
        <f aca="false">IF(U72=1,SUMPRODUCT(($K$4:$K$703=K72)*($F$4:$F$703=F72)*($U$4:$U$703=1)*($B$4:$B$703&lt;&gt;B72)),0)</f>
        <v>1</v>
      </c>
      <c r="W72" s="11" t="n">
        <f aca="false">IF(AND(U72=1,V72&gt;0),1+SUMPRODUCT(($K$4:$K$703=K72)*($F$4:$F$703=F72)*($U$4:$U$703=1)*($S$4:$S$703&gt;S72))+SUMPRODUCT(($K$4:$K$703=K72)*($F$4:$F$703=F72)*($U$4:$U$703=1)*($S$4:$S$703=S72)*($T$4:$T$703&gt;T72))+SUMPRODUCT(($K$4:$K$703=K72)*($F$4:$F$703=F72)*($U$4:$U$703=1)*($S$4:$S$703=S72)*($T$4:$T$703=T72)*($C$4:$C$703&lt;C72))+SUMPRODUCT(($K$4:$K$703=K72)*($F$4:$F$703=F72)*($U$4:$U$703=1)*($S$4:$S$703=S72)*($T$4:$T$703=T72)*($C$4:$C$703=C72)*($D$4:$D$703&lt;D72)),0)</f>
        <v>2</v>
      </c>
      <c r="X72" s="11" t="n">
        <f aca="false">IF(AND(U72=1,V72&gt;0,W72&gt;1),S72,0)</f>
        <v>34524.386</v>
      </c>
      <c r="Y72" s="11" t="n">
        <f aca="false">IF(T72=1,X72/(1+Controls!$B$11)^F72,0)</f>
        <v>32172.711457295</v>
      </c>
      <c r="Z72" s="11" t="n">
        <f aca="false">IF(AND(N72,E72="capacity",LEN(K72)&gt;0),1,0)</f>
        <v>1</v>
      </c>
      <c r="AA72" s="11" t="n">
        <f aca="false">IF(Z72=1,SUMPRODUCT(($K$4:$K$703=K72)*($F$4:$F$703=F72)*($Z$4:$Z$703=1)*($B$4:$B$703&lt;&gt;B72)),0)</f>
        <v>1</v>
      </c>
      <c r="AB72" s="11" t="n">
        <f aca="false">IF(AND(Z72=1,AA72&gt;0),1+SUMPRODUCT(($K$4:$K$703=K72)*($F$4:$F$703=F72)*($Z$4:$Z$703=1)*($P$4:$P$703&gt;P72))+SUMPRODUCT(($K$4:$K$703=K72)*($F$4:$F$703=F72)*($Z$4:$Z$703=1)*($P$4:$P$703=P72)*($C$4:$C$703&lt;C72))+SUMPRODUCT(($K$4:$K$703=K72)*($F$4:$F$703=F72)*($Z$4:$Z$703=1)*($P$4:$P$703=P72)*($C$4:$C$703=C72)*($D$4:$D$703&lt;D72)),0)</f>
        <v>2</v>
      </c>
      <c r="AC72" s="11" t="n">
        <f aca="false">IF(AND(Z72=1,AA72&gt;0,AB72&gt;1),P72,0)</f>
        <v>995.8</v>
      </c>
    </row>
    <row r="73" customFormat="false" ht="15" hidden="false" customHeight="false" outlineLevel="0" collapsed="false">
      <c r="A73" s="4" t="s">
        <v>281</v>
      </c>
      <c r="B73" s="4" t="s">
        <v>84</v>
      </c>
      <c r="C73" s="4" t="n">
        <v>2</v>
      </c>
      <c r="D73" s="4" t="n">
        <v>70</v>
      </c>
      <c r="E73" s="4" t="s">
        <v>233</v>
      </c>
      <c r="F73" s="4" t="n">
        <v>12</v>
      </c>
      <c r="G73" s="4" t="n">
        <v>3</v>
      </c>
      <c r="H73" s="4" t="n">
        <v>995.8</v>
      </c>
      <c r="I73" s="13" t="b">
        <f aca="false">FALSE()</f>
        <v>0</v>
      </c>
      <c r="K73" s="4" t="s">
        <v>234</v>
      </c>
      <c r="L73" s="4" t="n">
        <v>219.87</v>
      </c>
      <c r="M73" s="11" t="n">
        <f aca="false">IFERROR(MATCH(Controls!$B$3&amp;"|"&amp;B73,'Scenario inputs'!$A$4:$A$213,0),0)</f>
        <v>133</v>
      </c>
      <c r="N73" s="8" t="b">
        <f aca="false">IF(M73=0,FALSE(),F73&lt;Controls!$B$12)</f>
        <v>1</v>
      </c>
      <c r="O73" s="11" t="n">
        <f aca="false">IF(N73,IF(INDEX('Scenario inputs'!$E$4:$E$213,M73)=0,1,INDEX('Scenario inputs'!$F$4:$M$213,M73,MIN(MAX(F73-G73,0),INDEX('Scenario inputs'!$E$4:$E$213,M73)-1)+1)),0)</f>
        <v>1</v>
      </c>
      <c r="P73" s="11" t="n">
        <f aca="false">H73*O73</f>
        <v>995.8</v>
      </c>
      <c r="Q73" s="11" t="n">
        <f aca="false">IF(M73=0,"",IF(ISNUMBER(INDEX('Scenario inputs'!$N$4:$N$213,M73)),INDEX('Scenario inputs'!$N$4:$N$213,M73),""))</f>
        <v>34.67</v>
      </c>
      <c r="R73" s="0" t="str">
        <f aca="false">IF(NOT(N73),"",IF(OR(E73="cash",E73="revenue"),E73,IF(E73="avoided_cost",IF(AND(I73,LEN(TRIM(J73))&gt;0),"avoided_cost_realised","avoided_cost_beside"),IF(ISNUMBER(Q73),"capacity_converted","capacity_hours"))))</f>
        <v>capacity_converted</v>
      </c>
      <c r="S73" s="11" t="n">
        <f aca="false">IF(OR(R73="",R73="capacity_hours"),0,IF(R73="capacity_converted",P73*Q73,P73))</f>
        <v>34524.386</v>
      </c>
      <c r="T73" s="11" t="n">
        <f aca="false">IF(OR(R73="cash",R73="revenue",R73="avoided_cost_realised",R73="capacity_converted"),1,0)</f>
        <v>1</v>
      </c>
      <c r="U73" s="11" t="n">
        <f aca="false">IF(AND(N73,R73&lt;&gt;"capacity_hours",LEN(K73)&gt;0),1,0)</f>
        <v>1</v>
      </c>
      <c r="V73" s="11" t="n">
        <f aca="false">IF(U73=1,SUMPRODUCT(($K$4:$K$703=K73)*($F$4:$F$703=F73)*($U$4:$U$703=1)*($B$4:$B$703&lt;&gt;B73)),0)</f>
        <v>1</v>
      </c>
      <c r="W73" s="11" t="n">
        <f aca="false">IF(AND(U73=1,V73&gt;0),1+SUMPRODUCT(($K$4:$K$703=K73)*($F$4:$F$703=F73)*($U$4:$U$703=1)*($S$4:$S$703&gt;S73))+SUMPRODUCT(($K$4:$K$703=K73)*($F$4:$F$703=F73)*($U$4:$U$703=1)*($S$4:$S$703=S73)*($T$4:$T$703&gt;T73))+SUMPRODUCT(($K$4:$K$703=K73)*($F$4:$F$703=F73)*($U$4:$U$703=1)*($S$4:$S$703=S73)*($T$4:$T$703=T73)*($C$4:$C$703&lt;C73))+SUMPRODUCT(($K$4:$K$703=K73)*($F$4:$F$703=F73)*($U$4:$U$703=1)*($S$4:$S$703=S73)*($T$4:$T$703=T73)*($C$4:$C$703=C73)*($D$4:$D$703&lt;D73)),0)</f>
        <v>2</v>
      </c>
      <c r="X73" s="11" t="n">
        <f aca="false">IF(AND(U73=1,V73&gt;0,W73&gt;1),S73,0)</f>
        <v>34524.386</v>
      </c>
      <c r="Y73" s="11" t="n">
        <f aca="false">IF(T73=1,X73/(1+Controls!$B$11)^F73,0)</f>
        <v>31967.0355505627</v>
      </c>
      <c r="Z73" s="11" t="n">
        <f aca="false">IF(AND(N73,E73="capacity",LEN(K73)&gt;0),1,0)</f>
        <v>1</v>
      </c>
      <c r="AA73" s="11" t="n">
        <f aca="false">IF(Z73=1,SUMPRODUCT(($K$4:$K$703=K73)*($F$4:$F$703=F73)*($Z$4:$Z$703=1)*($B$4:$B$703&lt;&gt;B73)),0)</f>
        <v>1</v>
      </c>
      <c r="AB73" s="11" t="n">
        <f aca="false">IF(AND(Z73=1,AA73&gt;0),1+SUMPRODUCT(($K$4:$K$703=K73)*($F$4:$F$703=F73)*($Z$4:$Z$703=1)*($P$4:$P$703&gt;P73))+SUMPRODUCT(($K$4:$K$703=K73)*($F$4:$F$703=F73)*($Z$4:$Z$703=1)*($P$4:$P$703=P73)*($C$4:$C$703&lt;C73))+SUMPRODUCT(($K$4:$K$703=K73)*($F$4:$F$703=F73)*($Z$4:$Z$703=1)*($P$4:$P$703=P73)*($C$4:$C$703=C73)*($D$4:$D$703&lt;D73)),0)</f>
        <v>2</v>
      </c>
      <c r="AC73" s="11" t="n">
        <f aca="false">IF(AND(Z73=1,AA73&gt;0,AB73&gt;1),P73,0)</f>
        <v>995.8</v>
      </c>
    </row>
    <row r="74" customFormat="false" ht="15" hidden="false" customHeight="false" outlineLevel="0" collapsed="false">
      <c r="A74" s="4" t="s">
        <v>282</v>
      </c>
      <c r="B74" s="4" t="s">
        <v>84</v>
      </c>
      <c r="C74" s="4" t="n">
        <v>2</v>
      </c>
      <c r="D74" s="4" t="n">
        <v>71</v>
      </c>
      <c r="E74" s="4" t="s">
        <v>233</v>
      </c>
      <c r="F74" s="4" t="n">
        <v>13</v>
      </c>
      <c r="G74" s="4" t="n">
        <v>3</v>
      </c>
      <c r="H74" s="4" t="n">
        <v>995.8</v>
      </c>
      <c r="I74" s="13" t="b">
        <f aca="false">FALSE()</f>
        <v>0</v>
      </c>
      <c r="K74" s="4" t="s">
        <v>234</v>
      </c>
      <c r="L74" s="4" t="n">
        <v>219.87</v>
      </c>
      <c r="M74" s="11" t="n">
        <f aca="false">IFERROR(MATCH(Controls!$B$3&amp;"|"&amp;B74,'Scenario inputs'!$A$4:$A$213,0),0)</f>
        <v>133</v>
      </c>
      <c r="N74" s="8" t="b">
        <f aca="false">IF(M74=0,FALSE(),F74&lt;Controls!$B$12)</f>
        <v>1</v>
      </c>
      <c r="O74" s="11" t="n">
        <f aca="false">IF(N74,IF(INDEX('Scenario inputs'!$E$4:$E$213,M74)=0,1,INDEX('Scenario inputs'!$F$4:$M$213,M74,MIN(MAX(F74-G74,0),INDEX('Scenario inputs'!$E$4:$E$213,M74)-1)+1)),0)</f>
        <v>1</v>
      </c>
      <c r="P74" s="11" t="n">
        <f aca="false">H74*O74</f>
        <v>995.8</v>
      </c>
      <c r="Q74" s="11" t="n">
        <f aca="false">IF(M74=0,"",IF(ISNUMBER(INDEX('Scenario inputs'!$N$4:$N$213,M74)),INDEX('Scenario inputs'!$N$4:$N$213,M74),""))</f>
        <v>34.67</v>
      </c>
      <c r="R74" s="0" t="str">
        <f aca="false">IF(NOT(N74),"",IF(OR(E74="cash",E74="revenue"),E74,IF(E74="avoided_cost",IF(AND(I74,LEN(TRIM(J74))&gt;0),"avoided_cost_realised","avoided_cost_beside"),IF(ISNUMBER(Q74),"capacity_converted","capacity_hours"))))</f>
        <v>capacity_converted</v>
      </c>
      <c r="S74" s="11" t="n">
        <f aca="false">IF(OR(R74="",R74="capacity_hours"),0,IF(R74="capacity_converted",P74*Q74,P74))</f>
        <v>34524.386</v>
      </c>
      <c r="T74" s="11" t="n">
        <f aca="false">IF(OR(R74="cash",R74="revenue",R74="avoided_cost_realised",R74="capacity_converted"),1,0)</f>
        <v>1</v>
      </c>
      <c r="U74" s="11" t="n">
        <f aca="false">IF(AND(N74,R74&lt;&gt;"capacity_hours",LEN(K74)&gt;0),1,0)</f>
        <v>1</v>
      </c>
      <c r="V74" s="11" t="n">
        <f aca="false">IF(U74=1,SUMPRODUCT(($K$4:$K$703=K74)*($F$4:$F$703=F74)*($U$4:$U$703=1)*($B$4:$B$703&lt;&gt;B74)),0)</f>
        <v>0</v>
      </c>
      <c r="W74" s="11" t="n">
        <f aca="false">IF(AND(U74=1,V74&gt;0),1+SUMPRODUCT(($K$4:$K$703=K74)*($F$4:$F$703=F74)*($U$4:$U$703=1)*($S$4:$S$703&gt;S74))+SUMPRODUCT(($K$4:$K$703=K74)*($F$4:$F$703=F74)*($U$4:$U$703=1)*($S$4:$S$703=S74)*($T$4:$T$703&gt;T74))+SUMPRODUCT(($K$4:$K$703=K74)*($F$4:$F$703=F74)*($U$4:$U$703=1)*($S$4:$S$703=S74)*($T$4:$T$703=T74)*($C$4:$C$703&lt;C74))+SUMPRODUCT(($K$4:$K$703=K74)*($F$4:$F$703=F74)*($U$4:$U$703=1)*($S$4:$S$703=S74)*($T$4:$T$703=T74)*($C$4:$C$703=C74)*($D$4:$D$703&lt;D74)),0)</f>
        <v>0</v>
      </c>
      <c r="X74" s="11" t="n">
        <f aca="false">IF(AND(U74=1,V74&gt;0,W74&gt;1),S74,0)</f>
        <v>0</v>
      </c>
      <c r="Y74" s="11" t="n">
        <f aca="false">IF(T74=1,X74/(1+Controls!$B$11)^F74,0)</f>
        <v>0</v>
      </c>
      <c r="Z74" s="11" t="n">
        <f aca="false">IF(AND(N74,E74="capacity",LEN(K74)&gt;0),1,0)</f>
        <v>1</v>
      </c>
      <c r="AA74" s="11" t="n">
        <f aca="false">IF(Z74=1,SUMPRODUCT(($K$4:$K$703=K74)*($F$4:$F$703=F74)*($Z$4:$Z$703=1)*($B$4:$B$703&lt;&gt;B74)),0)</f>
        <v>0</v>
      </c>
      <c r="AB74" s="11" t="n">
        <f aca="false">IF(AND(Z74=1,AA74&gt;0),1+SUMPRODUCT(($K$4:$K$703=K74)*($F$4:$F$703=F74)*($Z$4:$Z$703=1)*($P$4:$P$703&gt;P74))+SUMPRODUCT(($K$4:$K$703=K74)*($F$4:$F$703=F74)*($Z$4:$Z$703=1)*($P$4:$P$703=P74)*($C$4:$C$703&lt;C74))+SUMPRODUCT(($K$4:$K$703=K74)*($F$4:$F$703=F74)*($Z$4:$Z$703=1)*($P$4:$P$703=P74)*($C$4:$C$703=C74)*($D$4:$D$703&lt;D74)),0)</f>
        <v>0</v>
      </c>
      <c r="AC74" s="11" t="n">
        <f aca="false">IF(AND(Z74=1,AA74&gt;0,AB74&gt;1),P74,0)</f>
        <v>0</v>
      </c>
    </row>
    <row r="75" customFormat="false" ht="15" hidden="false" customHeight="false" outlineLevel="0" collapsed="false">
      <c r="A75" s="4" t="s">
        <v>283</v>
      </c>
      <c r="B75" s="4" t="s">
        <v>84</v>
      </c>
      <c r="C75" s="4" t="n">
        <v>2</v>
      </c>
      <c r="D75" s="4" t="n">
        <v>72</v>
      </c>
      <c r="E75" s="4" t="s">
        <v>233</v>
      </c>
      <c r="F75" s="4" t="n">
        <v>14</v>
      </c>
      <c r="G75" s="4" t="n">
        <v>3</v>
      </c>
      <c r="H75" s="4" t="n">
        <v>995.8</v>
      </c>
      <c r="I75" s="13" t="b">
        <f aca="false">FALSE()</f>
        <v>0</v>
      </c>
      <c r="K75" s="4" t="s">
        <v>234</v>
      </c>
      <c r="L75" s="4" t="n">
        <v>219.87</v>
      </c>
      <c r="M75" s="11" t="n">
        <f aca="false">IFERROR(MATCH(Controls!$B$3&amp;"|"&amp;B75,'Scenario inputs'!$A$4:$A$213,0),0)</f>
        <v>133</v>
      </c>
      <c r="N75" s="8" t="b">
        <f aca="false">IF(M75=0,FALSE(),F75&lt;Controls!$B$12)</f>
        <v>1</v>
      </c>
      <c r="O75" s="11" t="n">
        <f aca="false">IF(N75,IF(INDEX('Scenario inputs'!$E$4:$E$213,M75)=0,1,INDEX('Scenario inputs'!$F$4:$M$213,M75,MIN(MAX(F75-G75,0),INDEX('Scenario inputs'!$E$4:$E$213,M75)-1)+1)),0)</f>
        <v>1</v>
      </c>
      <c r="P75" s="11" t="n">
        <f aca="false">H75*O75</f>
        <v>995.8</v>
      </c>
      <c r="Q75" s="11" t="n">
        <f aca="false">IF(M75=0,"",IF(ISNUMBER(INDEX('Scenario inputs'!$N$4:$N$213,M75)),INDEX('Scenario inputs'!$N$4:$N$213,M75),""))</f>
        <v>34.67</v>
      </c>
      <c r="R75" s="0" t="str">
        <f aca="false">IF(NOT(N75),"",IF(OR(E75="cash",E75="revenue"),E75,IF(E75="avoided_cost",IF(AND(I75,LEN(TRIM(J75))&gt;0),"avoided_cost_realised","avoided_cost_beside"),IF(ISNUMBER(Q75),"capacity_converted","capacity_hours"))))</f>
        <v>capacity_converted</v>
      </c>
      <c r="S75" s="11" t="n">
        <f aca="false">IF(OR(R75="",R75="capacity_hours"),0,IF(R75="capacity_converted",P75*Q75,P75))</f>
        <v>34524.386</v>
      </c>
      <c r="T75" s="11" t="n">
        <f aca="false">IF(OR(R75="cash",R75="revenue",R75="avoided_cost_realised",R75="capacity_converted"),1,0)</f>
        <v>1</v>
      </c>
      <c r="U75" s="11" t="n">
        <f aca="false">IF(AND(N75,R75&lt;&gt;"capacity_hours",LEN(K75)&gt;0),1,0)</f>
        <v>1</v>
      </c>
      <c r="V75" s="11" t="n">
        <f aca="false">IF(U75=1,SUMPRODUCT(($K$4:$K$703=K75)*($F$4:$F$703=F75)*($U$4:$U$703=1)*($B$4:$B$703&lt;&gt;B75)),0)</f>
        <v>0</v>
      </c>
      <c r="W75" s="11" t="n">
        <f aca="false">IF(AND(U75=1,V75&gt;0),1+SUMPRODUCT(($K$4:$K$703=K75)*($F$4:$F$703=F75)*($U$4:$U$703=1)*($S$4:$S$703&gt;S75))+SUMPRODUCT(($K$4:$K$703=K75)*($F$4:$F$703=F75)*($U$4:$U$703=1)*($S$4:$S$703=S75)*($T$4:$T$703&gt;T75))+SUMPRODUCT(($K$4:$K$703=K75)*($F$4:$F$703=F75)*($U$4:$U$703=1)*($S$4:$S$703=S75)*($T$4:$T$703=T75)*($C$4:$C$703&lt;C75))+SUMPRODUCT(($K$4:$K$703=K75)*($F$4:$F$703=F75)*($U$4:$U$703=1)*($S$4:$S$703=S75)*($T$4:$T$703=T75)*($C$4:$C$703=C75)*($D$4:$D$703&lt;D75)),0)</f>
        <v>0</v>
      </c>
      <c r="X75" s="11" t="n">
        <f aca="false">IF(AND(U75=1,V75&gt;0,W75&gt;1),S75,0)</f>
        <v>0</v>
      </c>
      <c r="Y75" s="11" t="n">
        <f aca="false">IF(T75=1,X75/(1+Controls!$B$11)^F75,0)</f>
        <v>0</v>
      </c>
      <c r="Z75" s="11" t="n">
        <f aca="false">IF(AND(N75,E75="capacity",LEN(K75)&gt;0),1,0)</f>
        <v>1</v>
      </c>
      <c r="AA75" s="11" t="n">
        <f aca="false">IF(Z75=1,SUMPRODUCT(($K$4:$K$703=K75)*($F$4:$F$703=F75)*($Z$4:$Z$703=1)*($B$4:$B$703&lt;&gt;B75)),0)</f>
        <v>0</v>
      </c>
      <c r="AB75" s="11" t="n">
        <f aca="false">IF(AND(Z75=1,AA75&gt;0),1+SUMPRODUCT(($K$4:$K$703=K75)*($F$4:$F$703=F75)*($Z$4:$Z$703=1)*($P$4:$P$703&gt;P75))+SUMPRODUCT(($K$4:$K$703=K75)*($F$4:$F$703=F75)*($Z$4:$Z$703=1)*($P$4:$P$703=P75)*($C$4:$C$703&lt;C75))+SUMPRODUCT(($K$4:$K$703=K75)*($F$4:$F$703=F75)*($Z$4:$Z$703=1)*($P$4:$P$703=P75)*($C$4:$C$703=C75)*($D$4:$D$703&lt;D75)),0)</f>
        <v>0</v>
      </c>
      <c r="AC75" s="11" t="n">
        <f aca="false">IF(AND(Z75=1,AA75&gt;0,AB75&gt;1),P75,0)</f>
        <v>0</v>
      </c>
    </row>
    <row r="76" customFormat="false" ht="15" hidden="false" customHeight="false" outlineLevel="0" collapsed="false">
      <c r="A76" s="4" t="s">
        <v>284</v>
      </c>
      <c r="B76" s="4" t="s">
        <v>85</v>
      </c>
      <c r="C76" s="4" t="n">
        <v>3</v>
      </c>
      <c r="D76" s="4" t="n">
        <v>73</v>
      </c>
      <c r="E76" s="4" t="s">
        <v>112</v>
      </c>
      <c r="F76" s="4" t="n">
        <v>3</v>
      </c>
      <c r="G76" s="4" t="n">
        <v>3</v>
      </c>
      <c r="H76" s="4" t="n">
        <v>101700</v>
      </c>
      <c r="I76" s="13" t="b">
        <f aca="false">FALSE()</f>
        <v>0</v>
      </c>
      <c r="K76" s="4" t="s">
        <v>285</v>
      </c>
      <c r="L76" s="4" t="n">
        <v>208.94</v>
      </c>
      <c r="M76" s="11" t="n">
        <f aca="false">IFERROR(MATCH(Controls!$B$3&amp;"|"&amp;B76,'Scenario inputs'!$A$4:$A$213,0),0)</f>
        <v>134</v>
      </c>
      <c r="N76" s="8" t="b">
        <f aca="false">IF(M76=0,FALSE(),F76&lt;Controls!$B$12)</f>
        <v>1</v>
      </c>
      <c r="O76" s="11" t="n">
        <f aca="false">IF(N76,IF(INDEX('Scenario inputs'!$E$4:$E$213,M76)=0,1,INDEX('Scenario inputs'!$F$4:$M$213,M76,MIN(MAX(F76-G76,0),INDEX('Scenario inputs'!$E$4:$E$213,M76)-1)+1)),0)</f>
        <v>0.027778</v>
      </c>
      <c r="P76" s="11" t="n">
        <f aca="false">H76*O76</f>
        <v>2825.0226</v>
      </c>
      <c r="Q76" s="11" t="n">
        <f aca="false">IF(M76=0,"",IF(ISNUMBER(INDEX('Scenario inputs'!$N$4:$N$213,M76)),INDEX('Scenario inputs'!$N$4:$N$213,M76),""))</f>
        <v>30.78</v>
      </c>
      <c r="R76" s="0" t="str">
        <f aca="false">IF(NOT(N76),"",IF(OR(E76="cash",E76="revenue"),E76,IF(E76="avoided_cost",IF(AND(I76,LEN(TRIM(J76))&gt;0),"avoided_cost_realised","avoided_cost_beside"),IF(ISNUMBER(Q76),"capacity_converted","capacity_hours"))))</f>
        <v>cash</v>
      </c>
      <c r="S76" s="11" t="n">
        <f aca="false">IF(OR(R76="",R76="capacity_hours"),0,IF(R76="capacity_converted",P76*Q76,P76))</f>
        <v>2825.0226</v>
      </c>
      <c r="T76" s="11" t="n">
        <f aca="false">IF(OR(R76="cash",R76="revenue",R76="avoided_cost_realised",R76="capacity_converted"),1,0)</f>
        <v>1</v>
      </c>
      <c r="U76" s="11" t="n">
        <f aca="false">IF(AND(N76,R76&lt;&gt;"capacity_hours",LEN(K76)&gt;0),1,0)</f>
        <v>1</v>
      </c>
      <c r="V76" s="11" t="n">
        <f aca="false">IF(U76=1,SUMPRODUCT(($K$4:$K$703=K76)*($F$4:$F$703=F76)*($U$4:$U$703=1)*($B$4:$B$703&lt;&gt;B76)),0)</f>
        <v>0</v>
      </c>
      <c r="W76" s="11" t="n">
        <f aca="false">IF(AND(U76=1,V76&gt;0),1+SUMPRODUCT(($K$4:$K$703=K76)*($F$4:$F$703=F76)*($U$4:$U$703=1)*($S$4:$S$703&gt;S76))+SUMPRODUCT(($K$4:$K$703=K76)*($F$4:$F$703=F76)*($U$4:$U$703=1)*($S$4:$S$703=S76)*($T$4:$T$703&gt;T76))+SUMPRODUCT(($K$4:$K$703=K76)*($F$4:$F$703=F76)*($U$4:$U$703=1)*($S$4:$S$703=S76)*($T$4:$T$703=T76)*($C$4:$C$703&lt;C76))+SUMPRODUCT(($K$4:$K$703=K76)*($F$4:$F$703=F76)*($U$4:$U$703=1)*($S$4:$S$703=S76)*($T$4:$T$703=T76)*($C$4:$C$703=C76)*($D$4:$D$703&lt;D76)),0)</f>
        <v>0</v>
      </c>
      <c r="X76" s="11" t="n">
        <f aca="false">IF(AND(U76=1,V76&gt;0,W76&gt;1),S76,0)</f>
        <v>0</v>
      </c>
      <c r="Y76" s="11" t="n">
        <f aca="false">IF(T76=1,X76/(1+Controls!$B$11)^F76,0)</f>
        <v>0</v>
      </c>
      <c r="Z76" s="11" t="n">
        <f aca="false">IF(AND(N76,E76="capacity",LEN(K76)&gt;0),1,0)</f>
        <v>0</v>
      </c>
      <c r="AA76" s="11" t="n">
        <f aca="false">IF(Z76=1,SUMPRODUCT(($K$4:$K$703=K76)*($F$4:$F$703=F76)*($Z$4:$Z$703=1)*($B$4:$B$703&lt;&gt;B76)),0)</f>
        <v>0</v>
      </c>
      <c r="AB76" s="11" t="n">
        <f aca="false">IF(AND(Z76=1,AA76&gt;0),1+SUMPRODUCT(($K$4:$K$703=K76)*($F$4:$F$703=F76)*($Z$4:$Z$703=1)*($P$4:$P$703&gt;P76))+SUMPRODUCT(($K$4:$K$703=K76)*($F$4:$F$703=F76)*($Z$4:$Z$703=1)*($P$4:$P$703=P76)*($C$4:$C$703&lt;C76))+SUMPRODUCT(($K$4:$K$703=K76)*($F$4:$F$703=F76)*($Z$4:$Z$703=1)*($P$4:$P$703=P76)*($C$4:$C$703=C76)*($D$4:$D$703&lt;D76)),0)</f>
        <v>0</v>
      </c>
      <c r="AC76" s="11" t="n">
        <f aca="false">IF(AND(Z76=1,AA76&gt;0,AB76&gt;1),P76,0)</f>
        <v>0</v>
      </c>
    </row>
    <row r="77" customFormat="false" ht="15" hidden="false" customHeight="false" outlineLevel="0" collapsed="false">
      <c r="A77" s="4" t="s">
        <v>286</v>
      </c>
      <c r="B77" s="4" t="s">
        <v>85</v>
      </c>
      <c r="C77" s="4" t="n">
        <v>3</v>
      </c>
      <c r="D77" s="4" t="n">
        <v>74</v>
      </c>
      <c r="E77" s="4" t="s">
        <v>112</v>
      </c>
      <c r="F77" s="4" t="n">
        <v>4</v>
      </c>
      <c r="G77" s="4" t="n">
        <v>3</v>
      </c>
      <c r="H77" s="4" t="n">
        <v>101700</v>
      </c>
      <c r="I77" s="13" t="b">
        <f aca="false">FALSE()</f>
        <v>0</v>
      </c>
      <c r="K77" s="4" t="s">
        <v>285</v>
      </c>
      <c r="L77" s="4" t="n">
        <v>679.06</v>
      </c>
      <c r="M77" s="11" t="n">
        <f aca="false">IFERROR(MATCH(Controls!$B$3&amp;"|"&amp;B77,'Scenario inputs'!$A$4:$A$213,0),0)</f>
        <v>134</v>
      </c>
      <c r="N77" s="8" t="b">
        <f aca="false">IF(M77=0,FALSE(),F77&lt;Controls!$B$12)</f>
        <v>1</v>
      </c>
      <c r="O77" s="11" t="n">
        <f aca="false">IF(N77,IF(INDEX('Scenario inputs'!$E$4:$E$213,M77)=0,1,INDEX('Scenario inputs'!$F$4:$M$213,M77,MIN(MAX(F77-G77,0),INDEX('Scenario inputs'!$E$4:$E$213,M77)-1)+1)),0)</f>
        <v>0.083333</v>
      </c>
      <c r="P77" s="11" t="n">
        <f aca="false">H77*O77</f>
        <v>8474.9661</v>
      </c>
      <c r="Q77" s="11" t="n">
        <f aca="false">IF(M77=0,"",IF(ISNUMBER(INDEX('Scenario inputs'!$N$4:$N$213,M77)),INDEX('Scenario inputs'!$N$4:$N$213,M77),""))</f>
        <v>30.78</v>
      </c>
      <c r="R77" s="0" t="str">
        <f aca="false">IF(NOT(N77),"",IF(OR(E77="cash",E77="revenue"),E77,IF(E77="avoided_cost",IF(AND(I77,LEN(TRIM(J77))&gt;0),"avoided_cost_realised","avoided_cost_beside"),IF(ISNUMBER(Q77),"capacity_converted","capacity_hours"))))</f>
        <v>cash</v>
      </c>
      <c r="S77" s="11" t="n">
        <f aca="false">IF(OR(R77="",R77="capacity_hours"),0,IF(R77="capacity_converted",P77*Q77,P77))</f>
        <v>8474.9661</v>
      </c>
      <c r="T77" s="11" t="n">
        <f aca="false">IF(OR(R77="cash",R77="revenue",R77="avoided_cost_realised",R77="capacity_converted"),1,0)</f>
        <v>1</v>
      </c>
      <c r="U77" s="11" t="n">
        <f aca="false">IF(AND(N77,R77&lt;&gt;"capacity_hours",LEN(K77)&gt;0),1,0)</f>
        <v>1</v>
      </c>
      <c r="V77" s="11" t="n">
        <f aca="false">IF(U77=1,SUMPRODUCT(($K$4:$K$703=K77)*($F$4:$F$703=F77)*($U$4:$U$703=1)*($B$4:$B$703&lt;&gt;B77)),0)</f>
        <v>0</v>
      </c>
      <c r="W77" s="11" t="n">
        <f aca="false">IF(AND(U77=1,V77&gt;0),1+SUMPRODUCT(($K$4:$K$703=K77)*($F$4:$F$703=F77)*($U$4:$U$703=1)*($S$4:$S$703&gt;S77))+SUMPRODUCT(($K$4:$K$703=K77)*($F$4:$F$703=F77)*($U$4:$U$703=1)*($S$4:$S$703=S77)*($T$4:$T$703&gt;T77))+SUMPRODUCT(($K$4:$K$703=K77)*($F$4:$F$703=F77)*($U$4:$U$703=1)*($S$4:$S$703=S77)*($T$4:$T$703=T77)*($C$4:$C$703&lt;C77))+SUMPRODUCT(($K$4:$K$703=K77)*($F$4:$F$703=F77)*($U$4:$U$703=1)*($S$4:$S$703=S77)*($T$4:$T$703=T77)*($C$4:$C$703=C77)*($D$4:$D$703&lt;D77)),0)</f>
        <v>0</v>
      </c>
      <c r="X77" s="11" t="n">
        <f aca="false">IF(AND(U77=1,V77&gt;0,W77&gt;1),S77,0)</f>
        <v>0</v>
      </c>
      <c r="Y77" s="11" t="n">
        <f aca="false">IF(T77=1,X77/(1+Controls!$B$11)^F77,0)</f>
        <v>0</v>
      </c>
      <c r="Z77" s="11" t="n">
        <f aca="false">IF(AND(N77,E77="capacity",LEN(K77)&gt;0),1,0)</f>
        <v>0</v>
      </c>
      <c r="AA77" s="11" t="n">
        <f aca="false">IF(Z77=1,SUMPRODUCT(($K$4:$K$703=K77)*($F$4:$F$703=F77)*($Z$4:$Z$703=1)*($B$4:$B$703&lt;&gt;B77)),0)</f>
        <v>0</v>
      </c>
      <c r="AB77" s="11" t="n">
        <f aca="false">IF(AND(Z77=1,AA77&gt;0),1+SUMPRODUCT(($K$4:$K$703=K77)*($F$4:$F$703=F77)*($Z$4:$Z$703=1)*($P$4:$P$703&gt;P77))+SUMPRODUCT(($K$4:$K$703=K77)*($F$4:$F$703=F77)*($Z$4:$Z$703=1)*($P$4:$P$703=P77)*($C$4:$C$703&lt;C77))+SUMPRODUCT(($K$4:$K$703=K77)*($F$4:$F$703=F77)*($Z$4:$Z$703=1)*($P$4:$P$703=P77)*($C$4:$C$703=C77)*($D$4:$D$703&lt;D77)),0)</f>
        <v>0</v>
      </c>
      <c r="AC77" s="11" t="n">
        <f aca="false">IF(AND(Z77=1,AA77&gt;0,AB77&gt;1),P77,0)</f>
        <v>0</v>
      </c>
    </row>
    <row r="78" customFormat="false" ht="15" hidden="false" customHeight="false" outlineLevel="0" collapsed="false">
      <c r="A78" s="4" t="s">
        <v>287</v>
      </c>
      <c r="B78" s="4" t="s">
        <v>85</v>
      </c>
      <c r="C78" s="4" t="n">
        <v>3</v>
      </c>
      <c r="D78" s="4" t="n">
        <v>75</v>
      </c>
      <c r="E78" s="4" t="s">
        <v>112</v>
      </c>
      <c r="F78" s="4" t="n">
        <v>5</v>
      </c>
      <c r="G78" s="4" t="n">
        <v>3</v>
      </c>
      <c r="H78" s="4" t="n">
        <v>101700</v>
      </c>
      <c r="I78" s="13" t="b">
        <f aca="false">FALSE()</f>
        <v>0</v>
      </c>
      <c r="K78" s="4" t="s">
        <v>285</v>
      </c>
      <c r="L78" s="4" t="n">
        <v>1305.51</v>
      </c>
      <c r="M78" s="11" t="n">
        <f aca="false">IFERROR(MATCH(Controls!$B$3&amp;"|"&amp;B78,'Scenario inputs'!$A$4:$A$213,0),0)</f>
        <v>134</v>
      </c>
      <c r="N78" s="8" t="b">
        <f aca="false">IF(M78=0,FALSE(),F78&lt;Controls!$B$12)</f>
        <v>1</v>
      </c>
      <c r="O78" s="11" t="n">
        <f aca="false">IF(N78,IF(INDEX('Scenario inputs'!$E$4:$E$213,M78)=0,1,INDEX('Scenario inputs'!$F$4:$M$213,M78,MIN(MAX(F78-G78,0),INDEX('Scenario inputs'!$E$4:$E$213,M78)-1)+1)),0)</f>
        <v>0.166667</v>
      </c>
      <c r="P78" s="11" t="n">
        <f aca="false">H78*O78</f>
        <v>16950.0339</v>
      </c>
      <c r="Q78" s="11" t="n">
        <f aca="false">IF(M78=0,"",IF(ISNUMBER(INDEX('Scenario inputs'!$N$4:$N$213,M78)),INDEX('Scenario inputs'!$N$4:$N$213,M78),""))</f>
        <v>30.78</v>
      </c>
      <c r="R78" s="0" t="str">
        <f aca="false">IF(NOT(N78),"",IF(OR(E78="cash",E78="revenue"),E78,IF(E78="avoided_cost",IF(AND(I78,LEN(TRIM(J78))&gt;0),"avoided_cost_realised","avoided_cost_beside"),IF(ISNUMBER(Q78),"capacity_converted","capacity_hours"))))</f>
        <v>cash</v>
      </c>
      <c r="S78" s="11" t="n">
        <f aca="false">IF(OR(R78="",R78="capacity_hours"),0,IF(R78="capacity_converted",P78*Q78,P78))</f>
        <v>16950.0339</v>
      </c>
      <c r="T78" s="11" t="n">
        <f aca="false">IF(OR(R78="cash",R78="revenue",R78="avoided_cost_realised",R78="capacity_converted"),1,0)</f>
        <v>1</v>
      </c>
      <c r="U78" s="11" t="n">
        <f aca="false">IF(AND(N78,R78&lt;&gt;"capacity_hours",LEN(K78)&gt;0),1,0)</f>
        <v>1</v>
      </c>
      <c r="V78" s="11" t="n">
        <f aca="false">IF(U78=1,SUMPRODUCT(($K$4:$K$703=K78)*($F$4:$F$703=F78)*($U$4:$U$703=1)*($B$4:$B$703&lt;&gt;B78)),0)</f>
        <v>0</v>
      </c>
      <c r="W78" s="11" t="n">
        <f aca="false">IF(AND(U78=1,V78&gt;0),1+SUMPRODUCT(($K$4:$K$703=K78)*($F$4:$F$703=F78)*($U$4:$U$703=1)*($S$4:$S$703&gt;S78))+SUMPRODUCT(($K$4:$K$703=K78)*($F$4:$F$703=F78)*($U$4:$U$703=1)*($S$4:$S$703=S78)*($T$4:$T$703&gt;T78))+SUMPRODUCT(($K$4:$K$703=K78)*($F$4:$F$703=F78)*($U$4:$U$703=1)*($S$4:$S$703=S78)*($T$4:$T$703=T78)*($C$4:$C$703&lt;C78))+SUMPRODUCT(($K$4:$K$703=K78)*($F$4:$F$703=F78)*($U$4:$U$703=1)*($S$4:$S$703=S78)*($T$4:$T$703=T78)*($C$4:$C$703=C78)*($D$4:$D$703&lt;D78)),0)</f>
        <v>0</v>
      </c>
      <c r="X78" s="11" t="n">
        <f aca="false">IF(AND(U78=1,V78&gt;0,W78&gt;1),S78,0)</f>
        <v>0</v>
      </c>
      <c r="Y78" s="11" t="n">
        <f aca="false">IF(T78=1,X78/(1+Controls!$B$11)^F78,0)</f>
        <v>0</v>
      </c>
      <c r="Z78" s="11" t="n">
        <f aca="false">IF(AND(N78,E78="capacity",LEN(K78)&gt;0),1,0)</f>
        <v>0</v>
      </c>
      <c r="AA78" s="11" t="n">
        <f aca="false">IF(Z78=1,SUMPRODUCT(($K$4:$K$703=K78)*($F$4:$F$703=F78)*($Z$4:$Z$703=1)*($B$4:$B$703&lt;&gt;B78)),0)</f>
        <v>0</v>
      </c>
      <c r="AB78" s="11" t="n">
        <f aca="false">IF(AND(Z78=1,AA78&gt;0),1+SUMPRODUCT(($K$4:$K$703=K78)*($F$4:$F$703=F78)*($Z$4:$Z$703=1)*($P$4:$P$703&gt;P78))+SUMPRODUCT(($K$4:$K$703=K78)*($F$4:$F$703=F78)*($Z$4:$Z$703=1)*($P$4:$P$703=P78)*($C$4:$C$703&lt;C78))+SUMPRODUCT(($K$4:$K$703=K78)*($F$4:$F$703=F78)*($Z$4:$Z$703=1)*($P$4:$P$703=P78)*($C$4:$C$703=C78)*($D$4:$D$703&lt;D78)),0)</f>
        <v>0</v>
      </c>
      <c r="AC78" s="11" t="n">
        <f aca="false">IF(AND(Z78=1,AA78&gt;0,AB78&gt;1),P78,0)</f>
        <v>0</v>
      </c>
    </row>
    <row r="79" customFormat="false" ht="15" hidden="false" customHeight="false" outlineLevel="0" collapsed="false">
      <c r="A79" s="4" t="s">
        <v>288</v>
      </c>
      <c r="B79" s="4" t="s">
        <v>85</v>
      </c>
      <c r="C79" s="4" t="n">
        <v>3</v>
      </c>
      <c r="D79" s="4" t="n">
        <v>76</v>
      </c>
      <c r="E79" s="4" t="s">
        <v>112</v>
      </c>
      <c r="F79" s="4" t="n">
        <v>6</v>
      </c>
      <c r="G79" s="4" t="n">
        <v>3</v>
      </c>
      <c r="H79" s="4" t="n">
        <v>101700</v>
      </c>
      <c r="I79" s="13" t="b">
        <f aca="false">FALSE()</f>
        <v>0</v>
      </c>
      <c r="K79" s="4" t="s">
        <v>285</v>
      </c>
      <c r="L79" s="4" t="n">
        <v>2154.73</v>
      </c>
      <c r="M79" s="11" t="n">
        <f aca="false">IFERROR(MATCH(Controls!$B$3&amp;"|"&amp;B79,'Scenario inputs'!$A$4:$A$213,0),0)</f>
        <v>134</v>
      </c>
      <c r="N79" s="8" t="b">
        <f aca="false">IF(M79=0,FALSE(),F79&lt;Controls!$B$12)</f>
        <v>1</v>
      </c>
      <c r="O79" s="11" t="n">
        <f aca="false">IF(N79,IF(INDEX('Scenario inputs'!$E$4:$E$213,M79)=0,1,INDEX('Scenario inputs'!$F$4:$M$213,M79,MIN(MAX(F79-G79,0),INDEX('Scenario inputs'!$E$4:$E$213,M79)-1)+1)),0)</f>
        <v>0.277778</v>
      </c>
      <c r="P79" s="11" t="n">
        <f aca="false">H79*O79</f>
        <v>28250.0226</v>
      </c>
      <c r="Q79" s="11" t="n">
        <f aca="false">IF(M79=0,"",IF(ISNUMBER(INDEX('Scenario inputs'!$N$4:$N$213,M79)),INDEX('Scenario inputs'!$N$4:$N$213,M79),""))</f>
        <v>30.78</v>
      </c>
      <c r="R79" s="0" t="str">
        <f aca="false">IF(NOT(N79),"",IF(OR(E79="cash",E79="revenue"),E79,IF(E79="avoided_cost",IF(AND(I79,LEN(TRIM(J79))&gt;0),"avoided_cost_realised","avoided_cost_beside"),IF(ISNUMBER(Q79),"capacity_converted","capacity_hours"))))</f>
        <v>cash</v>
      </c>
      <c r="S79" s="11" t="n">
        <f aca="false">IF(OR(R79="",R79="capacity_hours"),0,IF(R79="capacity_converted",P79*Q79,P79))</f>
        <v>28250.0226</v>
      </c>
      <c r="T79" s="11" t="n">
        <f aca="false">IF(OR(R79="cash",R79="revenue",R79="avoided_cost_realised",R79="capacity_converted"),1,0)</f>
        <v>1</v>
      </c>
      <c r="U79" s="11" t="n">
        <f aca="false">IF(AND(N79,R79&lt;&gt;"capacity_hours",LEN(K79)&gt;0),1,0)</f>
        <v>1</v>
      </c>
      <c r="V79" s="11" t="n">
        <f aca="false">IF(U79=1,SUMPRODUCT(($K$4:$K$703=K79)*($F$4:$F$703=F79)*($U$4:$U$703=1)*($B$4:$B$703&lt;&gt;B79)),0)</f>
        <v>0</v>
      </c>
      <c r="W79" s="11" t="n">
        <f aca="false">IF(AND(U79=1,V79&gt;0),1+SUMPRODUCT(($K$4:$K$703=K79)*($F$4:$F$703=F79)*($U$4:$U$703=1)*($S$4:$S$703&gt;S79))+SUMPRODUCT(($K$4:$K$703=K79)*($F$4:$F$703=F79)*($U$4:$U$703=1)*($S$4:$S$703=S79)*($T$4:$T$703&gt;T79))+SUMPRODUCT(($K$4:$K$703=K79)*($F$4:$F$703=F79)*($U$4:$U$703=1)*($S$4:$S$703=S79)*($T$4:$T$703=T79)*($C$4:$C$703&lt;C79))+SUMPRODUCT(($K$4:$K$703=K79)*($F$4:$F$703=F79)*($U$4:$U$703=1)*($S$4:$S$703=S79)*($T$4:$T$703=T79)*($C$4:$C$703=C79)*($D$4:$D$703&lt;D79)),0)</f>
        <v>0</v>
      </c>
      <c r="X79" s="11" t="n">
        <f aca="false">IF(AND(U79=1,V79&gt;0,W79&gt;1),S79,0)</f>
        <v>0</v>
      </c>
      <c r="Y79" s="11" t="n">
        <f aca="false">IF(T79=1,X79/(1+Controls!$B$11)^F79,0)</f>
        <v>0</v>
      </c>
      <c r="Z79" s="11" t="n">
        <f aca="false">IF(AND(N79,E79="capacity",LEN(K79)&gt;0),1,0)</f>
        <v>0</v>
      </c>
      <c r="AA79" s="11" t="n">
        <f aca="false">IF(Z79=1,SUMPRODUCT(($K$4:$K$703=K79)*($F$4:$F$703=F79)*($Z$4:$Z$703=1)*($B$4:$B$703&lt;&gt;B79)),0)</f>
        <v>0</v>
      </c>
      <c r="AB79" s="11" t="n">
        <f aca="false">IF(AND(Z79=1,AA79&gt;0),1+SUMPRODUCT(($K$4:$K$703=K79)*($F$4:$F$703=F79)*($Z$4:$Z$703=1)*($P$4:$P$703&gt;P79))+SUMPRODUCT(($K$4:$K$703=K79)*($F$4:$F$703=F79)*($Z$4:$Z$703=1)*($P$4:$P$703=P79)*($C$4:$C$703&lt;C79))+SUMPRODUCT(($K$4:$K$703=K79)*($F$4:$F$703=F79)*($Z$4:$Z$703=1)*($P$4:$P$703=P79)*($C$4:$C$703=C79)*($D$4:$D$703&lt;D79)),0)</f>
        <v>0</v>
      </c>
      <c r="AC79" s="11" t="n">
        <f aca="false">IF(AND(Z79=1,AA79&gt;0,AB79&gt;1),P79,0)</f>
        <v>0</v>
      </c>
    </row>
    <row r="80" customFormat="false" ht="15" hidden="false" customHeight="false" outlineLevel="0" collapsed="false">
      <c r="A80" s="4" t="s">
        <v>289</v>
      </c>
      <c r="B80" s="4" t="s">
        <v>85</v>
      </c>
      <c r="C80" s="4" t="n">
        <v>3</v>
      </c>
      <c r="D80" s="4" t="n">
        <v>77</v>
      </c>
      <c r="E80" s="4" t="s">
        <v>112</v>
      </c>
      <c r="F80" s="4" t="n">
        <v>7</v>
      </c>
      <c r="G80" s="4" t="n">
        <v>3</v>
      </c>
      <c r="H80" s="4" t="n">
        <v>101700</v>
      </c>
      <c r="I80" s="13" t="b">
        <f aca="false">FALSE()</f>
        <v>0</v>
      </c>
      <c r="K80" s="4" t="s">
        <v>285</v>
      </c>
      <c r="L80" s="4" t="n">
        <v>3041.97</v>
      </c>
      <c r="M80" s="11" t="n">
        <f aca="false">IFERROR(MATCH(Controls!$B$3&amp;"|"&amp;B80,'Scenario inputs'!$A$4:$A$213,0),0)</f>
        <v>134</v>
      </c>
      <c r="N80" s="8" t="b">
        <f aca="false">IF(M80=0,FALSE(),F80&lt;Controls!$B$12)</f>
        <v>1</v>
      </c>
      <c r="O80" s="11" t="n">
        <f aca="false">IF(N80,IF(INDEX('Scenario inputs'!$E$4:$E$213,M80)=0,1,INDEX('Scenario inputs'!$F$4:$M$213,M80,MIN(MAX(F80-G80,0),INDEX('Scenario inputs'!$E$4:$E$213,M80)-1)+1)),0)</f>
        <v>0.416667</v>
      </c>
      <c r="P80" s="11" t="n">
        <f aca="false">H80*O80</f>
        <v>42375.0339</v>
      </c>
      <c r="Q80" s="11" t="n">
        <f aca="false">IF(M80=0,"",IF(ISNUMBER(INDEX('Scenario inputs'!$N$4:$N$213,M80)),INDEX('Scenario inputs'!$N$4:$N$213,M80),""))</f>
        <v>30.78</v>
      </c>
      <c r="R80" s="0" t="str">
        <f aca="false">IF(NOT(N80),"",IF(OR(E80="cash",E80="revenue"),E80,IF(E80="avoided_cost",IF(AND(I80,LEN(TRIM(J80))&gt;0),"avoided_cost_realised","avoided_cost_beside"),IF(ISNUMBER(Q80),"capacity_converted","capacity_hours"))))</f>
        <v>cash</v>
      </c>
      <c r="S80" s="11" t="n">
        <f aca="false">IF(OR(R80="",R80="capacity_hours"),0,IF(R80="capacity_converted",P80*Q80,P80))</f>
        <v>42375.0339</v>
      </c>
      <c r="T80" s="11" t="n">
        <f aca="false">IF(OR(R80="cash",R80="revenue",R80="avoided_cost_realised",R80="capacity_converted"),1,0)</f>
        <v>1</v>
      </c>
      <c r="U80" s="11" t="n">
        <f aca="false">IF(AND(N80,R80&lt;&gt;"capacity_hours",LEN(K80)&gt;0),1,0)</f>
        <v>1</v>
      </c>
      <c r="V80" s="11" t="n">
        <f aca="false">IF(U80=1,SUMPRODUCT(($K$4:$K$703=K80)*($F$4:$F$703=F80)*($U$4:$U$703=1)*($B$4:$B$703&lt;&gt;B80)),0)</f>
        <v>0</v>
      </c>
      <c r="W80" s="11" t="n">
        <f aca="false">IF(AND(U80=1,V80&gt;0),1+SUMPRODUCT(($K$4:$K$703=K80)*($F$4:$F$703=F80)*($U$4:$U$703=1)*($S$4:$S$703&gt;S80))+SUMPRODUCT(($K$4:$K$703=K80)*($F$4:$F$703=F80)*($U$4:$U$703=1)*($S$4:$S$703=S80)*($T$4:$T$703&gt;T80))+SUMPRODUCT(($K$4:$K$703=K80)*($F$4:$F$703=F80)*($U$4:$U$703=1)*($S$4:$S$703=S80)*($T$4:$T$703=T80)*($C$4:$C$703&lt;C80))+SUMPRODUCT(($K$4:$K$703=K80)*($F$4:$F$703=F80)*($U$4:$U$703=1)*($S$4:$S$703=S80)*($T$4:$T$703=T80)*($C$4:$C$703=C80)*($D$4:$D$703&lt;D80)),0)</f>
        <v>0</v>
      </c>
      <c r="X80" s="11" t="n">
        <f aca="false">IF(AND(U80=1,V80&gt;0,W80&gt;1),S80,0)</f>
        <v>0</v>
      </c>
      <c r="Y80" s="11" t="n">
        <f aca="false">IF(T80=1,X80/(1+Controls!$B$11)^F80,0)</f>
        <v>0</v>
      </c>
      <c r="Z80" s="11" t="n">
        <f aca="false">IF(AND(N80,E80="capacity",LEN(K80)&gt;0),1,0)</f>
        <v>0</v>
      </c>
      <c r="AA80" s="11" t="n">
        <f aca="false">IF(Z80=1,SUMPRODUCT(($K$4:$K$703=K80)*($F$4:$F$703=F80)*($Z$4:$Z$703=1)*($B$4:$B$703&lt;&gt;B80)),0)</f>
        <v>0</v>
      </c>
      <c r="AB80" s="11" t="n">
        <f aca="false">IF(AND(Z80=1,AA80&gt;0),1+SUMPRODUCT(($K$4:$K$703=K80)*($F$4:$F$703=F80)*($Z$4:$Z$703=1)*($P$4:$P$703&gt;P80))+SUMPRODUCT(($K$4:$K$703=K80)*($F$4:$F$703=F80)*($Z$4:$Z$703=1)*($P$4:$P$703=P80)*($C$4:$C$703&lt;C80))+SUMPRODUCT(($K$4:$K$703=K80)*($F$4:$F$703=F80)*($Z$4:$Z$703=1)*($P$4:$P$703=P80)*($C$4:$C$703=C80)*($D$4:$D$703&lt;D80)),0)</f>
        <v>0</v>
      </c>
      <c r="AC80" s="11" t="n">
        <f aca="false">IF(AND(Z80=1,AA80&gt;0,AB80&gt;1),P80,0)</f>
        <v>0</v>
      </c>
    </row>
    <row r="81" customFormat="false" ht="15" hidden="false" customHeight="false" outlineLevel="0" collapsed="false">
      <c r="A81" s="4" t="s">
        <v>290</v>
      </c>
      <c r="B81" s="4" t="s">
        <v>85</v>
      </c>
      <c r="C81" s="4" t="n">
        <v>3</v>
      </c>
      <c r="D81" s="4" t="n">
        <v>78</v>
      </c>
      <c r="E81" s="4" t="s">
        <v>112</v>
      </c>
      <c r="F81" s="4" t="n">
        <v>8</v>
      </c>
      <c r="G81" s="4" t="n">
        <v>3</v>
      </c>
      <c r="H81" s="4" t="n">
        <v>101700</v>
      </c>
      <c r="I81" s="13" t="b">
        <f aca="false">FALSE()</f>
        <v>0</v>
      </c>
      <c r="K81" s="4" t="s">
        <v>285</v>
      </c>
      <c r="L81" s="4" t="n">
        <v>4570.63</v>
      </c>
      <c r="M81" s="11" t="n">
        <f aca="false">IFERROR(MATCH(Controls!$B$3&amp;"|"&amp;B81,'Scenario inputs'!$A$4:$A$213,0),0)</f>
        <v>134</v>
      </c>
      <c r="N81" s="8" t="b">
        <f aca="false">IF(M81=0,FALSE(),F81&lt;Controls!$B$12)</f>
        <v>1</v>
      </c>
      <c r="O81" s="11" t="n">
        <f aca="false">IF(N81,IF(INDEX('Scenario inputs'!$E$4:$E$213,M81)=0,1,INDEX('Scenario inputs'!$F$4:$M$213,M81,MIN(MAX(F81-G81,0),INDEX('Scenario inputs'!$E$4:$E$213,M81)-1)+1)),0)</f>
        <v>0.583333</v>
      </c>
      <c r="P81" s="11" t="n">
        <f aca="false">H81*O81</f>
        <v>59324.9661</v>
      </c>
      <c r="Q81" s="11" t="n">
        <f aca="false">IF(M81=0,"",IF(ISNUMBER(INDEX('Scenario inputs'!$N$4:$N$213,M81)),INDEX('Scenario inputs'!$N$4:$N$213,M81),""))</f>
        <v>30.78</v>
      </c>
      <c r="R81" s="0" t="str">
        <f aca="false">IF(NOT(N81),"",IF(OR(E81="cash",E81="revenue"),E81,IF(E81="avoided_cost",IF(AND(I81,LEN(TRIM(J81))&gt;0),"avoided_cost_realised","avoided_cost_beside"),IF(ISNUMBER(Q81),"capacity_converted","capacity_hours"))))</f>
        <v>cash</v>
      </c>
      <c r="S81" s="11" t="n">
        <f aca="false">IF(OR(R81="",R81="capacity_hours"),0,IF(R81="capacity_converted",P81*Q81,P81))</f>
        <v>59324.9661</v>
      </c>
      <c r="T81" s="11" t="n">
        <f aca="false">IF(OR(R81="cash",R81="revenue",R81="avoided_cost_realised",R81="capacity_converted"),1,0)</f>
        <v>1</v>
      </c>
      <c r="U81" s="11" t="n">
        <f aca="false">IF(AND(N81,R81&lt;&gt;"capacity_hours",LEN(K81)&gt;0),1,0)</f>
        <v>1</v>
      </c>
      <c r="V81" s="11" t="n">
        <f aca="false">IF(U81=1,SUMPRODUCT(($K$4:$K$703=K81)*($F$4:$F$703=F81)*($U$4:$U$703=1)*($B$4:$B$703&lt;&gt;B81)),0)</f>
        <v>0</v>
      </c>
      <c r="W81" s="11" t="n">
        <f aca="false">IF(AND(U81=1,V81&gt;0),1+SUMPRODUCT(($K$4:$K$703=K81)*($F$4:$F$703=F81)*($U$4:$U$703=1)*($S$4:$S$703&gt;S81))+SUMPRODUCT(($K$4:$K$703=K81)*($F$4:$F$703=F81)*($U$4:$U$703=1)*($S$4:$S$703=S81)*($T$4:$T$703&gt;T81))+SUMPRODUCT(($K$4:$K$703=K81)*($F$4:$F$703=F81)*($U$4:$U$703=1)*($S$4:$S$703=S81)*($T$4:$T$703=T81)*($C$4:$C$703&lt;C81))+SUMPRODUCT(($K$4:$K$703=K81)*($F$4:$F$703=F81)*($U$4:$U$703=1)*($S$4:$S$703=S81)*($T$4:$T$703=T81)*($C$4:$C$703=C81)*($D$4:$D$703&lt;D81)),0)</f>
        <v>0</v>
      </c>
      <c r="X81" s="11" t="n">
        <f aca="false">IF(AND(U81=1,V81&gt;0,W81&gt;1),S81,0)</f>
        <v>0</v>
      </c>
      <c r="Y81" s="11" t="n">
        <f aca="false">IF(T81=1,X81/(1+Controls!$B$11)^F81,0)</f>
        <v>0</v>
      </c>
      <c r="Z81" s="11" t="n">
        <f aca="false">IF(AND(N81,E81="capacity",LEN(K81)&gt;0),1,0)</f>
        <v>0</v>
      </c>
      <c r="AA81" s="11" t="n">
        <f aca="false">IF(Z81=1,SUMPRODUCT(($K$4:$K$703=K81)*($F$4:$F$703=F81)*($Z$4:$Z$703=1)*($B$4:$B$703&lt;&gt;B81)),0)</f>
        <v>0</v>
      </c>
      <c r="AB81" s="11" t="n">
        <f aca="false">IF(AND(Z81=1,AA81&gt;0),1+SUMPRODUCT(($K$4:$K$703=K81)*($F$4:$F$703=F81)*($Z$4:$Z$703=1)*($P$4:$P$703&gt;P81))+SUMPRODUCT(($K$4:$K$703=K81)*($F$4:$F$703=F81)*($Z$4:$Z$703=1)*($P$4:$P$703=P81)*($C$4:$C$703&lt;C81))+SUMPRODUCT(($K$4:$K$703=K81)*($F$4:$F$703=F81)*($Z$4:$Z$703=1)*($P$4:$P$703=P81)*($C$4:$C$703=C81)*($D$4:$D$703&lt;D81)),0)</f>
        <v>0</v>
      </c>
      <c r="AC81" s="11" t="n">
        <f aca="false">IF(AND(Z81=1,AA81&gt;0,AB81&gt;1),P81,0)</f>
        <v>0</v>
      </c>
    </row>
    <row r="82" customFormat="false" ht="15" hidden="false" customHeight="false" outlineLevel="0" collapsed="false">
      <c r="A82" s="4" t="s">
        <v>291</v>
      </c>
      <c r="B82" s="4" t="s">
        <v>85</v>
      </c>
      <c r="C82" s="4" t="n">
        <v>3</v>
      </c>
      <c r="D82" s="4" t="n">
        <v>79</v>
      </c>
      <c r="E82" s="4" t="s">
        <v>112</v>
      </c>
      <c r="F82" s="4" t="n">
        <v>9</v>
      </c>
      <c r="G82" s="4" t="n">
        <v>3</v>
      </c>
      <c r="H82" s="4" t="n">
        <v>101700</v>
      </c>
      <c r="I82" s="13" t="b">
        <f aca="false">FALSE()</f>
        <v>0</v>
      </c>
      <c r="K82" s="4" t="s">
        <v>285</v>
      </c>
      <c r="L82" s="4" t="n">
        <v>8962.03</v>
      </c>
      <c r="M82" s="11" t="n">
        <f aca="false">IFERROR(MATCH(Controls!$B$3&amp;"|"&amp;B82,'Scenario inputs'!$A$4:$A$213,0),0)</f>
        <v>134</v>
      </c>
      <c r="N82" s="8" t="b">
        <f aca="false">IF(M82=0,FALSE(),F82&lt;Controls!$B$12)</f>
        <v>1</v>
      </c>
      <c r="O82" s="11" t="n">
        <f aca="false">IF(N82,IF(INDEX('Scenario inputs'!$E$4:$E$213,M82)=0,1,INDEX('Scenario inputs'!$F$4:$M$213,M82,MIN(MAX(F82-G82,0),INDEX('Scenario inputs'!$E$4:$E$213,M82)-1)+1)),0)</f>
        <v>0.777778</v>
      </c>
      <c r="P82" s="11" t="n">
        <f aca="false">H82*O82</f>
        <v>79100.0226</v>
      </c>
      <c r="Q82" s="11" t="n">
        <f aca="false">IF(M82=0,"",IF(ISNUMBER(INDEX('Scenario inputs'!$N$4:$N$213,M82)),INDEX('Scenario inputs'!$N$4:$N$213,M82),""))</f>
        <v>30.78</v>
      </c>
      <c r="R82" s="0" t="str">
        <f aca="false">IF(NOT(N82),"",IF(OR(E82="cash",E82="revenue"),E82,IF(E82="avoided_cost",IF(AND(I82,LEN(TRIM(J82))&gt;0),"avoided_cost_realised","avoided_cost_beside"),IF(ISNUMBER(Q82),"capacity_converted","capacity_hours"))))</f>
        <v>cash</v>
      </c>
      <c r="S82" s="11" t="n">
        <f aca="false">IF(OR(R82="",R82="capacity_hours"),0,IF(R82="capacity_converted",P82*Q82,P82))</f>
        <v>79100.0226</v>
      </c>
      <c r="T82" s="11" t="n">
        <f aca="false">IF(OR(R82="cash",R82="revenue",R82="avoided_cost_realised",R82="capacity_converted"),1,0)</f>
        <v>1</v>
      </c>
      <c r="U82" s="11" t="n">
        <f aca="false">IF(AND(N82,R82&lt;&gt;"capacity_hours",LEN(K82)&gt;0),1,0)</f>
        <v>1</v>
      </c>
      <c r="V82" s="11" t="n">
        <f aca="false">IF(U82=1,SUMPRODUCT(($K$4:$K$703=K82)*($F$4:$F$703=F82)*($U$4:$U$703=1)*($B$4:$B$703&lt;&gt;B82)),0)</f>
        <v>0</v>
      </c>
      <c r="W82" s="11" t="n">
        <f aca="false">IF(AND(U82=1,V82&gt;0),1+SUMPRODUCT(($K$4:$K$703=K82)*($F$4:$F$703=F82)*($U$4:$U$703=1)*($S$4:$S$703&gt;S82))+SUMPRODUCT(($K$4:$K$703=K82)*($F$4:$F$703=F82)*($U$4:$U$703=1)*($S$4:$S$703=S82)*($T$4:$T$703&gt;T82))+SUMPRODUCT(($K$4:$K$703=K82)*($F$4:$F$703=F82)*($U$4:$U$703=1)*($S$4:$S$703=S82)*($T$4:$T$703=T82)*($C$4:$C$703&lt;C82))+SUMPRODUCT(($K$4:$K$703=K82)*($F$4:$F$703=F82)*($U$4:$U$703=1)*($S$4:$S$703=S82)*($T$4:$T$703=T82)*($C$4:$C$703=C82)*($D$4:$D$703&lt;D82)),0)</f>
        <v>0</v>
      </c>
      <c r="X82" s="11" t="n">
        <f aca="false">IF(AND(U82=1,V82&gt;0,W82&gt;1),S82,0)</f>
        <v>0</v>
      </c>
      <c r="Y82" s="11" t="n">
        <f aca="false">IF(T82=1,X82/(1+Controls!$B$11)^F82,0)</f>
        <v>0</v>
      </c>
      <c r="Z82" s="11" t="n">
        <f aca="false">IF(AND(N82,E82="capacity",LEN(K82)&gt;0),1,0)</f>
        <v>0</v>
      </c>
      <c r="AA82" s="11" t="n">
        <f aca="false">IF(Z82=1,SUMPRODUCT(($K$4:$K$703=K82)*($F$4:$F$703=F82)*($Z$4:$Z$703=1)*($B$4:$B$703&lt;&gt;B82)),0)</f>
        <v>0</v>
      </c>
      <c r="AB82" s="11" t="n">
        <f aca="false">IF(AND(Z82=1,AA82&gt;0),1+SUMPRODUCT(($K$4:$K$703=K82)*($F$4:$F$703=F82)*($Z$4:$Z$703=1)*($P$4:$P$703&gt;P82))+SUMPRODUCT(($K$4:$K$703=K82)*($F$4:$F$703=F82)*($Z$4:$Z$703=1)*($P$4:$P$703=P82)*($C$4:$C$703&lt;C82))+SUMPRODUCT(($K$4:$K$703=K82)*($F$4:$F$703=F82)*($Z$4:$Z$703=1)*($P$4:$P$703=P82)*($C$4:$C$703=C82)*($D$4:$D$703&lt;D82)),0)</f>
        <v>0</v>
      </c>
      <c r="AC82" s="11" t="n">
        <f aca="false">IF(AND(Z82=1,AA82&gt;0,AB82&gt;1),P82,0)</f>
        <v>0</v>
      </c>
    </row>
    <row r="83" customFormat="false" ht="15" hidden="false" customHeight="false" outlineLevel="0" collapsed="false">
      <c r="A83" s="4" t="s">
        <v>292</v>
      </c>
      <c r="B83" s="4" t="s">
        <v>85</v>
      </c>
      <c r="C83" s="4" t="n">
        <v>3</v>
      </c>
      <c r="D83" s="4" t="n">
        <v>80</v>
      </c>
      <c r="E83" s="4" t="s">
        <v>112</v>
      </c>
      <c r="F83" s="4" t="n">
        <v>10</v>
      </c>
      <c r="G83" s="4" t="n">
        <v>3</v>
      </c>
      <c r="H83" s="4" t="n">
        <v>101700</v>
      </c>
      <c r="I83" s="13" t="b">
        <f aca="false">FALSE()</f>
        <v>0</v>
      </c>
      <c r="K83" s="4" t="s">
        <v>285</v>
      </c>
      <c r="L83" s="4" t="n">
        <v>11522.61</v>
      </c>
      <c r="M83" s="11" t="n">
        <f aca="false">IFERROR(MATCH(Controls!$B$3&amp;"|"&amp;B83,'Scenario inputs'!$A$4:$A$213,0),0)</f>
        <v>134</v>
      </c>
      <c r="N83" s="8" t="b">
        <f aca="false">IF(M83=0,FALSE(),F83&lt;Controls!$B$12)</f>
        <v>1</v>
      </c>
      <c r="O83" s="11" t="n">
        <f aca="false">IF(N83,IF(INDEX('Scenario inputs'!$E$4:$E$213,M83)=0,1,INDEX('Scenario inputs'!$F$4:$M$213,M83,MIN(MAX(F83-G83,0),INDEX('Scenario inputs'!$E$4:$E$213,M83)-1)+1)),0)</f>
        <v>1</v>
      </c>
      <c r="P83" s="11" t="n">
        <f aca="false">H83*O83</f>
        <v>101700</v>
      </c>
      <c r="Q83" s="11" t="n">
        <f aca="false">IF(M83=0,"",IF(ISNUMBER(INDEX('Scenario inputs'!$N$4:$N$213,M83)),INDEX('Scenario inputs'!$N$4:$N$213,M83),""))</f>
        <v>30.78</v>
      </c>
      <c r="R83" s="0" t="str">
        <f aca="false">IF(NOT(N83),"",IF(OR(E83="cash",E83="revenue"),E83,IF(E83="avoided_cost",IF(AND(I83,LEN(TRIM(J83))&gt;0),"avoided_cost_realised","avoided_cost_beside"),IF(ISNUMBER(Q83),"capacity_converted","capacity_hours"))))</f>
        <v>cash</v>
      </c>
      <c r="S83" s="11" t="n">
        <f aca="false">IF(OR(R83="",R83="capacity_hours"),0,IF(R83="capacity_converted",P83*Q83,P83))</f>
        <v>101700</v>
      </c>
      <c r="T83" s="11" t="n">
        <f aca="false">IF(OR(R83="cash",R83="revenue",R83="avoided_cost_realised",R83="capacity_converted"),1,0)</f>
        <v>1</v>
      </c>
      <c r="U83" s="11" t="n">
        <f aca="false">IF(AND(N83,R83&lt;&gt;"capacity_hours",LEN(K83)&gt;0),1,0)</f>
        <v>1</v>
      </c>
      <c r="V83" s="11" t="n">
        <f aca="false">IF(U83=1,SUMPRODUCT(($K$4:$K$703=K83)*($F$4:$F$703=F83)*($U$4:$U$703=1)*($B$4:$B$703&lt;&gt;B83)),0)</f>
        <v>0</v>
      </c>
      <c r="W83" s="11" t="n">
        <f aca="false">IF(AND(U83=1,V83&gt;0),1+SUMPRODUCT(($K$4:$K$703=K83)*($F$4:$F$703=F83)*($U$4:$U$703=1)*($S$4:$S$703&gt;S83))+SUMPRODUCT(($K$4:$K$703=K83)*($F$4:$F$703=F83)*($U$4:$U$703=1)*($S$4:$S$703=S83)*($T$4:$T$703&gt;T83))+SUMPRODUCT(($K$4:$K$703=K83)*($F$4:$F$703=F83)*($U$4:$U$703=1)*($S$4:$S$703=S83)*($T$4:$T$703=T83)*($C$4:$C$703&lt;C83))+SUMPRODUCT(($K$4:$K$703=K83)*($F$4:$F$703=F83)*($U$4:$U$703=1)*($S$4:$S$703=S83)*($T$4:$T$703=T83)*($C$4:$C$703=C83)*($D$4:$D$703&lt;D83)),0)</f>
        <v>0</v>
      </c>
      <c r="X83" s="11" t="n">
        <f aca="false">IF(AND(U83=1,V83&gt;0,W83&gt;1),S83,0)</f>
        <v>0</v>
      </c>
      <c r="Y83" s="11" t="n">
        <f aca="false">IF(T83=1,X83/(1+Controls!$B$11)^F83,0)</f>
        <v>0</v>
      </c>
      <c r="Z83" s="11" t="n">
        <f aca="false">IF(AND(N83,E83="capacity",LEN(K83)&gt;0),1,0)</f>
        <v>0</v>
      </c>
      <c r="AA83" s="11" t="n">
        <f aca="false">IF(Z83=1,SUMPRODUCT(($K$4:$K$703=K83)*($F$4:$F$703=F83)*($Z$4:$Z$703=1)*($B$4:$B$703&lt;&gt;B83)),0)</f>
        <v>0</v>
      </c>
      <c r="AB83" s="11" t="n">
        <f aca="false">IF(AND(Z83=1,AA83&gt;0),1+SUMPRODUCT(($K$4:$K$703=K83)*($F$4:$F$703=F83)*($Z$4:$Z$703=1)*($P$4:$P$703&gt;P83))+SUMPRODUCT(($K$4:$K$703=K83)*($F$4:$F$703=F83)*($Z$4:$Z$703=1)*($P$4:$P$703=P83)*($C$4:$C$703&lt;C83))+SUMPRODUCT(($K$4:$K$703=K83)*($F$4:$F$703=F83)*($Z$4:$Z$703=1)*($P$4:$P$703=P83)*($C$4:$C$703=C83)*($D$4:$D$703&lt;D83)),0)</f>
        <v>0</v>
      </c>
      <c r="AC83" s="11" t="n">
        <f aca="false">IF(AND(Z83=1,AA83&gt;0,AB83&gt;1),P83,0)</f>
        <v>0</v>
      </c>
    </row>
    <row r="84" customFormat="false" ht="15" hidden="false" customHeight="false" outlineLevel="0" collapsed="false">
      <c r="A84" s="4" t="s">
        <v>293</v>
      </c>
      <c r="B84" s="4" t="s">
        <v>85</v>
      </c>
      <c r="C84" s="4" t="n">
        <v>3</v>
      </c>
      <c r="D84" s="4" t="n">
        <v>81</v>
      </c>
      <c r="E84" s="4" t="s">
        <v>112</v>
      </c>
      <c r="F84" s="4" t="n">
        <v>11</v>
      </c>
      <c r="G84" s="4" t="n">
        <v>3</v>
      </c>
      <c r="H84" s="4" t="n">
        <v>101700</v>
      </c>
      <c r="I84" s="13" t="b">
        <f aca="false">FALSE()</f>
        <v>0</v>
      </c>
      <c r="K84" s="4" t="s">
        <v>285</v>
      </c>
      <c r="L84" s="4" t="n">
        <v>11522.61</v>
      </c>
      <c r="M84" s="11" t="n">
        <f aca="false">IFERROR(MATCH(Controls!$B$3&amp;"|"&amp;B84,'Scenario inputs'!$A$4:$A$213,0),0)</f>
        <v>134</v>
      </c>
      <c r="N84" s="8" t="b">
        <f aca="false">IF(M84=0,FALSE(),F84&lt;Controls!$B$12)</f>
        <v>1</v>
      </c>
      <c r="O84" s="11" t="n">
        <f aca="false">IF(N84,IF(INDEX('Scenario inputs'!$E$4:$E$213,M84)=0,1,INDEX('Scenario inputs'!$F$4:$M$213,M84,MIN(MAX(F84-G84,0),INDEX('Scenario inputs'!$E$4:$E$213,M84)-1)+1)),0)</f>
        <v>1</v>
      </c>
      <c r="P84" s="11" t="n">
        <f aca="false">H84*O84</f>
        <v>101700</v>
      </c>
      <c r="Q84" s="11" t="n">
        <f aca="false">IF(M84=0,"",IF(ISNUMBER(INDEX('Scenario inputs'!$N$4:$N$213,M84)),INDEX('Scenario inputs'!$N$4:$N$213,M84),""))</f>
        <v>30.78</v>
      </c>
      <c r="R84" s="0" t="str">
        <f aca="false">IF(NOT(N84),"",IF(OR(E84="cash",E84="revenue"),E84,IF(E84="avoided_cost",IF(AND(I84,LEN(TRIM(J84))&gt;0),"avoided_cost_realised","avoided_cost_beside"),IF(ISNUMBER(Q84),"capacity_converted","capacity_hours"))))</f>
        <v>cash</v>
      </c>
      <c r="S84" s="11" t="n">
        <f aca="false">IF(OR(R84="",R84="capacity_hours"),0,IF(R84="capacity_converted",P84*Q84,P84))</f>
        <v>101700</v>
      </c>
      <c r="T84" s="11" t="n">
        <f aca="false">IF(OR(R84="cash",R84="revenue",R84="avoided_cost_realised",R84="capacity_converted"),1,0)</f>
        <v>1</v>
      </c>
      <c r="U84" s="11" t="n">
        <f aca="false">IF(AND(N84,R84&lt;&gt;"capacity_hours",LEN(K84)&gt;0),1,0)</f>
        <v>1</v>
      </c>
      <c r="V84" s="11" t="n">
        <f aca="false">IF(U84=1,SUMPRODUCT(($K$4:$K$703=K84)*($F$4:$F$703=F84)*($U$4:$U$703=1)*($B$4:$B$703&lt;&gt;B84)),0)</f>
        <v>0</v>
      </c>
      <c r="W84" s="11" t="n">
        <f aca="false">IF(AND(U84=1,V84&gt;0),1+SUMPRODUCT(($K$4:$K$703=K84)*($F$4:$F$703=F84)*($U$4:$U$703=1)*($S$4:$S$703&gt;S84))+SUMPRODUCT(($K$4:$K$703=K84)*($F$4:$F$703=F84)*($U$4:$U$703=1)*($S$4:$S$703=S84)*($T$4:$T$703&gt;T84))+SUMPRODUCT(($K$4:$K$703=K84)*($F$4:$F$703=F84)*($U$4:$U$703=1)*($S$4:$S$703=S84)*($T$4:$T$703=T84)*($C$4:$C$703&lt;C84))+SUMPRODUCT(($K$4:$K$703=K84)*($F$4:$F$703=F84)*($U$4:$U$703=1)*($S$4:$S$703=S84)*($T$4:$T$703=T84)*($C$4:$C$703=C84)*($D$4:$D$703&lt;D84)),0)</f>
        <v>0</v>
      </c>
      <c r="X84" s="11" t="n">
        <f aca="false">IF(AND(U84=1,V84&gt;0,W84&gt;1),S84,0)</f>
        <v>0</v>
      </c>
      <c r="Y84" s="11" t="n">
        <f aca="false">IF(T84=1,X84/(1+Controls!$B$11)^F84,0)</f>
        <v>0</v>
      </c>
      <c r="Z84" s="11" t="n">
        <f aca="false">IF(AND(N84,E84="capacity",LEN(K84)&gt;0),1,0)</f>
        <v>0</v>
      </c>
      <c r="AA84" s="11" t="n">
        <f aca="false">IF(Z84=1,SUMPRODUCT(($K$4:$K$703=K84)*($F$4:$F$703=F84)*($Z$4:$Z$703=1)*($B$4:$B$703&lt;&gt;B84)),0)</f>
        <v>0</v>
      </c>
      <c r="AB84" s="11" t="n">
        <f aca="false">IF(AND(Z84=1,AA84&gt;0),1+SUMPRODUCT(($K$4:$K$703=K84)*($F$4:$F$703=F84)*($Z$4:$Z$703=1)*($P$4:$P$703&gt;P84))+SUMPRODUCT(($K$4:$K$703=K84)*($F$4:$F$703=F84)*($Z$4:$Z$703=1)*($P$4:$P$703=P84)*($C$4:$C$703&lt;C84))+SUMPRODUCT(($K$4:$K$703=K84)*($F$4:$F$703=F84)*($Z$4:$Z$703=1)*($P$4:$P$703=P84)*($C$4:$C$703=C84)*($D$4:$D$703&lt;D84)),0)</f>
        <v>0</v>
      </c>
      <c r="AC84" s="11" t="n">
        <f aca="false">IF(AND(Z84=1,AA84&gt;0,AB84&gt;1),P84,0)</f>
        <v>0</v>
      </c>
    </row>
    <row r="85" customFormat="false" ht="15" hidden="false" customHeight="false" outlineLevel="0" collapsed="false">
      <c r="A85" s="4" t="s">
        <v>294</v>
      </c>
      <c r="B85" s="4" t="s">
        <v>85</v>
      </c>
      <c r="C85" s="4" t="n">
        <v>3</v>
      </c>
      <c r="D85" s="4" t="n">
        <v>82</v>
      </c>
      <c r="E85" s="4" t="s">
        <v>112</v>
      </c>
      <c r="F85" s="4" t="n">
        <v>12</v>
      </c>
      <c r="G85" s="4" t="n">
        <v>3</v>
      </c>
      <c r="H85" s="4" t="n">
        <v>101700</v>
      </c>
      <c r="I85" s="13" t="b">
        <f aca="false">FALSE()</f>
        <v>0</v>
      </c>
      <c r="K85" s="4" t="s">
        <v>285</v>
      </c>
      <c r="L85" s="4" t="n">
        <v>11522.61</v>
      </c>
      <c r="M85" s="11" t="n">
        <f aca="false">IFERROR(MATCH(Controls!$B$3&amp;"|"&amp;B85,'Scenario inputs'!$A$4:$A$213,0),0)</f>
        <v>134</v>
      </c>
      <c r="N85" s="8" t="b">
        <f aca="false">IF(M85=0,FALSE(),F85&lt;Controls!$B$12)</f>
        <v>1</v>
      </c>
      <c r="O85" s="11" t="n">
        <f aca="false">IF(N85,IF(INDEX('Scenario inputs'!$E$4:$E$213,M85)=0,1,INDEX('Scenario inputs'!$F$4:$M$213,M85,MIN(MAX(F85-G85,0),INDEX('Scenario inputs'!$E$4:$E$213,M85)-1)+1)),0)</f>
        <v>1</v>
      </c>
      <c r="P85" s="11" t="n">
        <f aca="false">H85*O85</f>
        <v>101700</v>
      </c>
      <c r="Q85" s="11" t="n">
        <f aca="false">IF(M85=0,"",IF(ISNUMBER(INDEX('Scenario inputs'!$N$4:$N$213,M85)),INDEX('Scenario inputs'!$N$4:$N$213,M85),""))</f>
        <v>30.78</v>
      </c>
      <c r="R85" s="0" t="str">
        <f aca="false">IF(NOT(N85),"",IF(OR(E85="cash",E85="revenue"),E85,IF(E85="avoided_cost",IF(AND(I85,LEN(TRIM(J85))&gt;0),"avoided_cost_realised","avoided_cost_beside"),IF(ISNUMBER(Q85),"capacity_converted","capacity_hours"))))</f>
        <v>cash</v>
      </c>
      <c r="S85" s="11" t="n">
        <f aca="false">IF(OR(R85="",R85="capacity_hours"),0,IF(R85="capacity_converted",P85*Q85,P85))</f>
        <v>101700</v>
      </c>
      <c r="T85" s="11" t="n">
        <f aca="false">IF(OR(R85="cash",R85="revenue",R85="avoided_cost_realised",R85="capacity_converted"),1,0)</f>
        <v>1</v>
      </c>
      <c r="U85" s="11" t="n">
        <f aca="false">IF(AND(N85,R85&lt;&gt;"capacity_hours",LEN(K85)&gt;0),1,0)</f>
        <v>1</v>
      </c>
      <c r="V85" s="11" t="n">
        <f aca="false">IF(U85=1,SUMPRODUCT(($K$4:$K$703=K85)*($F$4:$F$703=F85)*($U$4:$U$703=1)*($B$4:$B$703&lt;&gt;B85)),0)</f>
        <v>0</v>
      </c>
      <c r="W85" s="11" t="n">
        <f aca="false">IF(AND(U85=1,V85&gt;0),1+SUMPRODUCT(($K$4:$K$703=K85)*($F$4:$F$703=F85)*($U$4:$U$703=1)*($S$4:$S$703&gt;S85))+SUMPRODUCT(($K$4:$K$703=K85)*($F$4:$F$703=F85)*($U$4:$U$703=1)*($S$4:$S$703=S85)*($T$4:$T$703&gt;T85))+SUMPRODUCT(($K$4:$K$703=K85)*($F$4:$F$703=F85)*($U$4:$U$703=1)*($S$4:$S$703=S85)*($T$4:$T$703=T85)*($C$4:$C$703&lt;C85))+SUMPRODUCT(($K$4:$K$703=K85)*($F$4:$F$703=F85)*($U$4:$U$703=1)*($S$4:$S$703=S85)*($T$4:$T$703=T85)*($C$4:$C$703=C85)*($D$4:$D$703&lt;D85)),0)</f>
        <v>0</v>
      </c>
      <c r="X85" s="11" t="n">
        <f aca="false">IF(AND(U85=1,V85&gt;0,W85&gt;1),S85,0)</f>
        <v>0</v>
      </c>
      <c r="Y85" s="11" t="n">
        <f aca="false">IF(T85=1,X85/(1+Controls!$B$11)^F85,0)</f>
        <v>0</v>
      </c>
      <c r="Z85" s="11" t="n">
        <f aca="false">IF(AND(N85,E85="capacity",LEN(K85)&gt;0),1,0)</f>
        <v>0</v>
      </c>
      <c r="AA85" s="11" t="n">
        <f aca="false">IF(Z85=1,SUMPRODUCT(($K$4:$K$703=K85)*($F$4:$F$703=F85)*($Z$4:$Z$703=1)*($B$4:$B$703&lt;&gt;B85)),0)</f>
        <v>0</v>
      </c>
      <c r="AB85" s="11" t="n">
        <f aca="false">IF(AND(Z85=1,AA85&gt;0),1+SUMPRODUCT(($K$4:$K$703=K85)*($F$4:$F$703=F85)*($Z$4:$Z$703=1)*($P$4:$P$703&gt;P85))+SUMPRODUCT(($K$4:$K$703=K85)*($F$4:$F$703=F85)*($Z$4:$Z$703=1)*($P$4:$P$703=P85)*($C$4:$C$703&lt;C85))+SUMPRODUCT(($K$4:$K$703=K85)*($F$4:$F$703=F85)*($Z$4:$Z$703=1)*($P$4:$P$703=P85)*($C$4:$C$703=C85)*($D$4:$D$703&lt;D85)),0)</f>
        <v>0</v>
      </c>
      <c r="AC85" s="11" t="n">
        <f aca="false">IF(AND(Z85=1,AA85&gt;0,AB85&gt;1),P85,0)</f>
        <v>0</v>
      </c>
    </row>
    <row r="86" customFormat="false" ht="15" hidden="false" customHeight="false" outlineLevel="0" collapsed="false">
      <c r="A86" s="4" t="s">
        <v>295</v>
      </c>
      <c r="B86" s="4" t="s">
        <v>85</v>
      </c>
      <c r="C86" s="4" t="n">
        <v>3</v>
      </c>
      <c r="D86" s="4" t="n">
        <v>83</v>
      </c>
      <c r="E86" s="4" t="s">
        <v>112</v>
      </c>
      <c r="F86" s="4" t="n">
        <v>13</v>
      </c>
      <c r="G86" s="4" t="n">
        <v>3</v>
      </c>
      <c r="H86" s="4" t="n">
        <v>101700</v>
      </c>
      <c r="I86" s="13" t="b">
        <f aca="false">FALSE()</f>
        <v>0</v>
      </c>
      <c r="K86" s="4" t="s">
        <v>285</v>
      </c>
      <c r="L86" s="4" t="n">
        <v>11522.61</v>
      </c>
      <c r="M86" s="11" t="n">
        <f aca="false">IFERROR(MATCH(Controls!$B$3&amp;"|"&amp;B86,'Scenario inputs'!$A$4:$A$213,0),0)</f>
        <v>134</v>
      </c>
      <c r="N86" s="8" t="b">
        <f aca="false">IF(M86=0,FALSE(),F86&lt;Controls!$B$12)</f>
        <v>1</v>
      </c>
      <c r="O86" s="11" t="n">
        <f aca="false">IF(N86,IF(INDEX('Scenario inputs'!$E$4:$E$213,M86)=0,1,INDEX('Scenario inputs'!$F$4:$M$213,M86,MIN(MAX(F86-G86,0),INDEX('Scenario inputs'!$E$4:$E$213,M86)-1)+1)),0)</f>
        <v>1</v>
      </c>
      <c r="P86" s="11" t="n">
        <f aca="false">H86*O86</f>
        <v>101700</v>
      </c>
      <c r="Q86" s="11" t="n">
        <f aca="false">IF(M86=0,"",IF(ISNUMBER(INDEX('Scenario inputs'!$N$4:$N$213,M86)),INDEX('Scenario inputs'!$N$4:$N$213,M86),""))</f>
        <v>30.78</v>
      </c>
      <c r="R86" s="0" t="str">
        <f aca="false">IF(NOT(N86),"",IF(OR(E86="cash",E86="revenue"),E86,IF(E86="avoided_cost",IF(AND(I86,LEN(TRIM(J86))&gt;0),"avoided_cost_realised","avoided_cost_beside"),IF(ISNUMBER(Q86),"capacity_converted","capacity_hours"))))</f>
        <v>cash</v>
      </c>
      <c r="S86" s="11" t="n">
        <f aca="false">IF(OR(R86="",R86="capacity_hours"),0,IF(R86="capacity_converted",P86*Q86,P86))</f>
        <v>101700</v>
      </c>
      <c r="T86" s="11" t="n">
        <f aca="false">IF(OR(R86="cash",R86="revenue",R86="avoided_cost_realised",R86="capacity_converted"),1,0)</f>
        <v>1</v>
      </c>
      <c r="U86" s="11" t="n">
        <f aca="false">IF(AND(N86,R86&lt;&gt;"capacity_hours",LEN(K86)&gt;0),1,0)</f>
        <v>1</v>
      </c>
      <c r="V86" s="11" t="n">
        <f aca="false">IF(U86=1,SUMPRODUCT(($K$4:$K$703=K86)*($F$4:$F$703=F86)*($U$4:$U$703=1)*($B$4:$B$703&lt;&gt;B86)),0)</f>
        <v>0</v>
      </c>
      <c r="W86" s="11" t="n">
        <f aca="false">IF(AND(U86=1,V86&gt;0),1+SUMPRODUCT(($K$4:$K$703=K86)*($F$4:$F$703=F86)*($U$4:$U$703=1)*($S$4:$S$703&gt;S86))+SUMPRODUCT(($K$4:$K$703=K86)*($F$4:$F$703=F86)*($U$4:$U$703=1)*($S$4:$S$703=S86)*($T$4:$T$703&gt;T86))+SUMPRODUCT(($K$4:$K$703=K86)*($F$4:$F$703=F86)*($U$4:$U$703=1)*($S$4:$S$703=S86)*($T$4:$T$703=T86)*($C$4:$C$703&lt;C86))+SUMPRODUCT(($K$4:$K$703=K86)*($F$4:$F$703=F86)*($U$4:$U$703=1)*($S$4:$S$703=S86)*($T$4:$T$703=T86)*($C$4:$C$703=C86)*($D$4:$D$703&lt;D86)),0)</f>
        <v>0</v>
      </c>
      <c r="X86" s="11" t="n">
        <f aca="false">IF(AND(U86=1,V86&gt;0,W86&gt;1),S86,0)</f>
        <v>0</v>
      </c>
      <c r="Y86" s="11" t="n">
        <f aca="false">IF(T86=1,X86/(1+Controls!$B$11)^F86,0)</f>
        <v>0</v>
      </c>
      <c r="Z86" s="11" t="n">
        <f aca="false">IF(AND(N86,E86="capacity",LEN(K86)&gt;0),1,0)</f>
        <v>0</v>
      </c>
      <c r="AA86" s="11" t="n">
        <f aca="false">IF(Z86=1,SUMPRODUCT(($K$4:$K$703=K86)*($F$4:$F$703=F86)*($Z$4:$Z$703=1)*($B$4:$B$703&lt;&gt;B86)),0)</f>
        <v>0</v>
      </c>
      <c r="AB86" s="11" t="n">
        <f aca="false">IF(AND(Z86=1,AA86&gt;0),1+SUMPRODUCT(($K$4:$K$703=K86)*($F$4:$F$703=F86)*($Z$4:$Z$703=1)*($P$4:$P$703&gt;P86))+SUMPRODUCT(($K$4:$K$703=K86)*($F$4:$F$703=F86)*($Z$4:$Z$703=1)*($P$4:$P$703=P86)*($C$4:$C$703&lt;C86))+SUMPRODUCT(($K$4:$K$703=K86)*($F$4:$F$703=F86)*($Z$4:$Z$703=1)*($P$4:$P$703=P86)*($C$4:$C$703=C86)*($D$4:$D$703&lt;D86)),0)</f>
        <v>0</v>
      </c>
      <c r="AC86" s="11" t="n">
        <f aca="false">IF(AND(Z86=1,AA86&gt;0,AB86&gt;1),P86,0)</f>
        <v>0</v>
      </c>
    </row>
    <row r="87" customFormat="false" ht="15" hidden="false" customHeight="false" outlineLevel="0" collapsed="false">
      <c r="A87" s="4" t="s">
        <v>296</v>
      </c>
      <c r="B87" s="4" t="s">
        <v>85</v>
      </c>
      <c r="C87" s="4" t="n">
        <v>3</v>
      </c>
      <c r="D87" s="4" t="n">
        <v>84</v>
      </c>
      <c r="E87" s="4" t="s">
        <v>112</v>
      </c>
      <c r="F87" s="4" t="n">
        <v>14</v>
      </c>
      <c r="G87" s="4" t="n">
        <v>3</v>
      </c>
      <c r="H87" s="4" t="n">
        <v>101700</v>
      </c>
      <c r="I87" s="13" t="b">
        <f aca="false">FALSE()</f>
        <v>0</v>
      </c>
      <c r="K87" s="4" t="s">
        <v>285</v>
      </c>
      <c r="L87" s="4" t="n">
        <v>11522.61</v>
      </c>
      <c r="M87" s="11" t="n">
        <f aca="false">IFERROR(MATCH(Controls!$B$3&amp;"|"&amp;B87,'Scenario inputs'!$A$4:$A$213,0),0)</f>
        <v>134</v>
      </c>
      <c r="N87" s="8" t="b">
        <f aca="false">IF(M87=0,FALSE(),F87&lt;Controls!$B$12)</f>
        <v>1</v>
      </c>
      <c r="O87" s="11" t="n">
        <f aca="false">IF(N87,IF(INDEX('Scenario inputs'!$E$4:$E$213,M87)=0,1,INDEX('Scenario inputs'!$F$4:$M$213,M87,MIN(MAX(F87-G87,0),INDEX('Scenario inputs'!$E$4:$E$213,M87)-1)+1)),0)</f>
        <v>1</v>
      </c>
      <c r="P87" s="11" t="n">
        <f aca="false">H87*O87</f>
        <v>101700</v>
      </c>
      <c r="Q87" s="11" t="n">
        <f aca="false">IF(M87=0,"",IF(ISNUMBER(INDEX('Scenario inputs'!$N$4:$N$213,M87)),INDEX('Scenario inputs'!$N$4:$N$213,M87),""))</f>
        <v>30.78</v>
      </c>
      <c r="R87" s="0" t="str">
        <f aca="false">IF(NOT(N87),"",IF(OR(E87="cash",E87="revenue"),E87,IF(E87="avoided_cost",IF(AND(I87,LEN(TRIM(J87))&gt;0),"avoided_cost_realised","avoided_cost_beside"),IF(ISNUMBER(Q87),"capacity_converted","capacity_hours"))))</f>
        <v>cash</v>
      </c>
      <c r="S87" s="11" t="n">
        <f aca="false">IF(OR(R87="",R87="capacity_hours"),0,IF(R87="capacity_converted",P87*Q87,P87))</f>
        <v>101700</v>
      </c>
      <c r="T87" s="11" t="n">
        <f aca="false">IF(OR(R87="cash",R87="revenue",R87="avoided_cost_realised",R87="capacity_converted"),1,0)</f>
        <v>1</v>
      </c>
      <c r="U87" s="11" t="n">
        <f aca="false">IF(AND(N87,R87&lt;&gt;"capacity_hours",LEN(K87)&gt;0),1,0)</f>
        <v>1</v>
      </c>
      <c r="V87" s="11" t="n">
        <f aca="false">IF(U87=1,SUMPRODUCT(($K$4:$K$703=K87)*($F$4:$F$703=F87)*($U$4:$U$703=1)*($B$4:$B$703&lt;&gt;B87)),0)</f>
        <v>0</v>
      </c>
      <c r="W87" s="11" t="n">
        <f aca="false">IF(AND(U87=1,V87&gt;0),1+SUMPRODUCT(($K$4:$K$703=K87)*($F$4:$F$703=F87)*($U$4:$U$703=1)*($S$4:$S$703&gt;S87))+SUMPRODUCT(($K$4:$K$703=K87)*($F$4:$F$703=F87)*($U$4:$U$703=1)*($S$4:$S$703=S87)*($T$4:$T$703&gt;T87))+SUMPRODUCT(($K$4:$K$703=K87)*($F$4:$F$703=F87)*($U$4:$U$703=1)*($S$4:$S$703=S87)*($T$4:$T$703=T87)*($C$4:$C$703&lt;C87))+SUMPRODUCT(($K$4:$K$703=K87)*($F$4:$F$703=F87)*($U$4:$U$703=1)*($S$4:$S$703=S87)*($T$4:$T$703=T87)*($C$4:$C$703=C87)*($D$4:$D$703&lt;D87)),0)</f>
        <v>0</v>
      </c>
      <c r="X87" s="11" t="n">
        <f aca="false">IF(AND(U87=1,V87&gt;0,W87&gt;1),S87,0)</f>
        <v>0</v>
      </c>
      <c r="Y87" s="11" t="n">
        <f aca="false">IF(T87=1,X87/(1+Controls!$B$11)^F87,0)</f>
        <v>0</v>
      </c>
      <c r="Z87" s="11" t="n">
        <f aca="false">IF(AND(N87,E87="capacity",LEN(K87)&gt;0),1,0)</f>
        <v>0</v>
      </c>
      <c r="AA87" s="11" t="n">
        <f aca="false">IF(Z87=1,SUMPRODUCT(($K$4:$K$703=K87)*($F$4:$F$703=F87)*($Z$4:$Z$703=1)*($B$4:$B$703&lt;&gt;B87)),0)</f>
        <v>0</v>
      </c>
      <c r="AB87" s="11" t="n">
        <f aca="false">IF(AND(Z87=1,AA87&gt;0),1+SUMPRODUCT(($K$4:$K$703=K87)*($F$4:$F$703=F87)*($Z$4:$Z$703=1)*($P$4:$P$703&gt;P87))+SUMPRODUCT(($K$4:$K$703=K87)*($F$4:$F$703=F87)*($Z$4:$Z$703=1)*($P$4:$P$703=P87)*($C$4:$C$703&lt;C87))+SUMPRODUCT(($K$4:$K$703=K87)*($F$4:$F$703=F87)*($Z$4:$Z$703=1)*($P$4:$P$703=P87)*($C$4:$C$703=C87)*($D$4:$D$703&lt;D87)),0)</f>
        <v>0</v>
      </c>
      <c r="AC87" s="11" t="n">
        <f aca="false">IF(AND(Z87=1,AA87&gt;0,AB87&gt;1),P87,0)</f>
        <v>0</v>
      </c>
    </row>
    <row r="88" customFormat="false" ht="15" hidden="false" customHeight="false" outlineLevel="0" collapsed="false">
      <c r="A88" s="4" t="s">
        <v>297</v>
      </c>
      <c r="B88" s="4" t="s">
        <v>85</v>
      </c>
      <c r="C88" s="4" t="n">
        <v>3</v>
      </c>
      <c r="D88" s="4" t="n">
        <v>85</v>
      </c>
      <c r="E88" s="4" t="s">
        <v>205</v>
      </c>
      <c r="F88" s="4" t="n">
        <v>4</v>
      </c>
      <c r="G88" s="4" t="n">
        <v>4</v>
      </c>
      <c r="H88" s="4" t="n">
        <v>30500</v>
      </c>
      <c r="I88" s="13" t="b">
        <f aca="false">TRUE()</f>
        <v>1</v>
      </c>
      <c r="K88" s="4" t="s">
        <v>298</v>
      </c>
      <c r="L88" s="4" t="n">
        <v>97.78</v>
      </c>
      <c r="M88" s="11" t="n">
        <f aca="false">IFERROR(MATCH(Controls!$B$3&amp;"|"&amp;B88,'Scenario inputs'!$A$4:$A$213,0),0)</f>
        <v>134</v>
      </c>
      <c r="N88" s="8" t="b">
        <f aca="false">IF(M88=0,FALSE(),F88&lt;Controls!$B$12)</f>
        <v>1</v>
      </c>
      <c r="O88" s="11" t="n">
        <f aca="false">IF(N88,IF(INDEX('Scenario inputs'!$E$4:$E$213,M88)=0,1,INDEX('Scenario inputs'!$F$4:$M$213,M88,MIN(MAX(F88-G88,0),INDEX('Scenario inputs'!$E$4:$E$213,M88)-1)+1)),0)</f>
        <v>0.027778</v>
      </c>
      <c r="P88" s="11" t="n">
        <f aca="false">H88*O88</f>
        <v>847.229</v>
      </c>
      <c r="Q88" s="11" t="n">
        <f aca="false">IF(M88=0,"",IF(ISNUMBER(INDEX('Scenario inputs'!$N$4:$N$213,M88)),INDEX('Scenario inputs'!$N$4:$N$213,M88),""))</f>
        <v>30.78</v>
      </c>
      <c r="R88" s="0" t="str">
        <f aca="false">IF(NOT(N88),"",IF(OR(E88="cash",E88="revenue"),E88,IF(E88="avoided_cost",IF(AND(I88,LEN(TRIM(J88))&gt;0),"avoided_cost_realised","avoided_cost_beside"),IF(ISNUMBER(Q88),"capacity_converted","capacity_hours"))))</f>
        <v>avoided_cost_beside</v>
      </c>
      <c r="S88" s="11" t="n">
        <f aca="false">IF(OR(R88="",R88="capacity_hours"),0,IF(R88="capacity_converted",P88*Q88,P88))</f>
        <v>847.229</v>
      </c>
      <c r="T88" s="11" t="n">
        <f aca="false">IF(OR(R88="cash",R88="revenue",R88="avoided_cost_realised",R88="capacity_converted"),1,0)</f>
        <v>0</v>
      </c>
      <c r="U88" s="11" t="n">
        <f aca="false">IF(AND(N88,R88&lt;&gt;"capacity_hours",LEN(K88)&gt;0),1,0)</f>
        <v>1</v>
      </c>
      <c r="V88" s="11" t="n">
        <f aca="false">IF(U88=1,SUMPRODUCT(($K$4:$K$703=K88)*($F$4:$F$703=F88)*($U$4:$U$703=1)*($B$4:$B$703&lt;&gt;B88)),0)</f>
        <v>0</v>
      </c>
      <c r="W88" s="11" t="n">
        <f aca="false">IF(AND(U88=1,V88&gt;0),1+SUMPRODUCT(($K$4:$K$703=K88)*($F$4:$F$703=F88)*($U$4:$U$703=1)*($S$4:$S$703&gt;S88))+SUMPRODUCT(($K$4:$K$703=K88)*($F$4:$F$703=F88)*($U$4:$U$703=1)*($S$4:$S$703=S88)*($T$4:$T$703&gt;T88))+SUMPRODUCT(($K$4:$K$703=K88)*($F$4:$F$703=F88)*($U$4:$U$703=1)*($S$4:$S$703=S88)*($T$4:$T$703=T88)*($C$4:$C$703&lt;C88))+SUMPRODUCT(($K$4:$K$703=K88)*($F$4:$F$703=F88)*($U$4:$U$703=1)*($S$4:$S$703=S88)*($T$4:$T$703=T88)*($C$4:$C$703=C88)*($D$4:$D$703&lt;D88)),0)</f>
        <v>0</v>
      </c>
      <c r="X88" s="11" t="n">
        <f aca="false">IF(AND(U88=1,V88&gt;0,W88&gt;1),S88,0)</f>
        <v>0</v>
      </c>
      <c r="Y88" s="11" t="n">
        <f aca="false">IF(T88=1,X88/(1+Controls!$B$11)^F88,0)</f>
        <v>0</v>
      </c>
      <c r="Z88" s="11" t="n">
        <f aca="false">IF(AND(N88,E88="capacity",LEN(K88)&gt;0),1,0)</f>
        <v>0</v>
      </c>
      <c r="AA88" s="11" t="n">
        <f aca="false">IF(Z88=1,SUMPRODUCT(($K$4:$K$703=K88)*($F$4:$F$703=F88)*($Z$4:$Z$703=1)*($B$4:$B$703&lt;&gt;B88)),0)</f>
        <v>0</v>
      </c>
      <c r="AB88" s="11" t="n">
        <f aca="false">IF(AND(Z88=1,AA88&gt;0),1+SUMPRODUCT(($K$4:$K$703=K88)*($F$4:$F$703=F88)*($Z$4:$Z$703=1)*($P$4:$P$703&gt;P88))+SUMPRODUCT(($K$4:$K$703=K88)*($F$4:$F$703=F88)*($Z$4:$Z$703=1)*($P$4:$P$703=P88)*($C$4:$C$703&lt;C88))+SUMPRODUCT(($K$4:$K$703=K88)*($F$4:$F$703=F88)*($Z$4:$Z$703=1)*($P$4:$P$703=P88)*($C$4:$C$703=C88)*($D$4:$D$703&lt;D88)),0)</f>
        <v>0</v>
      </c>
      <c r="AC88" s="11" t="n">
        <f aca="false">IF(AND(Z88=1,AA88&gt;0,AB88&gt;1),P88,0)</f>
        <v>0</v>
      </c>
    </row>
    <row r="89" customFormat="false" ht="15" hidden="false" customHeight="false" outlineLevel="0" collapsed="false">
      <c r="A89" s="4" t="s">
        <v>299</v>
      </c>
      <c r="B89" s="4" t="s">
        <v>85</v>
      </c>
      <c r="C89" s="4" t="n">
        <v>3</v>
      </c>
      <c r="D89" s="4" t="n">
        <v>86</v>
      </c>
      <c r="E89" s="4" t="s">
        <v>205</v>
      </c>
      <c r="F89" s="4" t="n">
        <v>5</v>
      </c>
      <c r="G89" s="4" t="n">
        <v>4</v>
      </c>
      <c r="H89" s="4" t="n">
        <v>30500</v>
      </c>
      <c r="I89" s="13" t="b">
        <f aca="false">TRUE()</f>
        <v>1</v>
      </c>
      <c r="K89" s="4" t="s">
        <v>298</v>
      </c>
      <c r="L89" s="4" t="n">
        <v>308.44</v>
      </c>
      <c r="M89" s="11" t="n">
        <f aca="false">IFERROR(MATCH(Controls!$B$3&amp;"|"&amp;B89,'Scenario inputs'!$A$4:$A$213,0),0)</f>
        <v>134</v>
      </c>
      <c r="N89" s="8" t="b">
        <f aca="false">IF(M89=0,FALSE(),F89&lt;Controls!$B$12)</f>
        <v>1</v>
      </c>
      <c r="O89" s="11" t="n">
        <f aca="false">IF(N89,IF(INDEX('Scenario inputs'!$E$4:$E$213,M89)=0,1,INDEX('Scenario inputs'!$F$4:$M$213,M89,MIN(MAX(F89-G89,0),INDEX('Scenario inputs'!$E$4:$E$213,M89)-1)+1)),0)</f>
        <v>0.083333</v>
      </c>
      <c r="P89" s="11" t="n">
        <f aca="false">H89*O89</f>
        <v>2541.6565</v>
      </c>
      <c r="Q89" s="11" t="n">
        <f aca="false">IF(M89=0,"",IF(ISNUMBER(INDEX('Scenario inputs'!$N$4:$N$213,M89)),INDEX('Scenario inputs'!$N$4:$N$213,M89),""))</f>
        <v>30.78</v>
      </c>
      <c r="R89" s="0" t="str">
        <f aca="false">IF(NOT(N89),"",IF(OR(E89="cash",E89="revenue"),E89,IF(E89="avoided_cost",IF(AND(I89,LEN(TRIM(J89))&gt;0),"avoided_cost_realised","avoided_cost_beside"),IF(ISNUMBER(Q89),"capacity_converted","capacity_hours"))))</f>
        <v>avoided_cost_beside</v>
      </c>
      <c r="S89" s="11" t="n">
        <f aca="false">IF(OR(R89="",R89="capacity_hours"),0,IF(R89="capacity_converted",P89*Q89,P89))</f>
        <v>2541.6565</v>
      </c>
      <c r="T89" s="11" t="n">
        <f aca="false">IF(OR(R89="cash",R89="revenue",R89="avoided_cost_realised",R89="capacity_converted"),1,0)</f>
        <v>0</v>
      </c>
      <c r="U89" s="11" t="n">
        <f aca="false">IF(AND(N89,R89&lt;&gt;"capacity_hours",LEN(K89)&gt;0),1,0)</f>
        <v>1</v>
      </c>
      <c r="V89" s="11" t="n">
        <f aca="false">IF(U89=1,SUMPRODUCT(($K$4:$K$703=K89)*($F$4:$F$703=F89)*($U$4:$U$703=1)*($B$4:$B$703&lt;&gt;B89)),0)</f>
        <v>0</v>
      </c>
      <c r="W89" s="11" t="n">
        <f aca="false">IF(AND(U89=1,V89&gt;0),1+SUMPRODUCT(($K$4:$K$703=K89)*($F$4:$F$703=F89)*($U$4:$U$703=1)*($S$4:$S$703&gt;S89))+SUMPRODUCT(($K$4:$K$703=K89)*($F$4:$F$703=F89)*($U$4:$U$703=1)*($S$4:$S$703=S89)*($T$4:$T$703&gt;T89))+SUMPRODUCT(($K$4:$K$703=K89)*($F$4:$F$703=F89)*($U$4:$U$703=1)*($S$4:$S$703=S89)*($T$4:$T$703=T89)*($C$4:$C$703&lt;C89))+SUMPRODUCT(($K$4:$K$703=K89)*($F$4:$F$703=F89)*($U$4:$U$703=1)*($S$4:$S$703=S89)*($T$4:$T$703=T89)*($C$4:$C$703=C89)*($D$4:$D$703&lt;D89)),0)</f>
        <v>0</v>
      </c>
      <c r="X89" s="11" t="n">
        <f aca="false">IF(AND(U89=1,V89&gt;0,W89&gt;1),S89,0)</f>
        <v>0</v>
      </c>
      <c r="Y89" s="11" t="n">
        <f aca="false">IF(T89=1,X89/(1+Controls!$B$11)^F89,0)</f>
        <v>0</v>
      </c>
      <c r="Z89" s="11" t="n">
        <f aca="false">IF(AND(N89,E89="capacity",LEN(K89)&gt;0),1,0)</f>
        <v>0</v>
      </c>
      <c r="AA89" s="11" t="n">
        <f aca="false">IF(Z89=1,SUMPRODUCT(($K$4:$K$703=K89)*($F$4:$F$703=F89)*($Z$4:$Z$703=1)*($B$4:$B$703&lt;&gt;B89)),0)</f>
        <v>0</v>
      </c>
      <c r="AB89" s="11" t="n">
        <f aca="false">IF(AND(Z89=1,AA89&gt;0),1+SUMPRODUCT(($K$4:$K$703=K89)*($F$4:$F$703=F89)*($Z$4:$Z$703=1)*($P$4:$P$703&gt;P89))+SUMPRODUCT(($K$4:$K$703=K89)*($F$4:$F$703=F89)*($Z$4:$Z$703=1)*($P$4:$P$703=P89)*($C$4:$C$703&lt;C89))+SUMPRODUCT(($K$4:$K$703=K89)*($F$4:$F$703=F89)*($Z$4:$Z$703=1)*($P$4:$P$703=P89)*($C$4:$C$703=C89)*($D$4:$D$703&lt;D89)),0)</f>
        <v>0</v>
      </c>
      <c r="AC89" s="11" t="n">
        <f aca="false">IF(AND(Z89=1,AA89&gt;0,AB89&gt;1),P89,0)</f>
        <v>0</v>
      </c>
    </row>
    <row r="90" customFormat="false" ht="15" hidden="false" customHeight="false" outlineLevel="0" collapsed="false">
      <c r="A90" s="4" t="s">
        <v>300</v>
      </c>
      <c r="B90" s="4" t="s">
        <v>85</v>
      </c>
      <c r="C90" s="4" t="n">
        <v>3</v>
      </c>
      <c r="D90" s="4" t="n">
        <v>87</v>
      </c>
      <c r="E90" s="4" t="s">
        <v>205</v>
      </c>
      <c r="F90" s="4" t="n">
        <v>6</v>
      </c>
      <c r="G90" s="4" t="n">
        <v>4</v>
      </c>
      <c r="H90" s="4" t="n">
        <v>30500</v>
      </c>
      <c r="I90" s="13" t="b">
        <f aca="false">TRUE()</f>
        <v>1</v>
      </c>
      <c r="K90" s="4" t="s">
        <v>298</v>
      </c>
      <c r="L90" s="4" t="n">
        <v>592.7</v>
      </c>
      <c r="M90" s="11" t="n">
        <f aca="false">IFERROR(MATCH(Controls!$B$3&amp;"|"&amp;B90,'Scenario inputs'!$A$4:$A$213,0),0)</f>
        <v>134</v>
      </c>
      <c r="N90" s="8" t="b">
        <f aca="false">IF(M90=0,FALSE(),F90&lt;Controls!$B$12)</f>
        <v>1</v>
      </c>
      <c r="O90" s="11" t="n">
        <f aca="false">IF(N90,IF(INDEX('Scenario inputs'!$E$4:$E$213,M90)=0,1,INDEX('Scenario inputs'!$F$4:$M$213,M90,MIN(MAX(F90-G90,0),INDEX('Scenario inputs'!$E$4:$E$213,M90)-1)+1)),0)</f>
        <v>0.166667</v>
      </c>
      <c r="P90" s="11" t="n">
        <f aca="false">H90*O90</f>
        <v>5083.3435</v>
      </c>
      <c r="Q90" s="11" t="n">
        <f aca="false">IF(M90=0,"",IF(ISNUMBER(INDEX('Scenario inputs'!$N$4:$N$213,M90)),INDEX('Scenario inputs'!$N$4:$N$213,M90),""))</f>
        <v>30.78</v>
      </c>
      <c r="R90" s="0" t="str">
        <f aca="false">IF(NOT(N90),"",IF(OR(E90="cash",E90="revenue"),E90,IF(E90="avoided_cost",IF(AND(I90,LEN(TRIM(J90))&gt;0),"avoided_cost_realised","avoided_cost_beside"),IF(ISNUMBER(Q90),"capacity_converted","capacity_hours"))))</f>
        <v>avoided_cost_beside</v>
      </c>
      <c r="S90" s="11" t="n">
        <f aca="false">IF(OR(R90="",R90="capacity_hours"),0,IF(R90="capacity_converted",P90*Q90,P90))</f>
        <v>5083.3435</v>
      </c>
      <c r="T90" s="11" t="n">
        <f aca="false">IF(OR(R90="cash",R90="revenue",R90="avoided_cost_realised",R90="capacity_converted"),1,0)</f>
        <v>0</v>
      </c>
      <c r="U90" s="11" t="n">
        <f aca="false">IF(AND(N90,R90&lt;&gt;"capacity_hours",LEN(K90)&gt;0),1,0)</f>
        <v>1</v>
      </c>
      <c r="V90" s="11" t="n">
        <f aca="false">IF(U90=1,SUMPRODUCT(($K$4:$K$703=K90)*($F$4:$F$703=F90)*($U$4:$U$703=1)*($B$4:$B$703&lt;&gt;B90)),0)</f>
        <v>0</v>
      </c>
      <c r="W90" s="11" t="n">
        <f aca="false">IF(AND(U90=1,V90&gt;0),1+SUMPRODUCT(($K$4:$K$703=K90)*($F$4:$F$703=F90)*($U$4:$U$703=1)*($S$4:$S$703&gt;S90))+SUMPRODUCT(($K$4:$K$703=K90)*($F$4:$F$703=F90)*($U$4:$U$703=1)*($S$4:$S$703=S90)*($T$4:$T$703&gt;T90))+SUMPRODUCT(($K$4:$K$703=K90)*($F$4:$F$703=F90)*($U$4:$U$703=1)*($S$4:$S$703=S90)*($T$4:$T$703=T90)*($C$4:$C$703&lt;C90))+SUMPRODUCT(($K$4:$K$703=K90)*($F$4:$F$703=F90)*($U$4:$U$703=1)*($S$4:$S$703=S90)*($T$4:$T$703=T90)*($C$4:$C$703=C90)*($D$4:$D$703&lt;D90)),0)</f>
        <v>0</v>
      </c>
      <c r="X90" s="11" t="n">
        <f aca="false">IF(AND(U90=1,V90&gt;0,W90&gt;1),S90,0)</f>
        <v>0</v>
      </c>
      <c r="Y90" s="11" t="n">
        <f aca="false">IF(T90=1,X90/(1+Controls!$B$11)^F90,0)</f>
        <v>0</v>
      </c>
      <c r="Z90" s="11" t="n">
        <f aca="false">IF(AND(N90,E90="capacity",LEN(K90)&gt;0),1,0)</f>
        <v>0</v>
      </c>
      <c r="AA90" s="11" t="n">
        <f aca="false">IF(Z90=1,SUMPRODUCT(($K$4:$K$703=K90)*($F$4:$F$703=F90)*($Z$4:$Z$703=1)*($B$4:$B$703&lt;&gt;B90)),0)</f>
        <v>0</v>
      </c>
      <c r="AB90" s="11" t="n">
        <f aca="false">IF(AND(Z90=1,AA90&gt;0),1+SUMPRODUCT(($K$4:$K$703=K90)*($F$4:$F$703=F90)*($Z$4:$Z$703=1)*($P$4:$P$703&gt;P90))+SUMPRODUCT(($K$4:$K$703=K90)*($F$4:$F$703=F90)*($Z$4:$Z$703=1)*($P$4:$P$703=P90)*($C$4:$C$703&lt;C90))+SUMPRODUCT(($K$4:$K$703=K90)*($F$4:$F$703=F90)*($Z$4:$Z$703=1)*($P$4:$P$703=P90)*($C$4:$C$703=C90)*($D$4:$D$703&lt;D90)),0)</f>
        <v>0</v>
      </c>
      <c r="AC90" s="11" t="n">
        <f aca="false">IF(AND(Z90=1,AA90&gt;0,AB90&gt;1),P90,0)</f>
        <v>0</v>
      </c>
    </row>
    <row r="91" customFormat="false" ht="15" hidden="false" customHeight="false" outlineLevel="0" collapsed="false">
      <c r="A91" s="4" t="s">
        <v>301</v>
      </c>
      <c r="B91" s="4" t="s">
        <v>85</v>
      </c>
      <c r="C91" s="4" t="n">
        <v>3</v>
      </c>
      <c r="D91" s="4" t="n">
        <v>88</v>
      </c>
      <c r="E91" s="4" t="s">
        <v>205</v>
      </c>
      <c r="F91" s="4" t="n">
        <v>7</v>
      </c>
      <c r="G91" s="4" t="n">
        <v>4</v>
      </c>
      <c r="H91" s="4" t="n">
        <v>30500</v>
      </c>
      <c r="I91" s="13" t="b">
        <f aca="false">TRUE()</f>
        <v>1</v>
      </c>
      <c r="K91" s="4" t="s">
        <v>298</v>
      </c>
      <c r="L91" s="4" t="n">
        <v>987.83</v>
      </c>
      <c r="M91" s="11" t="n">
        <f aca="false">IFERROR(MATCH(Controls!$B$3&amp;"|"&amp;B91,'Scenario inputs'!$A$4:$A$213,0),0)</f>
        <v>134</v>
      </c>
      <c r="N91" s="8" t="b">
        <f aca="false">IF(M91=0,FALSE(),F91&lt;Controls!$B$12)</f>
        <v>1</v>
      </c>
      <c r="O91" s="11" t="n">
        <f aca="false">IF(N91,IF(INDEX('Scenario inputs'!$E$4:$E$213,M91)=0,1,INDEX('Scenario inputs'!$F$4:$M$213,M91,MIN(MAX(F91-G91,0),INDEX('Scenario inputs'!$E$4:$E$213,M91)-1)+1)),0)</f>
        <v>0.277778</v>
      </c>
      <c r="P91" s="11" t="n">
        <f aca="false">H91*O91</f>
        <v>8472.229</v>
      </c>
      <c r="Q91" s="11" t="n">
        <f aca="false">IF(M91=0,"",IF(ISNUMBER(INDEX('Scenario inputs'!$N$4:$N$213,M91)),INDEX('Scenario inputs'!$N$4:$N$213,M91),""))</f>
        <v>30.78</v>
      </c>
      <c r="R91" s="0" t="str">
        <f aca="false">IF(NOT(N91),"",IF(OR(E91="cash",E91="revenue"),E91,IF(E91="avoided_cost",IF(AND(I91,LEN(TRIM(J91))&gt;0),"avoided_cost_realised","avoided_cost_beside"),IF(ISNUMBER(Q91),"capacity_converted","capacity_hours"))))</f>
        <v>avoided_cost_beside</v>
      </c>
      <c r="S91" s="11" t="n">
        <f aca="false">IF(OR(R91="",R91="capacity_hours"),0,IF(R91="capacity_converted",P91*Q91,P91))</f>
        <v>8472.229</v>
      </c>
      <c r="T91" s="11" t="n">
        <f aca="false">IF(OR(R91="cash",R91="revenue",R91="avoided_cost_realised",R91="capacity_converted"),1,0)</f>
        <v>0</v>
      </c>
      <c r="U91" s="11" t="n">
        <f aca="false">IF(AND(N91,R91&lt;&gt;"capacity_hours",LEN(K91)&gt;0),1,0)</f>
        <v>1</v>
      </c>
      <c r="V91" s="11" t="n">
        <f aca="false">IF(U91=1,SUMPRODUCT(($K$4:$K$703=K91)*($F$4:$F$703=F91)*($U$4:$U$703=1)*($B$4:$B$703&lt;&gt;B91)),0)</f>
        <v>0</v>
      </c>
      <c r="W91" s="11" t="n">
        <f aca="false">IF(AND(U91=1,V91&gt;0),1+SUMPRODUCT(($K$4:$K$703=K91)*($F$4:$F$703=F91)*($U$4:$U$703=1)*($S$4:$S$703&gt;S91))+SUMPRODUCT(($K$4:$K$703=K91)*($F$4:$F$703=F91)*($U$4:$U$703=1)*($S$4:$S$703=S91)*($T$4:$T$703&gt;T91))+SUMPRODUCT(($K$4:$K$703=K91)*($F$4:$F$703=F91)*($U$4:$U$703=1)*($S$4:$S$703=S91)*($T$4:$T$703=T91)*($C$4:$C$703&lt;C91))+SUMPRODUCT(($K$4:$K$703=K91)*($F$4:$F$703=F91)*($U$4:$U$703=1)*($S$4:$S$703=S91)*($T$4:$T$703=T91)*($C$4:$C$703=C91)*($D$4:$D$703&lt;D91)),0)</f>
        <v>0</v>
      </c>
      <c r="X91" s="11" t="n">
        <f aca="false">IF(AND(U91=1,V91&gt;0,W91&gt;1),S91,0)</f>
        <v>0</v>
      </c>
      <c r="Y91" s="11" t="n">
        <f aca="false">IF(T91=1,X91/(1+Controls!$B$11)^F91,0)</f>
        <v>0</v>
      </c>
      <c r="Z91" s="11" t="n">
        <f aca="false">IF(AND(N91,E91="capacity",LEN(K91)&gt;0),1,0)</f>
        <v>0</v>
      </c>
      <c r="AA91" s="11" t="n">
        <f aca="false">IF(Z91=1,SUMPRODUCT(($K$4:$K$703=K91)*($F$4:$F$703=F91)*($Z$4:$Z$703=1)*($B$4:$B$703&lt;&gt;B91)),0)</f>
        <v>0</v>
      </c>
      <c r="AB91" s="11" t="n">
        <f aca="false">IF(AND(Z91=1,AA91&gt;0),1+SUMPRODUCT(($K$4:$K$703=K91)*($F$4:$F$703=F91)*($Z$4:$Z$703=1)*($P$4:$P$703&gt;P91))+SUMPRODUCT(($K$4:$K$703=K91)*($F$4:$F$703=F91)*($Z$4:$Z$703=1)*($P$4:$P$703=P91)*($C$4:$C$703&lt;C91))+SUMPRODUCT(($K$4:$K$703=K91)*($F$4:$F$703=F91)*($Z$4:$Z$703=1)*($P$4:$P$703=P91)*($C$4:$C$703=C91)*($D$4:$D$703&lt;D91)),0)</f>
        <v>0</v>
      </c>
      <c r="AC91" s="11" t="n">
        <f aca="false">IF(AND(Z91=1,AA91&gt;0,AB91&gt;1),P91,0)</f>
        <v>0</v>
      </c>
    </row>
    <row r="92" customFormat="false" ht="15" hidden="false" customHeight="false" outlineLevel="0" collapsed="false">
      <c r="A92" s="4" t="s">
        <v>302</v>
      </c>
      <c r="B92" s="4" t="s">
        <v>85</v>
      </c>
      <c r="C92" s="4" t="n">
        <v>3</v>
      </c>
      <c r="D92" s="4" t="n">
        <v>89</v>
      </c>
      <c r="E92" s="4" t="s">
        <v>205</v>
      </c>
      <c r="F92" s="4" t="n">
        <v>8</v>
      </c>
      <c r="G92" s="4" t="n">
        <v>4</v>
      </c>
      <c r="H92" s="4" t="n">
        <v>30500</v>
      </c>
      <c r="I92" s="13" t="b">
        <f aca="false">TRUE()</f>
        <v>1</v>
      </c>
      <c r="K92" s="4" t="s">
        <v>298</v>
      </c>
      <c r="L92" s="4" t="n">
        <v>1466.63</v>
      </c>
      <c r="M92" s="11" t="n">
        <f aca="false">IFERROR(MATCH(Controls!$B$3&amp;"|"&amp;B92,'Scenario inputs'!$A$4:$A$213,0),0)</f>
        <v>134</v>
      </c>
      <c r="N92" s="8" t="b">
        <f aca="false">IF(M92=0,FALSE(),F92&lt;Controls!$B$12)</f>
        <v>1</v>
      </c>
      <c r="O92" s="11" t="n">
        <f aca="false">IF(N92,IF(INDEX('Scenario inputs'!$E$4:$E$213,M92)=0,1,INDEX('Scenario inputs'!$F$4:$M$213,M92,MIN(MAX(F92-G92,0),INDEX('Scenario inputs'!$E$4:$E$213,M92)-1)+1)),0)</f>
        <v>0.416667</v>
      </c>
      <c r="P92" s="11" t="n">
        <f aca="false">H92*O92</f>
        <v>12708.3435</v>
      </c>
      <c r="Q92" s="11" t="n">
        <f aca="false">IF(M92=0,"",IF(ISNUMBER(INDEX('Scenario inputs'!$N$4:$N$213,M92)),INDEX('Scenario inputs'!$N$4:$N$213,M92),""))</f>
        <v>30.78</v>
      </c>
      <c r="R92" s="0" t="str">
        <f aca="false">IF(NOT(N92),"",IF(OR(E92="cash",E92="revenue"),E92,IF(E92="avoided_cost",IF(AND(I92,LEN(TRIM(J92))&gt;0),"avoided_cost_realised","avoided_cost_beside"),IF(ISNUMBER(Q92),"capacity_converted","capacity_hours"))))</f>
        <v>avoided_cost_beside</v>
      </c>
      <c r="S92" s="11" t="n">
        <f aca="false">IF(OR(R92="",R92="capacity_hours"),0,IF(R92="capacity_converted",P92*Q92,P92))</f>
        <v>12708.3435</v>
      </c>
      <c r="T92" s="11" t="n">
        <f aca="false">IF(OR(R92="cash",R92="revenue",R92="avoided_cost_realised",R92="capacity_converted"),1,0)</f>
        <v>0</v>
      </c>
      <c r="U92" s="11" t="n">
        <f aca="false">IF(AND(N92,R92&lt;&gt;"capacity_hours",LEN(K92)&gt;0),1,0)</f>
        <v>1</v>
      </c>
      <c r="V92" s="11" t="n">
        <f aca="false">IF(U92=1,SUMPRODUCT(($K$4:$K$703=K92)*($F$4:$F$703=F92)*($U$4:$U$703=1)*($B$4:$B$703&lt;&gt;B92)),0)</f>
        <v>0</v>
      </c>
      <c r="W92" s="11" t="n">
        <f aca="false">IF(AND(U92=1,V92&gt;0),1+SUMPRODUCT(($K$4:$K$703=K92)*($F$4:$F$703=F92)*($U$4:$U$703=1)*($S$4:$S$703&gt;S92))+SUMPRODUCT(($K$4:$K$703=K92)*($F$4:$F$703=F92)*($U$4:$U$703=1)*($S$4:$S$703=S92)*($T$4:$T$703&gt;T92))+SUMPRODUCT(($K$4:$K$703=K92)*($F$4:$F$703=F92)*($U$4:$U$703=1)*($S$4:$S$703=S92)*($T$4:$T$703=T92)*($C$4:$C$703&lt;C92))+SUMPRODUCT(($K$4:$K$703=K92)*($F$4:$F$703=F92)*($U$4:$U$703=1)*($S$4:$S$703=S92)*($T$4:$T$703=T92)*($C$4:$C$703=C92)*($D$4:$D$703&lt;D92)),0)</f>
        <v>0</v>
      </c>
      <c r="X92" s="11" t="n">
        <f aca="false">IF(AND(U92=1,V92&gt;0,W92&gt;1),S92,0)</f>
        <v>0</v>
      </c>
      <c r="Y92" s="11" t="n">
        <f aca="false">IF(T92=1,X92/(1+Controls!$B$11)^F92,0)</f>
        <v>0</v>
      </c>
      <c r="Z92" s="11" t="n">
        <f aca="false">IF(AND(N92,E92="capacity",LEN(K92)&gt;0),1,0)</f>
        <v>0</v>
      </c>
      <c r="AA92" s="11" t="n">
        <f aca="false">IF(Z92=1,SUMPRODUCT(($K$4:$K$703=K92)*($F$4:$F$703=F92)*($Z$4:$Z$703=1)*($B$4:$B$703&lt;&gt;B92)),0)</f>
        <v>0</v>
      </c>
      <c r="AB92" s="11" t="n">
        <f aca="false">IF(AND(Z92=1,AA92&gt;0),1+SUMPRODUCT(($K$4:$K$703=K92)*($F$4:$F$703=F92)*($Z$4:$Z$703=1)*($P$4:$P$703&gt;P92))+SUMPRODUCT(($K$4:$K$703=K92)*($F$4:$F$703=F92)*($Z$4:$Z$703=1)*($P$4:$P$703=P92)*($C$4:$C$703&lt;C92))+SUMPRODUCT(($K$4:$K$703=K92)*($F$4:$F$703=F92)*($Z$4:$Z$703=1)*($P$4:$P$703=P92)*($C$4:$C$703=C92)*($D$4:$D$703&lt;D92)),0)</f>
        <v>0</v>
      </c>
      <c r="AC92" s="11" t="n">
        <f aca="false">IF(AND(Z92=1,AA92&gt;0,AB92&gt;1),P92,0)</f>
        <v>0</v>
      </c>
    </row>
    <row r="93" customFormat="false" ht="15" hidden="false" customHeight="false" outlineLevel="0" collapsed="false">
      <c r="A93" s="4" t="s">
        <v>303</v>
      </c>
      <c r="B93" s="4" t="s">
        <v>85</v>
      </c>
      <c r="C93" s="4" t="n">
        <v>3</v>
      </c>
      <c r="D93" s="4" t="n">
        <v>90</v>
      </c>
      <c r="E93" s="4" t="s">
        <v>205</v>
      </c>
      <c r="F93" s="4" t="n">
        <v>9</v>
      </c>
      <c r="G93" s="4" t="n">
        <v>4</v>
      </c>
      <c r="H93" s="4" t="n">
        <v>30500</v>
      </c>
      <c r="I93" s="13" t="b">
        <f aca="false">TRUE()</f>
        <v>1</v>
      </c>
      <c r="K93" s="4" t="s">
        <v>298</v>
      </c>
      <c r="L93" s="4" t="n">
        <v>2035.37</v>
      </c>
      <c r="M93" s="11" t="n">
        <f aca="false">IFERROR(MATCH(Controls!$B$3&amp;"|"&amp;B93,'Scenario inputs'!$A$4:$A$213,0),0)</f>
        <v>134</v>
      </c>
      <c r="N93" s="8" t="b">
        <f aca="false">IF(M93=0,FALSE(),F93&lt;Controls!$B$12)</f>
        <v>1</v>
      </c>
      <c r="O93" s="11" t="n">
        <f aca="false">IF(N93,IF(INDEX('Scenario inputs'!$E$4:$E$213,M93)=0,1,INDEX('Scenario inputs'!$F$4:$M$213,M93,MIN(MAX(F93-G93,0),INDEX('Scenario inputs'!$E$4:$E$213,M93)-1)+1)),0)</f>
        <v>0.583333</v>
      </c>
      <c r="P93" s="11" t="n">
        <f aca="false">H93*O93</f>
        <v>17791.6565</v>
      </c>
      <c r="Q93" s="11" t="n">
        <f aca="false">IF(M93=0,"",IF(ISNUMBER(INDEX('Scenario inputs'!$N$4:$N$213,M93)),INDEX('Scenario inputs'!$N$4:$N$213,M93),""))</f>
        <v>30.78</v>
      </c>
      <c r="R93" s="0" t="str">
        <f aca="false">IF(NOT(N93),"",IF(OR(E93="cash",E93="revenue"),E93,IF(E93="avoided_cost",IF(AND(I93,LEN(TRIM(J93))&gt;0),"avoided_cost_realised","avoided_cost_beside"),IF(ISNUMBER(Q93),"capacity_converted","capacity_hours"))))</f>
        <v>avoided_cost_beside</v>
      </c>
      <c r="S93" s="11" t="n">
        <f aca="false">IF(OR(R93="",R93="capacity_hours"),0,IF(R93="capacity_converted",P93*Q93,P93))</f>
        <v>17791.6565</v>
      </c>
      <c r="T93" s="11" t="n">
        <f aca="false">IF(OR(R93="cash",R93="revenue",R93="avoided_cost_realised",R93="capacity_converted"),1,0)</f>
        <v>0</v>
      </c>
      <c r="U93" s="11" t="n">
        <f aca="false">IF(AND(N93,R93&lt;&gt;"capacity_hours",LEN(K93)&gt;0),1,0)</f>
        <v>1</v>
      </c>
      <c r="V93" s="11" t="n">
        <f aca="false">IF(U93=1,SUMPRODUCT(($K$4:$K$703=K93)*($F$4:$F$703=F93)*($U$4:$U$703=1)*($B$4:$B$703&lt;&gt;B93)),0)</f>
        <v>0</v>
      </c>
      <c r="W93" s="11" t="n">
        <f aca="false">IF(AND(U93=1,V93&gt;0),1+SUMPRODUCT(($K$4:$K$703=K93)*($F$4:$F$703=F93)*($U$4:$U$703=1)*($S$4:$S$703&gt;S93))+SUMPRODUCT(($K$4:$K$703=K93)*($F$4:$F$703=F93)*($U$4:$U$703=1)*($S$4:$S$703=S93)*($T$4:$T$703&gt;T93))+SUMPRODUCT(($K$4:$K$703=K93)*($F$4:$F$703=F93)*($U$4:$U$703=1)*($S$4:$S$703=S93)*($T$4:$T$703=T93)*($C$4:$C$703&lt;C93))+SUMPRODUCT(($K$4:$K$703=K93)*($F$4:$F$703=F93)*($U$4:$U$703=1)*($S$4:$S$703=S93)*($T$4:$T$703=T93)*($C$4:$C$703=C93)*($D$4:$D$703&lt;D93)),0)</f>
        <v>0</v>
      </c>
      <c r="X93" s="11" t="n">
        <f aca="false">IF(AND(U93=1,V93&gt;0,W93&gt;1),S93,0)</f>
        <v>0</v>
      </c>
      <c r="Y93" s="11" t="n">
        <f aca="false">IF(T93=1,X93/(1+Controls!$B$11)^F93,0)</f>
        <v>0</v>
      </c>
      <c r="Z93" s="11" t="n">
        <f aca="false">IF(AND(N93,E93="capacity",LEN(K93)&gt;0),1,0)</f>
        <v>0</v>
      </c>
      <c r="AA93" s="11" t="n">
        <f aca="false">IF(Z93=1,SUMPRODUCT(($K$4:$K$703=K93)*($F$4:$F$703=F93)*($Z$4:$Z$703=1)*($B$4:$B$703&lt;&gt;B93)),0)</f>
        <v>0</v>
      </c>
      <c r="AB93" s="11" t="n">
        <f aca="false">IF(AND(Z93=1,AA93&gt;0),1+SUMPRODUCT(($K$4:$K$703=K93)*($F$4:$F$703=F93)*($Z$4:$Z$703=1)*($P$4:$P$703&gt;P93))+SUMPRODUCT(($K$4:$K$703=K93)*($F$4:$F$703=F93)*($Z$4:$Z$703=1)*($P$4:$P$703=P93)*($C$4:$C$703&lt;C93))+SUMPRODUCT(($K$4:$K$703=K93)*($F$4:$F$703=F93)*($Z$4:$Z$703=1)*($P$4:$P$703=P93)*($C$4:$C$703=C93)*($D$4:$D$703&lt;D93)),0)</f>
        <v>0</v>
      </c>
      <c r="AC93" s="11" t="n">
        <f aca="false">IF(AND(Z93=1,AA93&gt;0,AB93&gt;1),P93,0)</f>
        <v>0</v>
      </c>
    </row>
    <row r="94" customFormat="false" ht="15" hidden="false" customHeight="false" outlineLevel="0" collapsed="false">
      <c r="A94" s="4" t="s">
        <v>304</v>
      </c>
      <c r="B94" s="4" t="s">
        <v>85</v>
      </c>
      <c r="C94" s="4" t="n">
        <v>3</v>
      </c>
      <c r="D94" s="4" t="n">
        <v>91</v>
      </c>
      <c r="E94" s="4" t="s">
        <v>205</v>
      </c>
      <c r="F94" s="4" t="n">
        <v>10</v>
      </c>
      <c r="G94" s="4" t="n">
        <v>4</v>
      </c>
      <c r="H94" s="4" t="n">
        <v>30500</v>
      </c>
      <c r="I94" s="13" t="b">
        <f aca="false">TRUE()</f>
        <v>1</v>
      </c>
      <c r="K94" s="4" t="s">
        <v>298</v>
      </c>
      <c r="L94" s="4" t="n">
        <v>2713.82</v>
      </c>
      <c r="M94" s="11" t="n">
        <f aca="false">IFERROR(MATCH(Controls!$B$3&amp;"|"&amp;B94,'Scenario inputs'!$A$4:$A$213,0),0)</f>
        <v>134</v>
      </c>
      <c r="N94" s="8" t="b">
        <f aca="false">IF(M94=0,FALSE(),F94&lt;Controls!$B$12)</f>
        <v>1</v>
      </c>
      <c r="O94" s="11" t="n">
        <f aca="false">IF(N94,IF(INDEX('Scenario inputs'!$E$4:$E$213,M94)=0,1,INDEX('Scenario inputs'!$F$4:$M$213,M94,MIN(MAX(F94-G94,0),INDEX('Scenario inputs'!$E$4:$E$213,M94)-1)+1)),0)</f>
        <v>0.777778</v>
      </c>
      <c r="P94" s="11" t="n">
        <f aca="false">H94*O94</f>
        <v>23722.229</v>
      </c>
      <c r="Q94" s="11" t="n">
        <f aca="false">IF(M94=0,"",IF(ISNUMBER(INDEX('Scenario inputs'!$N$4:$N$213,M94)),INDEX('Scenario inputs'!$N$4:$N$213,M94),""))</f>
        <v>30.78</v>
      </c>
      <c r="R94" s="0" t="str">
        <f aca="false">IF(NOT(N94),"",IF(OR(E94="cash",E94="revenue"),E94,IF(E94="avoided_cost",IF(AND(I94,LEN(TRIM(J94))&gt;0),"avoided_cost_realised","avoided_cost_beside"),IF(ISNUMBER(Q94),"capacity_converted","capacity_hours"))))</f>
        <v>avoided_cost_beside</v>
      </c>
      <c r="S94" s="11" t="n">
        <f aca="false">IF(OR(R94="",R94="capacity_hours"),0,IF(R94="capacity_converted",P94*Q94,P94))</f>
        <v>23722.229</v>
      </c>
      <c r="T94" s="11" t="n">
        <f aca="false">IF(OR(R94="cash",R94="revenue",R94="avoided_cost_realised",R94="capacity_converted"),1,0)</f>
        <v>0</v>
      </c>
      <c r="U94" s="11" t="n">
        <f aca="false">IF(AND(N94,R94&lt;&gt;"capacity_hours",LEN(K94)&gt;0),1,0)</f>
        <v>1</v>
      </c>
      <c r="V94" s="11" t="n">
        <f aca="false">IF(U94=1,SUMPRODUCT(($K$4:$K$703=K94)*($F$4:$F$703=F94)*($U$4:$U$703=1)*($B$4:$B$703&lt;&gt;B94)),0)</f>
        <v>0</v>
      </c>
      <c r="W94" s="11" t="n">
        <f aca="false">IF(AND(U94=1,V94&gt;0),1+SUMPRODUCT(($K$4:$K$703=K94)*($F$4:$F$703=F94)*($U$4:$U$703=1)*($S$4:$S$703&gt;S94))+SUMPRODUCT(($K$4:$K$703=K94)*($F$4:$F$703=F94)*($U$4:$U$703=1)*($S$4:$S$703=S94)*($T$4:$T$703&gt;T94))+SUMPRODUCT(($K$4:$K$703=K94)*($F$4:$F$703=F94)*($U$4:$U$703=1)*($S$4:$S$703=S94)*($T$4:$T$703=T94)*($C$4:$C$703&lt;C94))+SUMPRODUCT(($K$4:$K$703=K94)*($F$4:$F$703=F94)*($U$4:$U$703=1)*($S$4:$S$703=S94)*($T$4:$T$703=T94)*($C$4:$C$703=C94)*($D$4:$D$703&lt;D94)),0)</f>
        <v>0</v>
      </c>
      <c r="X94" s="11" t="n">
        <f aca="false">IF(AND(U94=1,V94&gt;0,W94&gt;1),S94,0)</f>
        <v>0</v>
      </c>
      <c r="Y94" s="11" t="n">
        <f aca="false">IF(T94=1,X94/(1+Controls!$B$11)^F94,0)</f>
        <v>0</v>
      </c>
      <c r="Z94" s="11" t="n">
        <f aca="false">IF(AND(N94,E94="capacity",LEN(K94)&gt;0),1,0)</f>
        <v>0</v>
      </c>
      <c r="AA94" s="11" t="n">
        <f aca="false">IF(Z94=1,SUMPRODUCT(($K$4:$K$703=K94)*($F$4:$F$703=F94)*($Z$4:$Z$703=1)*($B$4:$B$703&lt;&gt;B94)),0)</f>
        <v>0</v>
      </c>
      <c r="AB94" s="11" t="n">
        <f aca="false">IF(AND(Z94=1,AA94&gt;0),1+SUMPRODUCT(($K$4:$K$703=K94)*($F$4:$F$703=F94)*($Z$4:$Z$703=1)*($P$4:$P$703&gt;P94))+SUMPRODUCT(($K$4:$K$703=K94)*($F$4:$F$703=F94)*($Z$4:$Z$703=1)*($P$4:$P$703=P94)*($C$4:$C$703&lt;C94))+SUMPRODUCT(($K$4:$K$703=K94)*($F$4:$F$703=F94)*($Z$4:$Z$703=1)*($P$4:$P$703=P94)*($C$4:$C$703=C94)*($D$4:$D$703&lt;D94)),0)</f>
        <v>0</v>
      </c>
      <c r="AC94" s="11" t="n">
        <f aca="false">IF(AND(Z94=1,AA94&gt;0,AB94&gt;1),P94,0)</f>
        <v>0</v>
      </c>
    </row>
    <row r="95" customFormat="false" ht="15" hidden="false" customHeight="false" outlineLevel="0" collapsed="false">
      <c r="A95" s="4" t="s">
        <v>305</v>
      </c>
      <c r="B95" s="4" t="s">
        <v>85</v>
      </c>
      <c r="C95" s="4" t="n">
        <v>3</v>
      </c>
      <c r="D95" s="4" t="n">
        <v>92</v>
      </c>
      <c r="E95" s="4" t="s">
        <v>205</v>
      </c>
      <c r="F95" s="4" t="n">
        <v>11</v>
      </c>
      <c r="G95" s="4" t="n">
        <v>4</v>
      </c>
      <c r="H95" s="4" t="n">
        <v>30500</v>
      </c>
      <c r="I95" s="13" t="b">
        <f aca="false">TRUE()</f>
        <v>1</v>
      </c>
      <c r="K95" s="4" t="s">
        <v>298</v>
      </c>
      <c r="L95" s="4" t="n">
        <v>3489.2</v>
      </c>
      <c r="M95" s="11" t="n">
        <f aca="false">IFERROR(MATCH(Controls!$B$3&amp;"|"&amp;B95,'Scenario inputs'!$A$4:$A$213,0),0)</f>
        <v>134</v>
      </c>
      <c r="N95" s="8" t="b">
        <f aca="false">IF(M95=0,FALSE(),F95&lt;Controls!$B$12)</f>
        <v>1</v>
      </c>
      <c r="O95" s="11" t="n">
        <f aca="false">IF(N95,IF(INDEX('Scenario inputs'!$E$4:$E$213,M95)=0,1,INDEX('Scenario inputs'!$F$4:$M$213,M95,MIN(MAX(F95-G95,0),INDEX('Scenario inputs'!$E$4:$E$213,M95)-1)+1)),0)</f>
        <v>1</v>
      </c>
      <c r="P95" s="11" t="n">
        <f aca="false">H95*O95</f>
        <v>30500</v>
      </c>
      <c r="Q95" s="11" t="n">
        <f aca="false">IF(M95=0,"",IF(ISNUMBER(INDEX('Scenario inputs'!$N$4:$N$213,M95)),INDEX('Scenario inputs'!$N$4:$N$213,M95),""))</f>
        <v>30.78</v>
      </c>
      <c r="R95" s="0" t="str">
        <f aca="false">IF(NOT(N95),"",IF(OR(E95="cash",E95="revenue"),E95,IF(E95="avoided_cost",IF(AND(I95,LEN(TRIM(J95))&gt;0),"avoided_cost_realised","avoided_cost_beside"),IF(ISNUMBER(Q95),"capacity_converted","capacity_hours"))))</f>
        <v>avoided_cost_beside</v>
      </c>
      <c r="S95" s="11" t="n">
        <f aca="false">IF(OR(R95="",R95="capacity_hours"),0,IF(R95="capacity_converted",P95*Q95,P95))</f>
        <v>30500</v>
      </c>
      <c r="T95" s="11" t="n">
        <f aca="false">IF(OR(R95="cash",R95="revenue",R95="avoided_cost_realised",R95="capacity_converted"),1,0)</f>
        <v>0</v>
      </c>
      <c r="U95" s="11" t="n">
        <f aca="false">IF(AND(N95,R95&lt;&gt;"capacity_hours",LEN(K95)&gt;0),1,0)</f>
        <v>1</v>
      </c>
      <c r="V95" s="11" t="n">
        <f aca="false">IF(U95=1,SUMPRODUCT(($K$4:$K$703=K95)*($F$4:$F$703=F95)*($U$4:$U$703=1)*($B$4:$B$703&lt;&gt;B95)),0)</f>
        <v>0</v>
      </c>
      <c r="W95" s="11" t="n">
        <f aca="false">IF(AND(U95=1,V95&gt;0),1+SUMPRODUCT(($K$4:$K$703=K95)*($F$4:$F$703=F95)*($U$4:$U$703=1)*($S$4:$S$703&gt;S95))+SUMPRODUCT(($K$4:$K$703=K95)*($F$4:$F$703=F95)*($U$4:$U$703=1)*($S$4:$S$703=S95)*($T$4:$T$703&gt;T95))+SUMPRODUCT(($K$4:$K$703=K95)*($F$4:$F$703=F95)*($U$4:$U$703=1)*($S$4:$S$703=S95)*($T$4:$T$703=T95)*($C$4:$C$703&lt;C95))+SUMPRODUCT(($K$4:$K$703=K95)*($F$4:$F$703=F95)*($U$4:$U$703=1)*($S$4:$S$703=S95)*($T$4:$T$703=T95)*($C$4:$C$703=C95)*($D$4:$D$703&lt;D95)),0)</f>
        <v>0</v>
      </c>
      <c r="X95" s="11" t="n">
        <f aca="false">IF(AND(U95=1,V95&gt;0,W95&gt;1),S95,0)</f>
        <v>0</v>
      </c>
      <c r="Y95" s="11" t="n">
        <f aca="false">IF(T95=1,X95/(1+Controls!$B$11)^F95,0)</f>
        <v>0</v>
      </c>
      <c r="Z95" s="11" t="n">
        <f aca="false">IF(AND(N95,E95="capacity",LEN(K95)&gt;0),1,0)</f>
        <v>0</v>
      </c>
      <c r="AA95" s="11" t="n">
        <f aca="false">IF(Z95=1,SUMPRODUCT(($K$4:$K$703=K95)*($F$4:$F$703=F95)*($Z$4:$Z$703=1)*($B$4:$B$703&lt;&gt;B95)),0)</f>
        <v>0</v>
      </c>
      <c r="AB95" s="11" t="n">
        <f aca="false">IF(AND(Z95=1,AA95&gt;0),1+SUMPRODUCT(($K$4:$K$703=K95)*($F$4:$F$703=F95)*($Z$4:$Z$703=1)*($P$4:$P$703&gt;P95))+SUMPRODUCT(($K$4:$K$703=K95)*($F$4:$F$703=F95)*($Z$4:$Z$703=1)*($P$4:$P$703=P95)*($C$4:$C$703&lt;C95))+SUMPRODUCT(($K$4:$K$703=K95)*($F$4:$F$703=F95)*($Z$4:$Z$703=1)*($P$4:$P$703=P95)*($C$4:$C$703=C95)*($D$4:$D$703&lt;D95)),0)</f>
        <v>0</v>
      </c>
      <c r="AC95" s="11" t="n">
        <f aca="false">IF(AND(Z95=1,AA95&gt;0,AB95&gt;1),P95,0)</f>
        <v>0</v>
      </c>
    </row>
    <row r="96" customFormat="false" ht="15" hidden="false" customHeight="false" outlineLevel="0" collapsed="false">
      <c r="A96" s="4" t="s">
        <v>306</v>
      </c>
      <c r="B96" s="4" t="s">
        <v>85</v>
      </c>
      <c r="C96" s="4" t="n">
        <v>3</v>
      </c>
      <c r="D96" s="4" t="n">
        <v>93</v>
      </c>
      <c r="E96" s="4" t="s">
        <v>205</v>
      </c>
      <c r="F96" s="4" t="n">
        <v>12</v>
      </c>
      <c r="G96" s="4" t="n">
        <v>4</v>
      </c>
      <c r="H96" s="4" t="n">
        <v>30500</v>
      </c>
      <c r="I96" s="13" t="b">
        <f aca="false">TRUE()</f>
        <v>1</v>
      </c>
      <c r="K96" s="4" t="s">
        <v>298</v>
      </c>
      <c r="L96" s="4" t="n">
        <v>3489.2</v>
      </c>
      <c r="M96" s="11" t="n">
        <f aca="false">IFERROR(MATCH(Controls!$B$3&amp;"|"&amp;B96,'Scenario inputs'!$A$4:$A$213,0),0)</f>
        <v>134</v>
      </c>
      <c r="N96" s="8" t="b">
        <f aca="false">IF(M96=0,FALSE(),F96&lt;Controls!$B$12)</f>
        <v>1</v>
      </c>
      <c r="O96" s="11" t="n">
        <f aca="false">IF(N96,IF(INDEX('Scenario inputs'!$E$4:$E$213,M96)=0,1,INDEX('Scenario inputs'!$F$4:$M$213,M96,MIN(MAX(F96-G96,0),INDEX('Scenario inputs'!$E$4:$E$213,M96)-1)+1)),0)</f>
        <v>1</v>
      </c>
      <c r="P96" s="11" t="n">
        <f aca="false">H96*O96</f>
        <v>30500</v>
      </c>
      <c r="Q96" s="11" t="n">
        <f aca="false">IF(M96=0,"",IF(ISNUMBER(INDEX('Scenario inputs'!$N$4:$N$213,M96)),INDEX('Scenario inputs'!$N$4:$N$213,M96),""))</f>
        <v>30.78</v>
      </c>
      <c r="R96" s="0" t="str">
        <f aca="false">IF(NOT(N96),"",IF(OR(E96="cash",E96="revenue"),E96,IF(E96="avoided_cost",IF(AND(I96,LEN(TRIM(J96))&gt;0),"avoided_cost_realised","avoided_cost_beside"),IF(ISNUMBER(Q96),"capacity_converted","capacity_hours"))))</f>
        <v>avoided_cost_beside</v>
      </c>
      <c r="S96" s="11" t="n">
        <f aca="false">IF(OR(R96="",R96="capacity_hours"),0,IF(R96="capacity_converted",P96*Q96,P96))</f>
        <v>30500</v>
      </c>
      <c r="T96" s="11" t="n">
        <f aca="false">IF(OR(R96="cash",R96="revenue",R96="avoided_cost_realised",R96="capacity_converted"),1,0)</f>
        <v>0</v>
      </c>
      <c r="U96" s="11" t="n">
        <f aca="false">IF(AND(N96,R96&lt;&gt;"capacity_hours",LEN(K96)&gt;0),1,0)</f>
        <v>1</v>
      </c>
      <c r="V96" s="11" t="n">
        <f aca="false">IF(U96=1,SUMPRODUCT(($K$4:$K$703=K96)*($F$4:$F$703=F96)*($U$4:$U$703=1)*($B$4:$B$703&lt;&gt;B96)),0)</f>
        <v>0</v>
      </c>
      <c r="W96" s="11" t="n">
        <f aca="false">IF(AND(U96=1,V96&gt;0),1+SUMPRODUCT(($K$4:$K$703=K96)*($F$4:$F$703=F96)*($U$4:$U$703=1)*($S$4:$S$703&gt;S96))+SUMPRODUCT(($K$4:$K$703=K96)*($F$4:$F$703=F96)*($U$4:$U$703=1)*($S$4:$S$703=S96)*($T$4:$T$703&gt;T96))+SUMPRODUCT(($K$4:$K$703=K96)*($F$4:$F$703=F96)*($U$4:$U$703=1)*($S$4:$S$703=S96)*($T$4:$T$703=T96)*($C$4:$C$703&lt;C96))+SUMPRODUCT(($K$4:$K$703=K96)*($F$4:$F$703=F96)*($U$4:$U$703=1)*($S$4:$S$703=S96)*($T$4:$T$703=T96)*($C$4:$C$703=C96)*($D$4:$D$703&lt;D96)),0)</f>
        <v>0</v>
      </c>
      <c r="X96" s="11" t="n">
        <f aca="false">IF(AND(U96=1,V96&gt;0,W96&gt;1),S96,0)</f>
        <v>0</v>
      </c>
      <c r="Y96" s="11" t="n">
        <f aca="false">IF(T96=1,X96/(1+Controls!$B$11)^F96,0)</f>
        <v>0</v>
      </c>
      <c r="Z96" s="11" t="n">
        <f aca="false">IF(AND(N96,E96="capacity",LEN(K96)&gt;0),1,0)</f>
        <v>0</v>
      </c>
      <c r="AA96" s="11" t="n">
        <f aca="false">IF(Z96=1,SUMPRODUCT(($K$4:$K$703=K96)*($F$4:$F$703=F96)*($Z$4:$Z$703=1)*($B$4:$B$703&lt;&gt;B96)),0)</f>
        <v>0</v>
      </c>
      <c r="AB96" s="11" t="n">
        <f aca="false">IF(AND(Z96=1,AA96&gt;0),1+SUMPRODUCT(($K$4:$K$703=K96)*($F$4:$F$703=F96)*($Z$4:$Z$703=1)*($P$4:$P$703&gt;P96))+SUMPRODUCT(($K$4:$K$703=K96)*($F$4:$F$703=F96)*($Z$4:$Z$703=1)*($P$4:$P$703=P96)*($C$4:$C$703&lt;C96))+SUMPRODUCT(($K$4:$K$703=K96)*($F$4:$F$703=F96)*($Z$4:$Z$703=1)*($P$4:$P$703=P96)*($C$4:$C$703=C96)*($D$4:$D$703&lt;D96)),0)</f>
        <v>0</v>
      </c>
      <c r="AC96" s="11" t="n">
        <f aca="false">IF(AND(Z96=1,AA96&gt;0,AB96&gt;1),P96,0)</f>
        <v>0</v>
      </c>
    </row>
    <row r="97" customFormat="false" ht="15" hidden="false" customHeight="false" outlineLevel="0" collapsed="false">
      <c r="A97" s="4" t="s">
        <v>307</v>
      </c>
      <c r="B97" s="4" t="s">
        <v>85</v>
      </c>
      <c r="C97" s="4" t="n">
        <v>3</v>
      </c>
      <c r="D97" s="4" t="n">
        <v>94</v>
      </c>
      <c r="E97" s="4" t="s">
        <v>205</v>
      </c>
      <c r="F97" s="4" t="n">
        <v>13</v>
      </c>
      <c r="G97" s="4" t="n">
        <v>4</v>
      </c>
      <c r="H97" s="4" t="n">
        <v>30500</v>
      </c>
      <c r="I97" s="13" t="b">
        <f aca="false">TRUE()</f>
        <v>1</v>
      </c>
      <c r="K97" s="4" t="s">
        <v>298</v>
      </c>
      <c r="L97" s="4" t="n">
        <v>3489.2</v>
      </c>
      <c r="M97" s="11" t="n">
        <f aca="false">IFERROR(MATCH(Controls!$B$3&amp;"|"&amp;B97,'Scenario inputs'!$A$4:$A$213,0),0)</f>
        <v>134</v>
      </c>
      <c r="N97" s="8" t="b">
        <f aca="false">IF(M97=0,FALSE(),F97&lt;Controls!$B$12)</f>
        <v>1</v>
      </c>
      <c r="O97" s="11" t="n">
        <f aca="false">IF(N97,IF(INDEX('Scenario inputs'!$E$4:$E$213,M97)=0,1,INDEX('Scenario inputs'!$F$4:$M$213,M97,MIN(MAX(F97-G97,0),INDEX('Scenario inputs'!$E$4:$E$213,M97)-1)+1)),0)</f>
        <v>1</v>
      </c>
      <c r="P97" s="11" t="n">
        <f aca="false">H97*O97</f>
        <v>30500</v>
      </c>
      <c r="Q97" s="11" t="n">
        <f aca="false">IF(M97=0,"",IF(ISNUMBER(INDEX('Scenario inputs'!$N$4:$N$213,M97)),INDEX('Scenario inputs'!$N$4:$N$213,M97),""))</f>
        <v>30.78</v>
      </c>
      <c r="R97" s="0" t="str">
        <f aca="false">IF(NOT(N97),"",IF(OR(E97="cash",E97="revenue"),E97,IF(E97="avoided_cost",IF(AND(I97,LEN(TRIM(J97))&gt;0),"avoided_cost_realised","avoided_cost_beside"),IF(ISNUMBER(Q97),"capacity_converted","capacity_hours"))))</f>
        <v>avoided_cost_beside</v>
      </c>
      <c r="S97" s="11" t="n">
        <f aca="false">IF(OR(R97="",R97="capacity_hours"),0,IF(R97="capacity_converted",P97*Q97,P97))</f>
        <v>30500</v>
      </c>
      <c r="T97" s="11" t="n">
        <f aca="false">IF(OR(R97="cash",R97="revenue",R97="avoided_cost_realised",R97="capacity_converted"),1,0)</f>
        <v>0</v>
      </c>
      <c r="U97" s="11" t="n">
        <f aca="false">IF(AND(N97,R97&lt;&gt;"capacity_hours",LEN(K97)&gt;0),1,0)</f>
        <v>1</v>
      </c>
      <c r="V97" s="11" t="n">
        <f aca="false">IF(U97=1,SUMPRODUCT(($K$4:$K$703=K97)*($F$4:$F$703=F97)*($U$4:$U$703=1)*($B$4:$B$703&lt;&gt;B97)),0)</f>
        <v>0</v>
      </c>
      <c r="W97" s="11" t="n">
        <f aca="false">IF(AND(U97=1,V97&gt;0),1+SUMPRODUCT(($K$4:$K$703=K97)*($F$4:$F$703=F97)*($U$4:$U$703=1)*($S$4:$S$703&gt;S97))+SUMPRODUCT(($K$4:$K$703=K97)*($F$4:$F$703=F97)*($U$4:$U$703=1)*($S$4:$S$703=S97)*($T$4:$T$703&gt;T97))+SUMPRODUCT(($K$4:$K$703=K97)*($F$4:$F$703=F97)*($U$4:$U$703=1)*($S$4:$S$703=S97)*($T$4:$T$703=T97)*($C$4:$C$703&lt;C97))+SUMPRODUCT(($K$4:$K$703=K97)*($F$4:$F$703=F97)*($U$4:$U$703=1)*($S$4:$S$703=S97)*($T$4:$T$703=T97)*($C$4:$C$703=C97)*($D$4:$D$703&lt;D97)),0)</f>
        <v>0</v>
      </c>
      <c r="X97" s="11" t="n">
        <f aca="false">IF(AND(U97=1,V97&gt;0,W97&gt;1),S97,0)</f>
        <v>0</v>
      </c>
      <c r="Y97" s="11" t="n">
        <f aca="false">IF(T97=1,X97/(1+Controls!$B$11)^F97,0)</f>
        <v>0</v>
      </c>
      <c r="Z97" s="11" t="n">
        <f aca="false">IF(AND(N97,E97="capacity",LEN(K97)&gt;0),1,0)</f>
        <v>0</v>
      </c>
      <c r="AA97" s="11" t="n">
        <f aca="false">IF(Z97=1,SUMPRODUCT(($K$4:$K$703=K97)*($F$4:$F$703=F97)*($Z$4:$Z$703=1)*($B$4:$B$703&lt;&gt;B97)),0)</f>
        <v>0</v>
      </c>
      <c r="AB97" s="11" t="n">
        <f aca="false">IF(AND(Z97=1,AA97&gt;0),1+SUMPRODUCT(($K$4:$K$703=K97)*($F$4:$F$703=F97)*($Z$4:$Z$703=1)*($P$4:$P$703&gt;P97))+SUMPRODUCT(($K$4:$K$703=K97)*($F$4:$F$703=F97)*($Z$4:$Z$703=1)*($P$4:$P$703=P97)*($C$4:$C$703&lt;C97))+SUMPRODUCT(($K$4:$K$703=K97)*($F$4:$F$703=F97)*($Z$4:$Z$703=1)*($P$4:$P$703=P97)*($C$4:$C$703=C97)*($D$4:$D$703&lt;D97)),0)</f>
        <v>0</v>
      </c>
      <c r="AC97" s="11" t="n">
        <f aca="false">IF(AND(Z97=1,AA97&gt;0,AB97&gt;1),P97,0)</f>
        <v>0</v>
      </c>
    </row>
    <row r="98" customFormat="false" ht="15" hidden="false" customHeight="false" outlineLevel="0" collapsed="false">
      <c r="A98" s="4" t="s">
        <v>308</v>
      </c>
      <c r="B98" s="4" t="s">
        <v>85</v>
      </c>
      <c r="C98" s="4" t="n">
        <v>3</v>
      </c>
      <c r="D98" s="4" t="n">
        <v>95</v>
      </c>
      <c r="E98" s="4" t="s">
        <v>205</v>
      </c>
      <c r="F98" s="4" t="n">
        <v>14</v>
      </c>
      <c r="G98" s="4" t="n">
        <v>4</v>
      </c>
      <c r="H98" s="4" t="n">
        <v>30500</v>
      </c>
      <c r="I98" s="13" t="b">
        <f aca="false">TRUE()</f>
        <v>1</v>
      </c>
      <c r="K98" s="4" t="s">
        <v>298</v>
      </c>
      <c r="L98" s="4" t="n">
        <v>3489.2</v>
      </c>
      <c r="M98" s="11" t="n">
        <f aca="false">IFERROR(MATCH(Controls!$B$3&amp;"|"&amp;B98,'Scenario inputs'!$A$4:$A$213,0),0)</f>
        <v>134</v>
      </c>
      <c r="N98" s="8" t="b">
        <f aca="false">IF(M98=0,FALSE(),F98&lt;Controls!$B$12)</f>
        <v>1</v>
      </c>
      <c r="O98" s="11" t="n">
        <f aca="false">IF(N98,IF(INDEX('Scenario inputs'!$E$4:$E$213,M98)=0,1,INDEX('Scenario inputs'!$F$4:$M$213,M98,MIN(MAX(F98-G98,0),INDEX('Scenario inputs'!$E$4:$E$213,M98)-1)+1)),0)</f>
        <v>1</v>
      </c>
      <c r="P98" s="11" t="n">
        <f aca="false">H98*O98</f>
        <v>30500</v>
      </c>
      <c r="Q98" s="11" t="n">
        <f aca="false">IF(M98=0,"",IF(ISNUMBER(INDEX('Scenario inputs'!$N$4:$N$213,M98)),INDEX('Scenario inputs'!$N$4:$N$213,M98),""))</f>
        <v>30.78</v>
      </c>
      <c r="R98" s="0" t="str">
        <f aca="false">IF(NOT(N98),"",IF(OR(E98="cash",E98="revenue"),E98,IF(E98="avoided_cost",IF(AND(I98,LEN(TRIM(J98))&gt;0),"avoided_cost_realised","avoided_cost_beside"),IF(ISNUMBER(Q98),"capacity_converted","capacity_hours"))))</f>
        <v>avoided_cost_beside</v>
      </c>
      <c r="S98" s="11" t="n">
        <f aca="false">IF(OR(R98="",R98="capacity_hours"),0,IF(R98="capacity_converted",P98*Q98,P98))</f>
        <v>30500</v>
      </c>
      <c r="T98" s="11" t="n">
        <f aca="false">IF(OR(R98="cash",R98="revenue",R98="avoided_cost_realised",R98="capacity_converted"),1,0)</f>
        <v>0</v>
      </c>
      <c r="U98" s="11" t="n">
        <f aca="false">IF(AND(N98,R98&lt;&gt;"capacity_hours",LEN(K98)&gt;0),1,0)</f>
        <v>1</v>
      </c>
      <c r="V98" s="11" t="n">
        <f aca="false">IF(U98=1,SUMPRODUCT(($K$4:$K$703=K98)*($F$4:$F$703=F98)*($U$4:$U$703=1)*($B$4:$B$703&lt;&gt;B98)),0)</f>
        <v>0</v>
      </c>
      <c r="W98" s="11" t="n">
        <f aca="false">IF(AND(U98=1,V98&gt;0),1+SUMPRODUCT(($K$4:$K$703=K98)*($F$4:$F$703=F98)*($U$4:$U$703=1)*($S$4:$S$703&gt;S98))+SUMPRODUCT(($K$4:$K$703=K98)*($F$4:$F$703=F98)*($U$4:$U$703=1)*($S$4:$S$703=S98)*($T$4:$T$703&gt;T98))+SUMPRODUCT(($K$4:$K$703=K98)*($F$4:$F$703=F98)*($U$4:$U$703=1)*($S$4:$S$703=S98)*($T$4:$T$703=T98)*($C$4:$C$703&lt;C98))+SUMPRODUCT(($K$4:$K$703=K98)*($F$4:$F$703=F98)*($U$4:$U$703=1)*($S$4:$S$703=S98)*($T$4:$T$703=T98)*($C$4:$C$703=C98)*($D$4:$D$703&lt;D98)),0)</f>
        <v>0</v>
      </c>
      <c r="X98" s="11" t="n">
        <f aca="false">IF(AND(U98=1,V98&gt;0,W98&gt;1),S98,0)</f>
        <v>0</v>
      </c>
      <c r="Y98" s="11" t="n">
        <f aca="false">IF(T98=1,X98/(1+Controls!$B$11)^F98,0)</f>
        <v>0</v>
      </c>
      <c r="Z98" s="11" t="n">
        <f aca="false">IF(AND(N98,E98="capacity",LEN(K98)&gt;0),1,0)</f>
        <v>0</v>
      </c>
      <c r="AA98" s="11" t="n">
        <f aca="false">IF(Z98=1,SUMPRODUCT(($K$4:$K$703=K98)*($F$4:$F$703=F98)*($Z$4:$Z$703=1)*($B$4:$B$703&lt;&gt;B98)),0)</f>
        <v>0</v>
      </c>
      <c r="AB98" s="11" t="n">
        <f aca="false">IF(AND(Z98=1,AA98&gt;0),1+SUMPRODUCT(($K$4:$K$703=K98)*($F$4:$F$703=F98)*($Z$4:$Z$703=1)*($P$4:$P$703&gt;P98))+SUMPRODUCT(($K$4:$K$703=K98)*($F$4:$F$703=F98)*($Z$4:$Z$703=1)*($P$4:$P$703=P98)*($C$4:$C$703&lt;C98))+SUMPRODUCT(($K$4:$K$703=K98)*($F$4:$F$703=F98)*($Z$4:$Z$703=1)*($P$4:$P$703=P98)*($C$4:$C$703=C98)*($D$4:$D$703&lt;D98)),0)</f>
        <v>0</v>
      </c>
      <c r="AC98" s="11" t="n">
        <f aca="false">IF(AND(Z98=1,AA98&gt;0,AB98&gt;1),P98,0)</f>
        <v>0</v>
      </c>
    </row>
    <row r="99" customFormat="false" ht="15" hidden="false" customHeight="false" outlineLevel="0" collapsed="false">
      <c r="A99" s="4" t="s">
        <v>309</v>
      </c>
      <c r="B99" s="4" t="s">
        <v>85</v>
      </c>
      <c r="C99" s="4" t="n">
        <v>3</v>
      </c>
      <c r="D99" s="4" t="n">
        <v>96</v>
      </c>
      <c r="E99" s="4" t="s">
        <v>205</v>
      </c>
      <c r="F99" s="4" t="n">
        <v>15</v>
      </c>
      <c r="G99" s="4" t="n">
        <v>4</v>
      </c>
      <c r="H99" s="4" t="n">
        <v>30500</v>
      </c>
      <c r="I99" s="13" t="b">
        <f aca="false">TRUE()</f>
        <v>1</v>
      </c>
      <c r="K99" s="4" t="s">
        <v>298</v>
      </c>
      <c r="L99" s="4" t="n">
        <v>3489.2</v>
      </c>
      <c r="M99" s="11" t="n">
        <f aca="false">IFERROR(MATCH(Controls!$B$3&amp;"|"&amp;B99,'Scenario inputs'!$A$4:$A$213,0),0)</f>
        <v>134</v>
      </c>
      <c r="N99" s="8" t="b">
        <f aca="false">IF(M99=0,FALSE(),F99&lt;Controls!$B$12)</f>
        <v>1</v>
      </c>
      <c r="O99" s="11" t="n">
        <f aca="false">IF(N99,IF(INDEX('Scenario inputs'!$E$4:$E$213,M99)=0,1,INDEX('Scenario inputs'!$F$4:$M$213,M99,MIN(MAX(F99-G99,0),INDEX('Scenario inputs'!$E$4:$E$213,M99)-1)+1)),0)</f>
        <v>1</v>
      </c>
      <c r="P99" s="11" t="n">
        <f aca="false">H99*O99</f>
        <v>30500</v>
      </c>
      <c r="Q99" s="11" t="n">
        <f aca="false">IF(M99=0,"",IF(ISNUMBER(INDEX('Scenario inputs'!$N$4:$N$213,M99)),INDEX('Scenario inputs'!$N$4:$N$213,M99),""))</f>
        <v>30.78</v>
      </c>
      <c r="R99" s="0" t="str">
        <f aca="false">IF(NOT(N99),"",IF(OR(E99="cash",E99="revenue"),E99,IF(E99="avoided_cost",IF(AND(I99,LEN(TRIM(J99))&gt;0),"avoided_cost_realised","avoided_cost_beside"),IF(ISNUMBER(Q99),"capacity_converted","capacity_hours"))))</f>
        <v>avoided_cost_beside</v>
      </c>
      <c r="S99" s="11" t="n">
        <f aca="false">IF(OR(R99="",R99="capacity_hours"),0,IF(R99="capacity_converted",P99*Q99,P99))</f>
        <v>30500</v>
      </c>
      <c r="T99" s="11" t="n">
        <f aca="false">IF(OR(R99="cash",R99="revenue",R99="avoided_cost_realised",R99="capacity_converted"),1,0)</f>
        <v>0</v>
      </c>
      <c r="U99" s="11" t="n">
        <f aca="false">IF(AND(N99,R99&lt;&gt;"capacity_hours",LEN(K99)&gt;0),1,0)</f>
        <v>1</v>
      </c>
      <c r="V99" s="11" t="n">
        <f aca="false">IF(U99=1,SUMPRODUCT(($K$4:$K$703=K99)*($F$4:$F$703=F99)*($U$4:$U$703=1)*($B$4:$B$703&lt;&gt;B99)),0)</f>
        <v>0</v>
      </c>
      <c r="W99" s="11" t="n">
        <f aca="false">IF(AND(U99=1,V99&gt;0),1+SUMPRODUCT(($K$4:$K$703=K99)*($F$4:$F$703=F99)*($U$4:$U$703=1)*($S$4:$S$703&gt;S99))+SUMPRODUCT(($K$4:$K$703=K99)*($F$4:$F$703=F99)*($U$4:$U$703=1)*($S$4:$S$703=S99)*($T$4:$T$703&gt;T99))+SUMPRODUCT(($K$4:$K$703=K99)*($F$4:$F$703=F99)*($U$4:$U$703=1)*($S$4:$S$703=S99)*($T$4:$T$703=T99)*($C$4:$C$703&lt;C99))+SUMPRODUCT(($K$4:$K$703=K99)*($F$4:$F$703=F99)*($U$4:$U$703=1)*($S$4:$S$703=S99)*($T$4:$T$703=T99)*($C$4:$C$703=C99)*($D$4:$D$703&lt;D99)),0)</f>
        <v>0</v>
      </c>
      <c r="X99" s="11" t="n">
        <f aca="false">IF(AND(U99=1,V99&gt;0,W99&gt;1),S99,0)</f>
        <v>0</v>
      </c>
      <c r="Y99" s="11" t="n">
        <f aca="false">IF(T99=1,X99/(1+Controls!$B$11)^F99,0)</f>
        <v>0</v>
      </c>
      <c r="Z99" s="11" t="n">
        <f aca="false">IF(AND(N99,E99="capacity",LEN(K99)&gt;0),1,0)</f>
        <v>0</v>
      </c>
      <c r="AA99" s="11" t="n">
        <f aca="false">IF(Z99=1,SUMPRODUCT(($K$4:$K$703=K99)*($F$4:$F$703=F99)*($Z$4:$Z$703=1)*($B$4:$B$703&lt;&gt;B99)),0)</f>
        <v>0</v>
      </c>
      <c r="AB99" s="11" t="n">
        <f aca="false">IF(AND(Z99=1,AA99&gt;0),1+SUMPRODUCT(($K$4:$K$703=K99)*($F$4:$F$703=F99)*($Z$4:$Z$703=1)*($P$4:$P$703&gt;P99))+SUMPRODUCT(($K$4:$K$703=K99)*($F$4:$F$703=F99)*($Z$4:$Z$703=1)*($P$4:$P$703=P99)*($C$4:$C$703&lt;C99))+SUMPRODUCT(($K$4:$K$703=K99)*($F$4:$F$703=F99)*($Z$4:$Z$703=1)*($P$4:$P$703=P99)*($C$4:$C$703=C99)*($D$4:$D$703&lt;D99)),0)</f>
        <v>0</v>
      </c>
      <c r="AC99" s="11" t="n">
        <f aca="false">IF(AND(Z99=1,AA99&gt;0,AB99&gt;1),P99,0)</f>
        <v>0</v>
      </c>
    </row>
    <row r="100" customFormat="false" ht="15" hidden="false" customHeight="false" outlineLevel="0" collapsed="false">
      <c r="A100" s="4" t="s">
        <v>310</v>
      </c>
      <c r="B100" s="4" t="s">
        <v>85</v>
      </c>
      <c r="C100" s="4" t="n">
        <v>3</v>
      </c>
      <c r="D100" s="4" t="n">
        <v>97</v>
      </c>
      <c r="E100" s="4" t="s">
        <v>233</v>
      </c>
      <c r="F100" s="4" t="n">
        <v>4</v>
      </c>
      <c r="G100" s="4" t="n">
        <v>4</v>
      </c>
      <c r="H100" s="4" t="n">
        <v>1460.31</v>
      </c>
      <c r="I100" s="13" t="b">
        <f aca="false">FALSE()</f>
        <v>0</v>
      </c>
      <c r="K100" s="4" t="s">
        <v>311</v>
      </c>
      <c r="L100" s="4" t="n">
        <v>4.37</v>
      </c>
      <c r="M100" s="11" t="n">
        <f aca="false">IFERROR(MATCH(Controls!$B$3&amp;"|"&amp;B100,'Scenario inputs'!$A$4:$A$213,0),0)</f>
        <v>134</v>
      </c>
      <c r="N100" s="8" t="b">
        <f aca="false">IF(M100=0,FALSE(),F100&lt;Controls!$B$12)</f>
        <v>1</v>
      </c>
      <c r="O100" s="11" t="n">
        <f aca="false">IF(N100,IF(INDEX('Scenario inputs'!$E$4:$E$213,M100)=0,1,INDEX('Scenario inputs'!$F$4:$M$213,M100,MIN(MAX(F100-G100,0),INDEX('Scenario inputs'!$E$4:$E$213,M100)-1)+1)),0)</f>
        <v>0.027778</v>
      </c>
      <c r="P100" s="11" t="n">
        <f aca="false">H100*O100</f>
        <v>40.56449118</v>
      </c>
      <c r="Q100" s="11" t="n">
        <f aca="false">IF(M100=0,"",IF(ISNUMBER(INDEX('Scenario inputs'!$N$4:$N$213,M100)),INDEX('Scenario inputs'!$N$4:$N$213,M100),""))</f>
        <v>30.78</v>
      </c>
      <c r="R100" s="0" t="str">
        <f aca="false">IF(NOT(N100),"",IF(OR(E100="cash",E100="revenue"),E100,IF(E100="avoided_cost",IF(AND(I100,LEN(TRIM(J100))&gt;0),"avoided_cost_realised","avoided_cost_beside"),IF(ISNUMBER(Q100),"capacity_converted","capacity_hours"))))</f>
        <v>capacity_converted</v>
      </c>
      <c r="S100" s="11" t="n">
        <f aca="false">IF(OR(R100="",R100="capacity_hours"),0,IF(R100="capacity_converted",P100*Q100,P100))</f>
        <v>1248.5750385204</v>
      </c>
      <c r="T100" s="11" t="n">
        <f aca="false">IF(OR(R100="cash",R100="revenue",R100="avoided_cost_realised",R100="capacity_converted"),1,0)</f>
        <v>1</v>
      </c>
      <c r="U100" s="11" t="n">
        <f aca="false">IF(AND(N100,R100&lt;&gt;"capacity_hours",LEN(K100)&gt;0),1,0)</f>
        <v>1</v>
      </c>
      <c r="V100" s="11" t="n">
        <f aca="false">IF(U100=1,SUMPRODUCT(($K$4:$K$703=K100)*($F$4:$F$703=F100)*($U$4:$U$703=1)*($B$4:$B$703&lt;&gt;B100)),0)</f>
        <v>0</v>
      </c>
      <c r="W100" s="11" t="n">
        <f aca="false">IF(AND(U100=1,V100&gt;0),1+SUMPRODUCT(($K$4:$K$703=K100)*($F$4:$F$703=F100)*($U$4:$U$703=1)*($S$4:$S$703&gt;S100))+SUMPRODUCT(($K$4:$K$703=K100)*($F$4:$F$703=F100)*($U$4:$U$703=1)*($S$4:$S$703=S100)*($T$4:$T$703&gt;T100))+SUMPRODUCT(($K$4:$K$703=K100)*($F$4:$F$703=F100)*($U$4:$U$703=1)*($S$4:$S$703=S100)*($T$4:$T$703=T100)*($C$4:$C$703&lt;C100))+SUMPRODUCT(($K$4:$K$703=K100)*($F$4:$F$703=F100)*($U$4:$U$703=1)*($S$4:$S$703=S100)*($T$4:$T$703=T100)*($C$4:$C$703=C100)*($D$4:$D$703&lt;D100)),0)</f>
        <v>0</v>
      </c>
      <c r="X100" s="11" t="n">
        <f aca="false">IF(AND(U100=1,V100&gt;0,W100&gt;1),S100,0)</f>
        <v>0</v>
      </c>
      <c r="Y100" s="11" t="n">
        <f aca="false">IF(T100=1,X100/(1+Controls!$B$11)^F100,0)</f>
        <v>0</v>
      </c>
      <c r="Z100" s="11" t="n">
        <f aca="false">IF(AND(N100,E100="capacity",LEN(K100)&gt;0),1,0)</f>
        <v>1</v>
      </c>
      <c r="AA100" s="11" t="n">
        <f aca="false">IF(Z100=1,SUMPRODUCT(($K$4:$K$703=K100)*($F$4:$F$703=F100)*($Z$4:$Z$703=1)*($B$4:$B$703&lt;&gt;B100)),0)</f>
        <v>0</v>
      </c>
      <c r="AB100" s="11" t="n">
        <f aca="false">IF(AND(Z100=1,AA100&gt;0),1+SUMPRODUCT(($K$4:$K$703=K100)*($F$4:$F$703=F100)*($Z$4:$Z$703=1)*($P$4:$P$703&gt;P100))+SUMPRODUCT(($K$4:$K$703=K100)*($F$4:$F$703=F100)*($Z$4:$Z$703=1)*($P$4:$P$703=P100)*($C$4:$C$703&lt;C100))+SUMPRODUCT(($K$4:$K$703=K100)*($F$4:$F$703=F100)*($Z$4:$Z$703=1)*($P$4:$P$703=P100)*($C$4:$C$703=C100)*($D$4:$D$703&lt;D100)),0)</f>
        <v>0</v>
      </c>
      <c r="AC100" s="11" t="n">
        <f aca="false">IF(AND(Z100=1,AA100&gt;0,AB100&gt;1),P100,0)</f>
        <v>0</v>
      </c>
    </row>
    <row r="101" customFormat="false" ht="15" hidden="false" customHeight="false" outlineLevel="0" collapsed="false">
      <c r="A101" s="4" t="s">
        <v>312</v>
      </c>
      <c r="B101" s="4" t="s">
        <v>85</v>
      </c>
      <c r="C101" s="4" t="n">
        <v>3</v>
      </c>
      <c r="D101" s="4" t="n">
        <v>98</v>
      </c>
      <c r="E101" s="4" t="s">
        <v>233</v>
      </c>
      <c r="F101" s="4" t="n">
        <v>5</v>
      </c>
      <c r="G101" s="4" t="n">
        <v>4</v>
      </c>
      <c r="H101" s="4" t="n">
        <v>1460.31</v>
      </c>
      <c r="I101" s="13" t="b">
        <f aca="false">FALSE()</f>
        <v>0</v>
      </c>
      <c r="K101" s="4" t="s">
        <v>311</v>
      </c>
      <c r="L101" s="4" t="n">
        <v>13.39</v>
      </c>
      <c r="M101" s="11" t="n">
        <f aca="false">IFERROR(MATCH(Controls!$B$3&amp;"|"&amp;B101,'Scenario inputs'!$A$4:$A$213,0),0)</f>
        <v>134</v>
      </c>
      <c r="N101" s="8" t="b">
        <f aca="false">IF(M101=0,FALSE(),F101&lt;Controls!$B$12)</f>
        <v>1</v>
      </c>
      <c r="O101" s="11" t="n">
        <f aca="false">IF(N101,IF(INDEX('Scenario inputs'!$E$4:$E$213,M101)=0,1,INDEX('Scenario inputs'!$F$4:$M$213,M101,MIN(MAX(F101-G101,0),INDEX('Scenario inputs'!$E$4:$E$213,M101)-1)+1)),0)</f>
        <v>0.083333</v>
      </c>
      <c r="P101" s="11" t="n">
        <f aca="false">H101*O101</f>
        <v>121.69201323</v>
      </c>
      <c r="Q101" s="11" t="n">
        <f aca="false">IF(M101=0,"",IF(ISNUMBER(INDEX('Scenario inputs'!$N$4:$N$213,M101)),INDEX('Scenario inputs'!$N$4:$N$213,M101),""))</f>
        <v>30.78</v>
      </c>
      <c r="R101" s="0" t="str">
        <f aca="false">IF(NOT(N101),"",IF(OR(E101="cash",E101="revenue"),E101,IF(E101="avoided_cost",IF(AND(I101,LEN(TRIM(J101))&gt;0),"avoided_cost_realised","avoided_cost_beside"),IF(ISNUMBER(Q101),"capacity_converted","capacity_hours"))))</f>
        <v>capacity_converted</v>
      </c>
      <c r="S101" s="11" t="n">
        <f aca="false">IF(OR(R101="",R101="capacity_hours"),0,IF(R101="capacity_converted",P101*Q101,P101))</f>
        <v>3745.6801672194</v>
      </c>
      <c r="T101" s="11" t="n">
        <f aca="false">IF(OR(R101="cash",R101="revenue",R101="avoided_cost_realised",R101="capacity_converted"),1,0)</f>
        <v>1</v>
      </c>
      <c r="U101" s="11" t="n">
        <f aca="false">IF(AND(N101,R101&lt;&gt;"capacity_hours",LEN(K101)&gt;0),1,0)</f>
        <v>1</v>
      </c>
      <c r="V101" s="11" t="n">
        <f aca="false">IF(U101=1,SUMPRODUCT(($K$4:$K$703=K101)*($F$4:$F$703=F101)*($U$4:$U$703=1)*($B$4:$B$703&lt;&gt;B101)),0)</f>
        <v>0</v>
      </c>
      <c r="W101" s="11" t="n">
        <f aca="false">IF(AND(U101=1,V101&gt;0),1+SUMPRODUCT(($K$4:$K$703=K101)*($F$4:$F$703=F101)*($U$4:$U$703=1)*($S$4:$S$703&gt;S101))+SUMPRODUCT(($K$4:$K$703=K101)*($F$4:$F$703=F101)*($U$4:$U$703=1)*($S$4:$S$703=S101)*($T$4:$T$703&gt;T101))+SUMPRODUCT(($K$4:$K$703=K101)*($F$4:$F$703=F101)*($U$4:$U$703=1)*($S$4:$S$703=S101)*($T$4:$T$703=T101)*($C$4:$C$703&lt;C101))+SUMPRODUCT(($K$4:$K$703=K101)*($F$4:$F$703=F101)*($U$4:$U$703=1)*($S$4:$S$703=S101)*($T$4:$T$703=T101)*($C$4:$C$703=C101)*($D$4:$D$703&lt;D101)),0)</f>
        <v>0</v>
      </c>
      <c r="X101" s="11" t="n">
        <f aca="false">IF(AND(U101=1,V101&gt;0,W101&gt;1),S101,0)</f>
        <v>0</v>
      </c>
      <c r="Y101" s="11" t="n">
        <f aca="false">IF(T101=1,X101/(1+Controls!$B$11)^F101,0)</f>
        <v>0</v>
      </c>
      <c r="Z101" s="11" t="n">
        <f aca="false">IF(AND(N101,E101="capacity",LEN(K101)&gt;0),1,0)</f>
        <v>1</v>
      </c>
      <c r="AA101" s="11" t="n">
        <f aca="false">IF(Z101=1,SUMPRODUCT(($K$4:$K$703=K101)*($F$4:$F$703=F101)*($Z$4:$Z$703=1)*($B$4:$B$703&lt;&gt;B101)),0)</f>
        <v>0</v>
      </c>
      <c r="AB101" s="11" t="n">
        <f aca="false">IF(AND(Z101=1,AA101&gt;0),1+SUMPRODUCT(($K$4:$K$703=K101)*($F$4:$F$703=F101)*($Z$4:$Z$703=1)*($P$4:$P$703&gt;P101))+SUMPRODUCT(($K$4:$K$703=K101)*($F$4:$F$703=F101)*($Z$4:$Z$703=1)*($P$4:$P$703=P101)*($C$4:$C$703&lt;C101))+SUMPRODUCT(($K$4:$K$703=K101)*($F$4:$F$703=F101)*($Z$4:$Z$703=1)*($P$4:$P$703=P101)*($C$4:$C$703=C101)*($D$4:$D$703&lt;D101)),0)</f>
        <v>0</v>
      </c>
      <c r="AC101" s="11" t="n">
        <f aca="false">IF(AND(Z101=1,AA101&gt;0,AB101&gt;1),P101,0)</f>
        <v>0</v>
      </c>
    </row>
    <row r="102" customFormat="false" ht="15" hidden="false" customHeight="false" outlineLevel="0" collapsed="false">
      <c r="A102" s="4" t="s">
        <v>313</v>
      </c>
      <c r="B102" s="4" t="s">
        <v>85</v>
      </c>
      <c r="C102" s="4" t="n">
        <v>3</v>
      </c>
      <c r="D102" s="4" t="n">
        <v>99</v>
      </c>
      <c r="E102" s="4" t="s">
        <v>233</v>
      </c>
      <c r="F102" s="4" t="n">
        <v>6</v>
      </c>
      <c r="G102" s="4" t="n">
        <v>4</v>
      </c>
      <c r="H102" s="4" t="n">
        <v>1460.31</v>
      </c>
      <c r="I102" s="13" t="b">
        <f aca="false">FALSE()</f>
        <v>0</v>
      </c>
      <c r="K102" s="4" t="s">
        <v>311</v>
      </c>
      <c r="L102" s="4" t="n">
        <v>27.6</v>
      </c>
      <c r="M102" s="11" t="n">
        <f aca="false">IFERROR(MATCH(Controls!$B$3&amp;"|"&amp;B102,'Scenario inputs'!$A$4:$A$213,0),0)</f>
        <v>134</v>
      </c>
      <c r="N102" s="8" t="b">
        <f aca="false">IF(M102=0,FALSE(),F102&lt;Controls!$B$12)</f>
        <v>1</v>
      </c>
      <c r="O102" s="11" t="n">
        <f aca="false">IF(N102,IF(INDEX('Scenario inputs'!$E$4:$E$213,M102)=0,1,INDEX('Scenario inputs'!$F$4:$M$213,M102,MIN(MAX(F102-G102,0),INDEX('Scenario inputs'!$E$4:$E$213,M102)-1)+1)),0)</f>
        <v>0.166667</v>
      </c>
      <c r="P102" s="11" t="n">
        <f aca="false">H102*O102</f>
        <v>243.38548677</v>
      </c>
      <c r="Q102" s="11" t="n">
        <f aca="false">IF(M102=0,"",IF(ISNUMBER(INDEX('Scenario inputs'!$N$4:$N$213,M102)),INDEX('Scenario inputs'!$N$4:$N$213,M102),""))</f>
        <v>30.78</v>
      </c>
      <c r="R102" s="0" t="str">
        <f aca="false">IF(NOT(N102),"",IF(OR(E102="cash",E102="revenue"),E102,IF(E102="avoided_cost",IF(AND(I102,LEN(TRIM(J102))&gt;0),"avoided_cost_realised","avoided_cost_beside"),IF(ISNUMBER(Q102),"capacity_converted","capacity_hours"))))</f>
        <v>capacity_converted</v>
      </c>
      <c r="S102" s="11" t="n">
        <f aca="false">IF(OR(R102="",R102="capacity_hours"),0,IF(R102="capacity_converted",P102*Q102,P102))</f>
        <v>7491.4052827806</v>
      </c>
      <c r="T102" s="11" t="n">
        <f aca="false">IF(OR(R102="cash",R102="revenue",R102="avoided_cost_realised",R102="capacity_converted"),1,0)</f>
        <v>1</v>
      </c>
      <c r="U102" s="11" t="n">
        <f aca="false">IF(AND(N102,R102&lt;&gt;"capacity_hours",LEN(K102)&gt;0),1,0)</f>
        <v>1</v>
      </c>
      <c r="V102" s="11" t="n">
        <f aca="false">IF(U102=1,SUMPRODUCT(($K$4:$K$703=K102)*($F$4:$F$703=F102)*($U$4:$U$703=1)*($B$4:$B$703&lt;&gt;B102)),0)</f>
        <v>0</v>
      </c>
      <c r="W102" s="11" t="n">
        <f aca="false">IF(AND(U102=1,V102&gt;0),1+SUMPRODUCT(($K$4:$K$703=K102)*($F$4:$F$703=F102)*($U$4:$U$703=1)*($S$4:$S$703&gt;S102))+SUMPRODUCT(($K$4:$K$703=K102)*($F$4:$F$703=F102)*($U$4:$U$703=1)*($S$4:$S$703=S102)*($T$4:$T$703&gt;T102))+SUMPRODUCT(($K$4:$K$703=K102)*($F$4:$F$703=F102)*($U$4:$U$703=1)*($S$4:$S$703=S102)*($T$4:$T$703=T102)*($C$4:$C$703&lt;C102))+SUMPRODUCT(($K$4:$K$703=K102)*($F$4:$F$703=F102)*($U$4:$U$703=1)*($S$4:$S$703=S102)*($T$4:$T$703=T102)*($C$4:$C$703=C102)*($D$4:$D$703&lt;D102)),0)</f>
        <v>0</v>
      </c>
      <c r="X102" s="11" t="n">
        <f aca="false">IF(AND(U102=1,V102&gt;0,W102&gt;1),S102,0)</f>
        <v>0</v>
      </c>
      <c r="Y102" s="11" t="n">
        <f aca="false">IF(T102=1,X102/(1+Controls!$B$11)^F102,0)</f>
        <v>0</v>
      </c>
      <c r="Z102" s="11" t="n">
        <f aca="false">IF(AND(N102,E102="capacity",LEN(K102)&gt;0),1,0)</f>
        <v>1</v>
      </c>
      <c r="AA102" s="11" t="n">
        <f aca="false">IF(Z102=1,SUMPRODUCT(($K$4:$K$703=K102)*($F$4:$F$703=F102)*($Z$4:$Z$703=1)*($B$4:$B$703&lt;&gt;B102)),0)</f>
        <v>0</v>
      </c>
      <c r="AB102" s="11" t="n">
        <f aca="false">IF(AND(Z102=1,AA102&gt;0),1+SUMPRODUCT(($K$4:$K$703=K102)*($F$4:$F$703=F102)*($Z$4:$Z$703=1)*($P$4:$P$703&gt;P102))+SUMPRODUCT(($K$4:$K$703=K102)*($F$4:$F$703=F102)*($Z$4:$Z$703=1)*($P$4:$P$703=P102)*($C$4:$C$703&lt;C102))+SUMPRODUCT(($K$4:$K$703=K102)*($F$4:$F$703=F102)*($Z$4:$Z$703=1)*($P$4:$P$703=P102)*($C$4:$C$703=C102)*($D$4:$D$703&lt;D102)),0)</f>
        <v>0</v>
      </c>
      <c r="AC102" s="11" t="n">
        <f aca="false">IF(AND(Z102=1,AA102&gt;0,AB102&gt;1),P102,0)</f>
        <v>0</v>
      </c>
    </row>
    <row r="103" customFormat="false" ht="15" hidden="false" customHeight="false" outlineLevel="0" collapsed="false">
      <c r="A103" s="4" t="s">
        <v>314</v>
      </c>
      <c r="B103" s="4" t="s">
        <v>85</v>
      </c>
      <c r="C103" s="4" t="n">
        <v>3</v>
      </c>
      <c r="D103" s="4" t="n">
        <v>100</v>
      </c>
      <c r="E103" s="4" t="s">
        <v>233</v>
      </c>
      <c r="F103" s="4" t="n">
        <v>7</v>
      </c>
      <c r="G103" s="4" t="n">
        <v>4</v>
      </c>
      <c r="H103" s="4" t="n">
        <v>1460.31</v>
      </c>
      <c r="I103" s="13" t="b">
        <f aca="false">FALSE()</f>
        <v>0</v>
      </c>
      <c r="K103" s="4" t="s">
        <v>311</v>
      </c>
      <c r="L103" s="4" t="n">
        <v>47.36</v>
      </c>
      <c r="M103" s="11" t="n">
        <f aca="false">IFERROR(MATCH(Controls!$B$3&amp;"|"&amp;B103,'Scenario inputs'!$A$4:$A$213,0),0)</f>
        <v>134</v>
      </c>
      <c r="N103" s="8" t="b">
        <f aca="false">IF(M103=0,FALSE(),F103&lt;Controls!$B$12)</f>
        <v>1</v>
      </c>
      <c r="O103" s="11" t="n">
        <f aca="false">IF(N103,IF(INDEX('Scenario inputs'!$E$4:$E$213,M103)=0,1,INDEX('Scenario inputs'!$F$4:$M$213,M103,MIN(MAX(F103-G103,0),INDEX('Scenario inputs'!$E$4:$E$213,M103)-1)+1)),0)</f>
        <v>0.277778</v>
      </c>
      <c r="P103" s="11" t="n">
        <f aca="false">H103*O103</f>
        <v>405.64199118</v>
      </c>
      <c r="Q103" s="11" t="n">
        <f aca="false">IF(M103=0,"",IF(ISNUMBER(INDEX('Scenario inputs'!$N$4:$N$213,M103)),INDEX('Scenario inputs'!$N$4:$N$213,M103),""))</f>
        <v>30.78</v>
      </c>
      <c r="R103" s="0" t="str">
        <f aca="false">IF(NOT(N103),"",IF(OR(E103="cash",E103="revenue"),E103,IF(E103="avoided_cost",IF(AND(I103,LEN(TRIM(J103))&gt;0),"avoided_cost_realised","avoided_cost_beside"),IF(ISNUMBER(Q103),"capacity_converted","capacity_hours"))))</f>
        <v>capacity_converted</v>
      </c>
      <c r="S103" s="11" t="n">
        <f aca="false">IF(OR(R103="",R103="capacity_hours"),0,IF(R103="capacity_converted",P103*Q103,P103))</f>
        <v>12485.6604885204</v>
      </c>
      <c r="T103" s="11" t="n">
        <f aca="false">IF(OR(R103="cash",R103="revenue",R103="avoided_cost_realised",R103="capacity_converted"),1,0)</f>
        <v>1</v>
      </c>
      <c r="U103" s="11" t="n">
        <f aca="false">IF(AND(N103,R103&lt;&gt;"capacity_hours",LEN(K103)&gt;0),1,0)</f>
        <v>1</v>
      </c>
      <c r="V103" s="11" t="n">
        <f aca="false">IF(U103=1,SUMPRODUCT(($K$4:$K$703=K103)*($F$4:$F$703=F103)*($U$4:$U$703=1)*($B$4:$B$703&lt;&gt;B103)),0)</f>
        <v>0</v>
      </c>
      <c r="W103" s="11" t="n">
        <f aca="false">IF(AND(U103=1,V103&gt;0),1+SUMPRODUCT(($K$4:$K$703=K103)*($F$4:$F$703=F103)*($U$4:$U$703=1)*($S$4:$S$703&gt;S103))+SUMPRODUCT(($K$4:$K$703=K103)*($F$4:$F$703=F103)*($U$4:$U$703=1)*($S$4:$S$703=S103)*($T$4:$T$703&gt;T103))+SUMPRODUCT(($K$4:$K$703=K103)*($F$4:$F$703=F103)*($U$4:$U$703=1)*($S$4:$S$703=S103)*($T$4:$T$703=T103)*($C$4:$C$703&lt;C103))+SUMPRODUCT(($K$4:$K$703=K103)*($F$4:$F$703=F103)*($U$4:$U$703=1)*($S$4:$S$703=S103)*($T$4:$T$703=T103)*($C$4:$C$703=C103)*($D$4:$D$703&lt;D103)),0)</f>
        <v>0</v>
      </c>
      <c r="X103" s="11" t="n">
        <f aca="false">IF(AND(U103=1,V103&gt;0,W103&gt;1),S103,0)</f>
        <v>0</v>
      </c>
      <c r="Y103" s="11" t="n">
        <f aca="false">IF(T103=1,X103/(1+Controls!$B$11)^F103,0)</f>
        <v>0</v>
      </c>
      <c r="Z103" s="11" t="n">
        <f aca="false">IF(AND(N103,E103="capacity",LEN(K103)&gt;0),1,0)</f>
        <v>1</v>
      </c>
      <c r="AA103" s="11" t="n">
        <f aca="false">IF(Z103=1,SUMPRODUCT(($K$4:$K$703=K103)*($F$4:$F$703=F103)*($Z$4:$Z$703=1)*($B$4:$B$703&lt;&gt;B103)),0)</f>
        <v>0</v>
      </c>
      <c r="AB103" s="11" t="n">
        <f aca="false">IF(AND(Z103=1,AA103&gt;0),1+SUMPRODUCT(($K$4:$K$703=K103)*($F$4:$F$703=F103)*($Z$4:$Z$703=1)*($P$4:$P$703&gt;P103))+SUMPRODUCT(($K$4:$K$703=K103)*($F$4:$F$703=F103)*($Z$4:$Z$703=1)*($P$4:$P$703=P103)*($C$4:$C$703&lt;C103))+SUMPRODUCT(($K$4:$K$703=K103)*($F$4:$F$703=F103)*($Z$4:$Z$703=1)*($P$4:$P$703=P103)*($C$4:$C$703=C103)*($D$4:$D$703&lt;D103)),0)</f>
        <v>0</v>
      </c>
      <c r="AC103" s="11" t="n">
        <f aca="false">IF(AND(Z103=1,AA103&gt;0,AB103&gt;1),P103,0)</f>
        <v>0</v>
      </c>
    </row>
    <row r="104" customFormat="false" ht="15" hidden="false" customHeight="false" outlineLevel="0" collapsed="false">
      <c r="A104" s="4" t="s">
        <v>315</v>
      </c>
      <c r="B104" s="4" t="s">
        <v>85</v>
      </c>
      <c r="C104" s="4" t="n">
        <v>3</v>
      </c>
      <c r="D104" s="4" t="n">
        <v>101</v>
      </c>
      <c r="E104" s="4" t="s">
        <v>233</v>
      </c>
      <c r="F104" s="4" t="n">
        <v>8</v>
      </c>
      <c r="G104" s="4" t="n">
        <v>4</v>
      </c>
      <c r="H104" s="4" t="n">
        <v>1460.31</v>
      </c>
      <c r="I104" s="13" t="b">
        <f aca="false">FALSE()</f>
        <v>0</v>
      </c>
      <c r="K104" s="4" t="s">
        <v>311</v>
      </c>
      <c r="L104" s="4" t="n">
        <v>71.04</v>
      </c>
      <c r="M104" s="11" t="n">
        <f aca="false">IFERROR(MATCH(Controls!$B$3&amp;"|"&amp;B104,'Scenario inputs'!$A$4:$A$213,0),0)</f>
        <v>134</v>
      </c>
      <c r="N104" s="8" t="b">
        <f aca="false">IF(M104=0,FALSE(),F104&lt;Controls!$B$12)</f>
        <v>1</v>
      </c>
      <c r="O104" s="11" t="n">
        <f aca="false">IF(N104,IF(INDEX('Scenario inputs'!$E$4:$E$213,M104)=0,1,INDEX('Scenario inputs'!$F$4:$M$213,M104,MIN(MAX(F104-G104,0),INDEX('Scenario inputs'!$E$4:$E$213,M104)-1)+1)),0)</f>
        <v>0.416667</v>
      </c>
      <c r="P104" s="11" t="n">
        <f aca="false">H104*O104</f>
        <v>608.46298677</v>
      </c>
      <c r="Q104" s="11" t="n">
        <f aca="false">IF(M104=0,"",IF(ISNUMBER(INDEX('Scenario inputs'!$N$4:$N$213,M104)),INDEX('Scenario inputs'!$N$4:$N$213,M104),""))</f>
        <v>30.78</v>
      </c>
      <c r="R104" s="0" t="str">
        <f aca="false">IF(NOT(N104),"",IF(OR(E104="cash",E104="revenue"),E104,IF(E104="avoided_cost",IF(AND(I104,LEN(TRIM(J104))&gt;0),"avoided_cost_realised","avoided_cost_beside"),IF(ISNUMBER(Q104),"capacity_converted","capacity_hours"))))</f>
        <v>capacity_converted</v>
      </c>
      <c r="S104" s="11" t="n">
        <f aca="false">IF(OR(R104="",R104="capacity_hours"),0,IF(R104="capacity_converted",P104*Q104,P104))</f>
        <v>18728.4907327806</v>
      </c>
      <c r="T104" s="11" t="n">
        <f aca="false">IF(OR(R104="cash",R104="revenue",R104="avoided_cost_realised",R104="capacity_converted"),1,0)</f>
        <v>1</v>
      </c>
      <c r="U104" s="11" t="n">
        <f aca="false">IF(AND(N104,R104&lt;&gt;"capacity_hours",LEN(K104)&gt;0),1,0)</f>
        <v>1</v>
      </c>
      <c r="V104" s="11" t="n">
        <f aca="false">IF(U104=1,SUMPRODUCT(($K$4:$K$703=K104)*($F$4:$F$703=F104)*($U$4:$U$703=1)*($B$4:$B$703&lt;&gt;B104)),0)</f>
        <v>0</v>
      </c>
      <c r="W104" s="11" t="n">
        <f aca="false">IF(AND(U104=1,V104&gt;0),1+SUMPRODUCT(($K$4:$K$703=K104)*($F$4:$F$703=F104)*($U$4:$U$703=1)*($S$4:$S$703&gt;S104))+SUMPRODUCT(($K$4:$K$703=K104)*($F$4:$F$703=F104)*($U$4:$U$703=1)*($S$4:$S$703=S104)*($T$4:$T$703&gt;T104))+SUMPRODUCT(($K$4:$K$703=K104)*($F$4:$F$703=F104)*($U$4:$U$703=1)*($S$4:$S$703=S104)*($T$4:$T$703=T104)*($C$4:$C$703&lt;C104))+SUMPRODUCT(($K$4:$K$703=K104)*($F$4:$F$703=F104)*($U$4:$U$703=1)*($S$4:$S$703=S104)*($T$4:$T$703=T104)*($C$4:$C$703=C104)*($D$4:$D$703&lt;D104)),0)</f>
        <v>0</v>
      </c>
      <c r="X104" s="11" t="n">
        <f aca="false">IF(AND(U104=1,V104&gt;0,W104&gt;1),S104,0)</f>
        <v>0</v>
      </c>
      <c r="Y104" s="11" t="n">
        <f aca="false">IF(T104=1,X104/(1+Controls!$B$11)^F104,0)</f>
        <v>0</v>
      </c>
      <c r="Z104" s="11" t="n">
        <f aca="false">IF(AND(N104,E104="capacity",LEN(K104)&gt;0),1,0)</f>
        <v>1</v>
      </c>
      <c r="AA104" s="11" t="n">
        <f aca="false">IF(Z104=1,SUMPRODUCT(($K$4:$K$703=K104)*($F$4:$F$703=F104)*($Z$4:$Z$703=1)*($B$4:$B$703&lt;&gt;B104)),0)</f>
        <v>0</v>
      </c>
      <c r="AB104" s="11" t="n">
        <f aca="false">IF(AND(Z104=1,AA104&gt;0),1+SUMPRODUCT(($K$4:$K$703=K104)*($F$4:$F$703=F104)*($Z$4:$Z$703=1)*($P$4:$P$703&gt;P104))+SUMPRODUCT(($K$4:$K$703=K104)*($F$4:$F$703=F104)*($Z$4:$Z$703=1)*($P$4:$P$703=P104)*($C$4:$C$703&lt;C104))+SUMPRODUCT(($K$4:$K$703=K104)*($F$4:$F$703=F104)*($Z$4:$Z$703=1)*($P$4:$P$703=P104)*($C$4:$C$703=C104)*($D$4:$D$703&lt;D104)),0)</f>
        <v>0</v>
      </c>
      <c r="AC104" s="11" t="n">
        <f aca="false">IF(AND(Z104=1,AA104&gt;0,AB104&gt;1),P104,0)</f>
        <v>0</v>
      </c>
    </row>
    <row r="105" customFormat="false" ht="15" hidden="false" customHeight="false" outlineLevel="0" collapsed="false">
      <c r="A105" s="4" t="s">
        <v>316</v>
      </c>
      <c r="B105" s="4" t="s">
        <v>85</v>
      </c>
      <c r="C105" s="4" t="n">
        <v>3</v>
      </c>
      <c r="D105" s="4" t="n">
        <v>102</v>
      </c>
      <c r="E105" s="4" t="s">
        <v>233</v>
      </c>
      <c r="F105" s="4" t="n">
        <v>9</v>
      </c>
      <c r="G105" s="4" t="n">
        <v>4</v>
      </c>
      <c r="H105" s="4" t="n">
        <v>1460.31</v>
      </c>
      <c r="I105" s="13" t="b">
        <f aca="false">FALSE()</f>
        <v>0</v>
      </c>
      <c r="K105" s="4" t="s">
        <v>311</v>
      </c>
      <c r="L105" s="4" t="n">
        <v>118.07</v>
      </c>
      <c r="M105" s="11" t="n">
        <f aca="false">IFERROR(MATCH(Controls!$B$3&amp;"|"&amp;B105,'Scenario inputs'!$A$4:$A$213,0),0)</f>
        <v>134</v>
      </c>
      <c r="N105" s="8" t="b">
        <f aca="false">IF(M105=0,FALSE(),F105&lt;Controls!$B$12)</f>
        <v>1</v>
      </c>
      <c r="O105" s="11" t="n">
        <f aca="false">IF(N105,IF(INDEX('Scenario inputs'!$E$4:$E$213,M105)=0,1,INDEX('Scenario inputs'!$F$4:$M$213,M105,MIN(MAX(F105-G105,0),INDEX('Scenario inputs'!$E$4:$E$213,M105)-1)+1)),0)</f>
        <v>0.583333</v>
      </c>
      <c r="P105" s="11" t="n">
        <f aca="false">H105*O105</f>
        <v>851.84701323</v>
      </c>
      <c r="Q105" s="11" t="n">
        <f aca="false">IF(M105=0,"",IF(ISNUMBER(INDEX('Scenario inputs'!$N$4:$N$213,M105)),INDEX('Scenario inputs'!$N$4:$N$213,M105),""))</f>
        <v>30.78</v>
      </c>
      <c r="R105" s="0" t="str">
        <f aca="false">IF(NOT(N105),"",IF(OR(E105="cash",E105="revenue"),E105,IF(E105="avoided_cost",IF(AND(I105,LEN(TRIM(J105))&gt;0),"avoided_cost_realised","avoided_cost_beside"),IF(ISNUMBER(Q105),"capacity_converted","capacity_hours"))))</f>
        <v>capacity_converted</v>
      </c>
      <c r="S105" s="11" t="n">
        <f aca="false">IF(OR(R105="",R105="capacity_hours"),0,IF(R105="capacity_converted",P105*Q105,P105))</f>
        <v>26219.8510672194</v>
      </c>
      <c r="T105" s="11" t="n">
        <f aca="false">IF(OR(R105="cash",R105="revenue",R105="avoided_cost_realised",R105="capacity_converted"),1,0)</f>
        <v>1</v>
      </c>
      <c r="U105" s="11" t="n">
        <f aca="false">IF(AND(N105,R105&lt;&gt;"capacity_hours",LEN(K105)&gt;0),1,0)</f>
        <v>1</v>
      </c>
      <c r="V105" s="11" t="n">
        <f aca="false">IF(U105=1,SUMPRODUCT(($K$4:$K$703=K105)*($F$4:$F$703=F105)*($U$4:$U$703=1)*($B$4:$B$703&lt;&gt;B105)),0)</f>
        <v>0</v>
      </c>
      <c r="W105" s="11" t="n">
        <f aca="false">IF(AND(U105=1,V105&gt;0),1+SUMPRODUCT(($K$4:$K$703=K105)*($F$4:$F$703=F105)*($U$4:$U$703=1)*($S$4:$S$703&gt;S105))+SUMPRODUCT(($K$4:$K$703=K105)*($F$4:$F$703=F105)*($U$4:$U$703=1)*($S$4:$S$703=S105)*($T$4:$T$703&gt;T105))+SUMPRODUCT(($K$4:$K$703=K105)*($F$4:$F$703=F105)*($U$4:$U$703=1)*($S$4:$S$703=S105)*($T$4:$T$703=T105)*($C$4:$C$703&lt;C105))+SUMPRODUCT(($K$4:$K$703=K105)*($F$4:$F$703=F105)*($U$4:$U$703=1)*($S$4:$S$703=S105)*($T$4:$T$703=T105)*($C$4:$C$703=C105)*($D$4:$D$703&lt;D105)),0)</f>
        <v>0</v>
      </c>
      <c r="X105" s="11" t="n">
        <f aca="false">IF(AND(U105=1,V105&gt;0,W105&gt;1),S105,0)</f>
        <v>0</v>
      </c>
      <c r="Y105" s="11" t="n">
        <f aca="false">IF(T105=1,X105/(1+Controls!$B$11)^F105,0)</f>
        <v>0</v>
      </c>
      <c r="Z105" s="11" t="n">
        <f aca="false">IF(AND(N105,E105="capacity",LEN(K105)&gt;0),1,0)</f>
        <v>1</v>
      </c>
      <c r="AA105" s="11" t="n">
        <f aca="false">IF(Z105=1,SUMPRODUCT(($K$4:$K$703=K105)*($F$4:$F$703=F105)*($Z$4:$Z$703=1)*($B$4:$B$703&lt;&gt;B105)),0)</f>
        <v>0</v>
      </c>
      <c r="AB105" s="11" t="n">
        <f aca="false">IF(AND(Z105=1,AA105&gt;0),1+SUMPRODUCT(($K$4:$K$703=K105)*($F$4:$F$703=F105)*($Z$4:$Z$703=1)*($P$4:$P$703&gt;P105))+SUMPRODUCT(($K$4:$K$703=K105)*($F$4:$F$703=F105)*($Z$4:$Z$703=1)*($P$4:$P$703=P105)*($C$4:$C$703&lt;C105))+SUMPRODUCT(($K$4:$K$703=K105)*($F$4:$F$703=F105)*($Z$4:$Z$703=1)*($P$4:$P$703=P105)*($C$4:$C$703=C105)*($D$4:$D$703&lt;D105)),0)</f>
        <v>0</v>
      </c>
      <c r="AC105" s="11" t="n">
        <f aca="false">IF(AND(Z105=1,AA105&gt;0,AB105&gt;1),P105,0)</f>
        <v>0</v>
      </c>
    </row>
    <row r="106" customFormat="false" ht="15" hidden="false" customHeight="false" outlineLevel="0" collapsed="false">
      <c r="A106" s="4" t="s">
        <v>317</v>
      </c>
      <c r="B106" s="4" t="s">
        <v>85</v>
      </c>
      <c r="C106" s="4" t="n">
        <v>3</v>
      </c>
      <c r="D106" s="4" t="n">
        <v>103</v>
      </c>
      <c r="E106" s="4" t="s">
        <v>233</v>
      </c>
      <c r="F106" s="4" t="n">
        <v>10</v>
      </c>
      <c r="G106" s="4" t="n">
        <v>4</v>
      </c>
      <c r="H106" s="4" t="n">
        <v>1460.31</v>
      </c>
      <c r="I106" s="13" t="b">
        <f aca="false">FALSE()</f>
        <v>0</v>
      </c>
      <c r="K106" s="4" t="s">
        <v>311</v>
      </c>
      <c r="L106" s="4" t="n">
        <v>157.42</v>
      </c>
      <c r="M106" s="11" t="n">
        <f aca="false">IFERROR(MATCH(Controls!$B$3&amp;"|"&amp;B106,'Scenario inputs'!$A$4:$A$213,0),0)</f>
        <v>134</v>
      </c>
      <c r="N106" s="8" t="b">
        <f aca="false">IF(M106=0,FALSE(),F106&lt;Controls!$B$12)</f>
        <v>1</v>
      </c>
      <c r="O106" s="11" t="n">
        <f aca="false">IF(N106,IF(INDEX('Scenario inputs'!$E$4:$E$213,M106)=0,1,INDEX('Scenario inputs'!$F$4:$M$213,M106,MIN(MAX(F106-G106,0),INDEX('Scenario inputs'!$E$4:$E$213,M106)-1)+1)),0)</f>
        <v>0.777778</v>
      </c>
      <c r="P106" s="11" t="n">
        <f aca="false">H106*O106</f>
        <v>1135.79699118</v>
      </c>
      <c r="Q106" s="11" t="n">
        <f aca="false">IF(M106=0,"",IF(ISNUMBER(INDEX('Scenario inputs'!$N$4:$N$213,M106)),INDEX('Scenario inputs'!$N$4:$N$213,M106),""))</f>
        <v>30.78</v>
      </c>
      <c r="R106" s="0" t="str">
        <f aca="false">IF(NOT(N106),"",IF(OR(E106="cash",E106="revenue"),E106,IF(E106="avoided_cost",IF(AND(I106,LEN(TRIM(J106))&gt;0),"avoided_cost_realised","avoided_cost_beside"),IF(ISNUMBER(Q106),"capacity_converted","capacity_hours"))))</f>
        <v>capacity_converted</v>
      </c>
      <c r="S106" s="11" t="n">
        <f aca="false">IF(OR(R106="",R106="capacity_hours"),0,IF(R106="capacity_converted",P106*Q106,P106))</f>
        <v>34959.8313885204</v>
      </c>
      <c r="T106" s="11" t="n">
        <f aca="false">IF(OR(R106="cash",R106="revenue",R106="avoided_cost_realised",R106="capacity_converted"),1,0)</f>
        <v>1</v>
      </c>
      <c r="U106" s="11" t="n">
        <f aca="false">IF(AND(N106,R106&lt;&gt;"capacity_hours",LEN(K106)&gt;0),1,0)</f>
        <v>1</v>
      </c>
      <c r="V106" s="11" t="n">
        <f aca="false">IF(U106=1,SUMPRODUCT(($K$4:$K$703=K106)*($F$4:$F$703=F106)*($U$4:$U$703=1)*($B$4:$B$703&lt;&gt;B106)),0)</f>
        <v>0</v>
      </c>
      <c r="W106" s="11" t="n">
        <f aca="false">IF(AND(U106=1,V106&gt;0),1+SUMPRODUCT(($K$4:$K$703=K106)*($F$4:$F$703=F106)*($U$4:$U$703=1)*($S$4:$S$703&gt;S106))+SUMPRODUCT(($K$4:$K$703=K106)*($F$4:$F$703=F106)*($U$4:$U$703=1)*($S$4:$S$703=S106)*($T$4:$T$703&gt;T106))+SUMPRODUCT(($K$4:$K$703=K106)*($F$4:$F$703=F106)*($U$4:$U$703=1)*($S$4:$S$703=S106)*($T$4:$T$703=T106)*($C$4:$C$703&lt;C106))+SUMPRODUCT(($K$4:$K$703=K106)*($F$4:$F$703=F106)*($U$4:$U$703=1)*($S$4:$S$703=S106)*($T$4:$T$703=T106)*($C$4:$C$703=C106)*($D$4:$D$703&lt;D106)),0)</f>
        <v>0</v>
      </c>
      <c r="X106" s="11" t="n">
        <f aca="false">IF(AND(U106=1,V106&gt;0,W106&gt;1),S106,0)</f>
        <v>0</v>
      </c>
      <c r="Y106" s="11" t="n">
        <f aca="false">IF(T106=1,X106/(1+Controls!$B$11)^F106,0)</f>
        <v>0</v>
      </c>
      <c r="Z106" s="11" t="n">
        <f aca="false">IF(AND(N106,E106="capacity",LEN(K106)&gt;0),1,0)</f>
        <v>1</v>
      </c>
      <c r="AA106" s="11" t="n">
        <f aca="false">IF(Z106=1,SUMPRODUCT(($K$4:$K$703=K106)*($F$4:$F$703=F106)*($Z$4:$Z$703=1)*($B$4:$B$703&lt;&gt;B106)),0)</f>
        <v>0</v>
      </c>
      <c r="AB106" s="11" t="n">
        <f aca="false">IF(AND(Z106=1,AA106&gt;0),1+SUMPRODUCT(($K$4:$K$703=K106)*($F$4:$F$703=F106)*($Z$4:$Z$703=1)*($P$4:$P$703&gt;P106))+SUMPRODUCT(($K$4:$K$703=K106)*($F$4:$F$703=F106)*($Z$4:$Z$703=1)*($P$4:$P$703=P106)*($C$4:$C$703&lt;C106))+SUMPRODUCT(($K$4:$K$703=K106)*($F$4:$F$703=F106)*($Z$4:$Z$703=1)*($P$4:$P$703=P106)*($C$4:$C$703=C106)*($D$4:$D$703&lt;D106)),0)</f>
        <v>0</v>
      </c>
      <c r="AC106" s="11" t="n">
        <f aca="false">IF(AND(Z106=1,AA106&gt;0,AB106&gt;1),P106,0)</f>
        <v>0</v>
      </c>
    </row>
    <row r="107" customFormat="false" ht="15" hidden="false" customHeight="false" outlineLevel="0" collapsed="false">
      <c r="A107" s="4" t="s">
        <v>318</v>
      </c>
      <c r="B107" s="4" t="s">
        <v>85</v>
      </c>
      <c r="C107" s="4" t="n">
        <v>3</v>
      </c>
      <c r="D107" s="4" t="n">
        <v>104</v>
      </c>
      <c r="E107" s="4" t="s">
        <v>233</v>
      </c>
      <c r="F107" s="4" t="n">
        <v>11</v>
      </c>
      <c r="G107" s="4" t="n">
        <v>4</v>
      </c>
      <c r="H107" s="4" t="n">
        <v>1460.31</v>
      </c>
      <c r="I107" s="13" t="b">
        <f aca="false">FALSE()</f>
        <v>0</v>
      </c>
      <c r="K107" s="4" t="s">
        <v>311</v>
      </c>
      <c r="L107" s="4" t="n">
        <v>202.4</v>
      </c>
      <c r="M107" s="11" t="n">
        <f aca="false">IFERROR(MATCH(Controls!$B$3&amp;"|"&amp;B107,'Scenario inputs'!$A$4:$A$213,0),0)</f>
        <v>134</v>
      </c>
      <c r="N107" s="8" t="b">
        <f aca="false">IF(M107=0,FALSE(),F107&lt;Controls!$B$12)</f>
        <v>1</v>
      </c>
      <c r="O107" s="11" t="n">
        <f aca="false">IF(N107,IF(INDEX('Scenario inputs'!$E$4:$E$213,M107)=0,1,INDEX('Scenario inputs'!$F$4:$M$213,M107,MIN(MAX(F107-G107,0),INDEX('Scenario inputs'!$E$4:$E$213,M107)-1)+1)),0)</f>
        <v>1</v>
      </c>
      <c r="P107" s="11" t="n">
        <f aca="false">H107*O107</f>
        <v>1460.31</v>
      </c>
      <c r="Q107" s="11" t="n">
        <f aca="false">IF(M107=0,"",IF(ISNUMBER(INDEX('Scenario inputs'!$N$4:$N$213,M107)),INDEX('Scenario inputs'!$N$4:$N$213,M107),""))</f>
        <v>30.78</v>
      </c>
      <c r="R107" s="0" t="str">
        <f aca="false">IF(NOT(N107),"",IF(OR(E107="cash",E107="revenue"),E107,IF(E107="avoided_cost",IF(AND(I107,LEN(TRIM(J107))&gt;0),"avoided_cost_realised","avoided_cost_beside"),IF(ISNUMBER(Q107),"capacity_converted","capacity_hours"))))</f>
        <v>capacity_converted</v>
      </c>
      <c r="S107" s="11" t="n">
        <f aca="false">IF(OR(R107="",R107="capacity_hours"),0,IF(R107="capacity_converted",P107*Q107,P107))</f>
        <v>44948.3418</v>
      </c>
      <c r="T107" s="11" t="n">
        <f aca="false">IF(OR(R107="cash",R107="revenue",R107="avoided_cost_realised",R107="capacity_converted"),1,0)</f>
        <v>1</v>
      </c>
      <c r="U107" s="11" t="n">
        <f aca="false">IF(AND(N107,R107&lt;&gt;"capacity_hours",LEN(K107)&gt;0),1,0)</f>
        <v>1</v>
      </c>
      <c r="V107" s="11" t="n">
        <f aca="false">IF(U107=1,SUMPRODUCT(($K$4:$K$703=K107)*($F$4:$F$703=F107)*($U$4:$U$703=1)*($B$4:$B$703&lt;&gt;B107)),0)</f>
        <v>0</v>
      </c>
      <c r="W107" s="11" t="n">
        <f aca="false">IF(AND(U107=1,V107&gt;0),1+SUMPRODUCT(($K$4:$K$703=K107)*($F$4:$F$703=F107)*($U$4:$U$703=1)*($S$4:$S$703&gt;S107))+SUMPRODUCT(($K$4:$K$703=K107)*($F$4:$F$703=F107)*($U$4:$U$703=1)*($S$4:$S$703=S107)*($T$4:$T$703&gt;T107))+SUMPRODUCT(($K$4:$K$703=K107)*($F$4:$F$703=F107)*($U$4:$U$703=1)*($S$4:$S$703=S107)*($T$4:$T$703=T107)*($C$4:$C$703&lt;C107))+SUMPRODUCT(($K$4:$K$703=K107)*($F$4:$F$703=F107)*($U$4:$U$703=1)*($S$4:$S$703=S107)*($T$4:$T$703=T107)*($C$4:$C$703=C107)*($D$4:$D$703&lt;D107)),0)</f>
        <v>0</v>
      </c>
      <c r="X107" s="11" t="n">
        <f aca="false">IF(AND(U107=1,V107&gt;0,W107&gt;1),S107,0)</f>
        <v>0</v>
      </c>
      <c r="Y107" s="11" t="n">
        <f aca="false">IF(T107=1,X107/(1+Controls!$B$11)^F107,0)</f>
        <v>0</v>
      </c>
      <c r="Z107" s="11" t="n">
        <f aca="false">IF(AND(N107,E107="capacity",LEN(K107)&gt;0),1,0)</f>
        <v>1</v>
      </c>
      <c r="AA107" s="11" t="n">
        <f aca="false">IF(Z107=1,SUMPRODUCT(($K$4:$K$703=K107)*($F$4:$F$703=F107)*($Z$4:$Z$703=1)*($B$4:$B$703&lt;&gt;B107)),0)</f>
        <v>0</v>
      </c>
      <c r="AB107" s="11" t="n">
        <f aca="false">IF(AND(Z107=1,AA107&gt;0),1+SUMPRODUCT(($K$4:$K$703=K107)*($F$4:$F$703=F107)*($Z$4:$Z$703=1)*($P$4:$P$703&gt;P107))+SUMPRODUCT(($K$4:$K$703=K107)*($F$4:$F$703=F107)*($Z$4:$Z$703=1)*($P$4:$P$703=P107)*($C$4:$C$703&lt;C107))+SUMPRODUCT(($K$4:$K$703=K107)*($F$4:$F$703=F107)*($Z$4:$Z$703=1)*($P$4:$P$703=P107)*($C$4:$C$703=C107)*($D$4:$D$703&lt;D107)),0)</f>
        <v>0</v>
      </c>
      <c r="AC107" s="11" t="n">
        <f aca="false">IF(AND(Z107=1,AA107&gt;0,AB107&gt;1),P107,0)</f>
        <v>0</v>
      </c>
    </row>
    <row r="108" customFormat="false" ht="15" hidden="false" customHeight="false" outlineLevel="0" collapsed="false">
      <c r="A108" s="4" t="s">
        <v>319</v>
      </c>
      <c r="B108" s="4" t="s">
        <v>85</v>
      </c>
      <c r="C108" s="4" t="n">
        <v>3</v>
      </c>
      <c r="D108" s="4" t="n">
        <v>105</v>
      </c>
      <c r="E108" s="4" t="s">
        <v>233</v>
      </c>
      <c r="F108" s="4" t="n">
        <v>12</v>
      </c>
      <c r="G108" s="4" t="n">
        <v>4</v>
      </c>
      <c r="H108" s="4" t="n">
        <v>1460.31</v>
      </c>
      <c r="I108" s="13" t="b">
        <f aca="false">FALSE()</f>
        <v>0</v>
      </c>
      <c r="K108" s="4" t="s">
        <v>311</v>
      </c>
      <c r="L108" s="4" t="n">
        <v>202.4</v>
      </c>
      <c r="M108" s="11" t="n">
        <f aca="false">IFERROR(MATCH(Controls!$B$3&amp;"|"&amp;B108,'Scenario inputs'!$A$4:$A$213,0),0)</f>
        <v>134</v>
      </c>
      <c r="N108" s="8" t="b">
        <f aca="false">IF(M108=0,FALSE(),F108&lt;Controls!$B$12)</f>
        <v>1</v>
      </c>
      <c r="O108" s="11" t="n">
        <f aca="false">IF(N108,IF(INDEX('Scenario inputs'!$E$4:$E$213,M108)=0,1,INDEX('Scenario inputs'!$F$4:$M$213,M108,MIN(MAX(F108-G108,0),INDEX('Scenario inputs'!$E$4:$E$213,M108)-1)+1)),0)</f>
        <v>1</v>
      </c>
      <c r="P108" s="11" t="n">
        <f aca="false">H108*O108</f>
        <v>1460.31</v>
      </c>
      <c r="Q108" s="11" t="n">
        <f aca="false">IF(M108=0,"",IF(ISNUMBER(INDEX('Scenario inputs'!$N$4:$N$213,M108)),INDEX('Scenario inputs'!$N$4:$N$213,M108),""))</f>
        <v>30.78</v>
      </c>
      <c r="R108" s="0" t="str">
        <f aca="false">IF(NOT(N108),"",IF(OR(E108="cash",E108="revenue"),E108,IF(E108="avoided_cost",IF(AND(I108,LEN(TRIM(J108))&gt;0),"avoided_cost_realised","avoided_cost_beside"),IF(ISNUMBER(Q108),"capacity_converted","capacity_hours"))))</f>
        <v>capacity_converted</v>
      </c>
      <c r="S108" s="11" t="n">
        <f aca="false">IF(OR(R108="",R108="capacity_hours"),0,IF(R108="capacity_converted",P108*Q108,P108))</f>
        <v>44948.3418</v>
      </c>
      <c r="T108" s="11" t="n">
        <f aca="false">IF(OR(R108="cash",R108="revenue",R108="avoided_cost_realised",R108="capacity_converted"),1,0)</f>
        <v>1</v>
      </c>
      <c r="U108" s="11" t="n">
        <f aca="false">IF(AND(N108,R108&lt;&gt;"capacity_hours",LEN(K108)&gt;0),1,0)</f>
        <v>1</v>
      </c>
      <c r="V108" s="11" t="n">
        <f aca="false">IF(U108=1,SUMPRODUCT(($K$4:$K$703=K108)*($F$4:$F$703=F108)*($U$4:$U$703=1)*($B$4:$B$703&lt;&gt;B108)),0)</f>
        <v>0</v>
      </c>
      <c r="W108" s="11" t="n">
        <f aca="false">IF(AND(U108=1,V108&gt;0),1+SUMPRODUCT(($K$4:$K$703=K108)*($F$4:$F$703=F108)*($U$4:$U$703=1)*($S$4:$S$703&gt;S108))+SUMPRODUCT(($K$4:$K$703=K108)*($F$4:$F$703=F108)*($U$4:$U$703=1)*($S$4:$S$703=S108)*($T$4:$T$703&gt;T108))+SUMPRODUCT(($K$4:$K$703=K108)*($F$4:$F$703=F108)*($U$4:$U$703=1)*($S$4:$S$703=S108)*($T$4:$T$703=T108)*($C$4:$C$703&lt;C108))+SUMPRODUCT(($K$4:$K$703=K108)*($F$4:$F$703=F108)*($U$4:$U$703=1)*($S$4:$S$703=S108)*($T$4:$T$703=T108)*($C$4:$C$703=C108)*($D$4:$D$703&lt;D108)),0)</f>
        <v>0</v>
      </c>
      <c r="X108" s="11" t="n">
        <f aca="false">IF(AND(U108=1,V108&gt;0,W108&gt;1),S108,0)</f>
        <v>0</v>
      </c>
      <c r="Y108" s="11" t="n">
        <f aca="false">IF(T108=1,X108/(1+Controls!$B$11)^F108,0)</f>
        <v>0</v>
      </c>
      <c r="Z108" s="11" t="n">
        <f aca="false">IF(AND(N108,E108="capacity",LEN(K108)&gt;0),1,0)</f>
        <v>1</v>
      </c>
      <c r="AA108" s="11" t="n">
        <f aca="false">IF(Z108=1,SUMPRODUCT(($K$4:$K$703=K108)*($F$4:$F$703=F108)*($Z$4:$Z$703=1)*($B$4:$B$703&lt;&gt;B108)),0)</f>
        <v>0</v>
      </c>
      <c r="AB108" s="11" t="n">
        <f aca="false">IF(AND(Z108=1,AA108&gt;0),1+SUMPRODUCT(($K$4:$K$703=K108)*($F$4:$F$703=F108)*($Z$4:$Z$703=1)*($P$4:$P$703&gt;P108))+SUMPRODUCT(($K$4:$K$703=K108)*($F$4:$F$703=F108)*($Z$4:$Z$703=1)*($P$4:$P$703=P108)*($C$4:$C$703&lt;C108))+SUMPRODUCT(($K$4:$K$703=K108)*($F$4:$F$703=F108)*($Z$4:$Z$703=1)*($P$4:$P$703=P108)*($C$4:$C$703=C108)*($D$4:$D$703&lt;D108)),0)</f>
        <v>0</v>
      </c>
      <c r="AC108" s="11" t="n">
        <f aca="false">IF(AND(Z108=1,AA108&gt;0,AB108&gt;1),P108,0)</f>
        <v>0</v>
      </c>
    </row>
    <row r="109" customFormat="false" ht="15" hidden="false" customHeight="false" outlineLevel="0" collapsed="false">
      <c r="A109" s="4" t="s">
        <v>320</v>
      </c>
      <c r="B109" s="4" t="s">
        <v>85</v>
      </c>
      <c r="C109" s="4" t="n">
        <v>3</v>
      </c>
      <c r="D109" s="4" t="n">
        <v>106</v>
      </c>
      <c r="E109" s="4" t="s">
        <v>233</v>
      </c>
      <c r="F109" s="4" t="n">
        <v>13</v>
      </c>
      <c r="G109" s="4" t="n">
        <v>4</v>
      </c>
      <c r="H109" s="4" t="n">
        <v>1460.31</v>
      </c>
      <c r="I109" s="13" t="b">
        <f aca="false">FALSE()</f>
        <v>0</v>
      </c>
      <c r="K109" s="4" t="s">
        <v>311</v>
      </c>
      <c r="L109" s="4" t="n">
        <v>202.4</v>
      </c>
      <c r="M109" s="11" t="n">
        <f aca="false">IFERROR(MATCH(Controls!$B$3&amp;"|"&amp;B109,'Scenario inputs'!$A$4:$A$213,0),0)</f>
        <v>134</v>
      </c>
      <c r="N109" s="8" t="b">
        <f aca="false">IF(M109=0,FALSE(),F109&lt;Controls!$B$12)</f>
        <v>1</v>
      </c>
      <c r="O109" s="11" t="n">
        <f aca="false">IF(N109,IF(INDEX('Scenario inputs'!$E$4:$E$213,M109)=0,1,INDEX('Scenario inputs'!$F$4:$M$213,M109,MIN(MAX(F109-G109,0),INDEX('Scenario inputs'!$E$4:$E$213,M109)-1)+1)),0)</f>
        <v>1</v>
      </c>
      <c r="P109" s="11" t="n">
        <f aca="false">H109*O109</f>
        <v>1460.31</v>
      </c>
      <c r="Q109" s="11" t="n">
        <f aca="false">IF(M109=0,"",IF(ISNUMBER(INDEX('Scenario inputs'!$N$4:$N$213,M109)),INDEX('Scenario inputs'!$N$4:$N$213,M109),""))</f>
        <v>30.78</v>
      </c>
      <c r="R109" s="0" t="str">
        <f aca="false">IF(NOT(N109),"",IF(OR(E109="cash",E109="revenue"),E109,IF(E109="avoided_cost",IF(AND(I109,LEN(TRIM(J109))&gt;0),"avoided_cost_realised","avoided_cost_beside"),IF(ISNUMBER(Q109),"capacity_converted","capacity_hours"))))</f>
        <v>capacity_converted</v>
      </c>
      <c r="S109" s="11" t="n">
        <f aca="false">IF(OR(R109="",R109="capacity_hours"),0,IF(R109="capacity_converted",P109*Q109,P109))</f>
        <v>44948.3418</v>
      </c>
      <c r="T109" s="11" t="n">
        <f aca="false">IF(OR(R109="cash",R109="revenue",R109="avoided_cost_realised",R109="capacity_converted"),1,0)</f>
        <v>1</v>
      </c>
      <c r="U109" s="11" t="n">
        <f aca="false">IF(AND(N109,R109&lt;&gt;"capacity_hours",LEN(K109)&gt;0),1,0)</f>
        <v>1</v>
      </c>
      <c r="V109" s="11" t="n">
        <f aca="false">IF(U109=1,SUMPRODUCT(($K$4:$K$703=K109)*($F$4:$F$703=F109)*($U$4:$U$703=1)*($B$4:$B$703&lt;&gt;B109)),0)</f>
        <v>0</v>
      </c>
      <c r="W109" s="11" t="n">
        <f aca="false">IF(AND(U109=1,V109&gt;0),1+SUMPRODUCT(($K$4:$K$703=K109)*($F$4:$F$703=F109)*($U$4:$U$703=1)*($S$4:$S$703&gt;S109))+SUMPRODUCT(($K$4:$K$703=K109)*($F$4:$F$703=F109)*($U$4:$U$703=1)*($S$4:$S$703=S109)*($T$4:$T$703&gt;T109))+SUMPRODUCT(($K$4:$K$703=K109)*($F$4:$F$703=F109)*($U$4:$U$703=1)*($S$4:$S$703=S109)*($T$4:$T$703=T109)*($C$4:$C$703&lt;C109))+SUMPRODUCT(($K$4:$K$703=K109)*($F$4:$F$703=F109)*($U$4:$U$703=1)*($S$4:$S$703=S109)*($T$4:$T$703=T109)*($C$4:$C$703=C109)*($D$4:$D$703&lt;D109)),0)</f>
        <v>0</v>
      </c>
      <c r="X109" s="11" t="n">
        <f aca="false">IF(AND(U109=1,V109&gt;0,W109&gt;1),S109,0)</f>
        <v>0</v>
      </c>
      <c r="Y109" s="11" t="n">
        <f aca="false">IF(T109=1,X109/(1+Controls!$B$11)^F109,0)</f>
        <v>0</v>
      </c>
      <c r="Z109" s="11" t="n">
        <f aca="false">IF(AND(N109,E109="capacity",LEN(K109)&gt;0),1,0)</f>
        <v>1</v>
      </c>
      <c r="AA109" s="11" t="n">
        <f aca="false">IF(Z109=1,SUMPRODUCT(($K$4:$K$703=K109)*($F$4:$F$703=F109)*($Z$4:$Z$703=1)*($B$4:$B$703&lt;&gt;B109)),0)</f>
        <v>0</v>
      </c>
      <c r="AB109" s="11" t="n">
        <f aca="false">IF(AND(Z109=1,AA109&gt;0),1+SUMPRODUCT(($K$4:$K$703=K109)*($F$4:$F$703=F109)*($Z$4:$Z$703=1)*($P$4:$P$703&gt;P109))+SUMPRODUCT(($K$4:$K$703=K109)*($F$4:$F$703=F109)*($Z$4:$Z$703=1)*($P$4:$P$703=P109)*($C$4:$C$703&lt;C109))+SUMPRODUCT(($K$4:$K$703=K109)*($F$4:$F$703=F109)*($Z$4:$Z$703=1)*($P$4:$P$703=P109)*($C$4:$C$703=C109)*($D$4:$D$703&lt;D109)),0)</f>
        <v>0</v>
      </c>
      <c r="AC109" s="11" t="n">
        <f aca="false">IF(AND(Z109=1,AA109&gt;0,AB109&gt;1),P109,0)</f>
        <v>0</v>
      </c>
    </row>
    <row r="110" customFormat="false" ht="15" hidden="false" customHeight="false" outlineLevel="0" collapsed="false">
      <c r="A110" s="4" t="s">
        <v>321</v>
      </c>
      <c r="B110" s="4" t="s">
        <v>85</v>
      </c>
      <c r="C110" s="4" t="n">
        <v>3</v>
      </c>
      <c r="D110" s="4" t="n">
        <v>107</v>
      </c>
      <c r="E110" s="4" t="s">
        <v>233</v>
      </c>
      <c r="F110" s="4" t="n">
        <v>14</v>
      </c>
      <c r="G110" s="4" t="n">
        <v>4</v>
      </c>
      <c r="H110" s="4" t="n">
        <v>1460.31</v>
      </c>
      <c r="I110" s="13" t="b">
        <f aca="false">FALSE()</f>
        <v>0</v>
      </c>
      <c r="K110" s="4" t="s">
        <v>311</v>
      </c>
      <c r="L110" s="4" t="n">
        <v>202.4</v>
      </c>
      <c r="M110" s="11" t="n">
        <f aca="false">IFERROR(MATCH(Controls!$B$3&amp;"|"&amp;B110,'Scenario inputs'!$A$4:$A$213,0),0)</f>
        <v>134</v>
      </c>
      <c r="N110" s="8" t="b">
        <f aca="false">IF(M110=0,FALSE(),F110&lt;Controls!$B$12)</f>
        <v>1</v>
      </c>
      <c r="O110" s="11" t="n">
        <f aca="false">IF(N110,IF(INDEX('Scenario inputs'!$E$4:$E$213,M110)=0,1,INDEX('Scenario inputs'!$F$4:$M$213,M110,MIN(MAX(F110-G110,0),INDEX('Scenario inputs'!$E$4:$E$213,M110)-1)+1)),0)</f>
        <v>1</v>
      </c>
      <c r="P110" s="11" t="n">
        <f aca="false">H110*O110</f>
        <v>1460.31</v>
      </c>
      <c r="Q110" s="11" t="n">
        <f aca="false">IF(M110=0,"",IF(ISNUMBER(INDEX('Scenario inputs'!$N$4:$N$213,M110)),INDEX('Scenario inputs'!$N$4:$N$213,M110),""))</f>
        <v>30.78</v>
      </c>
      <c r="R110" s="0" t="str">
        <f aca="false">IF(NOT(N110),"",IF(OR(E110="cash",E110="revenue"),E110,IF(E110="avoided_cost",IF(AND(I110,LEN(TRIM(J110))&gt;0),"avoided_cost_realised","avoided_cost_beside"),IF(ISNUMBER(Q110),"capacity_converted","capacity_hours"))))</f>
        <v>capacity_converted</v>
      </c>
      <c r="S110" s="11" t="n">
        <f aca="false">IF(OR(R110="",R110="capacity_hours"),0,IF(R110="capacity_converted",P110*Q110,P110))</f>
        <v>44948.3418</v>
      </c>
      <c r="T110" s="11" t="n">
        <f aca="false">IF(OR(R110="cash",R110="revenue",R110="avoided_cost_realised",R110="capacity_converted"),1,0)</f>
        <v>1</v>
      </c>
      <c r="U110" s="11" t="n">
        <f aca="false">IF(AND(N110,R110&lt;&gt;"capacity_hours",LEN(K110)&gt;0),1,0)</f>
        <v>1</v>
      </c>
      <c r="V110" s="11" t="n">
        <f aca="false">IF(U110=1,SUMPRODUCT(($K$4:$K$703=K110)*($F$4:$F$703=F110)*($U$4:$U$703=1)*($B$4:$B$703&lt;&gt;B110)),0)</f>
        <v>0</v>
      </c>
      <c r="W110" s="11" t="n">
        <f aca="false">IF(AND(U110=1,V110&gt;0),1+SUMPRODUCT(($K$4:$K$703=K110)*($F$4:$F$703=F110)*($U$4:$U$703=1)*($S$4:$S$703&gt;S110))+SUMPRODUCT(($K$4:$K$703=K110)*($F$4:$F$703=F110)*($U$4:$U$703=1)*($S$4:$S$703=S110)*($T$4:$T$703&gt;T110))+SUMPRODUCT(($K$4:$K$703=K110)*($F$4:$F$703=F110)*($U$4:$U$703=1)*($S$4:$S$703=S110)*($T$4:$T$703=T110)*($C$4:$C$703&lt;C110))+SUMPRODUCT(($K$4:$K$703=K110)*($F$4:$F$703=F110)*($U$4:$U$703=1)*($S$4:$S$703=S110)*($T$4:$T$703=T110)*($C$4:$C$703=C110)*($D$4:$D$703&lt;D110)),0)</f>
        <v>0</v>
      </c>
      <c r="X110" s="11" t="n">
        <f aca="false">IF(AND(U110=1,V110&gt;0,W110&gt;1),S110,0)</f>
        <v>0</v>
      </c>
      <c r="Y110" s="11" t="n">
        <f aca="false">IF(T110=1,X110/(1+Controls!$B$11)^F110,0)</f>
        <v>0</v>
      </c>
      <c r="Z110" s="11" t="n">
        <f aca="false">IF(AND(N110,E110="capacity",LEN(K110)&gt;0),1,0)</f>
        <v>1</v>
      </c>
      <c r="AA110" s="11" t="n">
        <f aca="false">IF(Z110=1,SUMPRODUCT(($K$4:$K$703=K110)*($F$4:$F$703=F110)*($Z$4:$Z$703=1)*($B$4:$B$703&lt;&gt;B110)),0)</f>
        <v>0</v>
      </c>
      <c r="AB110" s="11" t="n">
        <f aca="false">IF(AND(Z110=1,AA110&gt;0),1+SUMPRODUCT(($K$4:$K$703=K110)*($F$4:$F$703=F110)*($Z$4:$Z$703=1)*($P$4:$P$703&gt;P110))+SUMPRODUCT(($K$4:$K$703=K110)*($F$4:$F$703=F110)*($Z$4:$Z$703=1)*($P$4:$P$703=P110)*($C$4:$C$703&lt;C110))+SUMPRODUCT(($K$4:$K$703=K110)*($F$4:$F$703=F110)*($Z$4:$Z$703=1)*($P$4:$P$703=P110)*($C$4:$C$703=C110)*($D$4:$D$703&lt;D110)),0)</f>
        <v>0</v>
      </c>
      <c r="AC110" s="11" t="n">
        <f aca="false">IF(AND(Z110=1,AA110&gt;0,AB110&gt;1),P110,0)</f>
        <v>0</v>
      </c>
    </row>
    <row r="111" customFormat="false" ht="15" hidden="false" customHeight="false" outlineLevel="0" collapsed="false">
      <c r="A111" s="4" t="s">
        <v>322</v>
      </c>
      <c r="B111" s="4" t="s">
        <v>85</v>
      </c>
      <c r="C111" s="4" t="n">
        <v>3</v>
      </c>
      <c r="D111" s="4" t="n">
        <v>108</v>
      </c>
      <c r="E111" s="4" t="s">
        <v>233</v>
      </c>
      <c r="F111" s="4" t="n">
        <v>15</v>
      </c>
      <c r="G111" s="4" t="n">
        <v>4</v>
      </c>
      <c r="H111" s="4" t="n">
        <v>1460.31</v>
      </c>
      <c r="I111" s="13" t="b">
        <f aca="false">FALSE()</f>
        <v>0</v>
      </c>
      <c r="K111" s="4" t="s">
        <v>311</v>
      </c>
      <c r="L111" s="4" t="n">
        <v>202.4</v>
      </c>
      <c r="M111" s="11" t="n">
        <f aca="false">IFERROR(MATCH(Controls!$B$3&amp;"|"&amp;B111,'Scenario inputs'!$A$4:$A$213,0),0)</f>
        <v>134</v>
      </c>
      <c r="N111" s="8" t="b">
        <f aca="false">IF(M111=0,FALSE(),F111&lt;Controls!$B$12)</f>
        <v>1</v>
      </c>
      <c r="O111" s="11" t="n">
        <f aca="false">IF(N111,IF(INDEX('Scenario inputs'!$E$4:$E$213,M111)=0,1,INDEX('Scenario inputs'!$F$4:$M$213,M111,MIN(MAX(F111-G111,0),INDEX('Scenario inputs'!$E$4:$E$213,M111)-1)+1)),0)</f>
        <v>1</v>
      </c>
      <c r="P111" s="11" t="n">
        <f aca="false">H111*O111</f>
        <v>1460.31</v>
      </c>
      <c r="Q111" s="11" t="n">
        <f aca="false">IF(M111=0,"",IF(ISNUMBER(INDEX('Scenario inputs'!$N$4:$N$213,M111)),INDEX('Scenario inputs'!$N$4:$N$213,M111),""))</f>
        <v>30.78</v>
      </c>
      <c r="R111" s="0" t="str">
        <f aca="false">IF(NOT(N111),"",IF(OR(E111="cash",E111="revenue"),E111,IF(E111="avoided_cost",IF(AND(I111,LEN(TRIM(J111))&gt;0),"avoided_cost_realised","avoided_cost_beside"),IF(ISNUMBER(Q111),"capacity_converted","capacity_hours"))))</f>
        <v>capacity_converted</v>
      </c>
      <c r="S111" s="11" t="n">
        <f aca="false">IF(OR(R111="",R111="capacity_hours"),0,IF(R111="capacity_converted",P111*Q111,P111))</f>
        <v>44948.3418</v>
      </c>
      <c r="T111" s="11" t="n">
        <f aca="false">IF(OR(R111="cash",R111="revenue",R111="avoided_cost_realised",R111="capacity_converted"),1,0)</f>
        <v>1</v>
      </c>
      <c r="U111" s="11" t="n">
        <f aca="false">IF(AND(N111,R111&lt;&gt;"capacity_hours",LEN(K111)&gt;0),1,0)</f>
        <v>1</v>
      </c>
      <c r="V111" s="11" t="n">
        <f aca="false">IF(U111=1,SUMPRODUCT(($K$4:$K$703=K111)*($F$4:$F$703=F111)*($U$4:$U$703=1)*($B$4:$B$703&lt;&gt;B111)),0)</f>
        <v>0</v>
      </c>
      <c r="W111" s="11" t="n">
        <f aca="false">IF(AND(U111=1,V111&gt;0),1+SUMPRODUCT(($K$4:$K$703=K111)*($F$4:$F$703=F111)*($U$4:$U$703=1)*($S$4:$S$703&gt;S111))+SUMPRODUCT(($K$4:$K$703=K111)*($F$4:$F$703=F111)*($U$4:$U$703=1)*($S$4:$S$703=S111)*($T$4:$T$703&gt;T111))+SUMPRODUCT(($K$4:$K$703=K111)*($F$4:$F$703=F111)*($U$4:$U$703=1)*($S$4:$S$703=S111)*($T$4:$T$703=T111)*($C$4:$C$703&lt;C111))+SUMPRODUCT(($K$4:$K$703=K111)*($F$4:$F$703=F111)*($U$4:$U$703=1)*($S$4:$S$703=S111)*($T$4:$T$703=T111)*($C$4:$C$703=C111)*($D$4:$D$703&lt;D111)),0)</f>
        <v>0</v>
      </c>
      <c r="X111" s="11" t="n">
        <f aca="false">IF(AND(U111=1,V111&gt;0,W111&gt;1),S111,0)</f>
        <v>0</v>
      </c>
      <c r="Y111" s="11" t="n">
        <f aca="false">IF(T111=1,X111/(1+Controls!$B$11)^F111,0)</f>
        <v>0</v>
      </c>
      <c r="Z111" s="11" t="n">
        <f aca="false">IF(AND(N111,E111="capacity",LEN(K111)&gt;0),1,0)</f>
        <v>1</v>
      </c>
      <c r="AA111" s="11" t="n">
        <f aca="false">IF(Z111=1,SUMPRODUCT(($K$4:$K$703=K111)*($F$4:$F$703=F111)*($Z$4:$Z$703=1)*($B$4:$B$703&lt;&gt;B111)),0)</f>
        <v>0</v>
      </c>
      <c r="AB111" s="11" t="n">
        <f aca="false">IF(AND(Z111=1,AA111&gt;0),1+SUMPRODUCT(($K$4:$K$703=K111)*($F$4:$F$703=F111)*($Z$4:$Z$703=1)*($P$4:$P$703&gt;P111))+SUMPRODUCT(($K$4:$K$703=K111)*($F$4:$F$703=F111)*($Z$4:$Z$703=1)*($P$4:$P$703=P111)*($C$4:$C$703&lt;C111))+SUMPRODUCT(($K$4:$K$703=K111)*($F$4:$F$703=F111)*($Z$4:$Z$703=1)*($P$4:$P$703=P111)*($C$4:$C$703=C111)*($D$4:$D$703&lt;D111)),0)</f>
        <v>0</v>
      </c>
      <c r="AC111" s="11" t="n">
        <f aca="false">IF(AND(Z111=1,AA111&gt;0,AB111&gt;1),P111,0)</f>
        <v>0</v>
      </c>
    </row>
    <row r="112" customFormat="false" ht="15" hidden="false" customHeight="false" outlineLevel="0" collapsed="false">
      <c r="A112" s="4" t="s">
        <v>323</v>
      </c>
      <c r="B112" s="4" t="s">
        <v>86</v>
      </c>
      <c r="C112" s="4" t="n">
        <v>4</v>
      </c>
      <c r="D112" s="4" t="n">
        <v>109</v>
      </c>
      <c r="E112" s="4" t="s">
        <v>205</v>
      </c>
      <c r="F112" s="4" t="n">
        <v>4</v>
      </c>
      <c r="G112" s="4" t="n">
        <v>4</v>
      </c>
      <c r="H112" s="4" t="n">
        <v>112800</v>
      </c>
      <c r="I112" s="13" t="b">
        <f aca="false">TRUE()</f>
        <v>1</v>
      </c>
      <c r="J112" s="4" t="s">
        <v>324</v>
      </c>
      <c r="K112" s="4" t="s">
        <v>325</v>
      </c>
      <c r="L112" s="4" t="n">
        <v>493.06</v>
      </c>
      <c r="M112" s="11" t="n">
        <f aca="false">IFERROR(MATCH(Controls!$B$3&amp;"|"&amp;B112,'Scenario inputs'!$A$4:$A$213,0),0)</f>
        <v>135</v>
      </c>
      <c r="N112" s="8" t="b">
        <f aca="false">IF(M112=0,FALSE(),F112&lt;Controls!$B$12)</f>
        <v>1</v>
      </c>
      <c r="O112" s="11" t="n">
        <f aca="false">IF(N112,IF(INDEX('Scenario inputs'!$E$4:$E$213,M112)=0,1,INDEX('Scenario inputs'!$F$4:$M$213,M112,MIN(MAX(F112-G112,0),INDEX('Scenario inputs'!$E$4:$E$213,M112)-1)+1)),0)</f>
        <v>0.027778</v>
      </c>
      <c r="P112" s="11" t="n">
        <f aca="false">H112*O112</f>
        <v>3133.3584</v>
      </c>
      <c r="Q112" s="11" t="n">
        <f aca="false">IF(M112=0,"",IF(ISNUMBER(INDEX('Scenario inputs'!$N$4:$N$213,M112)),INDEX('Scenario inputs'!$N$4:$N$213,M112),""))</f>
        <v>45.12</v>
      </c>
      <c r="R112" s="0" t="str">
        <f aca="false">IF(NOT(N112),"",IF(OR(E112="cash",E112="revenue"),E112,IF(E112="avoided_cost",IF(AND(I112,LEN(TRIM(J112))&gt;0),"avoided_cost_realised","avoided_cost_beside"),IF(ISNUMBER(Q112),"capacity_converted","capacity_hours"))))</f>
        <v>avoided_cost_realised</v>
      </c>
      <c r="S112" s="11" t="n">
        <f aca="false">IF(OR(R112="",R112="capacity_hours"),0,IF(R112="capacity_converted",P112*Q112,P112))</f>
        <v>3133.3584</v>
      </c>
      <c r="T112" s="11" t="n">
        <f aca="false">IF(OR(R112="cash",R112="revenue",R112="avoided_cost_realised",R112="capacity_converted"),1,0)</f>
        <v>1</v>
      </c>
      <c r="U112" s="11" t="n">
        <f aca="false">IF(AND(N112,R112&lt;&gt;"capacity_hours",LEN(K112)&gt;0),1,0)</f>
        <v>1</v>
      </c>
      <c r="V112" s="11" t="n">
        <f aca="false">IF(U112=1,SUMPRODUCT(($K$4:$K$703=K112)*($F$4:$F$703=F112)*($U$4:$U$703=1)*($B$4:$B$703&lt;&gt;B112)),0)</f>
        <v>0</v>
      </c>
      <c r="W112" s="11" t="n">
        <f aca="false">IF(AND(U112=1,V112&gt;0),1+SUMPRODUCT(($K$4:$K$703=K112)*($F$4:$F$703=F112)*($U$4:$U$703=1)*($S$4:$S$703&gt;S112))+SUMPRODUCT(($K$4:$K$703=K112)*($F$4:$F$703=F112)*($U$4:$U$703=1)*($S$4:$S$703=S112)*($T$4:$T$703&gt;T112))+SUMPRODUCT(($K$4:$K$703=K112)*($F$4:$F$703=F112)*($U$4:$U$703=1)*($S$4:$S$703=S112)*($T$4:$T$703=T112)*($C$4:$C$703&lt;C112))+SUMPRODUCT(($K$4:$K$703=K112)*($F$4:$F$703=F112)*($U$4:$U$703=1)*($S$4:$S$703=S112)*($T$4:$T$703=T112)*($C$4:$C$703=C112)*($D$4:$D$703&lt;D112)),0)</f>
        <v>0</v>
      </c>
      <c r="X112" s="11" t="n">
        <f aca="false">IF(AND(U112=1,V112&gt;0,W112&gt;1),S112,0)</f>
        <v>0</v>
      </c>
      <c r="Y112" s="11" t="n">
        <f aca="false">IF(T112=1,X112/(1+Controls!$B$11)^F112,0)</f>
        <v>0</v>
      </c>
      <c r="Z112" s="11" t="n">
        <f aca="false">IF(AND(N112,E112="capacity",LEN(K112)&gt;0),1,0)</f>
        <v>0</v>
      </c>
      <c r="AA112" s="11" t="n">
        <f aca="false">IF(Z112=1,SUMPRODUCT(($K$4:$K$703=K112)*($F$4:$F$703=F112)*($Z$4:$Z$703=1)*($B$4:$B$703&lt;&gt;B112)),0)</f>
        <v>0</v>
      </c>
      <c r="AB112" s="11" t="n">
        <f aca="false">IF(AND(Z112=1,AA112&gt;0),1+SUMPRODUCT(($K$4:$K$703=K112)*($F$4:$F$703=F112)*($Z$4:$Z$703=1)*($P$4:$P$703&gt;P112))+SUMPRODUCT(($K$4:$K$703=K112)*($F$4:$F$703=F112)*($Z$4:$Z$703=1)*($P$4:$P$703=P112)*($C$4:$C$703&lt;C112))+SUMPRODUCT(($K$4:$K$703=K112)*($F$4:$F$703=F112)*($Z$4:$Z$703=1)*($P$4:$P$703=P112)*($C$4:$C$703=C112)*($D$4:$D$703&lt;D112)),0)</f>
        <v>0</v>
      </c>
      <c r="AC112" s="11" t="n">
        <f aca="false">IF(AND(Z112=1,AA112&gt;0,AB112&gt;1),P112,0)</f>
        <v>0</v>
      </c>
    </row>
    <row r="113" customFormat="false" ht="15" hidden="false" customHeight="false" outlineLevel="0" collapsed="false">
      <c r="A113" s="4" t="s">
        <v>326</v>
      </c>
      <c r="B113" s="4" t="s">
        <v>86</v>
      </c>
      <c r="C113" s="4" t="n">
        <v>4</v>
      </c>
      <c r="D113" s="4" t="n">
        <v>110</v>
      </c>
      <c r="E113" s="4" t="s">
        <v>205</v>
      </c>
      <c r="F113" s="4" t="n">
        <v>5</v>
      </c>
      <c r="G113" s="4" t="n">
        <v>4</v>
      </c>
      <c r="H113" s="4" t="n">
        <v>112800</v>
      </c>
      <c r="I113" s="13" t="b">
        <f aca="false">TRUE()</f>
        <v>1</v>
      </c>
      <c r="J113" s="4" t="s">
        <v>324</v>
      </c>
      <c r="K113" s="4" t="s">
        <v>325</v>
      </c>
      <c r="L113" s="4" t="n">
        <v>1479.16</v>
      </c>
      <c r="M113" s="11" t="n">
        <f aca="false">IFERROR(MATCH(Controls!$B$3&amp;"|"&amp;B113,'Scenario inputs'!$A$4:$A$213,0),0)</f>
        <v>135</v>
      </c>
      <c r="N113" s="8" t="b">
        <f aca="false">IF(M113=0,FALSE(),F113&lt;Controls!$B$12)</f>
        <v>1</v>
      </c>
      <c r="O113" s="11" t="n">
        <f aca="false">IF(N113,IF(INDEX('Scenario inputs'!$E$4:$E$213,M113)=0,1,INDEX('Scenario inputs'!$F$4:$M$213,M113,MIN(MAX(F113-G113,0),INDEX('Scenario inputs'!$E$4:$E$213,M113)-1)+1)),0)</f>
        <v>0.083333</v>
      </c>
      <c r="P113" s="11" t="n">
        <f aca="false">H113*O113</f>
        <v>9399.9624</v>
      </c>
      <c r="Q113" s="11" t="n">
        <f aca="false">IF(M113=0,"",IF(ISNUMBER(INDEX('Scenario inputs'!$N$4:$N$213,M113)),INDEX('Scenario inputs'!$N$4:$N$213,M113),""))</f>
        <v>45.12</v>
      </c>
      <c r="R113" s="0" t="str">
        <f aca="false">IF(NOT(N113),"",IF(OR(E113="cash",E113="revenue"),E113,IF(E113="avoided_cost",IF(AND(I113,LEN(TRIM(J113))&gt;0),"avoided_cost_realised","avoided_cost_beside"),IF(ISNUMBER(Q113),"capacity_converted","capacity_hours"))))</f>
        <v>avoided_cost_realised</v>
      </c>
      <c r="S113" s="11" t="n">
        <f aca="false">IF(OR(R113="",R113="capacity_hours"),0,IF(R113="capacity_converted",P113*Q113,P113))</f>
        <v>9399.9624</v>
      </c>
      <c r="T113" s="11" t="n">
        <f aca="false">IF(OR(R113="cash",R113="revenue",R113="avoided_cost_realised",R113="capacity_converted"),1,0)</f>
        <v>1</v>
      </c>
      <c r="U113" s="11" t="n">
        <f aca="false">IF(AND(N113,R113&lt;&gt;"capacity_hours",LEN(K113)&gt;0),1,0)</f>
        <v>1</v>
      </c>
      <c r="V113" s="11" t="n">
        <f aca="false">IF(U113=1,SUMPRODUCT(($K$4:$K$703=K113)*($F$4:$F$703=F113)*($U$4:$U$703=1)*($B$4:$B$703&lt;&gt;B113)),0)</f>
        <v>0</v>
      </c>
      <c r="W113" s="11" t="n">
        <f aca="false">IF(AND(U113=1,V113&gt;0),1+SUMPRODUCT(($K$4:$K$703=K113)*($F$4:$F$703=F113)*($U$4:$U$703=1)*($S$4:$S$703&gt;S113))+SUMPRODUCT(($K$4:$K$703=K113)*($F$4:$F$703=F113)*($U$4:$U$703=1)*($S$4:$S$703=S113)*($T$4:$T$703&gt;T113))+SUMPRODUCT(($K$4:$K$703=K113)*($F$4:$F$703=F113)*($U$4:$U$703=1)*($S$4:$S$703=S113)*($T$4:$T$703=T113)*($C$4:$C$703&lt;C113))+SUMPRODUCT(($K$4:$K$703=K113)*($F$4:$F$703=F113)*($U$4:$U$703=1)*($S$4:$S$703=S113)*($T$4:$T$703=T113)*($C$4:$C$703=C113)*($D$4:$D$703&lt;D113)),0)</f>
        <v>0</v>
      </c>
      <c r="X113" s="11" t="n">
        <f aca="false">IF(AND(U113=1,V113&gt;0,W113&gt;1),S113,0)</f>
        <v>0</v>
      </c>
      <c r="Y113" s="11" t="n">
        <f aca="false">IF(T113=1,X113/(1+Controls!$B$11)^F113,0)</f>
        <v>0</v>
      </c>
      <c r="Z113" s="11" t="n">
        <f aca="false">IF(AND(N113,E113="capacity",LEN(K113)&gt;0),1,0)</f>
        <v>0</v>
      </c>
      <c r="AA113" s="11" t="n">
        <f aca="false">IF(Z113=1,SUMPRODUCT(($K$4:$K$703=K113)*($F$4:$F$703=F113)*($Z$4:$Z$703=1)*($B$4:$B$703&lt;&gt;B113)),0)</f>
        <v>0</v>
      </c>
      <c r="AB113" s="11" t="n">
        <f aca="false">IF(AND(Z113=1,AA113&gt;0),1+SUMPRODUCT(($K$4:$K$703=K113)*($F$4:$F$703=F113)*($Z$4:$Z$703=1)*($P$4:$P$703&gt;P113))+SUMPRODUCT(($K$4:$K$703=K113)*($F$4:$F$703=F113)*($Z$4:$Z$703=1)*($P$4:$P$703=P113)*($C$4:$C$703&lt;C113))+SUMPRODUCT(($K$4:$K$703=K113)*($F$4:$F$703=F113)*($Z$4:$Z$703=1)*($P$4:$P$703=P113)*($C$4:$C$703=C113)*($D$4:$D$703&lt;D113)),0)</f>
        <v>0</v>
      </c>
      <c r="AC113" s="11" t="n">
        <f aca="false">IF(AND(Z113=1,AA113&gt;0,AB113&gt;1),P113,0)</f>
        <v>0</v>
      </c>
    </row>
    <row r="114" customFormat="false" ht="15" hidden="false" customHeight="false" outlineLevel="0" collapsed="false">
      <c r="A114" s="4" t="s">
        <v>327</v>
      </c>
      <c r="B114" s="4" t="s">
        <v>86</v>
      </c>
      <c r="C114" s="4" t="n">
        <v>4</v>
      </c>
      <c r="D114" s="4" t="n">
        <v>111</v>
      </c>
      <c r="E114" s="4" t="s">
        <v>205</v>
      </c>
      <c r="F114" s="4" t="n">
        <v>6</v>
      </c>
      <c r="G114" s="4" t="n">
        <v>4</v>
      </c>
      <c r="H114" s="4" t="n">
        <v>112800</v>
      </c>
      <c r="I114" s="13" t="b">
        <f aca="false">TRUE()</f>
        <v>1</v>
      </c>
      <c r="J114" s="4" t="s">
        <v>324</v>
      </c>
      <c r="K114" s="4" t="s">
        <v>325</v>
      </c>
      <c r="L114" s="4" t="n">
        <v>3141.33</v>
      </c>
      <c r="M114" s="11" t="n">
        <f aca="false">IFERROR(MATCH(Controls!$B$3&amp;"|"&amp;B114,'Scenario inputs'!$A$4:$A$213,0),0)</f>
        <v>135</v>
      </c>
      <c r="N114" s="8" t="b">
        <f aca="false">IF(M114=0,FALSE(),F114&lt;Controls!$B$12)</f>
        <v>1</v>
      </c>
      <c r="O114" s="11" t="n">
        <f aca="false">IF(N114,IF(INDEX('Scenario inputs'!$E$4:$E$213,M114)=0,1,INDEX('Scenario inputs'!$F$4:$M$213,M114,MIN(MAX(F114-G114,0),INDEX('Scenario inputs'!$E$4:$E$213,M114)-1)+1)),0)</f>
        <v>0.166667</v>
      </c>
      <c r="P114" s="11" t="n">
        <f aca="false">H114*O114</f>
        <v>18800.0376</v>
      </c>
      <c r="Q114" s="11" t="n">
        <f aca="false">IF(M114=0,"",IF(ISNUMBER(INDEX('Scenario inputs'!$N$4:$N$213,M114)),INDEX('Scenario inputs'!$N$4:$N$213,M114),""))</f>
        <v>45.12</v>
      </c>
      <c r="R114" s="0" t="str">
        <f aca="false">IF(NOT(N114),"",IF(OR(E114="cash",E114="revenue"),E114,IF(E114="avoided_cost",IF(AND(I114,LEN(TRIM(J114))&gt;0),"avoided_cost_realised","avoided_cost_beside"),IF(ISNUMBER(Q114),"capacity_converted","capacity_hours"))))</f>
        <v>avoided_cost_realised</v>
      </c>
      <c r="S114" s="11" t="n">
        <f aca="false">IF(OR(R114="",R114="capacity_hours"),0,IF(R114="capacity_converted",P114*Q114,P114))</f>
        <v>18800.0376</v>
      </c>
      <c r="T114" s="11" t="n">
        <f aca="false">IF(OR(R114="cash",R114="revenue",R114="avoided_cost_realised",R114="capacity_converted"),1,0)</f>
        <v>1</v>
      </c>
      <c r="U114" s="11" t="n">
        <f aca="false">IF(AND(N114,R114&lt;&gt;"capacity_hours",LEN(K114)&gt;0),1,0)</f>
        <v>1</v>
      </c>
      <c r="V114" s="11" t="n">
        <f aca="false">IF(U114=1,SUMPRODUCT(($K$4:$K$703=K114)*($F$4:$F$703=F114)*($U$4:$U$703=1)*($B$4:$B$703&lt;&gt;B114)),0)</f>
        <v>0</v>
      </c>
      <c r="W114" s="11" t="n">
        <f aca="false">IF(AND(U114=1,V114&gt;0),1+SUMPRODUCT(($K$4:$K$703=K114)*($F$4:$F$703=F114)*($U$4:$U$703=1)*($S$4:$S$703&gt;S114))+SUMPRODUCT(($K$4:$K$703=K114)*($F$4:$F$703=F114)*($U$4:$U$703=1)*($S$4:$S$703=S114)*($T$4:$T$703&gt;T114))+SUMPRODUCT(($K$4:$K$703=K114)*($F$4:$F$703=F114)*($U$4:$U$703=1)*($S$4:$S$703=S114)*($T$4:$T$703=T114)*($C$4:$C$703&lt;C114))+SUMPRODUCT(($K$4:$K$703=K114)*($F$4:$F$703=F114)*($U$4:$U$703=1)*($S$4:$S$703=S114)*($T$4:$T$703=T114)*($C$4:$C$703=C114)*($D$4:$D$703&lt;D114)),0)</f>
        <v>0</v>
      </c>
      <c r="X114" s="11" t="n">
        <f aca="false">IF(AND(U114=1,V114&gt;0,W114&gt;1),S114,0)</f>
        <v>0</v>
      </c>
      <c r="Y114" s="11" t="n">
        <f aca="false">IF(T114=1,X114/(1+Controls!$B$11)^F114,0)</f>
        <v>0</v>
      </c>
      <c r="Z114" s="11" t="n">
        <f aca="false">IF(AND(N114,E114="capacity",LEN(K114)&gt;0),1,0)</f>
        <v>0</v>
      </c>
      <c r="AA114" s="11" t="n">
        <f aca="false">IF(Z114=1,SUMPRODUCT(($K$4:$K$703=K114)*($F$4:$F$703=F114)*($Z$4:$Z$703=1)*($B$4:$B$703&lt;&gt;B114)),0)</f>
        <v>0</v>
      </c>
      <c r="AB114" s="11" t="n">
        <f aca="false">IF(AND(Z114=1,AA114&gt;0),1+SUMPRODUCT(($K$4:$K$703=K114)*($F$4:$F$703=F114)*($Z$4:$Z$703=1)*($P$4:$P$703&gt;P114))+SUMPRODUCT(($K$4:$K$703=K114)*($F$4:$F$703=F114)*($Z$4:$Z$703=1)*($P$4:$P$703=P114)*($C$4:$C$703&lt;C114))+SUMPRODUCT(($K$4:$K$703=K114)*($F$4:$F$703=F114)*($Z$4:$Z$703=1)*($P$4:$P$703=P114)*($C$4:$C$703=C114)*($D$4:$D$703&lt;D114)),0)</f>
        <v>0</v>
      </c>
      <c r="AC114" s="11" t="n">
        <f aca="false">IF(AND(Z114=1,AA114&gt;0,AB114&gt;1),P114,0)</f>
        <v>0</v>
      </c>
    </row>
    <row r="115" customFormat="false" ht="15" hidden="false" customHeight="false" outlineLevel="0" collapsed="false">
      <c r="A115" s="4" t="s">
        <v>328</v>
      </c>
      <c r="B115" s="4" t="s">
        <v>86</v>
      </c>
      <c r="C115" s="4" t="n">
        <v>4</v>
      </c>
      <c r="D115" s="4" t="n">
        <v>112</v>
      </c>
      <c r="E115" s="4" t="s">
        <v>205</v>
      </c>
      <c r="F115" s="4" t="n">
        <v>7</v>
      </c>
      <c r="G115" s="4" t="n">
        <v>4</v>
      </c>
      <c r="H115" s="4" t="n">
        <v>112800</v>
      </c>
      <c r="I115" s="13" t="b">
        <f aca="false">TRUE()</f>
        <v>1</v>
      </c>
      <c r="J115" s="4" t="s">
        <v>324</v>
      </c>
      <c r="K115" s="4" t="s">
        <v>325</v>
      </c>
      <c r="L115" s="4" t="n">
        <v>5184.72</v>
      </c>
      <c r="M115" s="11" t="n">
        <f aca="false">IFERROR(MATCH(Controls!$B$3&amp;"|"&amp;B115,'Scenario inputs'!$A$4:$A$213,0),0)</f>
        <v>135</v>
      </c>
      <c r="N115" s="8" t="b">
        <f aca="false">IF(M115=0,FALSE(),F115&lt;Controls!$B$12)</f>
        <v>1</v>
      </c>
      <c r="O115" s="11" t="n">
        <f aca="false">IF(N115,IF(INDEX('Scenario inputs'!$E$4:$E$213,M115)=0,1,INDEX('Scenario inputs'!$F$4:$M$213,M115,MIN(MAX(F115-G115,0),INDEX('Scenario inputs'!$E$4:$E$213,M115)-1)+1)),0)</f>
        <v>0.277778</v>
      </c>
      <c r="P115" s="11" t="n">
        <f aca="false">H115*O115</f>
        <v>31333.3584</v>
      </c>
      <c r="Q115" s="11" t="n">
        <f aca="false">IF(M115=0,"",IF(ISNUMBER(INDEX('Scenario inputs'!$N$4:$N$213,M115)),INDEX('Scenario inputs'!$N$4:$N$213,M115),""))</f>
        <v>45.12</v>
      </c>
      <c r="R115" s="0" t="str">
        <f aca="false">IF(NOT(N115),"",IF(OR(E115="cash",E115="revenue"),E115,IF(E115="avoided_cost",IF(AND(I115,LEN(TRIM(J115))&gt;0),"avoided_cost_realised","avoided_cost_beside"),IF(ISNUMBER(Q115),"capacity_converted","capacity_hours"))))</f>
        <v>avoided_cost_realised</v>
      </c>
      <c r="S115" s="11" t="n">
        <f aca="false">IF(OR(R115="",R115="capacity_hours"),0,IF(R115="capacity_converted",P115*Q115,P115))</f>
        <v>31333.3584</v>
      </c>
      <c r="T115" s="11" t="n">
        <f aca="false">IF(OR(R115="cash",R115="revenue",R115="avoided_cost_realised",R115="capacity_converted"),1,0)</f>
        <v>1</v>
      </c>
      <c r="U115" s="11" t="n">
        <f aca="false">IF(AND(N115,R115&lt;&gt;"capacity_hours",LEN(K115)&gt;0),1,0)</f>
        <v>1</v>
      </c>
      <c r="V115" s="11" t="n">
        <f aca="false">IF(U115=1,SUMPRODUCT(($K$4:$K$703=K115)*($F$4:$F$703=F115)*($U$4:$U$703=1)*($B$4:$B$703&lt;&gt;B115)),0)</f>
        <v>0</v>
      </c>
      <c r="W115" s="11" t="n">
        <f aca="false">IF(AND(U115=1,V115&gt;0),1+SUMPRODUCT(($K$4:$K$703=K115)*($F$4:$F$703=F115)*($U$4:$U$703=1)*($S$4:$S$703&gt;S115))+SUMPRODUCT(($K$4:$K$703=K115)*($F$4:$F$703=F115)*($U$4:$U$703=1)*($S$4:$S$703=S115)*($T$4:$T$703&gt;T115))+SUMPRODUCT(($K$4:$K$703=K115)*($F$4:$F$703=F115)*($U$4:$U$703=1)*($S$4:$S$703=S115)*($T$4:$T$703=T115)*($C$4:$C$703&lt;C115))+SUMPRODUCT(($K$4:$K$703=K115)*($F$4:$F$703=F115)*($U$4:$U$703=1)*($S$4:$S$703=S115)*($T$4:$T$703=T115)*($C$4:$C$703=C115)*($D$4:$D$703&lt;D115)),0)</f>
        <v>0</v>
      </c>
      <c r="X115" s="11" t="n">
        <f aca="false">IF(AND(U115=1,V115&gt;0,W115&gt;1),S115,0)</f>
        <v>0</v>
      </c>
      <c r="Y115" s="11" t="n">
        <f aca="false">IF(T115=1,X115/(1+Controls!$B$11)^F115,0)</f>
        <v>0</v>
      </c>
      <c r="Z115" s="11" t="n">
        <f aca="false">IF(AND(N115,E115="capacity",LEN(K115)&gt;0),1,0)</f>
        <v>0</v>
      </c>
      <c r="AA115" s="11" t="n">
        <f aca="false">IF(Z115=1,SUMPRODUCT(($K$4:$K$703=K115)*($F$4:$F$703=F115)*($Z$4:$Z$703=1)*($B$4:$B$703&lt;&gt;B115)),0)</f>
        <v>0</v>
      </c>
      <c r="AB115" s="11" t="n">
        <f aca="false">IF(AND(Z115=1,AA115&gt;0),1+SUMPRODUCT(($K$4:$K$703=K115)*($F$4:$F$703=F115)*($Z$4:$Z$703=1)*($P$4:$P$703&gt;P115))+SUMPRODUCT(($K$4:$K$703=K115)*($F$4:$F$703=F115)*($Z$4:$Z$703=1)*($P$4:$P$703=P115)*($C$4:$C$703&lt;C115))+SUMPRODUCT(($K$4:$K$703=K115)*($F$4:$F$703=F115)*($Z$4:$Z$703=1)*($P$4:$P$703=P115)*($C$4:$C$703=C115)*($D$4:$D$703&lt;D115)),0)</f>
        <v>0</v>
      </c>
      <c r="AC115" s="11" t="n">
        <f aca="false">IF(AND(Z115=1,AA115&gt;0,AB115&gt;1),P115,0)</f>
        <v>0</v>
      </c>
    </row>
    <row r="116" customFormat="false" ht="15" hidden="false" customHeight="false" outlineLevel="0" collapsed="false">
      <c r="A116" s="4" t="s">
        <v>329</v>
      </c>
      <c r="B116" s="4" t="s">
        <v>86</v>
      </c>
      <c r="C116" s="4" t="n">
        <v>4</v>
      </c>
      <c r="D116" s="4" t="n">
        <v>113</v>
      </c>
      <c r="E116" s="4" t="s">
        <v>205</v>
      </c>
      <c r="F116" s="4" t="n">
        <v>8</v>
      </c>
      <c r="G116" s="4" t="n">
        <v>4</v>
      </c>
      <c r="H116" s="4" t="n">
        <v>112800</v>
      </c>
      <c r="I116" s="13" t="b">
        <f aca="false">TRUE()</f>
        <v>1</v>
      </c>
      <c r="J116" s="4" t="s">
        <v>324</v>
      </c>
      <c r="K116" s="4" t="s">
        <v>325</v>
      </c>
      <c r="L116" s="4" t="n">
        <v>7319.6</v>
      </c>
      <c r="M116" s="11" t="n">
        <f aca="false">IFERROR(MATCH(Controls!$B$3&amp;"|"&amp;B116,'Scenario inputs'!$A$4:$A$213,0),0)</f>
        <v>135</v>
      </c>
      <c r="N116" s="8" t="b">
        <f aca="false">IF(M116=0,FALSE(),F116&lt;Controls!$B$12)</f>
        <v>1</v>
      </c>
      <c r="O116" s="11" t="n">
        <f aca="false">IF(N116,IF(INDEX('Scenario inputs'!$E$4:$E$213,M116)=0,1,INDEX('Scenario inputs'!$F$4:$M$213,M116,MIN(MAX(F116-G116,0),INDEX('Scenario inputs'!$E$4:$E$213,M116)-1)+1)),0)</f>
        <v>0.416667</v>
      </c>
      <c r="P116" s="11" t="n">
        <f aca="false">H116*O116</f>
        <v>47000.0376</v>
      </c>
      <c r="Q116" s="11" t="n">
        <f aca="false">IF(M116=0,"",IF(ISNUMBER(INDEX('Scenario inputs'!$N$4:$N$213,M116)),INDEX('Scenario inputs'!$N$4:$N$213,M116),""))</f>
        <v>45.12</v>
      </c>
      <c r="R116" s="0" t="str">
        <f aca="false">IF(NOT(N116),"",IF(OR(E116="cash",E116="revenue"),E116,IF(E116="avoided_cost",IF(AND(I116,LEN(TRIM(J116))&gt;0),"avoided_cost_realised","avoided_cost_beside"),IF(ISNUMBER(Q116),"capacity_converted","capacity_hours"))))</f>
        <v>avoided_cost_realised</v>
      </c>
      <c r="S116" s="11" t="n">
        <f aca="false">IF(OR(R116="",R116="capacity_hours"),0,IF(R116="capacity_converted",P116*Q116,P116))</f>
        <v>47000.0376</v>
      </c>
      <c r="T116" s="11" t="n">
        <f aca="false">IF(OR(R116="cash",R116="revenue",R116="avoided_cost_realised",R116="capacity_converted"),1,0)</f>
        <v>1</v>
      </c>
      <c r="U116" s="11" t="n">
        <f aca="false">IF(AND(N116,R116&lt;&gt;"capacity_hours",LEN(K116)&gt;0),1,0)</f>
        <v>1</v>
      </c>
      <c r="V116" s="11" t="n">
        <f aca="false">IF(U116=1,SUMPRODUCT(($K$4:$K$703=K116)*($F$4:$F$703=F116)*($U$4:$U$703=1)*($B$4:$B$703&lt;&gt;B116)),0)</f>
        <v>0</v>
      </c>
      <c r="W116" s="11" t="n">
        <f aca="false">IF(AND(U116=1,V116&gt;0),1+SUMPRODUCT(($K$4:$K$703=K116)*($F$4:$F$703=F116)*($U$4:$U$703=1)*($S$4:$S$703&gt;S116))+SUMPRODUCT(($K$4:$K$703=K116)*($F$4:$F$703=F116)*($U$4:$U$703=1)*($S$4:$S$703=S116)*($T$4:$T$703&gt;T116))+SUMPRODUCT(($K$4:$K$703=K116)*($F$4:$F$703=F116)*($U$4:$U$703=1)*($S$4:$S$703=S116)*($T$4:$T$703=T116)*($C$4:$C$703&lt;C116))+SUMPRODUCT(($K$4:$K$703=K116)*($F$4:$F$703=F116)*($U$4:$U$703=1)*($S$4:$S$703=S116)*($T$4:$T$703=T116)*($C$4:$C$703=C116)*($D$4:$D$703&lt;D116)),0)</f>
        <v>0</v>
      </c>
      <c r="X116" s="11" t="n">
        <f aca="false">IF(AND(U116=1,V116&gt;0,W116&gt;1),S116,0)</f>
        <v>0</v>
      </c>
      <c r="Y116" s="11" t="n">
        <f aca="false">IF(T116=1,X116/(1+Controls!$B$11)^F116,0)</f>
        <v>0</v>
      </c>
      <c r="Z116" s="11" t="n">
        <f aca="false">IF(AND(N116,E116="capacity",LEN(K116)&gt;0),1,0)</f>
        <v>0</v>
      </c>
      <c r="AA116" s="11" t="n">
        <f aca="false">IF(Z116=1,SUMPRODUCT(($K$4:$K$703=K116)*($F$4:$F$703=F116)*($Z$4:$Z$703=1)*($B$4:$B$703&lt;&gt;B116)),0)</f>
        <v>0</v>
      </c>
      <c r="AB116" s="11" t="n">
        <f aca="false">IF(AND(Z116=1,AA116&gt;0),1+SUMPRODUCT(($K$4:$K$703=K116)*($F$4:$F$703=F116)*($Z$4:$Z$703=1)*($P$4:$P$703&gt;P116))+SUMPRODUCT(($K$4:$K$703=K116)*($F$4:$F$703=F116)*($Z$4:$Z$703=1)*($P$4:$P$703=P116)*($C$4:$C$703&lt;C116))+SUMPRODUCT(($K$4:$K$703=K116)*($F$4:$F$703=F116)*($Z$4:$Z$703=1)*($P$4:$P$703=P116)*($C$4:$C$703=C116)*($D$4:$D$703&lt;D116)),0)</f>
        <v>0</v>
      </c>
      <c r="AC116" s="11" t="n">
        <f aca="false">IF(AND(Z116=1,AA116&gt;0,AB116&gt;1),P116,0)</f>
        <v>0</v>
      </c>
    </row>
    <row r="117" customFormat="false" ht="15" hidden="false" customHeight="false" outlineLevel="0" collapsed="false">
      <c r="A117" s="4" t="s">
        <v>330</v>
      </c>
      <c r="B117" s="4" t="s">
        <v>86</v>
      </c>
      <c r="C117" s="4" t="n">
        <v>4</v>
      </c>
      <c r="D117" s="4" t="n">
        <v>114</v>
      </c>
      <c r="E117" s="4" t="s">
        <v>205</v>
      </c>
      <c r="F117" s="4" t="n">
        <v>9</v>
      </c>
      <c r="G117" s="4" t="n">
        <v>4</v>
      </c>
      <c r="H117" s="4" t="n">
        <v>112800</v>
      </c>
      <c r="I117" s="13" t="b">
        <f aca="false">TRUE()</f>
        <v>1</v>
      </c>
      <c r="J117" s="4" t="s">
        <v>324</v>
      </c>
      <c r="K117" s="4" t="s">
        <v>325</v>
      </c>
      <c r="L117" s="4" t="n">
        <v>10363.49</v>
      </c>
      <c r="M117" s="11" t="n">
        <f aca="false">IFERROR(MATCH(Controls!$B$3&amp;"|"&amp;B117,'Scenario inputs'!$A$4:$A$213,0),0)</f>
        <v>135</v>
      </c>
      <c r="N117" s="8" t="b">
        <f aca="false">IF(M117=0,FALSE(),F117&lt;Controls!$B$12)</f>
        <v>1</v>
      </c>
      <c r="O117" s="11" t="n">
        <f aca="false">IF(N117,IF(INDEX('Scenario inputs'!$E$4:$E$213,M117)=0,1,INDEX('Scenario inputs'!$F$4:$M$213,M117,MIN(MAX(F117-G117,0),INDEX('Scenario inputs'!$E$4:$E$213,M117)-1)+1)),0)</f>
        <v>0.583333</v>
      </c>
      <c r="P117" s="11" t="n">
        <f aca="false">H117*O117</f>
        <v>65799.9624</v>
      </c>
      <c r="Q117" s="11" t="n">
        <f aca="false">IF(M117=0,"",IF(ISNUMBER(INDEX('Scenario inputs'!$N$4:$N$213,M117)),INDEX('Scenario inputs'!$N$4:$N$213,M117),""))</f>
        <v>45.12</v>
      </c>
      <c r="R117" s="0" t="str">
        <f aca="false">IF(NOT(N117),"",IF(OR(E117="cash",E117="revenue"),E117,IF(E117="avoided_cost",IF(AND(I117,LEN(TRIM(J117))&gt;0),"avoided_cost_realised","avoided_cost_beside"),IF(ISNUMBER(Q117),"capacity_converted","capacity_hours"))))</f>
        <v>avoided_cost_realised</v>
      </c>
      <c r="S117" s="11" t="n">
        <f aca="false">IF(OR(R117="",R117="capacity_hours"),0,IF(R117="capacity_converted",P117*Q117,P117))</f>
        <v>65799.9624</v>
      </c>
      <c r="T117" s="11" t="n">
        <f aca="false">IF(OR(R117="cash",R117="revenue",R117="avoided_cost_realised",R117="capacity_converted"),1,0)</f>
        <v>1</v>
      </c>
      <c r="U117" s="11" t="n">
        <f aca="false">IF(AND(N117,R117&lt;&gt;"capacity_hours",LEN(K117)&gt;0),1,0)</f>
        <v>1</v>
      </c>
      <c r="V117" s="11" t="n">
        <f aca="false">IF(U117=1,SUMPRODUCT(($K$4:$K$703=K117)*($F$4:$F$703=F117)*($U$4:$U$703=1)*($B$4:$B$703&lt;&gt;B117)),0)</f>
        <v>0</v>
      </c>
      <c r="W117" s="11" t="n">
        <f aca="false">IF(AND(U117=1,V117&gt;0),1+SUMPRODUCT(($K$4:$K$703=K117)*($F$4:$F$703=F117)*($U$4:$U$703=1)*($S$4:$S$703&gt;S117))+SUMPRODUCT(($K$4:$K$703=K117)*($F$4:$F$703=F117)*($U$4:$U$703=1)*($S$4:$S$703=S117)*($T$4:$T$703&gt;T117))+SUMPRODUCT(($K$4:$K$703=K117)*($F$4:$F$703=F117)*($U$4:$U$703=1)*($S$4:$S$703=S117)*($T$4:$T$703=T117)*($C$4:$C$703&lt;C117))+SUMPRODUCT(($K$4:$K$703=K117)*($F$4:$F$703=F117)*($U$4:$U$703=1)*($S$4:$S$703=S117)*($T$4:$T$703=T117)*($C$4:$C$703=C117)*($D$4:$D$703&lt;D117)),0)</f>
        <v>0</v>
      </c>
      <c r="X117" s="11" t="n">
        <f aca="false">IF(AND(U117=1,V117&gt;0,W117&gt;1),S117,0)</f>
        <v>0</v>
      </c>
      <c r="Y117" s="11" t="n">
        <f aca="false">IF(T117=1,X117/(1+Controls!$B$11)^F117,0)</f>
        <v>0</v>
      </c>
      <c r="Z117" s="11" t="n">
        <f aca="false">IF(AND(N117,E117="capacity",LEN(K117)&gt;0),1,0)</f>
        <v>0</v>
      </c>
      <c r="AA117" s="11" t="n">
        <f aca="false">IF(Z117=1,SUMPRODUCT(($K$4:$K$703=K117)*($F$4:$F$703=F117)*($Z$4:$Z$703=1)*($B$4:$B$703&lt;&gt;B117)),0)</f>
        <v>0</v>
      </c>
      <c r="AB117" s="11" t="n">
        <f aca="false">IF(AND(Z117=1,AA117&gt;0),1+SUMPRODUCT(($K$4:$K$703=K117)*($F$4:$F$703=F117)*($Z$4:$Z$703=1)*($P$4:$P$703&gt;P117))+SUMPRODUCT(($K$4:$K$703=K117)*($F$4:$F$703=F117)*($Z$4:$Z$703=1)*($P$4:$P$703=P117)*($C$4:$C$703&lt;C117))+SUMPRODUCT(($K$4:$K$703=K117)*($F$4:$F$703=F117)*($Z$4:$Z$703=1)*($P$4:$P$703=P117)*($C$4:$C$703=C117)*($D$4:$D$703&lt;D117)),0)</f>
        <v>0</v>
      </c>
      <c r="AC117" s="11" t="n">
        <f aca="false">IF(AND(Z117=1,AA117&gt;0,AB117&gt;1),P117,0)</f>
        <v>0</v>
      </c>
    </row>
    <row r="118" customFormat="false" ht="15" hidden="false" customHeight="false" outlineLevel="0" collapsed="false">
      <c r="A118" s="4" t="s">
        <v>331</v>
      </c>
      <c r="B118" s="4" t="s">
        <v>86</v>
      </c>
      <c r="C118" s="4" t="n">
        <v>4</v>
      </c>
      <c r="D118" s="4" t="n">
        <v>115</v>
      </c>
      <c r="E118" s="4" t="s">
        <v>205</v>
      </c>
      <c r="F118" s="4" t="n">
        <v>10</v>
      </c>
      <c r="G118" s="4" t="n">
        <v>4</v>
      </c>
      <c r="H118" s="4" t="n">
        <v>112800</v>
      </c>
      <c r="I118" s="13" t="b">
        <f aca="false">TRUE()</f>
        <v>1</v>
      </c>
      <c r="J118" s="4" t="s">
        <v>324</v>
      </c>
      <c r="K118" s="4" t="s">
        <v>325</v>
      </c>
      <c r="L118" s="4" t="n">
        <v>13818</v>
      </c>
      <c r="M118" s="11" t="n">
        <f aca="false">IFERROR(MATCH(Controls!$B$3&amp;"|"&amp;B118,'Scenario inputs'!$A$4:$A$213,0),0)</f>
        <v>135</v>
      </c>
      <c r="N118" s="8" t="b">
        <f aca="false">IF(M118=0,FALSE(),F118&lt;Controls!$B$12)</f>
        <v>1</v>
      </c>
      <c r="O118" s="11" t="n">
        <f aca="false">IF(N118,IF(INDEX('Scenario inputs'!$E$4:$E$213,M118)=0,1,INDEX('Scenario inputs'!$F$4:$M$213,M118,MIN(MAX(F118-G118,0),INDEX('Scenario inputs'!$E$4:$E$213,M118)-1)+1)),0)</f>
        <v>0.777778</v>
      </c>
      <c r="P118" s="11" t="n">
        <f aca="false">H118*O118</f>
        <v>87733.3584</v>
      </c>
      <c r="Q118" s="11" t="n">
        <f aca="false">IF(M118=0,"",IF(ISNUMBER(INDEX('Scenario inputs'!$N$4:$N$213,M118)),INDEX('Scenario inputs'!$N$4:$N$213,M118),""))</f>
        <v>45.12</v>
      </c>
      <c r="R118" s="0" t="str">
        <f aca="false">IF(NOT(N118),"",IF(OR(E118="cash",E118="revenue"),E118,IF(E118="avoided_cost",IF(AND(I118,LEN(TRIM(J118))&gt;0),"avoided_cost_realised","avoided_cost_beside"),IF(ISNUMBER(Q118),"capacity_converted","capacity_hours"))))</f>
        <v>avoided_cost_realised</v>
      </c>
      <c r="S118" s="11" t="n">
        <f aca="false">IF(OR(R118="",R118="capacity_hours"),0,IF(R118="capacity_converted",P118*Q118,P118))</f>
        <v>87733.3584</v>
      </c>
      <c r="T118" s="11" t="n">
        <f aca="false">IF(OR(R118="cash",R118="revenue",R118="avoided_cost_realised",R118="capacity_converted"),1,0)</f>
        <v>1</v>
      </c>
      <c r="U118" s="11" t="n">
        <f aca="false">IF(AND(N118,R118&lt;&gt;"capacity_hours",LEN(K118)&gt;0),1,0)</f>
        <v>1</v>
      </c>
      <c r="V118" s="11" t="n">
        <f aca="false">IF(U118=1,SUMPRODUCT(($K$4:$K$703=K118)*($F$4:$F$703=F118)*($U$4:$U$703=1)*($B$4:$B$703&lt;&gt;B118)),0)</f>
        <v>0</v>
      </c>
      <c r="W118" s="11" t="n">
        <f aca="false">IF(AND(U118=1,V118&gt;0),1+SUMPRODUCT(($K$4:$K$703=K118)*($F$4:$F$703=F118)*($U$4:$U$703=1)*($S$4:$S$703&gt;S118))+SUMPRODUCT(($K$4:$K$703=K118)*($F$4:$F$703=F118)*($U$4:$U$703=1)*($S$4:$S$703=S118)*($T$4:$T$703&gt;T118))+SUMPRODUCT(($K$4:$K$703=K118)*($F$4:$F$703=F118)*($U$4:$U$703=1)*($S$4:$S$703=S118)*($T$4:$T$703=T118)*($C$4:$C$703&lt;C118))+SUMPRODUCT(($K$4:$K$703=K118)*($F$4:$F$703=F118)*($U$4:$U$703=1)*($S$4:$S$703=S118)*($T$4:$T$703=T118)*($C$4:$C$703=C118)*($D$4:$D$703&lt;D118)),0)</f>
        <v>0</v>
      </c>
      <c r="X118" s="11" t="n">
        <f aca="false">IF(AND(U118=1,V118&gt;0,W118&gt;1),S118,0)</f>
        <v>0</v>
      </c>
      <c r="Y118" s="11" t="n">
        <f aca="false">IF(T118=1,X118/(1+Controls!$B$11)^F118,0)</f>
        <v>0</v>
      </c>
      <c r="Z118" s="11" t="n">
        <f aca="false">IF(AND(N118,E118="capacity",LEN(K118)&gt;0),1,0)</f>
        <v>0</v>
      </c>
      <c r="AA118" s="11" t="n">
        <f aca="false">IF(Z118=1,SUMPRODUCT(($K$4:$K$703=K118)*($F$4:$F$703=F118)*($Z$4:$Z$703=1)*($B$4:$B$703&lt;&gt;B118)),0)</f>
        <v>0</v>
      </c>
      <c r="AB118" s="11" t="n">
        <f aca="false">IF(AND(Z118=1,AA118&gt;0),1+SUMPRODUCT(($K$4:$K$703=K118)*($F$4:$F$703=F118)*($Z$4:$Z$703=1)*($P$4:$P$703&gt;P118))+SUMPRODUCT(($K$4:$K$703=K118)*($F$4:$F$703=F118)*($Z$4:$Z$703=1)*($P$4:$P$703=P118)*($C$4:$C$703&lt;C118))+SUMPRODUCT(($K$4:$K$703=K118)*($F$4:$F$703=F118)*($Z$4:$Z$703=1)*($P$4:$P$703=P118)*($C$4:$C$703=C118)*($D$4:$D$703&lt;D118)),0)</f>
        <v>0</v>
      </c>
      <c r="AC118" s="11" t="n">
        <f aca="false">IF(AND(Z118=1,AA118&gt;0,AB118&gt;1),P118,0)</f>
        <v>0</v>
      </c>
    </row>
    <row r="119" customFormat="false" ht="15" hidden="false" customHeight="false" outlineLevel="0" collapsed="false">
      <c r="A119" s="4" t="s">
        <v>332</v>
      </c>
      <c r="B119" s="4" t="s">
        <v>86</v>
      </c>
      <c r="C119" s="4" t="n">
        <v>4</v>
      </c>
      <c r="D119" s="4" t="n">
        <v>116</v>
      </c>
      <c r="E119" s="4" t="s">
        <v>205</v>
      </c>
      <c r="F119" s="4" t="n">
        <v>11</v>
      </c>
      <c r="G119" s="4" t="n">
        <v>4</v>
      </c>
      <c r="H119" s="4" t="n">
        <v>112800</v>
      </c>
      <c r="I119" s="13" t="b">
        <f aca="false">TRUE()</f>
        <v>1</v>
      </c>
      <c r="J119" s="4" t="s">
        <v>324</v>
      </c>
      <c r="K119" s="4" t="s">
        <v>325</v>
      </c>
      <c r="L119" s="4" t="n">
        <v>17766</v>
      </c>
      <c r="M119" s="11" t="n">
        <f aca="false">IFERROR(MATCH(Controls!$B$3&amp;"|"&amp;B119,'Scenario inputs'!$A$4:$A$213,0),0)</f>
        <v>135</v>
      </c>
      <c r="N119" s="8" t="b">
        <f aca="false">IF(M119=0,FALSE(),F119&lt;Controls!$B$12)</f>
        <v>1</v>
      </c>
      <c r="O119" s="11" t="n">
        <f aca="false">IF(N119,IF(INDEX('Scenario inputs'!$E$4:$E$213,M119)=0,1,INDEX('Scenario inputs'!$F$4:$M$213,M119,MIN(MAX(F119-G119,0),INDEX('Scenario inputs'!$E$4:$E$213,M119)-1)+1)),0)</f>
        <v>1</v>
      </c>
      <c r="P119" s="11" t="n">
        <f aca="false">H119*O119</f>
        <v>112800</v>
      </c>
      <c r="Q119" s="11" t="n">
        <f aca="false">IF(M119=0,"",IF(ISNUMBER(INDEX('Scenario inputs'!$N$4:$N$213,M119)),INDEX('Scenario inputs'!$N$4:$N$213,M119),""))</f>
        <v>45.12</v>
      </c>
      <c r="R119" s="0" t="str">
        <f aca="false">IF(NOT(N119),"",IF(OR(E119="cash",E119="revenue"),E119,IF(E119="avoided_cost",IF(AND(I119,LEN(TRIM(J119))&gt;0),"avoided_cost_realised","avoided_cost_beside"),IF(ISNUMBER(Q119),"capacity_converted","capacity_hours"))))</f>
        <v>avoided_cost_realised</v>
      </c>
      <c r="S119" s="11" t="n">
        <f aca="false">IF(OR(R119="",R119="capacity_hours"),0,IF(R119="capacity_converted",P119*Q119,P119))</f>
        <v>112800</v>
      </c>
      <c r="T119" s="11" t="n">
        <f aca="false">IF(OR(R119="cash",R119="revenue",R119="avoided_cost_realised",R119="capacity_converted"),1,0)</f>
        <v>1</v>
      </c>
      <c r="U119" s="11" t="n">
        <f aca="false">IF(AND(N119,R119&lt;&gt;"capacity_hours",LEN(K119)&gt;0),1,0)</f>
        <v>1</v>
      </c>
      <c r="V119" s="11" t="n">
        <f aca="false">IF(U119=1,SUMPRODUCT(($K$4:$K$703=K119)*($F$4:$F$703=F119)*($U$4:$U$703=1)*($B$4:$B$703&lt;&gt;B119)),0)</f>
        <v>0</v>
      </c>
      <c r="W119" s="11" t="n">
        <f aca="false">IF(AND(U119=1,V119&gt;0),1+SUMPRODUCT(($K$4:$K$703=K119)*($F$4:$F$703=F119)*($U$4:$U$703=1)*($S$4:$S$703&gt;S119))+SUMPRODUCT(($K$4:$K$703=K119)*($F$4:$F$703=F119)*($U$4:$U$703=1)*($S$4:$S$703=S119)*($T$4:$T$703&gt;T119))+SUMPRODUCT(($K$4:$K$703=K119)*($F$4:$F$703=F119)*($U$4:$U$703=1)*($S$4:$S$703=S119)*($T$4:$T$703=T119)*($C$4:$C$703&lt;C119))+SUMPRODUCT(($K$4:$K$703=K119)*($F$4:$F$703=F119)*($U$4:$U$703=1)*($S$4:$S$703=S119)*($T$4:$T$703=T119)*($C$4:$C$703=C119)*($D$4:$D$703&lt;D119)),0)</f>
        <v>0</v>
      </c>
      <c r="X119" s="11" t="n">
        <f aca="false">IF(AND(U119=1,V119&gt;0,W119&gt;1),S119,0)</f>
        <v>0</v>
      </c>
      <c r="Y119" s="11" t="n">
        <f aca="false">IF(T119=1,X119/(1+Controls!$B$11)^F119,0)</f>
        <v>0</v>
      </c>
      <c r="Z119" s="11" t="n">
        <f aca="false">IF(AND(N119,E119="capacity",LEN(K119)&gt;0),1,0)</f>
        <v>0</v>
      </c>
      <c r="AA119" s="11" t="n">
        <f aca="false">IF(Z119=1,SUMPRODUCT(($K$4:$K$703=K119)*($F$4:$F$703=F119)*($Z$4:$Z$703=1)*($B$4:$B$703&lt;&gt;B119)),0)</f>
        <v>0</v>
      </c>
      <c r="AB119" s="11" t="n">
        <f aca="false">IF(AND(Z119=1,AA119&gt;0),1+SUMPRODUCT(($K$4:$K$703=K119)*($F$4:$F$703=F119)*($Z$4:$Z$703=1)*($P$4:$P$703&gt;P119))+SUMPRODUCT(($K$4:$K$703=K119)*($F$4:$F$703=F119)*($Z$4:$Z$703=1)*($P$4:$P$703=P119)*($C$4:$C$703&lt;C119))+SUMPRODUCT(($K$4:$K$703=K119)*($F$4:$F$703=F119)*($Z$4:$Z$703=1)*($P$4:$P$703=P119)*($C$4:$C$703=C119)*($D$4:$D$703&lt;D119)),0)</f>
        <v>0</v>
      </c>
      <c r="AC119" s="11" t="n">
        <f aca="false">IF(AND(Z119=1,AA119&gt;0,AB119&gt;1),P119,0)</f>
        <v>0</v>
      </c>
    </row>
    <row r="120" customFormat="false" ht="15" hidden="false" customHeight="false" outlineLevel="0" collapsed="false">
      <c r="A120" s="4" t="s">
        <v>333</v>
      </c>
      <c r="B120" s="4" t="s">
        <v>86</v>
      </c>
      <c r="C120" s="4" t="n">
        <v>4</v>
      </c>
      <c r="D120" s="4" t="n">
        <v>117</v>
      </c>
      <c r="E120" s="4" t="s">
        <v>205</v>
      </c>
      <c r="F120" s="4" t="n">
        <v>12</v>
      </c>
      <c r="G120" s="4" t="n">
        <v>4</v>
      </c>
      <c r="H120" s="4" t="n">
        <v>112800</v>
      </c>
      <c r="I120" s="13" t="b">
        <f aca="false">TRUE()</f>
        <v>1</v>
      </c>
      <c r="J120" s="4" t="s">
        <v>324</v>
      </c>
      <c r="K120" s="4" t="s">
        <v>325</v>
      </c>
      <c r="L120" s="4" t="n">
        <v>17766</v>
      </c>
      <c r="M120" s="11" t="n">
        <f aca="false">IFERROR(MATCH(Controls!$B$3&amp;"|"&amp;B120,'Scenario inputs'!$A$4:$A$213,0),0)</f>
        <v>135</v>
      </c>
      <c r="N120" s="8" t="b">
        <f aca="false">IF(M120=0,FALSE(),F120&lt;Controls!$B$12)</f>
        <v>1</v>
      </c>
      <c r="O120" s="11" t="n">
        <f aca="false">IF(N120,IF(INDEX('Scenario inputs'!$E$4:$E$213,M120)=0,1,INDEX('Scenario inputs'!$F$4:$M$213,M120,MIN(MAX(F120-G120,0),INDEX('Scenario inputs'!$E$4:$E$213,M120)-1)+1)),0)</f>
        <v>1</v>
      </c>
      <c r="P120" s="11" t="n">
        <f aca="false">H120*O120</f>
        <v>112800</v>
      </c>
      <c r="Q120" s="11" t="n">
        <f aca="false">IF(M120=0,"",IF(ISNUMBER(INDEX('Scenario inputs'!$N$4:$N$213,M120)),INDEX('Scenario inputs'!$N$4:$N$213,M120),""))</f>
        <v>45.12</v>
      </c>
      <c r="R120" s="0" t="str">
        <f aca="false">IF(NOT(N120),"",IF(OR(E120="cash",E120="revenue"),E120,IF(E120="avoided_cost",IF(AND(I120,LEN(TRIM(J120))&gt;0),"avoided_cost_realised","avoided_cost_beside"),IF(ISNUMBER(Q120),"capacity_converted","capacity_hours"))))</f>
        <v>avoided_cost_realised</v>
      </c>
      <c r="S120" s="11" t="n">
        <f aca="false">IF(OR(R120="",R120="capacity_hours"),0,IF(R120="capacity_converted",P120*Q120,P120))</f>
        <v>112800</v>
      </c>
      <c r="T120" s="11" t="n">
        <f aca="false">IF(OR(R120="cash",R120="revenue",R120="avoided_cost_realised",R120="capacity_converted"),1,0)</f>
        <v>1</v>
      </c>
      <c r="U120" s="11" t="n">
        <f aca="false">IF(AND(N120,R120&lt;&gt;"capacity_hours",LEN(K120)&gt;0),1,0)</f>
        <v>1</v>
      </c>
      <c r="V120" s="11" t="n">
        <f aca="false">IF(U120=1,SUMPRODUCT(($K$4:$K$703=K120)*($F$4:$F$703=F120)*($U$4:$U$703=1)*($B$4:$B$703&lt;&gt;B120)),0)</f>
        <v>0</v>
      </c>
      <c r="W120" s="11" t="n">
        <f aca="false">IF(AND(U120=1,V120&gt;0),1+SUMPRODUCT(($K$4:$K$703=K120)*($F$4:$F$703=F120)*($U$4:$U$703=1)*($S$4:$S$703&gt;S120))+SUMPRODUCT(($K$4:$K$703=K120)*($F$4:$F$703=F120)*($U$4:$U$703=1)*($S$4:$S$703=S120)*($T$4:$T$703&gt;T120))+SUMPRODUCT(($K$4:$K$703=K120)*($F$4:$F$703=F120)*($U$4:$U$703=1)*($S$4:$S$703=S120)*($T$4:$T$703=T120)*($C$4:$C$703&lt;C120))+SUMPRODUCT(($K$4:$K$703=K120)*($F$4:$F$703=F120)*($U$4:$U$703=1)*($S$4:$S$703=S120)*($T$4:$T$703=T120)*($C$4:$C$703=C120)*($D$4:$D$703&lt;D120)),0)</f>
        <v>0</v>
      </c>
      <c r="X120" s="11" t="n">
        <f aca="false">IF(AND(U120=1,V120&gt;0,W120&gt;1),S120,0)</f>
        <v>0</v>
      </c>
      <c r="Y120" s="11" t="n">
        <f aca="false">IF(T120=1,X120/(1+Controls!$B$11)^F120,0)</f>
        <v>0</v>
      </c>
      <c r="Z120" s="11" t="n">
        <f aca="false">IF(AND(N120,E120="capacity",LEN(K120)&gt;0),1,0)</f>
        <v>0</v>
      </c>
      <c r="AA120" s="11" t="n">
        <f aca="false">IF(Z120=1,SUMPRODUCT(($K$4:$K$703=K120)*($F$4:$F$703=F120)*($Z$4:$Z$703=1)*($B$4:$B$703&lt;&gt;B120)),0)</f>
        <v>0</v>
      </c>
      <c r="AB120" s="11" t="n">
        <f aca="false">IF(AND(Z120=1,AA120&gt;0),1+SUMPRODUCT(($K$4:$K$703=K120)*($F$4:$F$703=F120)*($Z$4:$Z$703=1)*($P$4:$P$703&gt;P120))+SUMPRODUCT(($K$4:$K$703=K120)*($F$4:$F$703=F120)*($Z$4:$Z$703=1)*($P$4:$P$703=P120)*($C$4:$C$703&lt;C120))+SUMPRODUCT(($K$4:$K$703=K120)*($F$4:$F$703=F120)*($Z$4:$Z$703=1)*($P$4:$P$703=P120)*($C$4:$C$703=C120)*($D$4:$D$703&lt;D120)),0)</f>
        <v>0</v>
      </c>
      <c r="AC120" s="11" t="n">
        <f aca="false">IF(AND(Z120=1,AA120&gt;0,AB120&gt;1),P120,0)</f>
        <v>0</v>
      </c>
    </row>
    <row r="121" customFormat="false" ht="15" hidden="false" customHeight="false" outlineLevel="0" collapsed="false">
      <c r="A121" s="4" t="s">
        <v>334</v>
      </c>
      <c r="B121" s="4" t="s">
        <v>86</v>
      </c>
      <c r="C121" s="4" t="n">
        <v>4</v>
      </c>
      <c r="D121" s="4" t="n">
        <v>118</v>
      </c>
      <c r="E121" s="4" t="s">
        <v>205</v>
      </c>
      <c r="F121" s="4" t="n">
        <v>13</v>
      </c>
      <c r="G121" s="4" t="n">
        <v>4</v>
      </c>
      <c r="H121" s="4" t="n">
        <v>112800</v>
      </c>
      <c r="I121" s="13" t="b">
        <f aca="false">TRUE()</f>
        <v>1</v>
      </c>
      <c r="J121" s="4" t="s">
        <v>324</v>
      </c>
      <c r="K121" s="4" t="s">
        <v>325</v>
      </c>
      <c r="L121" s="4" t="n">
        <v>17766</v>
      </c>
      <c r="M121" s="11" t="n">
        <f aca="false">IFERROR(MATCH(Controls!$B$3&amp;"|"&amp;B121,'Scenario inputs'!$A$4:$A$213,0),0)</f>
        <v>135</v>
      </c>
      <c r="N121" s="8" t="b">
        <f aca="false">IF(M121=0,FALSE(),F121&lt;Controls!$B$12)</f>
        <v>1</v>
      </c>
      <c r="O121" s="11" t="n">
        <f aca="false">IF(N121,IF(INDEX('Scenario inputs'!$E$4:$E$213,M121)=0,1,INDEX('Scenario inputs'!$F$4:$M$213,M121,MIN(MAX(F121-G121,0),INDEX('Scenario inputs'!$E$4:$E$213,M121)-1)+1)),0)</f>
        <v>1</v>
      </c>
      <c r="P121" s="11" t="n">
        <f aca="false">H121*O121</f>
        <v>112800</v>
      </c>
      <c r="Q121" s="11" t="n">
        <f aca="false">IF(M121=0,"",IF(ISNUMBER(INDEX('Scenario inputs'!$N$4:$N$213,M121)),INDEX('Scenario inputs'!$N$4:$N$213,M121),""))</f>
        <v>45.12</v>
      </c>
      <c r="R121" s="0" t="str">
        <f aca="false">IF(NOT(N121),"",IF(OR(E121="cash",E121="revenue"),E121,IF(E121="avoided_cost",IF(AND(I121,LEN(TRIM(J121))&gt;0),"avoided_cost_realised","avoided_cost_beside"),IF(ISNUMBER(Q121),"capacity_converted","capacity_hours"))))</f>
        <v>avoided_cost_realised</v>
      </c>
      <c r="S121" s="11" t="n">
        <f aca="false">IF(OR(R121="",R121="capacity_hours"),0,IF(R121="capacity_converted",P121*Q121,P121))</f>
        <v>112800</v>
      </c>
      <c r="T121" s="11" t="n">
        <f aca="false">IF(OR(R121="cash",R121="revenue",R121="avoided_cost_realised",R121="capacity_converted"),1,0)</f>
        <v>1</v>
      </c>
      <c r="U121" s="11" t="n">
        <f aca="false">IF(AND(N121,R121&lt;&gt;"capacity_hours",LEN(K121)&gt;0),1,0)</f>
        <v>1</v>
      </c>
      <c r="V121" s="11" t="n">
        <f aca="false">IF(U121=1,SUMPRODUCT(($K$4:$K$703=K121)*($F$4:$F$703=F121)*($U$4:$U$703=1)*($B$4:$B$703&lt;&gt;B121)),0)</f>
        <v>0</v>
      </c>
      <c r="W121" s="11" t="n">
        <f aca="false">IF(AND(U121=1,V121&gt;0),1+SUMPRODUCT(($K$4:$K$703=K121)*($F$4:$F$703=F121)*($U$4:$U$703=1)*($S$4:$S$703&gt;S121))+SUMPRODUCT(($K$4:$K$703=K121)*($F$4:$F$703=F121)*($U$4:$U$703=1)*($S$4:$S$703=S121)*($T$4:$T$703&gt;T121))+SUMPRODUCT(($K$4:$K$703=K121)*($F$4:$F$703=F121)*($U$4:$U$703=1)*($S$4:$S$703=S121)*($T$4:$T$703=T121)*($C$4:$C$703&lt;C121))+SUMPRODUCT(($K$4:$K$703=K121)*($F$4:$F$703=F121)*($U$4:$U$703=1)*($S$4:$S$703=S121)*($T$4:$T$703=T121)*($C$4:$C$703=C121)*($D$4:$D$703&lt;D121)),0)</f>
        <v>0</v>
      </c>
      <c r="X121" s="11" t="n">
        <f aca="false">IF(AND(U121=1,V121&gt;0,W121&gt;1),S121,0)</f>
        <v>0</v>
      </c>
      <c r="Y121" s="11" t="n">
        <f aca="false">IF(T121=1,X121/(1+Controls!$B$11)^F121,0)</f>
        <v>0</v>
      </c>
      <c r="Z121" s="11" t="n">
        <f aca="false">IF(AND(N121,E121="capacity",LEN(K121)&gt;0),1,0)</f>
        <v>0</v>
      </c>
      <c r="AA121" s="11" t="n">
        <f aca="false">IF(Z121=1,SUMPRODUCT(($K$4:$K$703=K121)*($F$4:$F$703=F121)*($Z$4:$Z$703=1)*($B$4:$B$703&lt;&gt;B121)),0)</f>
        <v>0</v>
      </c>
      <c r="AB121" s="11" t="n">
        <f aca="false">IF(AND(Z121=1,AA121&gt;0),1+SUMPRODUCT(($K$4:$K$703=K121)*($F$4:$F$703=F121)*($Z$4:$Z$703=1)*($P$4:$P$703&gt;P121))+SUMPRODUCT(($K$4:$K$703=K121)*($F$4:$F$703=F121)*($Z$4:$Z$703=1)*($P$4:$P$703=P121)*($C$4:$C$703&lt;C121))+SUMPRODUCT(($K$4:$K$703=K121)*($F$4:$F$703=F121)*($Z$4:$Z$703=1)*($P$4:$P$703=P121)*($C$4:$C$703=C121)*($D$4:$D$703&lt;D121)),0)</f>
        <v>0</v>
      </c>
      <c r="AC121" s="11" t="n">
        <f aca="false">IF(AND(Z121=1,AA121&gt;0,AB121&gt;1),P121,0)</f>
        <v>0</v>
      </c>
    </row>
    <row r="122" customFormat="false" ht="15" hidden="false" customHeight="false" outlineLevel="0" collapsed="false">
      <c r="A122" s="4" t="s">
        <v>335</v>
      </c>
      <c r="B122" s="4" t="s">
        <v>86</v>
      </c>
      <c r="C122" s="4" t="n">
        <v>4</v>
      </c>
      <c r="D122" s="4" t="n">
        <v>119</v>
      </c>
      <c r="E122" s="4" t="s">
        <v>205</v>
      </c>
      <c r="F122" s="4" t="n">
        <v>14</v>
      </c>
      <c r="G122" s="4" t="n">
        <v>4</v>
      </c>
      <c r="H122" s="4" t="n">
        <v>112800</v>
      </c>
      <c r="I122" s="13" t="b">
        <f aca="false">TRUE()</f>
        <v>1</v>
      </c>
      <c r="J122" s="4" t="s">
        <v>324</v>
      </c>
      <c r="K122" s="4" t="s">
        <v>325</v>
      </c>
      <c r="L122" s="4" t="n">
        <v>17766</v>
      </c>
      <c r="M122" s="11" t="n">
        <f aca="false">IFERROR(MATCH(Controls!$B$3&amp;"|"&amp;B122,'Scenario inputs'!$A$4:$A$213,0),0)</f>
        <v>135</v>
      </c>
      <c r="N122" s="8" t="b">
        <f aca="false">IF(M122=0,FALSE(),F122&lt;Controls!$B$12)</f>
        <v>1</v>
      </c>
      <c r="O122" s="11" t="n">
        <f aca="false">IF(N122,IF(INDEX('Scenario inputs'!$E$4:$E$213,M122)=0,1,INDEX('Scenario inputs'!$F$4:$M$213,M122,MIN(MAX(F122-G122,0),INDEX('Scenario inputs'!$E$4:$E$213,M122)-1)+1)),0)</f>
        <v>1</v>
      </c>
      <c r="P122" s="11" t="n">
        <f aca="false">H122*O122</f>
        <v>112800</v>
      </c>
      <c r="Q122" s="11" t="n">
        <f aca="false">IF(M122=0,"",IF(ISNUMBER(INDEX('Scenario inputs'!$N$4:$N$213,M122)),INDEX('Scenario inputs'!$N$4:$N$213,M122),""))</f>
        <v>45.12</v>
      </c>
      <c r="R122" s="0" t="str">
        <f aca="false">IF(NOT(N122),"",IF(OR(E122="cash",E122="revenue"),E122,IF(E122="avoided_cost",IF(AND(I122,LEN(TRIM(J122))&gt;0),"avoided_cost_realised","avoided_cost_beside"),IF(ISNUMBER(Q122),"capacity_converted","capacity_hours"))))</f>
        <v>avoided_cost_realised</v>
      </c>
      <c r="S122" s="11" t="n">
        <f aca="false">IF(OR(R122="",R122="capacity_hours"),0,IF(R122="capacity_converted",P122*Q122,P122))</f>
        <v>112800</v>
      </c>
      <c r="T122" s="11" t="n">
        <f aca="false">IF(OR(R122="cash",R122="revenue",R122="avoided_cost_realised",R122="capacity_converted"),1,0)</f>
        <v>1</v>
      </c>
      <c r="U122" s="11" t="n">
        <f aca="false">IF(AND(N122,R122&lt;&gt;"capacity_hours",LEN(K122)&gt;0),1,0)</f>
        <v>1</v>
      </c>
      <c r="V122" s="11" t="n">
        <f aca="false">IF(U122=1,SUMPRODUCT(($K$4:$K$703=K122)*($F$4:$F$703=F122)*($U$4:$U$703=1)*($B$4:$B$703&lt;&gt;B122)),0)</f>
        <v>0</v>
      </c>
      <c r="W122" s="11" t="n">
        <f aca="false">IF(AND(U122=1,V122&gt;0),1+SUMPRODUCT(($K$4:$K$703=K122)*($F$4:$F$703=F122)*($U$4:$U$703=1)*($S$4:$S$703&gt;S122))+SUMPRODUCT(($K$4:$K$703=K122)*($F$4:$F$703=F122)*($U$4:$U$703=1)*($S$4:$S$703=S122)*($T$4:$T$703&gt;T122))+SUMPRODUCT(($K$4:$K$703=K122)*($F$4:$F$703=F122)*($U$4:$U$703=1)*($S$4:$S$703=S122)*($T$4:$T$703=T122)*($C$4:$C$703&lt;C122))+SUMPRODUCT(($K$4:$K$703=K122)*($F$4:$F$703=F122)*($U$4:$U$703=1)*($S$4:$S$703=S122)*($T$4:$T$703=T122)*($C$4:$C$703=C122)*($D$4:$D$703&lt;D122)),0)</f>
        <v>0</v>
      </c>
      <c r="X122" s="11" t="n">
        <f aca="false">IF(AND(U122=1,V122&gt;0,W122&gt;1),S122,0)</f>
        <v>0</v>
      </c>
      <c r="Y122" s="11" t="n">
        <f aca="false">IF(T122=1,X122/(1+Controls!$B$11)^F122,0)</f>
        <v>0</v>
      </c>
      <c r="Z122" s="11" t="n">
        <f aca="false">IF(AND(N122,E122="capacity",LEN(K122)&gt;0),1,0)</f>
        <v>0</v>
      </c>
      <c r="AA122" s="11" t="n">
        <f aca="false">IF(Z122=1,SUMPRODUCT(($K$4:$K$703=K122)*($F$4:$F$703=F122)*($Z$4:$Z$703=1)*($B$4:$B$703&lt;&gt;B122)),0)</f>
        <v>0</v>
      </c>
      <c r="AB122" s="11" t="n">
        <f aca="false">IF(AND(Z122=1,AA122&gt;0),1+SUMPRODUCT(($K$4:$K$703=K122)*($F$4:$F$703=F122)*($Z$4:$Z$703=1)*($P$4:$P$703&gt;P122))+SUMPRODUCT(($K$4:$K$703=K122)*($F$4:$F$703=F122)*($Z$4:$Z$703=1)*($P$4:$P$703=P122)*($C$4:$C$703&lt;C122))+SUMPRODUCT(($K$4:$K$703=K122)*($F$4:$F$703=F122)*($Z$4:$Z$703=1)*($P$4:$P$703=P122)*($C$4:$C$703=C122)*($D$4:$D$703&lt;D122)),0)</f>
        <v>0</v>
      </c>
      <c r="AC122" s="11" t="n">
        <f aca="false">IF(AND(Z122=1,AA122&gt;0,AB122&gt;1),P122,0)</f>
        <v>0</v>
      </c>
    </row>
    <row r="123" customFormat="false" ht="15" hidden="false" customHeight="false" outlineLevel="0" collapsed="false">
      <c r="A123" s="4" t="s">
        <v>336</v>
      </c>
      <c r="B123" s="4" t="s">
        <v>86</v>
      </c>
      <c r="C123" s="4" t="n">
        <v>4</v>
      </c>
      <c r="D123" s="4" t="n">
        <v>120</v>
      </c>
      <c r="E123" s="4" t="s">
        <v>205</v>
      </c>
      <c r="F123" s="4" t="n">
        <v>15</v>
      </c>
      <c r="G123" s="4" t="n">
        <v>4</v>
      </c>
      <c r="H123" s="4" t="n">
        <v>112800</v>
      </c>
      <c r="I123" s="13" t="b">
        <f aca="false">TRUE()</f>
        <v>1</v>
      </c>
      <c r="J123" s="4" t="s">
        <v>324</v>
      </c>
      <c r="K123" s="4" t="s">
        <v>325</v>
      </c>
      <c r="L123" s="4" t="n">
        <v>17766</v>
      </c>
      <c r="M123" s="11" t="n">
        <f aca="false">IFERROR(MATCH(Controls!$B$3&amp;"|"&amp;B123,'Scenario inputs'!$A$4:$A$213,0),0)</f>
        <v>135</v>
      </c>
      <c r="N123" s="8" t="b">
        <f aca="false">IF(M123=0,FALSE(),F123&lt;Controls!$B$12)</f>
        <v>1</v>
      </c>
      <c r="O123" s="11" t="n">
        <f aca="false">IF(N123,IF(INDEX('Scenario inputs'!$E$4:$E$213,M123)=0,1,INDEX('Scenario inputs'!$F$4:$M$213,M123,MIN(MAX(F123-G123,0),INDEX('Scenario inputs'!$E$4:$E$213,M123)-1)+1)),0)</f>
        <v>1</v>
      </c>
      <c r="P123" s="11" t="n">
        <f aca="false">H123*O123</f>
        <v>112800</v>
      </c>
      <c r="Q123" s="11" t="n">
        <f aca="false">IF(M123=0,"",IF(ISNUMBER(INDEX('Scenario inputs'!$N$4:$N$213,M123)),INDEX('Scenario inputs'!$N$4:$N$213,M123),""))</f>
        <v>45.12</v>
      </c>
      <c r="R123" s="0" t="str">
        <f aca="false">IF(NOT(N123),"",IF(OR(E123="cash",E123="revenue"),E123,IF(E123="avoided_cost",IF(AND(I123,LEN(TRIM(J123))&gt;0),"avoided_cost_realised","avoided_cost_beside"),IF(ISNUMBER(Q123),"capacity_converted","capacity_hours"))))</f>
        <v>avoided_cost_realised</v>
      </c>
      <c r="S123" s="11" t="n">
        <f aca="false">IF(OR(R123="",R123="capacity_hours"),0,IF(R123="capacity_converted",P123*Q123,P123))</f>
        <v>112800</v>
      </c>
      <c r="T123" s="11" t="n">
        <f aca="false">IF(OR(R123="cash",R123="revenue",R123="avoided_cost_realised",R123="capacity_converted"),1,0)</f>
        <v>1</v>
      </c>
      <c r="U123" s="11" t="n">
        <f aca="false">IF(AND(N123,R123&lt;&gt;"capacity_hours",LEN(K123)&gt;0),1,0)</f>
        <v>1</v>
      </c>
      <c r="V123" s="11" t="n">
        <f aca="false">IF(U123=1,SUMPRODUCT(($K$4:$K$703=K123)*($F$4:$F$703=F123)*($U$4:$U$703=1)*($B$4:$B$703&lt;&gt;B123)),0)</f>
        <v>0</v>
      </c>
      <c r="W123" s="11" t="n">
        <f aca="false">IF(AND(U123=1,V123&gt;0),1+SUMPRODUCT(($K$4:$K$703=K123)*($F$4:$F$703=F123)*($U$4:$U$703=1)*($S$4:$S$703&gt;S123))+SUMPRODUCT(($K$4:$K$703=K123)*($F$4:$F$703=F123)*($U$4:$U$703=1)*($S$4:$S$703=S123)*($T$4:$T$703&gt;T123))+SUMPRODUCT(($K$4:$K$703=K123)*($F$4:$F$703=F123)*($U$4:$U$703=1)*($S$4:$S$703=S123)*($T$4:$T$703=T123)*($C$4:$C$703&lt;C123))+SUMPRODUCT(($K$4:$K$703=K123)*($F$4:$F$703=F123)*($U$4:$U$703=1)*($S$4:$S$703=S123)*($T$4:$T$703=T123)*($C$4:$C$703=C123)*($D$4:$D$703&lt;D123)),0)</f>
        <v>0</v>
      </c>
      <c r="X123" s="11" t="n">
        <f aca="false">IF(AND(U123=1,V123&gt;0,W123&gt;1),S123,0)</f>
        <v>0</v>
      </c>
      <c r="Y123" s="11" t="n">
        <f aca="false">IF(T123=1,X123/(1+Controls!$B$11)^F123,0)</f>
        <v>0</v>
      </c>
      <c r="Z123" s="11" t="n">
        <f aca="false">IF(AND(N123,E123="capacity",LEN(K123)&gt;0),1,0)</f>
        <v>0</v>
      </c>
      <c r="AA123" s="11" t="n">
        <f aca="false">IF(Z123=1,SUMPRODUCT(($K$4:$K$703=K123)*($F$4:$F$703=F123)*($Z$4:$Z$703=1)*($B$4:$B$703&lt;&gt;B123)),0)</f>
        <v>0</v>
      </c>
      <c r="AB123" s="11" t="n">
        <f aca="false">IF(AND(Z123=1,AA123&gt;0),1+SUMPRODUCT(($K$4:$K$703=K123)*($F$4:$F$703=F123)*($Z$4:$Z$703=1)*($P$4:$P$703&gt;P123))+SUMPRODUCT(($K$4:$K$703=K123)*($F$4:$F$703=F123)*($Z$4:$Z$703=1)*($P$4:$P$703=P123)*($C$4:$C$703&lt;C123))+SUMPRODUCT(($K$4:$K$703=K123)*($F$4:$F$703=F123)*($Z$4:$Z$703=1)*($P$4:$P$703=P123)*($C$4:$C$703=C123)*($D$4:$D$703&lt;D123)),0)</f>
        <v>0</v>
      </c>
      <c r="AC123" s="11" t="n">
        <f aca="false">IF(AND(Z123=1,AA123&gt;0,AB123&gt;1),P123,0)</f>
        <v>0</v>
      </c>
    </row>
    <row r="124" customFormat="false" ht="15" hidden="false" customHeight="false" outlineLevel="0" collapsed="false">
      <c r="A124" s="4" t="s">
        <v>337</v>
      </c>
      <c r="B124" s="4" t="s">
        <v>86</v>
      </c>
      <c r="C124" s="4" t="n">
        <v>4</v>
      </c>
      <c r="D124" s="4" t="n">
        <v>121</v>
      </c>
      <c r="E124" s="4" t="s">
        <v>112</v>
      </c>
      <c r="F124" s="4" t="n">
        <v>5</v>
      </c>
      <c r="G124" s="4" t="n">
        <v>5</v>
      </c>
      <c r="H124" s="4" t="n">
        <v>92300</v>
      </c>
      <c r="I124" s="13" t="b">
        <f aca="false">FALSE()</f>
        <v>0</v>
      </c>
      <c r="K124" s="4" t="s">
        <v>338</v>
      </c>
      <c r="L124" s="4" t="n">
        <v>554.35</v>
      </c>
      <c r="M124" s="11" t="n">
        <f aca="false">IFERROR(MATCH(Controls!$B$3&amp;"|"&amp;B124,'Scenario inputs'!$A$4:$A$213,0),0)</f>
        <v>135</v>
      </c>
      <c r="N124" s="8" t="b">
        <f aca="false">IF(M124=0,FALSE(),F124&lt;Controls!$B$12)</f>
        <v>1</v>
      </c>
      <c r="O124" s="11" t="n">
        <f aca="false">IF(N124,IF(INDEX('Scenario inputs'!$E$4:$E$213,M124)=0,1,INDEX('Scenario inputs'!$F$4:$M$213,M124,MIN(MAX(F124-G124,0),INDEX('Scenario inputs'!$E$4:$E$213,M124)-1)+1)),0)</f>
        <v>0.027778</v>
      </c>
      <c r="P124" s="11" t="n">
        <f aca="false">H124*O124</f>
        <v>2563.9094</v>
      </c>
      <c r="Q124" s="11" t="n">
        <f aca="false">IF(M124=0,"",IF(ISNUMBER(INDEX('Scenario inputs'!$N$4:$N$213,M124)),INDEX('Scenario inputs'!$N$4:$N$213,M124),""))</f>
        <v>45.12</v>
      </c>
      <c r="R124" s="0" t="str">
        <f aca="false">IF(NOT(N124),"",IF(OR(E124="cash",E124="revenue"),E124,IF(E124="avoided_cost",IF(AND(I124,LEN(TRIM(J124))&gt;0),"avoided_cost_realised","avoided_cost_beside"),IF(ISNUMBER(Q124),"capacity_converted","capacity_hours"))))</f>
        <v>cash</v>
      </c>
      <c r="S124" s="11" t="n">
        <f aca="false">IF(OR(R124="",R124="capacity_hours"),0,IF(R124="capacity_converted",P124*Q124,P124))</f>
        <v>2563.9094</v>
      </c>
      <c r="T124" s="11" t="n">
        <f aca="false">IF(OR(R124="cash",R124="revenue",R124="avoided_cost_realised",R124="capacity_converted"),1,0)</f>
        <v>1</v>
      </c>
      <c r="U124" s="11" t="n">
        <f aca="false">IF(AND(N124,R124&lt;&gt;"capacity_hours",LEN(K124)&gt;0),1,0)</f>
        <v>1</v>
      </c>
      <c r="V124" s="11" t="n">
        <f aca="false">IF(U124=1,SUMPRODUCT(($K$4:$K$703=K124)*($F$4:$F$703=F124)*($U$4:$U$703=1)*($B$4:$B$703&lt;&gt;B124)),0)</f>
        <v>0</v>
      </c>
      <c r="W124" s="11" t="n">
        <f aca="false">IF(AND(U124=1,V124&gt;0),1+SUMPRODUCT(($K$4:$K$703=K124)*($F$4:$F$703=F124)*($U$4:$U$703=1)*($S$4:$S$703&gt;S124))+SUMPRODUCT(($K$4:$K$703=K124)*($F$4:$F$703=F124)*($U$4:$U$703=1)*($S$4:$S$703=S124)*($T$4:$T$703&gt;T124))+SUMPRODUCT(($K$4:$K$703=K124)*($F$4:$F$703=F124)*($U$4:$U$703=1)*($S$4:$S$703=S124)*($T$4:$T$703=T124)*($C$4:$C$703&lt;C124))+SUMPRODUCT(($K$4:$K$703=K124)*($F$4:$F$703=F124)*($U$4:$U$703=1)*($S$4:$S$703=S124)*($T$4:$T$703=T124)*($C$4:$C$703=C124)*($D$4:$D$703&lt;D124)),0)</f>
        <v>0</v>
      </c>
      <c r="X124" s="11" t="n">
        <f aca="false">IF(AND(U124=1,V124&gt;0,W124&gt;1),S124,0)</f>
        <v>0</v>
      </c>
      <c r="Y124" s="11" t="n">
        <f aca="false">IF(T124=1,X124/(1+Controls!$B$11)^F124,0)</f>
        <v>0</v>
      </c>
      <c r="Z124" s="11" t="n">
        <f aca="false">IF(AND(N124,E124="capacity",LEN(K124)&gt;0),1,0)</f>
        <v>0</v>
      </c>
      <c r="AA124" s="11" t="n">
        <f aca="false">IF(Z124=1,SUMPRODUCT(($K$4:$K$703=K124)*($F$4:$F$703=F124)*($Z$4:$Z$703=1)*($B$4:$B$703&lt;&gt;B124)),0)</f>
        <v>0</v>
      </c>
      <c r="AB124" s="11" t="n">
        <f aca="false">IF(AND(Z124=1,AA124&gt;0),1+SUMPRODUCT(($K$4:$K$703=K124)*($F$4:$F$703=F124)*($Z$4:$Z$703=1)*($P$4:$P$703&gt;P124))+SUMPRODUCT(($K$4:$K$703=K124)*($F$4:$F$703=F124)*($Z$4:$Z$703=1)*($P$4:$P$703=P124)*($C$4:$C$703&lt;C124))+SUMPRODUCT(($K$4:$K$703=K124)*($F$4:$F$703=F124)*($Z$4:$Z$703=1)*($P$4:$P$703=P124)*($C$4:$C$703=C124)*($D$4:$D$703&lt;D124)),0)</f>
        <v>0</v>
      </c>
      <c r="AC124" s="11" t="n">
        <f aca="false">IF(AND(Z124=1,AA124&gt;0,AB124&gt;1),P124,0)</f>
        <v>0</v>
      </c>
    </row>
    <row r="125" customFormat="false" ht="15" hidden="false" customHeight="false" outlineLevel="0" collapsed="false">
      <c r="A125" s="4" t="s">
        <v>339</v>
      </c>
      <c r="B125" s="4" t="s">
        <v>86</v>
      </c>
      <c r="C125" s="4" t="n">
        <v>4</v>
      </c>
      <c r="D125" s="4" t="n">
        <v>122</v>
      </c>
      <c r="E125" s="4" t="s">
        <v>112</v>
      </c>
      <c r="F125" s="4" t="n">
        <v>6</v>
      </c>
      <c r="G125" s="4" t="n">
        <v>5</v>
      </c>
      <c r="H125" s="4" t="n">
        <v>92300</v>
      </c>
      <c r="I125" s="13" t="b">
        <f aca="false">FALSE()</f>
        <v>0</v>
      </c>
      <c r="K125" s="4" t="s">
        <v>338</v>
      </c>
      <c r="L125" s="4" t="n">
        <v>1680.01</v>
      </c>
      <c r="M125" s="11" t="n">
        <f aca="false">IFERROR(MATCH(Controls!$B$3&amp;"|"&amp;B125,'Scenario inputs'!$A$4:$A$213,0),0)</f>
        <v>135</v>
      </c>
      <c r="N125" s="8" t="b">
        <f aca="false">IF(M125=0,FALSE(),F125&lt;Controls!$B$12)</f>
        <v>1</v>
      </c>
      <c r="O125" s="11" t="n">
        <f aca="false">IF(N125,IF(INDEX('Scenario inputs'!$E$4:$E$213,M125)=0,1,INDEX('Scenario inputs'!$F$4:$M$213,M125,MIN(MAX(F125-G125,0),INDEX('Scenario inputs'!$E$4:$E$213,M125)-1)+1)),0)</f>
        <v>0.083333</v>
      </c>
      <c r="P125" s="11" t="n">
        <f aca="false">H125*O125</f>
        <v>7691.6359</v>
      </c>
      <c r="Q125" s="11" t="n">
        <f aca="false">IF(M125=0,"",IF(ISNUMBER(INDEX('Scenario inputs'!$N$4:$N$213,M125)),INDEX('Scenario inputs'!$N$4:$N$213,M125),""))</f>
        <v>45.12</v>
      </c>
      <c r="R125" s="0" t="str">
        <f aca="false">IF(NOT(N125),"",IF(OR(E125="cash",E125="revenue"),E125,IF(E125="avoided_cost",IF(AND(I125,LEN(TRIM(J125))&gt;0),"avoided_cost_realised","avoided_cost_beside"),IF(ISNUMBER(Q125),"capacity_converted","capacity_hours"))))</f>
        <v>cash</v>
      </c>
      <c r="S125" s="11" t="n">
        <f aca="false">IF(OR(R125="",R125="capacity_hours"),0,IF(R125="capacity_converted",P125*Q125,P125))</f>
        <v>7691.6359</v>
      </c>
      <c r="T125" s="11" t="n">
        <f aca="false">IF(OR(R125="cash",R125="revenue",R125="avoided_cost_realised",R125="capacity_converted"),1,0)</f>
        <v>1</v>
      </c>
      <c r="U125" s="11" t="n">
        <f aca="false">IF(AND(N125,R125&lt;&gt;"capacity_hours",LEN(K125)&gt;0),1,0)</f>
        <v>1</v>
      </c>
      <c r="V125" s="11" t="n">
        <f aca="false">IF(U125=1,SUMPRODUCT(($K$4:$K$703=K125)*($F$4:$F$703=F125)*($U$4:$U$703=1)*($B$4:$B$703&lt;&gt;B125)),0)</f>
        <v>0</v>
      </c>
      <c r="W125" s="11" t="n">
        <f aca="false">IF(AND(U125=1,V125&gt;0),1+SUMPRODUCT(($K$4:$K$703=K125)*($F$4:$F$703=F125)*($U$4:$U$703=1)*($S$4:$S$703&gt;S125))+SUMPRODUCT(($K$4:$K$703=K125)*($F$4:$F$703=F125)*($U$4:$U$703=1)*($S$4:$S$703=S125)*($T$4:$T$703&gt;T125))+SUMPRODUCT(($K$4:$K$703=K125)*($F$4:$F$703=F125)*($U$4:$U$703=1)*($S$4:$S$703=S125)*($T$4:$T$703=T125)*($C$4:$C$703&lt;C125))+SUMPRODUCT(($K$4:$K$703=K125)*($F$4:$F$703=F125)*($U$4:$U$703=1)*($S$4:$S$703=S125)*($T$4:$T$703=T125)*($C$4:$C$703=C125)*($D$4:$D$703&lt;D125)),0)</f>
        <v>0</v>
      </c>
      <c r="X125" s="11" t="n">
        <f aca="false">IF(AND(U125=1,V125&gt;0,W125&gt;1),S125,0)</f>
        <v>0</v>
      </c>
      <c r="Y125" s="11" t="n">
        <f aca="false">IF(T125=1,X125/(1+Controls!$B$11)^F125,0)</f>
        <v>0</v>
      </c>
      <c r="Z125" s="11" t="n">
        <f aca="false">IF(AND(N125,E125="capacity",LEN(K125)&gt;0),1,0)</f>
        <v>0</v>
      </c>
      <c r="AA125" s="11" t="n">
        <f aca="false">IF(Z125=1,SUMPRODUCT(($K$4:$K$703=K125)*($F$4:$F$703=F125)*($Z$4:$Z$703=1)*($B$4:$B$703&lt;&gt;B125)),0)</f>
        <v>0</v>
      </c>
      <c r="AB125" s="11" t="n">
        <f aca="false">IF(AND(Z125=1,AA125&gt;0),1+SUMPRODUCT(($K$4:$K$703=K125)*($F$4:$F$703=F125)*($Z$4:$Z$703=1)*($P$4:$P$703&gt;P125))+SUMPRODUCT(($K$4:$K$703=K125)*($F$4:$F$703=F125)*($Z$4:$Z$703=1)*($P$4:$P$703=P125)*($C$4:$C$703&lt;C125))+SUMPRODUCT(($K$4:$K$703=K125)*($F$4:$F$703=F125)*($Z$4:$Z$703=1)*($P$4:$P$703=P125)*($C$4:$C$703=C125)*($D$4:$D$703&lt;D125)),0)</f>
        <v>0</v>
      </c>
      <c r="AC125" s="11" t="n">
        <f aca="false">IF(AND(Z125=1,AA125&gt;0,AB125&gt;1),P125,0)</f>
        <v>0</v>
      </c>
    </row>
    <row r="126" customFormat="false" ht="15" hidden="false" customHeight="false" outlineLevel="0" collapsed="false">
      <c r="A126" s="4" t="s">
        <v>340</v>
      </c>
      <c r="B126" s="4" t="s">
        <v>86</v>
      </c>
      <c r="C126" s="4" t="n">
        <v>4</v>
      </c>
      <c r="D126" s="4" t="n">
        <v>123</v>
      </c>
      <c r="E126" s="4" t="s">
        <v>112</v>
      </c>
      <c r="F126" s="4" t="n">
        <v>7</v>
      </c>
      <c r="G126" s="4" t="n">
        <v>5</v>
      </c>
      <c r="H126" s="4" t="n">
        <v>92300</v>
      </c>
      <c r="I126" s="13" t="b">
        <f aca="false">FALSE()</f>
        <v>0</v>
      </c>
      <c r="K126" s="4" t="s">
        <v>338</v>
      </c>
      <c r="L126" s="4" t="n">
        <v>3461.85</v>
      </c>
      <c r="M126" s="11" t="n">
        <f aca="false">IFERROR(MATCH(Controls!$B$3&amp;"|"&amp;B126,'Scenario inputs'!$A$4:$A$213,0),0)</f>
        <v>135</v>
      </c>
      <c r="N126" s="8" t="b">
        <f aca="false">IF(M126=0,FALSE(),F126&lt;Controls!$B$12)</f>
        <v>1</v>
      </c>
      <c r="O126" s="11" t="n">
        <f aca="false">IF(N126,IF(INDEX('Scenario inputs'!$E$4:$E$213,M126)=0,1,INDEX('Scenario inputs'!$F$4:$M$213,M126,MIN(MAX(F126-G126,0),INDEX('Scenario inputs'!$E$4:$E$213,M126)-1)+1)),0)</f>
        <v>0.166667</v>
      </c>
      <c r="P126" s="11" t="n">
        <f aca="false">H126*O126</f>
        <v>15383.3641</v>
      </c>
      <c r="Q126" s="11" t="n">
        <f aca="false">IF(M126=0,"",IF(ISNUMBER(INDEX('Scenario inputs'!$N$4:$N$213,M126)),INDEX('Scenario inputs'!$N$4:$N$213,M126),""))</f>
        <v>45.12</v>
      </c>
      <c r="R126" s="0" t="str">
        <f aca="false">IF(NOT(N126),"",IF(OR(E126="cash",E126="revenue"),E126,IF(E126="avoided_cost",IF(AND(I126,LEN(TRIM(J126))&gt;0),"avoided_cost_realised","avoided_cost_beside"),IF(ISNUMBER(Q126),"capacity_converted","capacity_hours"))))</f>
        <v>cash</v>
      </c>
      <c r="S126" s="11" t="n">
        <f aca="false">IF(OR(R126="",R126="capacity_hours"),0,IF(R126="capacity_converted",P126*Q126,P126))</f>
        <v>15383.3641</v>
      </c>
      <c r="T126" s="11" t="n">
        <f aca="false">IF(OR(R126="cash",R126="revenue",R126="avoided_cost_realised",R126="capacity_converted"),1,0)</f>
        <v>1</v>
      </c>
      <c r="U126" s="11" t="n">
        <f aca="false">IF(AND(N126,R126&lt;&gt;"capacity_hours",LEN(K126)&gt;0),1,0)</f>
        <v>1</v>
      </c>
      <c r="V126" s="11" t="n">
        <f aca="false">IF(U126=1,SUMPRODUCT(($K$4:$K$703=K126)*($F$4:$F$703=F126)*($U$4:$U$703=1)*($B$4:$B$703&lt;&gt;B126)),0)</f>
        <v>0</v>
      </c>
      <c r="W126" s="11" t="n">
        <f aca="false">IF(AND(U126=1,V126&gt;0),1+SUMPRODUCT(($K$4:$K$703=K126)*($F$4:$F$703=F126)*($U$4:$U$703=1)*($S$4:$S$703&gt;S126))+SUMPRODUCT(($K$4:$K$703=K126)*($F$4:$F$703=F126)*($U$4:$U$703=1)*($S$4:$S$703=S126)*($T$4:$T$703&gt;T126))+SUMPRODUCT(($K$4:$K$703=K126)*($F$4:$F$703=F126)*($U$4:$U$703=1)*($S$4:$S$703=S126)*($T$4:$T$703=T126)*($C$4:$C$703&lt;C126))+SUMPRODUCT(($K$4:$K$703=K126)*($F$4:$F$703=F126)*($U$4:$U$703=1)*($S$4:$S$703=S126)*($T$4:$T$703=T126)*($C$4:$C$703=C126)*($D$4:$D$703&lt;D126)),0)</f>
        <v>0</v>
      </c>
      <c r="X126" s="11" t="n">
        <f aca="false">IF(AND(U126=1,V126&gt;0,W126&gt;1),S126,0)</f>
        <v>0</v>
      </c>
      <c r="Y126" s="11" t="n">
        <f aca="false">IF(T126=1,X126/(1+Controls!$B$11)^F126,0)</f>
        <v>0</v>
      </c>
      <c r="Z126" s="11" t="n">
        <f aca="false">IF(AND(N126,E126="capacity",LEN(K126)&gt;0),1,0)</f>
        <v>0</v>
      </c>
      <c r="AA126" s="11" t="n">
        <f aca="false">IF(Z126=1,SUMPRODUCT(($K$4:$K$703=K126)*($F$4:$F$703=F126)*($Z$4:$Z$703=1)*($B$4:$B$703&lt;&gt;B126)),0)</f>
        <v>0</v>
      </c>
      <c r="AB126" s="11" t="n">
        <f aca="false">IF(AND(Z126=1,AA126&gt;0),1+SUMPRODUCT(($K$4:$K$703=K126)*($F$4:$F$703=F126)*($Z$4:$Z$703=1)*($P$4:$P$703&gt;P126))+SUMPRODUCT(($K$4:$K$703=K126)*($F$4:$F$703=F126)*($Z$4:$Z$703=1)*($P$4:$P$703=P126)*($C$4:$C$703&lt;C126))+SUMPRODUCT(($K$4:$K$703=K126)*($F$4:$F$703=F126)*($Z$4:$Z$703=1)*($P$4:$P$703=P126)*($C$4:$C$703=C126)*($D$4:$D$703&lt;D126)),0)</f>
        <v>0</v>
      </c>
      <c r="AC126" s="11" t="n">
        <f aca="false">IF(AND(Z126=1,AA126&gt;0,AB126&gt;1),P126,0)</f>
        <v>0</v>
      </c>
    </row>
    <row r="127" customFormat="false" ht="15" hidden="false" customHeight="false" outlineLevel="0" collapsed="false">
      <c r="A127" s="4" t="s">
        <v>341</v>
      </c>
      <c r="B127" s="4" t="s">
        <v>86</v>
      </c>
      <c r="C127" s="4" t="n">
        <v>4</v>
      </c>
      <c r="D127" s="4" t="n">
        <v>124</v>
      </c>
      <c r="E127" s="4" t="s">
        <v>112</v>
      </c>
      <c r="F127" s="4" t="n">
        <v>8</v>
      </c>
      <c r="G127" s="4" t="n">
        <v>5</v>
      </c>
      <c r="H127" s="4" t="n">
        <v>92300</v>
      </c>
      <c r="I127" s="13" t="b">
        <f aca="false">FALSE()</f>
        <v>0</v>
      </c>
      <c r="K127" s="4" t="s">
        <v>338</v>
      </c>
      <c r="L127" s="4" t="n">
        <v>5543.48</v>
      </c>
      <c r="M127" s="11" t="n">
        <f aca="false">IFERROR(MATCH(Controls!$B$3&amp;"|"&amp;B127,'Scenario inputs'!$A$4:$A$213,0),0)</f>
        <v>135</v>
      </c>
      <c r="N127" s="8" t="b">
        <f aca="false">IF(M127=0,FALSE(),F127&lt;Controls!$B$12)</f>
        <v>1</v>
      </c>
      <c r="O127" s="11" t="n">
        <f aca="false">IF(N127,IF(INDEX('Scenario inputs'!$E$4:$E$213,M127)=0,1,INDEX('Scenario inputs'!$F$4:$M$213,M127,MIN(MAX(F127-G127,0),INDEX('Scenario inputs'!$E$4:$E$213,M127)-1)+1)),0)</f>
        <v>0.277778</v>
      </c>
      <c r="P127" s="11" t="n">
        <f aca="false">H127*O127</f>
        <v>25638.9094</v>
      </c>
      <c r="Q127" s="11" t="n">
        <f aca="false">IF(M127=0,"",IF(ISNUMBER(INDEX('Scenario inputs'!$N$4:$N$213,M127)),INDEX('Scenario inputs'!$N$4:$N$213,M127),""))</f>
        <v>45.12</v>
      </c>
      <c r="R127" s="0" t="str">
        <f aca="false">IF(NOT(N127),"",IF(OR(E127="cash",E127="revenue"),E127,IF(E127="avoided_cost",IF(AND(I127,LEN(TRIM(J127))&gt;0),"avoided_cost_realised","avoided_cost_beside"),IF(ISNUMBER(Q127),"capacity_converted","capacity_hours"))))</f>
        <v>cash</v>
      </c>
      <c r="S127" s="11" t="n">
        <f aca="false">IF(OR(R127="",R127="capacity_hours"),0,IF(R127="capacity_converted",P127*Q127,P127))</f>
        <v>25638.9094</v>
      </c>
      <c r="T127" s="11" t="n">
        <f aca="false">IF(OR(R127="cash",R127="revenue",R127="avoided_cost_realised",R127="capacity_converted"),1,0)</f>
        <v>1</v>
      </c>
      <c r="U127" s="11" t="n">
        <f aca="false">IF(AND(N127,R127&lt;&gt;"capacity_hours",LEN(K127)&gt;0),1,0)</f>
        <v>1</v>
      </c>
      <c r="V127" s="11" t="n">
        <f aca="false">IF(U127=1,SUMPRODUCT(($K$4:$K$703=K127)*($F$4:$F$703=F127)*($U$4:$U$703=1)*($B$4:$B$703&lt;&gt;B127)),0)</f>
        <v>0</v>
      </c>
      <c r="W127" s="11" t="n">
        <f aca="false">IF(AND(U127=1,V127&gt;0),1+SUMPRODUCT(($K$4:$K$703=K127)*($F$4:$F$703=F127)*($U$4:$U$703=1)*($S$4:$S$703&gt;S127))+SUMPRODUCT(($K$4:$K$703=K127)*($F$4:$F$703=F127)*($U$4:$U$703=1)*($S$4:$S$703=S127)*($T$4:$T$703&gt;T127))+SUMPRODUCT(($K$4:$K$703=K127)*($F$4:$F$703=F127)*($U$4:$U$703=1)*($S$4:$S$703=S127)*($T$4:$T$703=T127)*($C$4:$C$703&lt;C127))+SUMPRODUCT(($K$4:$K$703=K127)*($F$4:$F$703=F127)*($U$4:$U$703=1)*($S$4:$S$703=S127)*($T$4:$T$703=T127)*($C$4:$C$703=C127)*($D$4:$D$703&lt;D127)),0)</f>
        <v>0</v>
      </c>
      <c r="X127" s="11" t="n">
        <f aca="false">IF(AND(U127=1,V127&gt;0,W127&gt;1),S127,0)</f>
        <v>0</v>
      </c>
      <c r="Y127" s="11" t="n">
        <f aca="false">IF(T127=1,X127/(1+Controls!$B$11)^F127,0)</f>
        <v>0</v>
      </c>
      <c r="Z127" s="11" t="n">
        <f aca="false">IF(AND(N127,E127="capacity",LEN(K127)&gt;0),1,0)</f>
        <v>0</v>
      </c>
      <c r="AA127" s="11" t="n">
        <f aca="false">IF(Z127=1,SUMPRODUCT(($K$4:$K$703=K127)*($F$4:$F$703=F127)*($Z$4:$Z$703=1)*($B$4:$B$703&lt;&gt;B127)),0)</f>
        <v>0</v>
      </c>
      <c r="AB127" s="11" t="n">
        <f aca="false">IF(AND(Z127=1,AA127&gt;0),1+SUMPRODUCT(($K$4:$K$703=K127)*($F$4:$F$703=F127)*($Z$4:$Z$703=1)*($P$4:$P$703&gt;P127))+SUMPRODUCT(($K$4:$K$703=K127)*($F$4:$F$703=F127)*($Z$4:$Z$703=1)*($P$4:$P$703=P127)*($C$4:$C$703&lt;C127))+SUMPRODUCT(($K$4:$K$703=K127)*($F$4:$F$703=F127)*($Z$4:$Z$703=1)*($P$4:$P$703=P127)*($C$4:$C$703=C127)*($D$4:$D$703&lt;D127)),0)</f>
        <v>0</v>
      </c>
      <c r="AC127" s="11" t="n">
        <f aca="false">IF(AND(Z127=1,AA127&gt;0,AB127&gt;1),P127,0)</f>
        <v>0</v>
      </c>
    </row>
    <row r="128" customFormat="false" ht="15" hidden="false" customHeight="false" outlineLevel="0" collapsed="false">
      <c r="A128" s="4" t="s">
        <v>342</v>
      </c>
      <c r="B128" s="4" t="s">
        <v>86</v>
      </c>
      <c r="C128" s="4" t="n">
        <v>4</v>
      </c>
      <c r="D128" s="4" t="n">
        <v>125</v>
      </c>
      <c r="E128" s="4" t="s">
        <v>112</v>
      </c>
      <c r="F128" s="4" t="n">
        <v>9</v>
      </c>
      <c r="G128" s="4" t="n">
        <v>5</v>
      </c>
      <c r="H128" s="4" t="n">
        <v>92300</v>
      </c>
      <c r="I128" s="13" t="b">
        <f aca="false">FALSE()</f>
        <v>0</v>
      </c>
      <c r="K128" s="4" t="s">
        <v>338</v>
      </c>
      <c r="L128" s="4" t="n">
        <v>8237.78</v>
      </c>
      <c r="M128" s="11" t="n">
        <f aca="false">IFERROR(MATCH(Controls!$B$3&amp;"|"&amp;B128,'Scenario inputs'!$A$4:$A$213,0),0)</f>
        <v>135</v>
      </c>
      <c r="N128" s="8" t="b">
        <f aca="false">IF(M128=0,FALSE(),F128&lt;Controls!$B$12)</f>
        <v>1</v>
      </c>
      <c r="O128" s="11" t="n">
        <f aca="false">IF(N128,IF(INDEX('Scenario inputs'!$E$4:$E$213,M128)=0,1,INDEX('Scenario inputs'!$F$4:$M$213,M128,MIN(MAX(F128-G128,0),INDEX('Scenario inputs'!$E$4:$E$213,M128)-1)+1)),0)</f>
        <v>0.416667</v>
      </c>
      <c r="P128" s="11" t="n">
        <f aca="false">H128*O128</f>
        <v>38458.3641</v>
      </c>
      <c r="Q128" s="11" t="n">
        <f aca="false">IF(M128=0,"",IF(ISNUMBER(INDEX('Scenario inputs'!$N$4:$N$213,M128)),INDEX('Scenario inputs'!$N$4:$N$213,M128),""))</f>
        <v>45.12</v>
      </c>
      <c r="R128" s="0" t="str">
        <f aca="false">IF(NOT(N128),"",IF(OR(E128="cash",E128="revenue"),E128,IF(E128="avoided_cost",IF(AND(I128,LEN(TRIM(J128))&gt;0),"avoided_cost_realised","avoided_cost_beside"),IF(ISNUMBER(Q128),"capacity_converted","capacity_hours"))))</f>
        <v>cash</v>
      </c>
      <c r="S128" s="11" t="n">
        <f aca="false">IF(OR(R128="",R128="capacity_hours"),0,IF(R128="capacity_converted",P128*Q128,P128))</f>
        <v>38458.3641</v>
      </c>
      <c r="T128" s="11" t="n">
        <f aca="false">IF(OR(R128="cash",R128="revenue",R128="avoided_cost_realised",R128="capacity_converted"),1,0)</f>
        <v>1</v>
      </c>
      <c r="U128" s="11" t="n">
        <f aca="false">IF(AND(N128,R128&lt;&gt;"capacity_hours",LEN(K128)&gt;0),1,0)</f>
        <v>1</v>
      </c>
      <c r="V128" s="11" t="n">
        <f aca="false">IF(U128=1,SUMPRODUCT(($K$4:$K$703=K128)*($F$4:$F$703=F128)*($U$4:$U$703=1)*($B$4:$B$703&lt;&gt;B128)),0)</f>
        <v>0</v>
      </c>
      <c r="W128" s="11" t="n">
        <f aca="false">IF(AND(U128=1,V128&gt;0),1+SUMPRODUCT(($K$4:$K$703=K128)*($F$4:$F$703=F128)*($U$4:$U$703=1)*($S$4:$S$703&gt;S128))+SUMPRODUCT(($K$4:$K$703=K128)*($F$4:$F$703=F128)*($U$4:$U$703=1)*($S$4:$S$703=S128)*($T$4:$T$703&gt;T128))+SUMPRODUCT(($K$4:$K$703=K128)*($F$4:$F$703=F128)*($U$4:$U$703=1)*($S$4:$S$703=S128)*($T$4:$T$703=T128)*($C$4:$C$703&lt;C128))+SUMPRODUCT(($K$4:$K$703=K128)*($F$4:$F$703=F128)*($U$4:$U$703=1)*($S$4:$S$703=S128)*($T$4:$T$703=T128)*($C$4:$C$703=C128)*($D$4:$D$703&lt;D128)),0)</f>
        <v>0</v>
      </c>
      <c r="X128" s="11" t="n">
        <f aca="false">IF(AND(U128=1,V128&gt;0,W128&gt;1),S128,0)</f>
        <v>0</v>
      </c>
      <c r="Y128" s="11" t="n">
        <f aca="false">IF(T128=1,X128/(1+Controls!$B$11)^F128,0)</f>
        <v>0</v>
      </c>
      <c r="Z128" s="11" t="n">
        <f aca="false">IF(AND(N128,E128="capacity",LEN(K128)&gt;0),1,0)</f>
        <v>0</v>
      </c>
      <c r="AA128" s="11" t="n">
        <f aca="false">IF(Z128=1,SUMPRODUCT(($K$4:$K$703=K128)*($F$4:$F$703=F128)*($Z$4:$Z$703=1)*($B$4:$B$703&lt;&gt;B128)),0)</f>
        <v>0</v>
      </c>
      <c r="AB128" s="11" t="n">
        <f aca="false">IF(AND(Z128=1,AA128&gt;0),1+SUMPRODUCT(($K$4:$K$703=K128)*($F$4:$F$703=F128)*($Z$4:$Z$703=1)*($P$4:$P$703&gt;P128))+SUMPRODUCT(($K$4:$K$703=K128)*($F$4:$F$703=F128)*($Z$4:$Z$703=1)*($P$4:$P$703=P128)*($C$4:$C$703&lt;C128))+SUMPRODUCT(($K$4:$K$703=K128)*($F$4:$F$703=F128)*($Z$4:$Z$703=1)*($P$4:$P$703=P128)*($C$4:$C$703=C128)*($D$4:$D$703&lt;D128)),0)</f>
        <v>0</v>
      </c>
      <c r="AC128" s="11" t="n">
        <f aca="false">IF(AND(Z128=1,AA128&gt;0,AB128&gt;1),P128,0)</f>
        <v>0</v>
      </c>
    </row>
    <row r="129" customFormat="false" ht="15" hidden="false" customHeight="false" outlineLevel="0" collapsed="false">
      <c r="A129" s="4" t="s">
        <v>343</v>
      </c>
      <c r="B129" s="4" t="s">
        <v>86</v>
      </c>
      <c r="C129" s="4" t="n">
        <v>4</v>
      </c>
      <c r="D129" s="4" t="n">
        <v>126</v>
      </c>
      <c r="E129" s="4" t="s">
        <v>112</v>
      </c>
      <c r="F129" s="4" t="n">
        <v>10</v>
      </c>
      <c r="G129" s="4" t="n">
        <v>5</v>
      </c>
      <c r="H129" s="4" t="n">
        <v>92300</v>
      </c>
      <c r="I129" s="13" t="b">
        <f aca="false">FALSE()</f>
        <v>0</v>
      </c>
      <c r="K129" s="4" t="s">
        <v>338</v>
      </c>
      <c r="L129" s="4" t="n">
        <v>11532.88</v>
      </c>
      <c r="M129" s="11" t="n">
        <f aca="false">IFERROR(MATCH(Controls!$B$3&amp;"|"&amp;B129,'Scenario inputs'!$A$4:$A$213,0),0)</f>
        <v>135</v>
      </c>
      <c r="N129" s="8" t="b">
        <f aca="false">IF(M129=0,FALSE(),F129&lt;Controls!$B$12)</f>
        <v>1</v>
      </c>
      <c r="O129" s="11" t="n">
        <f aca="false">IF(N129,IF(INDEX('Scenario inputs'!$E$4:$E$213,M129)=0,1,INDEX('Scenario inputs'!$F$4:$M$213,M129,MIN(MAX(F129-G129,0),INDEX('Scenario inputs'!$E$4:$E$213,M129)-1)+1)),0)</f>
        <v>0.583333</v>
      </c>
      <c r="P129" s="11" t="n">
        <f aca="false">H129*O129</f>
        <v>53841.6359</v>
      </c>
      <c r="Q129" s="11" t="n">
        <f aca="false">IF(M129=0,"",IF(ISNUMBER(INDEX('Scenario inputs'!$N$4:$N$213,M129)),INDEX('Scenario inputs'!$N$4:$N$213,M129),""))</f>
        <v>45.12</v>
      </c>
      <c r="R129" s="0" t="str">
        <f aca="false">IF(NOT(N129),"",IF(OR(E129="cash",E129="revenue"),E129,IF(E129="avoided_cost",IF(AND(I129,LEN(TRIM(J129))&gt;0),"avoided_cost_realised","avoided_cost_beside"),IF(ISNUMBER(Q129),"capacity_converted","capacity_hours"))))</f>
        <v>cash</v>
      </c>
      <c r="S129" s="11" t="n">
        <f aca="false">IF(OR(R129="",R129="capacity_hours"),0,IF(R129="capacity_converted",P129*Q129,P129))</f>
        <v>53841.6359</v>
      </c>
      <c r="T129" s="11" t="n">
        <f aca="false">IF(OR(R129="cash",R129="revenue",R129="avoided_cost_realised",R129="capacity_converted"),1,0)</f>
        <v>1</v>
      </c>
      <c r="U129" s="11" t="n">
        <f aca="false">IF(AND(N129,R129&lt;&gt;"capacity_hours",LEN(K129)&gt;0),1,0)</f>
        <v>1</v>
      </c>
      <c r="V129" s="11" t="n">
        <f aca="false">IF(U129=1,SUMPRODUCT(($K$4:$K$703=K129)*($F$4:$F$703=F129)*($U$4:$U$703=1)*($B$4:$B$703&lt;&gt;B129)),0)</f>
        <v>0</v>
      </c>
      <c r="W129" s="11" t="n">
        <f aca="false">IF(AND(U129=1,V129&gt;0),1+SUMPRODUCT(($K$4:$K$703=K129)*($F$4:$F$703=F129)*($U$4:$U$703=1)*($S$4:$S$703&gt;S129))+SUMPRODUCT(($K$4:$K$703=K129)*($F$4:$F$703=F129)*($U$4:$U$703=1)*($S$4:$S$703=S129)*($T$4:$T$703&gt;T129))+SUMPRODUCT(($K$4:$K$703=K129)*($F$4:$F$703=F129)*($U$4:$U$703=1)*($S$4:$S$703=S129)*($T$4:$T$703=T129)*($C$4:$C$703&lt;C129))+SUMPRODUCT(($K$4:$K$703=K129)*($F$4:$F$703=F129)*($U$4:$U$703=1)*($S$4:$S$703=S129)*($T$4:$T$703=T129)*($C$4:$C$703=C129)*($D$4:$D$703&lt;D129)),0)</f>
        <v>0</v>
      </c>
      <c r="X129" s="11" t="n">
        <f aca="false">IF(AND(U129=1,V129&gt;0,W129&gt;1),S129,0)</f>
        <v>0</v>
      </c>
      <c r="Y129" s="11" t="n">
        <f aca="false">IF(T129=1,X129/(1+Controls!$B$11)^F129,0)</f>
        <v>0</v>
      </c>
      <c r="Z129" s="11" t="n">
        <f aca="false">IF(AND(N129,E129="capacity",LEN(K129)&gt;0),1,0)</f>
        <v>0</v>
      </c>
      <c r="AA129" s="11" t="n">
        <f aca="false">IF(Z129=1,SUMPRODUCT(($K$4:$K$703=K129)*($F$4:$F$703=F129)*($Z$4:$Z$703=1)*($B$4:$B$703&lt;&gt;B129)),0)</f>
        <v>0</v>
      </c>
      <c r="AB129" s="11" t="n">
        <f aca="false">IF(AND(Z129=1,AA129&gt;0),1+SUMPRODUCT(($K$4:$K$703=K129)*($F$4:$F$703=F129)*($Z$4:$Z$703=1)*($P$4:$P$703&gt;P129))+SUMPRODUCT(($K$4:$K$703=K129)*($F$4:$F$703=F129)*($Z$4:$Z$703=1)*($P$4:$P$703=P129)*($C$4:$C$703&lt;C129))+SUMPRODUCT(($K$4:$K$703=K129)*($F$4:$F$703=F129)*($Z$4:$Z$703=1)*($P$4:$P$703=P129)*($C$4:$C$703=C129)*($D$4:$D$703&lt;D129)),0)</f>
        <v>0</v>
      </c>
      <c r="AC129" s="11" t="n">
        <f aca="false">IF(AND(Z129=1,AA129&gt;0,AB129&gt;1),P129,0)</f>
        <v>0</v>
      </c>
    </row>
    <row r="130" customFormat="false" ht="15" hidden="false" customHeight="false" outlineLevel="0" collapsed="false">
      <c r="A130" s="4" t="s">
        <v>344</v>
      </c>
      <c r="B130" s="4" t="s">
        <v>86</v>
      </c>
      <c r="C130" s="4" t="n">
        <v>4</v>
      </c>
      <c r="D130" s="4" t="n">
        <v>127</v>
      </c>
      <c r="E130" s="4" t="s">
        <v>112</v>
      </c>
      <c r="F130" s="4" t="n">
        <v>11</v>
      </c>
      <c r="G130" s="4" t="n">
        <v>5</v>
      </c>
      <c r="H130" s="4" t="n">
        <v>92300</v>
      </c>
      <c r="I130" s="13" t="b">
        <f aca="false">FALSE()</f>
        <v>0</v>
      </c>
      <c r="K130" s="4" t="s">
        <v>338</v>
      </c>
      <c r="L130" s="4" t="n">
        <v>15377.18</v>
      </c>
      <c r="M130" s="11" t="n">
        <f aca="false">IFERROR(MATCH(Controls!$B$3&amp;"|"&amp;B130,'Scenario inputs'!$A$4:$A$213,0),0)</f>
        <v>135</v>
      </c>
      <c r="N130" s="8" t="b">
        <f aca="false">IF(M130=0,FALSE(),F130&lt;Controls!$B$12)</f>
        <v>1</v>
      </c>
      <c r="O130" s="11" t="n">
        <f aca="false">IF(N130,IF(INDEX('Scenario inputs'!$E$4:$E$213,M130)=0,1,INDEX('Scenario inputs'!$F$4:$M$213,M130,MIN(MAX(F130-G130,0),INDEX('Scenario inputs'!$E$4:$E$213,M130)-1)+1)),0)</f>
        <v>0.777778</v>
      </c>
      <c r="P130" s="11" t="n">
        <f aca="false">H130*O130</f>
        <v>71788.9094</v>
      </c>
      <c r="Q130" s="11" t="n">
        <f aca="false">IF(M130=0,"",IF(ISNUMBER(INDEX('Scenario inputs'!$N$4:$N$213,M130)),INDEX('Scenario inputs'!$N$4:$N$213,M130),""))</f>
        <v>45.12</v>
      </c>
      <c r="R130" s="0" t="str">
        <f aca="false">IF(NOT(N130),"",IF(OR(E130="cash",E130="revenue"),E130,IF(E130="avoided_cost",IF(AND(I130,LEN(TRIM(J130))&gt;0),"avoided_cost_realised","avoided_cost_beside"),IF(ISNUMBER(Q130),"capacity_converted","capacity_hours"))))</f>
        <v>cash</v>
      </c>
      <c r="S130" s="11" t="n">
        <f aca="false">IF(OR(R130="",R130="capacity_hours"),0,IF(R130="capacity_converted",P130*Q130,P130))</f>
        <v>71788.9094</v>
      </c>
      <c r="T130" s="11" t="n">
        <f aca="false">IF(OR(R130="cash",R130="revenue",R130="avoided_cost_realised",R130="capacity_converted"),1,0)</f>
        <v>1</v>
      </c>
      <c r="U130" s="11" t="n">
        <f aca="false">IF(AND(N130,R130&lt;&gt;"capacity_hours",LEN(K130)&gt;0),1,0)</f>
        <v>1</v>
      </c>
      <c r="V130" s="11" t="n">
        <f aca="false">IF(U130=1,SUMPRODUCT(($K$4:$K$703=K130)*($F$4:$F$703=F130)*($U$4:$U$703=1)*($B$4:$B$703&lt;&gt;B130)),0)</f>
        <v>0</v>
      </c>
      <c r="W130" s="11" t="n">
        <f aca="false">IF(AND(U130=1,V130&gt;0),1+SUMPRODUCT(($K$4:$K$703=K130)*($F$4:$F$703=F130)*($U$4:$U$703=1)*($S$4:$S$703&gt;S130))+SUMPRODUCT(($K$4:$K$703=K130)*($F$4:$F$703=F130)*($U$4:$U$703=1)*($S$4:$S$703=S130)*($T$4:$T$703&gt;T130))+SUMPRODUCT(($K$4:$K$703=K130)*($F$4:$F$703=F130)*($U$4:$U$703=1)*($S$4:$S$703=S130)*($T$4:$T$703=T130)*($C$4:$C$703&lt;C130))+SUMPRODUCT(($K$4:$K$703=K130)*($F$4:$F$703=F130)*($U$4:$U$703=1)*($S$4:$S$703=S130)*($T$4:$T$703=T130)*($C$4:$C$703=C130)*($D$4:$D$703&lt;D130)),0)</f>
        <v>0</v>
      </c>
      <c r="X130" s="11" t="n">
        <f aca="false">IF(AND(U130=1,V130&gt;0,W130&gt;1),S130,0)</f>
        <v>0</v>
      </c>
      <c r="Y130" s="11" t="n">
        <f aca="false">IF(T130=1,X130/(1+Controls!$B$11)^F130,0)</f>
        <v>0</v>
      </c>
      <c r="Z130" s="11" t="n">
        <f aca="false">IF(AND(N130,E130="capacity",LEN(K130)&gt;0),1,0)</f>
        <v>0</v>
      </c>
      <c r="AA130" s="11" t="n">
        <f aca="false">IF(Z130=1,SUMPRODUCT(($K$4:$K$703=K130)*($F$4:$F$703=F130)*($Z$4:$Z$703=1)*($B$4:$B$703&lt;&gt;B130)),0)</f>
        <v>0</v>
      </c>
      <c r="AB130" s="11" t="n">
        <f aca="false">IF(AND(Z130=1,AA130&gt;0),1+SUMPRODUCT(($K$4:$K$703=K130)*($F$4:$F$703=F130)*($Z$4:$Z$703=1)*($P$4:$P$703&gt;P130))+SUMPRODUCT(($K$4:$K$703=K130)*($F$4:$F$703=F130)*($Z$4:$Z$703=1)*($P$4:$P$703=P130)*($C$4:$C$703&lt;C130))+SUMPRODUCT(($K$4:$K$703=K130)*($F$4:$F$703=F130)*($Z$4:$Z$703=1)*($P$4:$P$703=P130)*($C$4:$C$703=C130)*($D$4:$D$703&lt;D130)),0)</f>
        <v>0</v>
      </c>
      <c r="AC130" s="11" t="n">
        <f aca="false">IF(AND(Z130=1,AA130&gt;0,AB130&gt;1),P130,0)</f>
        <v>0</v>
      </c>
    </row>
    <row r="131" customFormat="false" ht="15" hidden="false" customHeight="false" outlineLevel="0" collapsed="false">
      <c r="A131" s="4" t="s">
        <v>345</v>
      </c>
      <c r="B131" s="4" t="s">
        <v>86</v>
      </c>
      <c r="C131" s="4" t="n">
        <v>4</v>
      </c>
      <c r="D131" s="4" t="n">
        <v>128</v>
      </c>
      <c r="E131" s="4" t="s">
        <v>112</v>
      </c>
      <c r="F131" s="4" t="n">
        <v>12</v>
      </c>
      <c r="G131" s="4" t="n">
        <v>5</v>
      </c>
      <c r="H131" s="4" t="n">
        <v>92300</v>
      </c>
      <c r="I131" s="13" t="b">
        <f aca="false">FALSE()</f>
        <v>0</v>
      </c>
      <c r="K131" s="4" t="s">
        <v>338</v>
      </c>
      <c r="L131" s="4" t="n">
        <v>19770.66</v>
      </c>
      <c r="M131" s="11" t="n">
        <f aca="false">IFERROR(MATCH(Controls!$B$3&amp;"|"&amp;B131,'Scenario inputs'!$A$4:$A$213,0),0)</f>
        <v>135</v>
      </c>
      <c r="N131" s="8" t="b">
        <f aca="false">IF(M131=0,FALSE(),F131&lt;Controls!$B$12)</f>
        <v>1</v>
      </c>
      <c r="O131" s="11" t="n">
        <f aca="false">IF(N131,IF(INDEX('Scenario inputs'!$E$4:$E$213,M131)=0,1,INDEX('Scenario inputs'!$F$4:$M$213,M131,MIN(MAX(F131-G131,0),INDEX('Scenario inputs'!$E$4:$E$213,M131)-1)+1)),0)</f>
        <v>1</v>
      </c>
      <c r="P131" s="11" t="n">
        <f aca="false">H131*O131</f>
        <v>92300</v>
      </c>
      <c r="Q131" s="11" t="n">
        <f aca="false">IF(M131=0,"",IF(ISNUMBER(INDEX('Scenario inputs'!$N$4:$N$213,M131)),INDEX('Scenario inputs'!$N$4:$N$213,M131),""))</f>
        <v>45.12</v>
      </c>
      <c r="R131" s="0" t="str">
        <f aca="false">IF(NOT(N131),"",IF(OR(E131="cash",E131="revenue"),E131,IF(E131="avoided_cost",IF(AND(I131,LEN(TRIM(J131))&gt;0),"avoided_cost_realised","avoided_cost_beside"),IF(ISNUMBER(Q131),"capacity_converted","capacity_hours"))))</f>
        <v>cash</v>
      </c>
      <c r="S131" s="11" t="n">
        <f aca="false">IF(OR(R131="",R131="capacity_hours"),0,IF(R131="capacity_converted",P131*Q131,P131))</f>
        <v>92300</v>
      </c>
      <c r="T131" s="11" t="n">
        <f aca="false">IF(OR(R131="cash",R131="revenue",R131="avoided_cost_realised",R131="capacity_converted"),1,0)</f>
        <v>1</v>
      </c>
      <c r="U131" s="11" t="n">
        <f aca="false">IF(AND(N131,R131&lt;&gt;"capacity_hours",LEN(K131)&gt;0),1,0)</f>
        <v>1</v>
      </c>
      <c r="V131" s="11" t="n">
        <f aca="false">IF(U131=1,SUMPRODUCT(($K$4:$K$703=K131)*($F$4:$F$703=F131)*($U$4:$U$703=1)*($B$4:$B$703&lt;&gt;B131)),0)</f>
        <v>0</v>
      </c>
      <c r="W131" s="11" t="n">
        <f aca="false">IF(AND(U131=1,V131&gt;0),1+SUMPRODUCT(($K$4:$K$703=K131)*($F$4:$F$703=F131)*($U$4:$U$703=1)*($S$4:$S$703&gt;S131))+SUMPRODUCT(($K$4:$K$703=K131)*($F$4:$F$703=F131)*($U$4:$U$703=1)*($S$4:$S$703=S131)*($T$4:$T$703&gt;T131))+SUMPRODUCT(($K$4:$K$703=K131)*($F$4:$F$703=F131)*($U$4:$U$703=1)*($S$4:$S$703=S131)*($T$4:$T$703=T131)*($C$4:$C$703&lt;C131))+SUMPRODUCT(($K$4:$K$703=K131)*($F$4:$F$703=F131)*($U$4:$U$703=1)*($S$4:$S$703=S131)*($T$4:$T$703=T131)*($C$4:$C$703=C131)*($D$4:$D$703&lt;D131)),0)</f>
        <v>0</v>
      </c>
      <c r="X131" s="11" t="n">
        <f aca="false">IF(AND(U131=1,V131&gt;0,W131&gt;1),S131,0)</f>
        <v>0</v>
      </c>
      <c r="Y131" s="11" t="n">
        <f aca="false">IF(T131=1,X131/(1+Controls!$B$11)^F131,0)</f>
        <v>0</v>
      </c>
      <c r="Z131" s="11" t="n">
        <f aca="false">IF(AND(N131,E131="capacity",LEN(K131)&gt;0),1,0)</f>
        <v>0</v>
      </c>
      <c r="AA131" s="11" t="n">
        <f aca="false">IF(Z131=1,SUMPRODUCT(($K$4:$K$703=K131)*($F$4:$F$703=F131)*($Z$4:$Z$703=1)*($B$4:$B$703&lt;&gt;B131)),0)</f>
        <v>0</v>
      </c>
      <c r="AB131" s="11" t="n">
        <f aca="false">IF(AND(Z131=1,AA131&gt;0),1+SUMPRODUCT(($K$4:$K$703=K131)*($F$4:$F$703=F131)*($Z$4:$Z$703=1)*($P$4:$P$703&gt;P131))+SUMPRODUCT(($K$4:$K$703=K131)*($F$4:$F$703=F131)*($Z$4:$Z$703=1)*($P$4:$P$703=P131)*($C$4:$C$703&lt;C131))+SUMPRODUCT(($K$4:$K$703=K131)*($F$4:$F$703=F131)*($Z$4:$Z$703=1)*($P$4:$P$703=P131)*($C$4:$C$703=C131)*($D$4:$D$703&lt;D131)),0)</f>
        <v>0</v>
      </c>
      <c r="AC131" s="11" t="n">
        <f aca="false">IF(AND(Z131=1,AA131&gt;0,AB131&gt;1),P131,0)</f>
        <v>0</v>
      </c>
    </row>
    <row r="132" customFormat="false" ht="15" hidden="false" customHeight="false" outlineLevel="0" collapsed="false">
      <c r="A132" s="4" t="s">
        <v>346</v>
      </c>
      <c r="B132" s="4" t="s">
        <v>86</v>
      </c>
      <c r="C132" s="4" t="n">
        <v>4</v>
      </c>
      <c r="D132" s="4" t="n">
        <v>129</v>
      </c>
      <c r="E132" s="4" t="s">
        <v>112</v>
      </c>
      <c r="F132" s="4" t="n">
        <v>13</v>
      </c>
      <c r="G132" s="4" t="n">
        <v>5</v>
      </c>
      <c r="H132" s="4" t="n">
        <v>92300</v>
      </c>
      <c r="I132" s="13" t="b">
        <f aca="false">FALSE()</f>
        <v>0</v>
      </c>
      <c r="K132" s="4" t="s">
        <v>338</v>
      </c>
      <c r="L132" s="4" t="n">
        <v>19770.66</v>
      </c>
      <c r="M132" s="11" t="n">
        <f aca="false">IFERROR(MATCH(Controls!$B$3&amp;"|"&amp;B132,'Scenario inputs'!$A$4:$A$213,0),0)</f>
        <v>135</v>
      </c>
      <c r="N132" s="8" t="b">
        <f aca="false">IF(M132=0,FALSE(),F132&lt;Controls!$B$12)</f>
        <v>1</v>
      </c>
      <c r="O132" s="11" t="n">
        <f aca="false">IF(N132,IF(INDEX('Scenario inputs'!$E$4:$E$213,M132)=0,1,INDEX('Scenario inputs'!$F$4:$M$213,M132,MIN(MAX(F132-G132,0),INDEX('Scenario inputs'!$E$4:$E$213,M132)-1)+1)),0)</f>
        <v>1</v>
      </c>
      <c r="P132" s="11" t="n">
        <f aca="false">H132*O132</f>
        <v>92300</v>
      </c>
      <c r="Q132" s="11" t="n">
        <f aca="false">IF(M132=0,"",IF(ISNUMBER(INDEX('Scenario inputs'!$N$4:$N$213,M132)),INDEX('Scenario inputs'!$N$4:$N$213,M132),""))</f>
        <v>45.12</v>
      </c>
      <c r="R132" s="0" t="str">
        <f aca="false">IF(NOT(N132),"",IF(OR(E132="cash",E132="revenue"),E132,IF(E132="avoided_cost",IF(AND(I132,LEN(TRIM(J132))&gt;0),"avoided_cost_realised","avoided_cost_beside"),IF(ISNUMBER(Q132),"capacity_converted","capacity_hours"))))</f>
        <v>cash</v>
      </c>
      <c r="S132" s="11" t="n">
        <f aca="false">IF(OR(R132="",R132="capacity_hours"),0,IF(R132="capacity_converted",P132*Q132,P132))</f>
        <v>92300</v>
      </c>
      <c r="T132" s="11" t="n">
        <f aca="false">IF(OR(R132="cash",R132="revenue",R132="avoided_cost_realised",R132="capacity_converted"),1,0)</f>
        <v>1</v>
      </c>
      <c r="U132" s="11" t="n">
        <f aca="false">IF(AND(N132,R132&lt;&gt;"capacity_hours",LEN(K132)&gt;0),1,0)</f>
        <v>1</v>
      </c>
      <c r="V132" s="11" t="n">
        <f aca="false">IF(U132=1,SUMPRODUCT(($K$4:$K$703=K132)*($F$4:$F$703=F132)*($U$4:$U$703=1)*($B$4:$B$703&lt;&gt;B132)),0)</f>
        <v>0</v>
      </c>
      <c r="W132" s="11" t="n">
        <f aca="false">IF(AND(U132=1,V132&gt;0),1+SUMPRODUCT(($K$4:$K$703=K132)*($F$4:$F$703=F132)*($U$4:$U$703=1)*($S$4:$S$703&gt;S132))+SUMPRODUCT(($K$4:$K$703=K132)*($F$4:$F$703=F132)*($U$4:$U$703=1)*($S$4:$S$703=S132)*($T$4:$T$703&gt;T132))+SUMPRODUCT(($K$4:$K$703=K132)*($F$4:$F$703=F132)*($U$4:$U$703=1)*($S$4:$S$703=S132)*($T$4:$T$703=T132)*($C$4:$C$703&lt;C132))+SUMPRODUCT(($K$4:$K$703=K132)*($F$4:$F$703=F132)*($U$4:$U$703=1)*($S$4:$S$703=S132)*($T$4:$T$703=T132)*($C$4:$C$703=C132)*($D$4:$D$703&lt;D132)),0)</f>
        <v>0</v>
      </c>
      <c r="X132" s="11" t="n">
        <f aca="false">IF(AND(U132=1,V132&gt;0,W132&gt;1),S132,0)</f>
        <v>0</v>
      </c>
      <c r="Y132" s="11" t="n">
        <f aca="false">IF(T132=1,X132/(1+Controls!$B$11)^F132,0)</f>
        <v>0</v>
      </c>
      <c r="Z132" s="11" t="n">
        <f aca="false">IF(AND(N132,E132="capacity",LEN(K132)&gt;0),1,0)</f>
        <v>0</v>
      </c>
      <c r="AA132" s="11" t="n">
        <f aca="false">IF(Z132=1,SUMPRODUCT(($K$4:$K$703=K132)*($F$4:$F$703=F132)*($Z$4:$Z$703=1)*($B$4:$B$703&lt;&gt;B132)),0)</f>
        <v>0</v>
      </c>
      <c r="AB132" s="11" t="n">
        <f aca="false">IF(AND(Z132=1,AA132&gt;0),1+SUMPRODUCT(($K$4:$K$703=K132)*($F$4:$F$703=F132)*($Z$4:$Z$703=1)*($P$4:$P$703&gt;P132))+SUMPRODUCT(($K$4:$K$703=K132)*($F$4:$F$703=F132)*($Z$4:$Z$703=1)*($P$4:$P$703=P132)*($C$4:$C$703&lt;C132))+SUMPRODUCT(($K$4:$K$703=K132)*($F$4:$F$703=F132)*($Z$4:$Z$703=1)*($P$4:$P$703=P132)*($C$4:$C$703=C132)*($D$4:$D$703&lt;D132)),0)</f>
        <v>0</v>
      </c>
      <c r="AC132" s="11" t="n">
        <f aca="false">IF(AND(Z132=1,AA132&gt;0,AB132&gt;1),P132,0)</f>
        <v>0</v>
      </c>
    </row>
    <row r="133" customFormat="false" ht="15" hidden="false" customHeight="false" outlineLevel="0" collapsed="false">
      <c r="A133" s="4" t="s">
        <v>347</v>
      </c>
      <c r="B133" s="4" t="s">
        <v>86</v>
      </c>
      <c r="C133" s="4" t="n">
        <v>4</v>
      </c>
      <c r="D133" s="4" t="n">
        <v>130</v>
      </c>
      <c r="E133" s="4" t="s">
        <v>112</v>
      </c>
      <c r="F133" s="4" t="n">
        <v>14</v>
      </c>
      <c r="G133" s="4" t="n">
        <v>5</v>
      </c>
      <c r="H133" s="4" t="n">
        <v>92300</v>
      </c>
      <c r="I133" s="13" t="b">
        <f aca="false">FALSE()</f>
        <v>0</v>
      </c>
      <c r="K133" s="4" t="s">
        <v>338</v>
      </c>
      <c r="L133" s="4" t="n">
        <v>19770.66</v>
      </c>
      <c r="M133" s="11" t="n">
        <f aca="false">IFERROR(MATCH(Controls!$B$3&amp;"|"&amp;B133,'Scenario inputs'!$A$4:$A$213,0),0)</f>
        <v>135</v>
      </c>
      <c r="N133" s="8" t="b">
        <f aca="false">IF(M133=0,FALSE(),F133&lt;Controls!$B$12)</f>
        <v>1</v>
      </c>
      <c r="O133" s="11" t="n">
        <f aca="false">IF(N133,IF(INDEX('Scenario inputs'!$E$4:$E$213,M133)=0,1,INDEX('Scenario inputs'!$F$4:$M$213,M133,MIN(MAX(F133-G133,0),INDEX('Scenario inputs'!$E$4:$E$213,M133)-1)+1)),0)</f>
        <v>1</v>
      </c>
      <c r="P133" s="11" t="n">
        <f aca="false">H133*O133</f>
        <v>92300</v>
      </c>
      <c r="Q133" s="11" t="n">
        <f aca="false">IF(M133=0,"",IF(ISNUMBER(INDEX('Scenario inputs'!$N$4:$N$213,M133)),INDEX('Scenario inputs'!$N$4:$N$213,M133),""))</f>
        <v>45.12</v>
      </c>
      <c r="R133" s="0" t="str">
        <f aca="false">IF(NOT(N133),"",IF(OR(E133="cash",E133="revenue"),E133,IF(E133="avoided_cost",IF(AND(I133,LEN(TRIM(J133))&gt;0),"avoided_cost_realised","avoided_cost_beside"),IF(ISNUMBER(Q133),"capacity_converted","capacity_hours"))))</f>
        <v>cash</v>
      </c>
      <c r="S133" s="11" t="n">
        <f aca="false">IF(OR(R133="",R133="capacity_hours"),0,IF(R133="capacity_converted",P133*Q133,P133))</f>
        <v>92300</v>
      </c>
      <c r="T133" s="11" t="n">
        <f aca="false">IF(OR(R133="cash",R133="revenue",R133="avoided_cost_realised",R133="capacity_converted"),1,0)</f>
        <v>1</v>
      </c>
      <c r="U133" s="11" t="n">
        <f aca="false">IF(AND(N133,R133&lt;&gt;"capacity_hours",LEN(K133)&gt;0),1,0)</f>
        <v>1</v>
      </c>
      <c r="V133" s="11" t="n">
        <f aca="false">IF(U133=1,SUMPRODUCT(($K$4:$K$703=K133)*($F$4:$F$703=F133)*($U$4:$U$703=1)*($B$4:$B$703&lt;&gt;B133)),0)</f>
        <v>0</v>
      </c>
      <c r="W133" s="11" t="n">
        <f aca="false">IF(AND(U133=1,V133&gt;0),1+SUMPRODUCT(($K$4:$K$703=K133)*($F$4:$F$703=F133)*($U$4:$U$703=1)*($S$4:$S$703&gt;S133))+SUMPRODUCT(($K$4:$K$703=K133)*($F$4:$F$703=F133)*($U$4:$U$703=1)*($S$4:$S$703=S133)*($T$4:$T$703&gt;T133))+SUMPRODUCT(($K$4:$K$703=K133)*($F$4:$F$703=F133)*($U$4:$U$703=1)*($S$4:$S$703=S133)*($T$4:$T$703=T133)*($C$4:$C$703&lt;C133))+SUMPRODUCT(($K$4:$K$703=K133)*($F$4:$F$703=F133)*($U$4:$U$703=1)*($S$4:$S$703=S133)*($T$4:$T$703=T133)*($C$4:$C$703=C133)*($D$4:$D$703&lt;D133)),0)</f>
        <v>0</v>
      </c>
      <c r="X133" s="11" t="n">
        <f aca="false">IF(AND(U133=1,V133&gt;0,W133&gt;1),S133,0)</f>
        <v>0</v>
      </c>
      <c r="Y133" s="11" t="n">
        <f aca="false">IF(T133=1,X133/(1+Controls!$B$11)^F133,0)</f>
        <v>0</v>
      </c>
      <c r="Z133" s="11" t="n">
        <f aca="false">IF(AND(N133,E133="capacity",LEN(K133)&gt;0),1,0)</f>
        <v>0</v>
      </c>
      <c r="AA133" s="11" t="n">
        <f aca="false">IF(Z133=1,SUMPRODUCT(($K$4:$K$703=K133)*($F$4:$F$703=F133)*($Z$4:$Z$703=1)*($B$4:$B$703&lt;&gt;B133)),0)</f>
        <v>0</v>
      </c>
      <c r="AB133" s="11" t="n">
        <f aca="false">IF(AND(Z133=1,AA133&gt;0),1+SUMPRODUCT(($K$4:$K$703=K133)*($F$4:$F$703=F133)*($Z$4:$Z$703=1)*($P$4:$P$703&gt;P133))+SUMPRODUCT(($K$4:$K$703=K133)*($F$4:$F$703=F133)*($Z$4:$Z$703=1)*($P$4:$P$703=P133)*($C$4:$C$703&lt;C133))+SUMPRODUCT(($K$4:$K$703=K133)*($F$4:$F$703=F133)*($Z$4:$Z$703=1)*($P$4:$P$703=P133)*($C$4:$C$703=C133)*($D$4:$D$703&lt;D133)),0)</f>
        <v>0</v>
      </c>
      <c r="AC133" s="11" t="n">
        <f aca="false">IF(AND(Z133=1,AA133&gt;0,AB133&gt;1),P133,0)</f>
        <v>0</v>
      </c>
    </row>
    <row r="134" customFormat="false" ht="15" hidden="false" customHeight="false" outlineLevel="0" collapsed="false">
      <c r="A134" s="4" t="s">
        <v>348</v>
      </c>
      <c r="B134" s="4" t="s">
        <v>86</v>
      </c>
      <c r="C134" s="4" t="n">
        <v>4</v>
      </c>
      <c r="D134" s="4" t="n">
        <v>131</v>
      </c>
      <c r="E134" s="4" t="s">
        <v>112</v>
      </c>
      <c r="F134" s="4" t="n">
        <v>15</v>
      </c>
      <c r="G134" s="4" t="n">
        <v>5</v>
      </c>
      <c r="H134" s="4" t="n">
        <v>92300</v>
      </c>
      <c r="I134" s="13" t="b">
        <f aca="false">FALSE()</f>
        <v>0</v>
      </c>
      <c r="K134" s="4" t="s">
        <v>338</v>
      </c>
      <c r="L134" s="4" t="n">
        <v>19770.66</v>
      </c>
      <c r="M134" s="11" t="n">
        <f aca="false">IFERROR(MATCH(Controls!$B$3&amp;"|"&amp;B134,'Scenario inputs'!$A$4:$A$213,0),0)</f>
        <v>135</v>
      </c>
      <c r="N134" s="8" t="b">
        <f aca="false">IF(M134=0,FALSE(),F134&lt;Controls!$B$12)</f>
        <v>1</v>
      </c>
      <c r="O134" s="11" t="n">
        <f aca="false">IF(N134,IF(INDEX('Scenario inputs'!$E$4:$E$213,M134)=0,1,INDEX('Scenario inputs'!$F$4:$M$213,M134,MIN(MAX(F134-G134,0),INDEX('Scenario inputs'!$E$4:$E$213,M134)-1)+1)),0)</f>
        <v>1</v>
      </c>
      <c r="P134" s="11" t="n">
        <f aca="false">H134*O134</f>
        <v>92300</v>
      </c>
      <c r="Q134" s="11" t="n">
        <f aca="false">IF(M134=0,"",IF(ISNUMBER(INDEX('Scenario inputs'!$N$4:$N$213,M134)),INDEX('Scenario inputs'!$N$4:$N$213,M134),""))</f>
        <v>45.12</v>
      </c>
      <c r="R134" s="0" t="str">
        <f aca="false">IF(NOT(N134),"",IF(OR(E134="cash",E134="revenue"),E134,IF(E134="avoided_cost",IF(AND(I134,LEN(TRIM(J134))&gt;0),"avoided_cost_realised","avoided_cost_beside"),IF(ISNUMBER(Q134),"capacity_converted","capacity_hours"))))</f>
        <v>cash</v>
      </c>
      <c r="S134" s="11" t="n">
        <f aca="false">IF(OR(R134="",R134="capacity_hours"),0,IF(R134="capacity_converted",P134*Q134,P134))</f>
        <v>92300</v>
      </c>
      <c r="T134" s="11" t="n">
        <f aca="false">IF(OR(R134="cash",R134="revenue",R134="avoided_cost_realised",R134="capacity_converted"),1,0)</f>
        <v>1</v>
      </c>
      <c r="U134" s="11" t="n">
        <f aca="false">IF(AND(N134,R134&lt;&gt;"capacity_hours",LEN(K134)&gt;0),1,0)</f>
        <v>1</v>
      </c>
      <c r="V134" s="11" t="n">
        <f aca="false">IF(U134=1,SUMPRODUCT(($K$4:$K$703=K134)*($F$4:$F$703=F134)*($U$4:$U$703=1)*($B$4:$B$703&lt;&gt;B134)),0)</f>
        <v>0</v>
      </c>
      <c r="W134" s="11" t="n">
        <f aca="false">IF(AND(U134=1,V134&gt;0),1+SUMPRODUCT(($K$4:$K$703=K134)*($F$4:$F$703=F134)*($U$4:$U$703=1)*($S$4:$S$703&gt;S134))+SUMPRODUCT(($K$4:$K$703=K134)*($F$4:$F$703=F134)*($U$4:$U$703=1)*($S$4:$S$703=S134)*($T$4:$T$703&gt;T134))+SUMPRODUCT(($K$4:$K$703=K134)*($F$4:$F$703=F134)*($U$4:$U$703=1)*($S$4:$S$703=S134)*($T$4:$T$703=T134)*($C$4:$C$703&lt;C134))+SUMPRODUCT(($K$4:$K$703=K134)*($F$4:$F$703=F134)*($U$4:$U$703=1)*($S$4:$S$703=S134)*($T$4:$T$703=T134)*($C$4:$C$703=C134)*($D$4:$D$703&lt;D134)),0)</f>
        <v>0</v>
      </c>
      <c r="X134" s="11" t="n">
        <f aca="false">IF(AND(U134=1,V134&gt;0,W134&gt;1),S134,0)</f>
        <v>0</v>
      </c>
      <c r="Y134" s="11" t="n">
        <f aca="false">IF(T134=1,X134/(1+Controls!$B$11)^F134,0)</f>
        <v>0</v>
      </c>
      <c r="Z134" s="11" t="n">
        <f aca="false">IF(AND(N134,E134="capacity",LEN(K134)&gt;0),1,0)</f>
        <v>0</v>
      </c>
      <c r="AA134" s="11" t="n">
        <f aca="false">IF(Z134=1,SUMPRODUCT(($K$4:$K$703=K134)*($F$4:$F$703=F134)*($Z$4:$Z$703=1)*($B$4:$B$703&lt;&gt;B134)),0)</f>
        <v>0</v>
      </c>
      <c r="AB134" s="11" t="n">
        <f aca="false">IF(AND(Z134=1,AA134&gt;0),1+SUMPRODUCT(($K$4:$K$703=K134)*($F$4:$F$703=F134)*($Z$4:$Z$703=1)*($P$4:$P$703&gt;P134))+SUMPRODUCT(($K$4:$K$703=K134)*($F$4:$F$703=F134)*($Z$4:$Z$703=1)*($P$4:$P$703=P134)*($C$4:$C$703&lt;C134))+SUMPRODUCT(($K$4:$K$703=K134)*($F$4:$F$703=F134)*($Z$4:$Z$703=1)*($P$4:$P$703=P134)*($C$4:$C$703=C134)*($D$4:$D$703&lt;D134)),0)</f>
        <v>0</v>
      </c>
      <c r="AC134" s="11" t="n">
        <f aca="false">IF(AND(Z134=1,AA134&gt;0,AB134&gt;1),P134,0)</f>
        <v>0</v>
      </c>
    </row>
    <row r="135" customFormat="false" ht="15" hidden="false" customHeight="false" outlineLevel="0" collapsed="false">
      <c r="A135" s="4" t="s">
        <v>349</v>
      </c>
      <c r="B135" s="4" t="s">
        <v>86</v>
      </c>
      <c r="C135" s="4" t="n">
        <v>4</v>
      </c>
      <c r="D135" s="4" t="n">
        <v>132</v>
      </c>
      <c r="E135" s="4" t="s">
        <v>112</v>
      </c>
      <c r="F135" s="4" t="n">
        <v>16</v>
      </c>
      <c r="G135" s="4" t="n">
        <v>5</v>
      </c>
      <c r="H135" s="4" t="n">
        <v>92300</v>
      </c>
      <c r="I135" s="13" t="b">
        <f aca="false">FALSE()</f>
        <v>0</v>
      </c>
      <c r="K135" s="4" t="s">
        <v>338</v>
      </c>
      <c r="L135" s="4" t="n">
        <v>19770.66</v>
      </c>
      <c r="M135" s="11" t="n">
        <f aca="false">IFERROR(MATCH(Controls!$B$3&amp;"|"&amp;B135,'Scenario inputs'!$A$4:$A$213,0),0)</f>
        <v>135</v>
      </c>
      <c r="N135" s="8" t="b">
        <f aca="false">IF(M135=0,FALSE(),F135&lt;Controls!$B$12)</f>
        <v>1</v>
      </c>
      <c r="O135" s="11" t="n">
        <f aca="false">IF(N135,IF(INDEX('Scenario inputs'!$E$4:$E$213,M135)=0,1,INDEX('Scenario inputs'!$F$4:$M$213,M135,MIN(MAX(F135-G135,0),INDEX('Scenario inputs'!$E$4:$E$213,M135)-1)+1)),0)</f>
        <v>1</v>
      </c>
      <c r="P135" s="11" t="n">
        <f aca="false">H135*O135</f>
        <v>92300</v>
      </c>
      <c r="Q135" s="11" t="n">
        <f aca="false">IF(M135=0,"",IF(ISNUMBER(INDEX('Scenario inputs'!$N$4:$N$213,M135)),INDEX('Scenario inputs'!$N$4:$N$213,M135),""))</f>
        <v>45.12</v>
      </c>
      <c r="R135" s="0" t="str">
        <f aca="false">IF(NOT(N135),"",IF(OR(E135="cash",E135="revenue"),E135,IF(E135="avoided_cost",IF(AND(I135,LEN(TRIM(J135))&gt;0),"avoided_cost_realised","avoided_cost_beside"),IF(ISNUMBER(Q135),"capacity_converted","capacity_hours"))))</f>
        <v>cash</v>
      </c>
      <c r="S135" s="11" t="n">
        <f aca="false">IF(OR(R135="",R135="capacity_hours"),0,IF(R135="capacity_converted",P135*Q135,P135))</f>
        <v>92300</v>
      </c>
      <c r="T135" s="11" t="n">
        <f aca="false">IF(OR(R135="cash",R135="revenue",R135="avoided_cost_realised",R135="capacity_converted"),1,0)</f>
        <v>1</v>
      </c>
      <c r="U135" s="11" t="n">
        <f aca="false">IF(AND(N135,R135&lt;&gt;"capacity_hours",LEN(K135)&gt;0),1,0)</f>
        <v>1</v>
      </c>
      <c r="V135" s="11" t="n">
        <f aca="false">IF(U135=1,SUMPRODUCT(($K$4:$K$703=K135)*($F$4:$F$703=F135)*($U$4:$U$703=1)*($B$4:$B$703&lt;&gt;B135)),0)</f>
        <v>0</v>
      </c>
      <c r="W135" s="11" t="n">
        <f aca="false">IF(AND(U135=1,V135&gt;0),1+SUMPRODUCT(($K$4:$K$703=K135)*($F$4:$F$703=F135)*($U$4:$U$703=1)*($S$4:$S$703&gt;S135))+SUMPRODUCT(($K$4:$K$703=K135)*($F$4:$F$703=F135)*($U$4:$U$703=1)*($S$4:$S$703=S135)*($T$4:$T$703&gt;T135))+SUMPRODUCT(($K$4:$K$703=K135)*($F$4:$F$703=F135)*($U$4:$U$703=1)*($S$4:$S$703=S135)*($T$4:$T$703=T135)*($C$4:$C$703&lt;C135))+SUMPRODUCT(($K$4:$K$703=K135)*($F$4:$F$703=F135)*($U$4:$U$703=1)*($S$4:$S$703=S135)*($T$4:$T$703=T135)*($C$4:$C$703=C135)*($D$4:$D$703&lt;D135)),0)</f>
        <v>0</v>
      </c>
      <c r="X135" s="11" t="n">
        <f aca="false">IF(AND(U135=1,V135&gt;0,W135&gt;1),S135,0)</f>
        <v>0</v>
      </c>
      <c r="Y135" s="11" t="n">
        <f aca="false">IF(T135=1,X135/(1+Controls!$B$11)^F135,0)</f>
        <v>0</v>
      </c>
      <c r="Z135" s="11" t="n">
        <f aca="false">IF(AND(N135,E135="capacity",LEN(K135)&gt;0),1,0)</f>
        <v>0</v>
      </c>
      <c r="AA135" s="11" t="n">
        <f aca="false">IF(Z135=1,SUMPRODUCT(($K$4:$K$703=K135)*($F$4:$F$703=F135)*($Z$4:$Z$703=1)*($B$4:$B$703&lt;&gt;B135)),0)</f>
        <v>0</v>
      </c>
      <c r="AB135" s="11" t="n">
        <f aca="false">IF(AND(Z135=1,AA135&gt;0),1+SUMPRODUCT(($K$4:$K$703=K135)*($F$4:$F$703=F135)*($Z$4:$Z$703=1)*($P$4:$P$703&gt;P135))+SUMPRODUCT(($K$4:$K$703=K135)*($F$4:$F$703=F135)*($Z$4:$Z$703=1)*($P$4:$P$703=P135)*($C$4:$C$703&lt;C135))+SUMPRODUCT(($K$4:$K$703=K135)*($F$4:$F$703=F135)*($Z$4:$Z$703=1)*($P$4:$P$703=P135)*($C$4:$C$703=C135)*($D$4:$D$703&lt;D135)),0)</f>
        <v>0</v>
      </c>
      <c r="AC135" s="11" t="n">
        <f aca="false">IF(AND(Z135=1,AA135&gt;0,AB135&gt;1),P135,0)</f>
        <v>0</v>
      </c>
    </row>
    <row r="136" customFormat="false" ht="15" hidden="false" customHeight="false" outlineLevel="0" collapsed="false">
      <c r="A136" s="4" t="s">
        <v>350</v>
      </c>
      <c r="B136" s="4" t="s">
        <v>86</v>
      </c>
      <c r="C136" s="4" t="n">
        <v>4</v>
      </c>
      <c r="D136" s="4" t="n">
        <v>133</v>
      </c>
      <c r="E136" s="4" t="s">
        <v>233</v>
      </c>
      <c r="F136" s="4" t="n">
        <v>5</v>
      </c>
      <c r="G136" s="4" t="n">
        <v>5</v>
      </c>
      <c r="H136" s="4" t="n">
        <v>1675.73</v>
      </c>
      <c r="I136" s="13" t="b">
        <f aca="false">FALSE()</f>
        <v>0</v>
      </c>
      <c r="K136" s="4" t="s">
        <v>351</v>
      </c>
      <c r="L136" s="4" t="n">
        <v>8.45</v>
      </c>
      <c r="M136" s="11" t="n">
        <f aca="false">IFERROR(MATCH(Controls!$B$3&amp;"|"&amp;B136,'Scenario inputs'!$A$4:$A$213,0),0)</f>
        <v>135</v>
      </c>
      <c r="N136" s="8" t="b">
        <f aca="false">IF(M136=0,FALSE(),F136&lt;Controls!$B$12)</f>
        <v>1</v>
      </c>
      <c r="O136" s="11" t="n">
        <f aca="false">IF(N136,IF(INDEX('Scenario inputs'!$E$4:$E$213,M136)=0,1,INDEX('Scenario inputs'!$F$4:$M$213,M136,MIN(MAX(F136-G136,0),INDEX('Scenario inputs'!$E$4:$E$213,M136)-1)+1)),0)</f>
        <v>0.027778</v>
      </c>
      <c r="P136" s="11" t="n">
        <f aca="false">H136*O136</f>
        <v>46.54842794</v>
      </c>
      <c r="Q136" s="11" t="n">
        <f aca="false">IF(M136=0,"",IF(ISNUMBER(INDEX('Scenario inputs'!$N$4:$N$213,M136)),INDEX('Scenario inputs'!$N$4:$N$213,M136),""))</f>
        <v>45.12</v>
      </c>
      <c r="R136" s="0" t="str">
        <f aca="false">IF(NOT(N136),"",IF(OR(E136="cash",E136="revenue"),E136,IF(E136="avoided_cost",IF(AND(I136,LEN(TRIM(J136))&gt;0),"avoided_cost_realised","avoided_cost_beside"),IF(ISNUMBER(Q136),"capacity_converted","capacity_hours"))))</f>
        <v>capacity_converted</v>
      </c>
      <c r="S136" s="11" t="n">
        <f aca="false">IF(OR(R136="",R136="capacity_hours"),0,IF(R136="capacity_converted",P136*Q136,P136))</f>
        <v>2100.2650686528</v>
      </c>
      <c r="T136" s="11" t="n">
        <f aca="false">IF(OR(R136="cash",R136="revenue",R136="avoided_cost_realised",R136="capacity_converted"),1,0)</f>
        <v>1</v>
      </c>
      <c r="U136" s="11" t="n">
        <f aca="false">IF(AND(N136,R136&lt;&gt;"capacity_hours",LEN(K136)&gt;0),1,0)</f>
        <v>1</v>
      </c>
      <c r="V136" s="11" t="n">
        <f aca="false">IF(U136=1,SUMPRODUCT(($K$4:$K$703=K136)*($F$4:$F$703=F136)*($U$4:$U$703=1)*($B$4:$B$703&lt;&gt;B136)),0)</f>
        <v>0</v>
      </c>
      <c r="W136" s="11" t="n">
        <f aca="false">IF(AND(U136=1,V136&gt;0),1+SUMPRODUCT(($K$4:$K$703=K136)*($F$4:$F$703=F136)*($U$4:$U$703=1)*($S$4:$S$703&gt;S136))+SUMPRODUCT(($K$4:$K$703=K136)*($F$4:$F$703=F136)*($U$4:$U$703=1)*($S$4:$S$703=S136)*($T$4:$T$703&gt;T136))+SUMPRODUCT(($K$4:$K$703=K136)*($F$4:$F$703=F136)*($U$4:$U$703=1)*($S$4:$S$703=S136)*($T$4:$T$703=T136)*($C$4:$C$703&lt;C136))+SUMPRODUCT(($K$4:$K$703=K136)*($F$4:$F$703=F136)*($U$4:$U$703=1)*($S$4:$S$703=S136)*($T$4:$T$703=T136)*($C$4:$C$703=C136)*($D$4:$D$703&lt;D136)),0)</f>
        <v>0</v>
      </c>
      <c r="X136" s="11" t="n">
        <f aca="false">IF(AND(U136=1,V136&gt;0,W136&gt;1),S136,0)</f>
        <v>0</v>
      </c>
      <c r="Y136" s="11" t="n">
        <f aca="false">IF(T136=1,X136/(1+Controls!$B$11)^F136,0)</f>
        <v>0</v>
      </c>
      <c r="Z136" s="11" t="n">
        <f aca="false">IF(AND(N136,E136="capacity",LEN(K136)&gt;0),1,0)</f>
        <v>1</v>
      </c>
      <c r="AA136" s="11" t="n">
        <f aca="false">IF(Z136=1,SUMPRODUCT(($K$4:$K$703=K136)*($F$4:$F$703=F136)*($Z$4:$Z$703=1)*($B$4:$B$703&lt;&gt;B136)),0)</f>
        <v>0</v>
      </c>
      <c r="AB136" s="11" t="n">
        <f aca="false">IF(AND(Z136=1,AA136&gt;0),1+SUMPRODUCT(($K$4:$K$703=K136)*($F$4:$F$703=F136)*($Z$4:$Z$703=1)*($P$4:$P$703&gt;P136))+SUMPRODUCT(($K$4:$K$703=K136)*($F$4:$F$703=F136)*($Z$4:$Z$703=1)*($P$4:$P$703=P136)*($C$4:$C$703&lt;C136))+SUMPRODUCT(($K$4:$K$703=K136)*($F$4:$F$703=F136)*($Z$4:$Z$703=1)*($P$4:$P$703=P136)*($C$4:$C$703=C136)*($D$4:$D$703&lt;D136)),0)</f>
        <v>0</v>
      </c>
      <c r="AC136" s="11" t="n">
        <f aca="false">IF(AND(Z136=1,AA136&gt;0,AB136&gt;1),P136,0)</f>
        <v>0</v>
      </c>
    </row>
    <row r="137" customFormat="false" ht="15" hidden="false" customHeight="false" outlineLevel="0" collapsed="false">
      <c r="A137" s="4" t="s">
        <v>352</v>
      </c>
      <c r="B137" s="4" t="s">
        <v>86</v>
      </c>
      <c r="C137" s="4" t="n">
        <v>4</v>
      </c>
      <c r="D137" s="4" t="n">
        <v>134</v>
      </c>
      <c r="E137" s="4" t="s">
        <v>233</v>
      </c>
      <c r="F137" s="4" t="n">
        <v>6</v>
      </c>
      <c r="G137" s="4" t="n">
        <v>5</v>
      </c>
      <c r="H137" s="4" t="n">
        <v>1675.73</v>
      </c>
      <c r="I137" s="13" t="b">
        <f aca="false">FALSE()</f>
        <v>0</v>
      </c>
      <c r="K137" s="4" t="s">
        <v>351</v>
      </c>
      <c r="L137" s="4" t="n">
        <v>26.93</v>
      </c>
      <c r="M137" s="11" t="n">
        <f aca="false">IFERROR(MATCH(Controls!$B$3&amp;"|"&amp;B137,'Scenario inputs'!$A$4:$A$213,0),0)</f>
        <v>135</v>
      </c>
      <c r="N137" s="8" t="b">
        <f aca="false">IF(M137=0,FALSE(),F137&lt;Controls!$B$12)</f>
        <v>1</v>
      </c>
      <c r="O137" s="11" t="n">
        <f aca="false">IF(N137,IF(INDEX('Scenario inputs'!$E$4:$E$213,M137)=0,1,INDEX('Scenario inputs'!$F$4:$M$213,M137,MIN(MAX(F137-G137,0),INDEX('Scenario inputs'!$E$4:$E$213,M137)-1)+1)),0)</f>
        <v>0.083333</v>
      </c>
      <c r="P137" s="11" t="n">
        <f aca="false">H137*O137</f>
        <v>139.64360809</v>
      </c>
      <c r="Q137" s="11" t="n">
        <f aca="false">IF(M137=0,"",IF(ISNUMBER(INDEX('Scenario inputs'!$N$4:$N$213,M137)),INDEX('Scenario inputs'!$N$4:$N$213,M137),""))</f>
        <v>45.12</v>
      </c>
      <c r="R137" s="0" t="str">
        <f aca="false">IF(NOT(N137),"",IF(OR(E137="cash",E137="revenue"),E137,IF(E137="avoided_cost",IF(AND(I137,LEN(TRIM(J137))&gt;0),"avoided_cost_realised","avoided_cost_beside"),IF(ISNUMBER(Q137),"capacity_converted","capacity_hours"))))</f>
        <v>capacity_converted</v>
      </c>
      <c r="S137" s="11" t="n">
        <f aca="false">IF(OR(R137="",R137="capacity_hours"),0,IF(R137="capacity_converted",P137*Q137,P137))</f>
        <v>6300.7195970208</v>
      </c>
      <c r="T137" s="11" t="n">
        <f aca="false">IF(OR(R137="cash",R137="revenue",R137="avoided_cost_realised",R137="capacity_converted"),1,0)</f>
        <v>1</v>
      </c>
      <c r="U137" s="11" t="n">
        <f aca="false">IF(AND(N137,R137&lt;&gt;"capacity_hours",LEN(K137)&gt;0),1,0)</f>
        <v>1</v>
      </c>
      <c r="V137" s="11" t="n">
        <f aca="false">IF(U137=1,SUMPRODUCT(($K$4:$K$703=K137)*($F$4:$F$703=F137)*($U$4:$U$703=1)*($B$4:$B$703&lt;&gt;B137)),0)</f>
        <v>0</v>
      </c>
      <c r="W137" s="11" t="n">
        <f aca="false">IF(AND(U137=1,V137&gt;0),1+SUMPRODUCT(($K$4:$K$703=K137)*($F$4:$F$703=F137)*($U$4:$U$703=1)*($S$4:$S$703&gt;S137))+SUMPRODUCT(($K$4:$K$703=K137)*($F$4:$F$703=F137)*($U$4:$U$703=1)*($S$4:$S$703=S137)*($T$4:$T$703&gt;T137))+SUMPRODUCT(($K$4:$K$703=K137)*($F$4:$F$703=F137)*($U$4:$U$703=1)*($S$4:$S$703=S137)*($T$4:$T$703=T137)*($C$4:$C$703&lt;C137))+SUMPRODUCT(($K$4:$K$703=K137)*($F$4:$F$703=F137)*($U$4:$U$703=1)*($S$4:$S$703=S137)*($T$4:$T$703=T137)*($C$4:$C$703=C137)*($D$4:$D$703&lt;D137)),0)</f>
        <v>0</v>
      </c>
      <c r="X137" s="11" t="n">
        <f aca="false">IF(AND(U137=1,V137&gt;0,W137&gt;1),S137,0)</f>
        <v>0</v>
      </c>
      <c r="Y137" s="11" t="n">
        <f aca="false">IF(T137=1,X137/(1+Controls!$B$11)^F137,0)</f>
        <v>0</v>
      </c>
      <c r="Z137" s="11" t="n">
        <f aca="false">IF(AND(N137,E137="capacity",LEN(K137)&gt;0),1,0)</f>
        <v>1</v>
      </c>
      <c r="AA137" s="11" t="n">
        <f aca="false">IF(Z137=1,SUMPRODUCT(($K$4:$K$703=K137)*($F$4:$F$703=F137)*($Z$4:$Z$703=1)*($B$4:$B$703&lt;&gt;B137)),0)</f>
        <v>0</v>
      </c>
      <c r="AB137" s="11" t="n">
        <f aca="false">IF(AND(Z137=1,AA137&gt;0),1+SUMPRODUCT(($K$4:$K$703=K137)*($F$4:$F$703=F137)*($Z$4:$Z$703=1)*($P$4:$P$703&gt;P137))+SUMPRODUCT(($K$4:$K$703=K137)*($F$4:$F$703=F137)*($Z$4:$Z$703=1)*($P$4:$P$703=P137)*($C$4:$C$703&lt;C137))+SUMPRODUCT(($K$4:$K$703=K137)*($F$4:$F$703=F137)*($Z$4:$Z$703=1)*($P$4:$P$703=P137)*($C$4:$C$703=C137)*($D$4:$D$703&lt;D137)),0)</f>
        <v>0</v>
      </c>
      <c r="AC137" s="11" t="n">
        <f aca="false">IF(AND(Z137=1,AA137&gt;0,AB137&gt;1),P137,0)</f>
        <v>0</v>
      </c>
    </row>
    <row r="138" customFormat="false" ht="15" hidden="false" customHeight="false" outlineLevel="0" collapsed="false">
      <c r="A138" s="4" t="s">
        <v>353</v>
      </c>
      <c r="B138" s="4" t="s">
        <v>86</v>
      </c>
      <c r="C138" s="4" t="n">
        <v>4</v>
      </c>
      <c r="D138" s="4" t="n">
        <v>135</v>
      </c>
      <c r="E138" s="4" t="s">
        <v>233</v>
      </c>
      <c r="F138" s="4" t="n">
        <v>7</v>
      </c>
      <c r="G138" s="4" t="n">
        <v>5</v>
      </c>
      <c r="H138" s="4" t="n">
        <v>1675.73</v>
      </c>
      <c r="I138" s="13" t="b">
        <f aca="false">FALSE()</f>
        <v>0</v>
      </c>
      <c r="K138" s="4" t="s">
        <v>351</v>
      </c>
      <c r="L138" s="4" t="n">
        <v>52.28</v>
      </c>
      <c r="M138" s="11" t="n">
        <f aca="false">IFERROR(MATCH(Controls!$B$3&amp;"|"&amp;B138,'Scenario inputs'!$A$4:$A$213,0),0)</f>
        <v>135</v>
      </c>
      <c r="N138" s="8" t="b">
        <f aca="false">IF(M138=0,FALSE(),F138&lt;Controls!$B$12)</f>
        <v>1</v>
      </c>
      <c r="O138" s="11" t="n">
        <f aca="false">IF(N138,IF(INDEX('Scenario inputs'!$E$4:$E$213,M138)=0,1,INDEX('Scenario inputs'!$F$4:$M$213,M138,MIN(MAX(F138-G138,0),INDEX('Scenario inputs'!$E$4:$E$213,M138)-1)+1)),0)</f>
        <v>0.166667</v>
      </c>
      <c r="P138" s="11" t="n">
        <f aca="false">H138*O138</f>
        <v>279.28889191</v>
      </c>
      <c r="Q138" s="11" t="n">
        <f aca="false">IF(M138=0,"",IF(ISNUMBER(INDEX('Scenario inputs'!$N$4:$N$213,M138)),INDEX('Scenario inputs'!$N$4:$N$213,M138),""))</f>
        <v>45.12</v>
      </c>
      <c r="R138" s="0" t="str">
        <f aca="false">IF(NOT(N138),"",IF(OR(E138="cash",E138="revenue"),E138,IF(E138="avoided_cost",IF(AND(I138,LEN(TRIM(J138))&gt;0),"avoided_cost_realised","avoided_cost_beside"),IF(ISNUMBER(Q138),"capacity_converted","capacity_hours"))))</f>
        <v>capacity_converted</v>
      </c>
      <c r="S138" s="11" t="n">
        <f aca="false">IF(OR(R138="",R138="capacity_hours"),0,IF(R138="capacity_converted",P138*Q138,P138))</f>
        <v>12601.5148029792</v>
      </c>
      <c r="T138" s="11" t="n">
        <f aca="false">IF(OR(R138="cash",R138="revenue",R138="avoided_cost_realised",R138="capacity_converted"),1,0)</f>
        <v>1</v>
      </c>
      <c r="U138" s="11" t="n">
        <f aca="false">IF(AND(N138,R138&lt;&gt;"capacity_hours",LEN(K138)&gt;0),1,0)</f>
        <v>1</v>
      </c>
      <c r="V138" s="11" t="n">
        <f aca="false">IF(U138=1,SUMPRODUCT(($K$4:$K$703=K138)*($F$4:$F$703=F138)*($U$4:$U$703=1)*($B$4:$B$703&lt;&gt;B138)),0)</f>
        <v>0</v>
      </c>
      <c r="W138" s="11" t="n">
        <f aca="false">IF(AND(U138=1,V138&gt;0),1+SUMPRODUCT(($K$4:$K$703=K138)*($F$4:$F$703=F138)*($U$4:$U$703=1)*($S$4:$S$703&gt;S138))+SUMPRODUCT(($K$4:$K$703=K138)*($F$4:$F$703=F138)*($U$4:$U$703=1)*($S$4:$S$703=S138)*($T$4:$T$703&gt;T138))+SUMPRODUCT(($K$4:$K$703=K138)*($F$4:$F$703=F138)*($U$4:$U$703=1)*($S$4:$S$703=S138)*($T$4:$T$703=T138)*($C$4:$C$703&lt;C138))+SUMPRODUCT(($K$4:$K$703=K138)*($F$4:$F$703=F138)*($U$4:$U$703=1)*($S$4:$S$703=S138)*($T$4:$T$703=T138)*($C$4:$C$703=C138)*($D$4:$D$703&lt;D138)),0)</f>
        <v>0</v>
      </c>
      <c r="X138" s="11" t="n">
        <f aca="false">IF(AND(U138=1,V138&gt;0,W138&gt;1),S138,0)</f>
        <v>0</v>
      </c>
      <c r="Y138" s="11" t="n">
        <f aca="false">IF(T138=1,X138/(1+Controls!$B$11)^F138,0)</f>
        <v>0</v>
      </c>
      <c r="Z138" s="11" t="n">
        <f aca="false">IF(AND(N138,E138="capacity",LEN(K138)&gt;0),1,0)</f>
        <v>1</v>
      </c>
      <c r="AA138" s="11" t="n">
        <f aca="false">IF(Z138=1,SUMPRODUCT(($K$4:$K$703=K138)*($F$4:$F$703=F138)*($Z$4:$Z$703=1)*($B$4:$B$703&lt;&gt;B138)),0)</f>
        <v>0</v>
      </c>
      <c r="AB138" s="11" t="n">
        <f aca="false">IF(AND(Z138=1,AA138&gt;0),1+SUMPRODUCT(($K$4:$K$703=K138)*($F$4:$F$703=F138)*($Z$4:$Z$703=1)*($P$4:$P$703&gt;P138))+SUMPRODUCT(($K$4:$K$703=K138)*($F$4:$F$703=F138)*($Z$4:$Z$703=1)*($P$4:$P$703=P138)*($C$4:$C$703&lt;C138))+SUMPRODUCT(($K$4:$K$703=K138)*($F$4:$F$703=F138)*($Z$4:$Z$703=1)*($P$4:$P$703=P138)*($C$4:$C$703=C138)*($D$4:$D$703&lt;D138)),0)</f>
        <v>0</v>
      </c>
      <c r="AC138" s="11" t="n">
        <f aca="false">IF(AND(Z138=1,AA138&gt;0,AB138&gt;1),P138,0)</f>
        <v>0</v>
      </c>
    </row>
    <row r="139" customFormat="false" ht="15" hidden="false" customHeight="false" outlineLevel="0" collapsed="false">
      <c r="A139" s="4" t="s">
        <v>354</v>
      </c>
      <c r="B139" s="4" t="s">
        <v>86</v>
      </c>
      <c r="C139" s="4" t="n">
        <v>4</v>
      </c>
      <c r="D139" s="4" t="n">
        <v>136</v>
      </c>
      <c r="E139" s="4" t="s">
        <v>233</v>
      </c>
      <c r="F139" s="4" t="n">
        <v>8</v>
      </c>
      <c r="G139" s="4" t="n">
        <v>5</v>
      </c>
      <c r="H139" s="4" t="n">
        <v>1675.73</v>
      </c>
      <c r="I139" s="13" t="b">
        <f aca="false">FALSE()</f>
        <v>0</v>
      </c>
      <c r="K139" s="4" t="s">
        <v>351</v>
      </c>
      <c r="L139" s="4" t="n">
        <v>88.89</v>
      </c>
      <c r="M139" s="11" t="n">
        <f aca="false">IFERROR(MATCH(Controls!$B$3&amp;"|"&amp;B139,'Scenario inputs'!$A$4:$A$213,0),0)</f>
        <v>135</v>
      </c>
      <c r="N139" s="8" t="b">
        <f aca="false">IF(M139=0,FALSE(),F139&lt;Controls!$B$12)</f>
        <v>1</v>
      </c>
      <c r="O139" s="11" t="n">
        <f aca="false">IF(N139,IF(INDEX('Scenario inputs'!$E$4:$E$213,M139)=0,1,INDEX('Scenario inputs'!$F$4:$M$213,M139,MIN(MAX(F139-G139,0),INDEX('Scenario inputs'!$E$4:$E$213,M139)-1)+1)),0)</f>
        <v>0.277778</v>
      </c>
      <c r="P139" s="11" t="n">
        <f aca="false">H139*O139</f>
        <v>465.48092794</v>
      </c>
      <c r="Q139" s="11" t="n">
        <f aca="false">IF(M139=0,"",IF(ISNUMBER(INDEX('Scenario inputs'!$N$4:$N$213,M139)),INDEX('Scenario inputs'!$N$4:$N$213,M139),""))</f>
        <v>45.12</v>
      </c>
      <c r="R139" s="0" t="str">
        <f aca="false">IF(NOT(N139),"",IF(OR(E139="cash",E139="revenue"),E139,IF(E139="avoided_cost",IF(AND(I139,LEN(TRIM(J139))&gt;0),"avoided_cost_realised","avoided_cost_beside"),IF(ISNUMBER(Q139),"capacity_converted","capacity_hours"))))</f>
        <v>capacity_converted</v>
      </c>
      <c r="S139" s="11" t="n">
        <f aca="false">IF(OR(R139="",R139="capacity_hours"),0,IF(R139="capacity_converted",P139*Q139,P139))</f>
        <v>21002.4994686528</v>
      </c>
      <c r="T139" s="11" t="n">
        <f aca="false">IF(OR(R139="cash",R139="revenue",R139="avoided_cost_realised",R139="capacity_converted"),1,0)</f>
        <v>1</v>
      </c>
      <c r="U139" s="11" t="n">
        <f aca="false">IF(AND(N139,R139&lt;&gt;"capacity_hours",LEN(K139)&gt;0),1,0)</f>
        <v>1</v>
      </c>
      <c r="V139" s="11" t="n">
        <f aca="false">IF(U139=1,SUMPRODUCT(($K$4:$K$703=K139)*($F$4:$F$703=F139)*($U$4:$U$703=1)*($B$4:$B$703&lt;&gt;B139)),0)</f>
        <v>0</v>
      </c>
      <c r="W139" s="11" t="n">
        <f aca="false">IF(AND(U139=1,V139&gt;0),1+SUMPRODUCT(($K$4:$K$703=K139)*($F$4:$F$703=F139)*($U$4:$U$703=1)*($S$4:$S$703&gt;S139))+SUMPRODUCT(($K$4:$K$703=K139)*($F$4:$F$703=F139)*($U$4:$U$703=1)*($S$4:$S$703=S139)*($T$4:$T$703&gt;T139))+SUMPRODUCT(($K$4:$K$703=K139)*($F$4:$F$703=F139)*($U$4:$U$703=1)*($S$4:$S$703=S139)*($T$4:$T$703=T139)*($C$4:$C$703&lt;C139))+SUMPRODUCT(($K$4:$K$703=K139)*($F$4:$F$703=F139)*($U$4:$U$703=1)*($S$4:$S$703=S139)*($T$4:$T$703=T139)*($C$4:$C$703=C139)*($D$4:$D$703&lt;D139)),0)</f>
        <v>0</v>
      </c>
      <c r="X139" s="11" t="n">
        <f aca="false">IF(AND(U139=1,V139&gt;0,W139&gt;1),S139,0)</f>
        <v>0</v>
      </c>
      <c r="Y139" s="11" t="n">
        <f aca="false">IF(T139=1,X139/(1+Controls!$B$11)^F139,0)</f>
        <v>0</v>
      </c>
      <c r="Z139" s="11" t="n">
        <f aca="false">IF(AND(N139,E139="capacity",LEN(K139)&gt;0),1,0)</f>
        <v>1</v>
      </c>
      <c r="AA139" s="11" t="n">
        <f aca="false">IF(Z139=1,SUMPRODUCT(($K$4:$K$703=K139)*($F$4:$F$703=F139)*($Z$4:$Z$703=1)*($B$4:$B$703&lt;&gt;B139)),0)</f>
        <v>0</v>
      </c>
      <c r="AB139" s="11" t="n">
        <f aca="false">IF(AND(Z139=1,AA139&gt;0),1+SUMPRODUCT(($K$4:$K$703=K139)*($F$4:$F$703=F139)*($Z$4:$Z$703=1)*($P$4:$P$703&gt;P139))+SUMPRODUCT(($K$4:$K$703=K139)*($F$4:$F$703=F139)*($Z$4:$Z$703=1)*($P$4:$P$703=P139)*($C$4:$C$703&lt;C139))+SUMPRODUCT(($K$4:$K$703=K139)*($F$4:$F$703=F139)*($Z$4:$Z$703=1)*($P$4:$P$703=P139)*($C$4:$C$703=C139)*($D$4:$D$703&lt;D139)),0)</f>
        <v>0</v>
      </c>
      <c r="AC139" s="11" t="n">
        <f aca="false">IF(AND(Z139=1,AA139&gt;0,AB139&gt;1),P139,0)</f>
        <v>0</v>
      </c>
    </row>
    <row r="140" customFormat="false" ht="15" hidden="false" customHeight="false" outlineLevel="0" collapsed="false">
      <c r="A140" s="4" t="s">
        <v>355</v>
      </c>
      <c r="B140" s="4" t="s">
        <v>86</v>
      </c>
      <c r="C140" s="4" t="n">
        <v>4</v>
      </c>
      <c r="D140" s="4" t="n">
        <v>137</v>
      </c>
      <c r="E140" s="4" t="s">
        <v>233</v>
      </c>
      <c r="F140" s="4" t="n">
        <v>9</v>
      </c>
      <c r="G140" s="4" t="n">
        <v>5</v>
      </c>
      <c r="H140" s="4" t="n">
        <v>1675.73</v>
      </c>
      <c r="I140" s="13" t="b">
        <f aca="false">FALSE()</f>
        <v>0</v>
      </c>
      <c r="K140" s="4" t="s">
        <v>351</v>
      </c>
      <c r="L140" s="4" t="n">
        <v>169.25</v>
      </c>
      <c r="M140" s="11" t="n">
        <f aca="false">IFERROR(MATCH(Controls!$B$3&amp;"|"&amp;B140,'Scenario inputs'!$A$4:$A$213,0),0)</f>
        <v>135</v>
      </c>
      <c r="N140" s="8" t="b">
        <f aca="false">IF(M140=0,FALSE(),F140&lt;Controls!$B$12)</f>
        <v>1</v>
      </c>
      <c r="O140" s="11" t="n">
        <f aca="false">IF(N140,IF(INDEX('Scenario inputs'!$E$4:$E$213,M140)=0,1,INDEX('Scenario inputs'!$F$4:$M$213,M140,MIN(MAX(F140-G140,0),INDEX('Scenario inputs'!$E$4:$E$213,M140)-1)+1)),0)</f>
        <v>0.416667</v>
      </c>
      <c r="P140" s="11" t="n">
        <f aca="false">H140*O140</f>
        <v>698.22139191</v>
      </c>
      <c r="Q140" s="11" t="n">
        <f aca="false">IF(M140=0,"",IF(ISNUMBER(INDEX('Scenario inputs'!$N$4:$N$213,M140)),INDEX('Scenario inputs'!$N$4:$N$213,M140),""))</f>
        <v>45.12</v>
      </c>
      <c r="R140" s="0" t="str">
        <f aca="false">IF(NOT(N140),"",IF(OR(E140="cash",E140="revenue"),E140,IF(E140="avoided_cost",IF(AND(I140,LEN(TRIM(J140))&gt;0),"avoided_cost_realised","avoided_cost_beside"),IF(ISNUMBER(Q140),"capacity_converted","capacity_hours"))))</f>
        <v>capacity_converted</v>
      </c>
      <c r="S140" s="11" t="n">
        <f aca="false">IF(OR(R140="",R140="capacity_hours"),0,IF(R140="capacity_converted",P140*Q140,P140))</f>
        <v>31503.7492029792</v>
      </c>
      <c r="T140" s="11" t="n">
        <f aca="false">IF(OR(R140="cash",R140="revenue",R140="avoided_cost_realised",R140="capacity_converted"),1,0)</f>
        <v>1</v>
      </c>
      <c r="U140" s="11" t="n">
        <f aca="false">IF(AND(N140,R140&lt;&gt;"capacity_hours",LEN(K140)&gt;0),1,0)</f>
        <v>1</v>
      </c>
      <c r="V140" s="11" t="n">
        <f aca="false">IF(U140=1,SUMPRODUCT(($K$4:$K$703=K140)*($F$4:$F$703=F140)*($U$4:$U$703=1)*($B$4:$B$703&lt;&gt;B140)),0)</f>
        <v>0</v>
      </c>
      <c r="W140" s="11" t="n">
        <f aca="false">IF(AND(U140=1,V140&gt;0),1+SUMPRODUCT(($K$4:$K$703=K140)*($F$4:$F$703=F140)*($U$4:$U$703=1)*($S$4:$S$703&gt;S140))+SUMPRODUCT(($K$4:$K$703=K140)*($F$4:$F$703=F140)*($U$4:$U$703=1)*($S$4:$S$703=S140)*($T$4:$T$703&gt;T140))+SUMPRODUCT(($K$4:$K$703=K140)*($F$4:$F$703=F140)*($U$4:$U$703=1)*($S$4:$S$703=S140)*($T$4:$T$703=T140)*($C$4:$C$703&lt;C140))+SUMPRODUCT(($K$4:$K$703=K140)*($F$4:$F$703=F140)*($U$4:$U$703=1)*($S$4:$S$703=S140)*($T$4:$T$703=T140)*($C$4:$C$703=C140)*($D$4:$D$703&lt;D140)),0)</f>
        <v>0</v>
      </c>
      <c r="X140" s="11" t="n">
        <f aca="false">IF(AND(U140=1,V140&gt;0,W140&gt;1),S140,0)</f>
        <v>0</v>
      </c>
      <c r="Y140" s="11" t="n">
        <f aca="false">IF(T140=1,X140/(1+Controls!$B$11)^F140,0)</f>
        <v>0</v>
      </c>
      <c r="Z140" s="11" t="n">
        <f aca="false">IF(AND(N140,E140="capacity",LEN(K140)&gt;0),1,0)</f>
        <v>1</v>
      </c>
      <c r="AA140" s="11" t="n">
        <f aca="false">IF(Z140=1,SUMPRODUCT(($K$4:$K$703=K140)*($F$4:$F$703=F140)*($Z$4:$Z$703=1)*($B$4:$B$703&lt;&gt;B140)),0)</f>
        <v>0</v>
      </c>
      <c r="AB140" s="11" t="n">
        <f aca="false">IF(AND(Z140=1,AA140&gt;0),1+SUMPRODUCT(($K$4:$K$703=K140)*($F$4:$F$703=F140)*($Z$4:$Z$703=1)*($P$4:$P$703&gt;P140))+SUMPRODUCT(($K$4:$K$703=K140)*($F$4:$F$703=F140)*($Z$4:$Z$703=1)*($P$4:$P$703=P140)*($C$4:$C$703&lt;C140))+SUMPRODUCT(($K$4:$K$703=K140)*($F$4:$F$703=F140)*($Z$4:$Z$703=1)*($P$4:$P$703=P140)*($C$4:$C$703=C140)*($D$4:$D$703&lt;D140)),0)</f>
        <v>0</v>
      </c>
      <c r="AC140" s="11" t="n">
        <f aca="false">IF(AND(Z140=1,AA140&gt;0,AB140&gt;1),P140,0)</f>
        <v>0</v>
      </c>
    </row>
    <row r="141" customFormat="false" ht="15" hidden="false" customHeight="false" outlineLevel="0" collapsed="false">
      <c r="A141" s="4" t="s">
        <v>356</v>
      </c>
      <c r="B141" s="4" t="s">
        <v>86</v>
      </c>
      <c r="C141" s="4" t="n">
        <v>4</v>
      </c>
      <c r="D141" s="4" t="n">
        <v>138</v>
      </c>
      <c r="E141" s="4" t="s">
        <v>233</v>
      </c>
      <c r="F141" s="4" t="n">
        <v>10</v>
      </c>
      <c r="G141" s="4" t="n">
        <v>5</v>
      </c>
      <c r="H141" s="4" t="n">
        <v>1675.73</v>
      </c>
      <c r="I141" s="13" t="b">
        <f aca="false">FALSE()</f>
        <v>0</v>
      </c>
      <c r="K141" s="4" t="s">
        <v>351</v>
      </c>
      <c r="L141" s="4" t="n">
        <v>236.95</v>
      </c>
      <c r="M141" s="11" t="n">
        <f aca="false">IFERROR(MATCH(Controls!$B$3&amp;"|"&amp;B141,'Scenario inputs'!$A$4:$A$213,0),0)</f>
        <v>135</v>
      </c>
      <c r="N141" s="8" t="b">
        <f aca="false">IF(M141=0,FALSE(),F141&lt;Controls!$B$12)</f>
        <v>1</v>
      </c>
      <c r="O141" s="11" t="n">
        <f aca="false">IF(N141,IF(INDEX('Scenario inputs'!$E$4:$E$213,M141)=0,1,INDEX('Scenario inputs'!$F$4:$M$213,M141,MIN(MAX(F141-G141,0),INDEX('Scenario inputs'!$E$4:$E$213,M141)-1)+1)),0)</f>
        <v>0.583333</v>
      </c>
      <c r="P141" s="11" t="n">
        <f aca="false">H141*O141</f>
        <v>977.50860809</v>
      </c>
      <c r="Q141" s="11" t="n">
        <f aca="false">IF(M141=0,"",IF(ISNUMBER(INDEX('Scenario inputs'!$N$4:$N$213,M141)),INDEX('Scenario inputs'!$N$4:$N$213,M141),""))</f>
        <v>45.12</v>
      </c>
      <c r="R141" s="0" t="str">
        <f aca="false">IF(NOT(N141),"",IF(OR(E141="cash",E141="revenue"),E141,IF(E141="avoided_cost",IF(AND(I141,LEN(TRIM(J141))&gt;0),"avoided_cost_realised","avoided_cost_beside"),IF(ISNUMBER(Q141),"capacity_converted","capacity_hours"))))</f>
        <v>capacity_converted</v>
      </c>
      <c r="S141" s="11" t="n">
        <f aca="false">IF(OR(R141="",R141="capacity_hours"),0,IF(R141="capacity_converted",P141*Q141,P141))</f>
        <v>44105.1883970208</v>
      </c>
      <c r="T141" s="11" t="n">
        <f aca="false">IF(OR(R141="cash",R141="revenue",R141="avoided_cost_realised",R141="capacity_converted"),1,0)</f>
        <v>1</v>
      </c>
      <c r="U141" s="11" t="n">
        <f aca="false">IF(AND(N141,R141&lt;&gt;"capacity_hours",LEN(K141)&gt;0),1,0)</f>
        <v>1</v>
      </c>
      <c r="V141" s="11" t="n">
        <f aca="false">IF(U141=1,SUMPRODUCT(($K$4:$K$703=K141)*($F$4:$F$703=F141)*($U$4:$U$703=1)*($B$4:$B$703&lt;&gt;B141)),0)</f>
        <v>0</v>
      </c>
      <c r="W141" s="11" t="n">
        <f aca="false">IF(AND(U141=1,V141&gt;0),1+SUMPRODUCT(($K$4:$K$703=K141)*($F$4:$F$703=F141)*($U$4:$U$703=1)*($S$4:$S$703&gt;S141))+SUMPRODUCT(($K$4:$K$703=K141)*($F$4:$F$703=F141)*($U$4:$U$703=1)*($S$4:$S$703=S141)*($T$4:$T$703&gt;T141))+SUMPRODUCT(($K$4:$K$703=K141)*($F$4:$F$703=F141)*($U$4:$U$703=1)*($S$4:$S$703=S141)*($T$4:$T$703=T141)*($C$4:$C$703&lt;C141))+SUMPRODUCT(($K$4:$K$703=K141)*($F$4:$F$703=F141)*($U$4:$U$703=1)*($S$4:$S$703=S141)*($T$4:$T$703=T141)*($C$4:$C$703=C141)*($D$4:$D$703&lt;D141)),0)</f>
        <v>0</v>
      </c>
      <c r="X141" s="11" t="n">
        <f aca="false">IF(AND(U141=1,V141&gt;0,W141&gt;1),S141,0)</f>
        <v>0</v>
      </c>
      <c r="Y141" s="11" t="n">
        <f aca="false">IF(T141=1,X141/(1+Controls!$B$11)^F141,0)</f>
        <v>0</v>
      </c>
      <c r="Z141" s="11" t="n">
        <f aca="false">IF(AND(N141,E141="capacity",LEN(K141)&gt;0),1,0)</f>
        <v>1</v>
      </c>
      <c r="AA141" s="11" t="n">
        <f aca="false">IF(Z141=1,SUMPRODUCT(($K$4:$K$703=K141)*($F$4:$F$703=F141)*($Z$4:$Z$703=1)*($B$4:$B$703&lt;&gt;B141)),0)</f>
        <v>0</v>
      </c>
      <c r="AB141" s="11" t="n">
        <f aca="false">IF(AND(Z141=1,AA141&gt;0),1+SUMPRODUCT(($K$4:$K$703=K141)*($F$4:$F$703=F141)*($Z$4:$Z$703=1)*($P$4:$P$703&gt;P141))+SUMPRODUCT(($K$4:$K$703=K141)*($F$4:$F$703=F141)*($Z$4:$Z$703=1)*($P$4:$P$703=P141)*($C$4:$C$703&lt;C141))+SUMPRODUCT(($K$4:$K$703=K141)*($F$4:$F$703=F141)*($Z$4:$Z$703=1)*($P$4:$P$703=P141)*($C$4:$C$703=C141)*($D$4:$D$703&lt;D141)),0)</f>
        <v>0</v>
      </c>
      <c r="AC141" s="11" t="n">
        <f aca="false">IF(AND(Z141=1,AA141&gt;0,AB141&gt;1),P141,0)</f>
        <v>0</v>
      </c>
    </row>
    <row r="142" customFormat="false" ht="15" hidden="false" customHeight="false" outlineLevel="0" collapsed="false">
      <c r="A142" s="4" t="s">
        <v>357</v>
      </c>
      <c r="B142" s="4" t="s">
        <v>86</v>
      </c>
      <c r="C142" s="4" t="n">
        <v>4</v>
      </c>
      <c r="D142" s="4" t="n">
        <v>139</v>
      </c>
      <c r="E142" s="4" t="s">
        <v>233</v>
      </c>
      <c r="F142" s="4" t="n">
        <v>11</v>
      </c>
      <c r="G142" s="4" t="n">
        <v>5</v>
      </c>
      <c r="H142" s="4" t="n">
        <v>1675.73</v>
      </c>
      <c r="I142" s="13" t="b">
        <f aca="false">FALSE()</f>
        <v>0</v>
      </c>
      <c r="K142" s="4" t="s">
        <v>351</v>
      </c>
      <c r="L142" s="4" t="n">
        <v>315.93</v>
      </c>
      <c r="M142" s="11" t="n">
        <f aca="false">IFERROR(MATCH(Controls!$B$3&amp;"|"&amp;B142,'Scenario inputs'!$A$4:$A$213,0),0)</f>
        <v>135</v>
      </c>
      <c r="N142" s="8" t="b">
        <f aca="false">IF(M142=0,FALSE(),F142&lt;Controls!$B$12)</f>
        <v>1</v>
      </c>
      <c r="O142" s="11" t="n">
        <f aca="false">IF(N142,IF(INDEX('Scenario inputs'!$E$4:$E$213,M142)=0,1,INDEX('Scenario inputs'!$F$4:$M$213,M142,MIN(MAX(F142-G142,0),INDEX('Scenario inputs'!$E$4:$E$213,M142)-1)+1)),0)</f>
        <v>0.777778</v>
      </c>
      <c r="P142" s="11" t="n">
        <f aca="false">H142*O142</f>
        <v>1303.34592794</v>
      </c>
      <c r="Q142" s="11" t="n">
        <f aca="false">IF(M142=0,"",IF(ISNUMBER(INDEX('Scenario inputs'!$N$4:$N$213,M142)),INDEX('Scenario inputs'!$N$4:$N$213,M142),""))</f>
        <v>45.12</v>
      </c>
      <c r="R142" s="0" t="str">
        <f aca="false">IF(NOT(N142),"",IF(OR(E142="cash",E142="revenue"),E142,IF(E142="avoided_cost",IF(AND(I142,LEN(TRIM(J142))&gt;0),"avoided_cost_realised","avoided_cost_beside"),IF(ISNUMBER(Q142),"capacity_converted","capacity_hours"))))</f>
        <v>capacity_converted</v>
      </c>
      <c r="S142" s="11" t="n">
        <f aca="false">IF(OR(R142="",R142="capacity_hours"),0,IF(R142="capacity_converted",P142*Q142,P142))</f>
        <v>58806.9682686528</v>
      </c>
      <c r="T142" s="11" t="n">
        <f aca="false">IF(OR(R142="cash",R142="revenue",R142="avoided_cost_realised",R142="capacity_converted"),1,0)</f>
        <v>1</v>
      </c>
      <c r="U142" s="11" t="n">
        <f aca="false">IF(AND(N142,R142&lt;&gt;"capacity_hours",LEN(K142)&gt;0),1,0)</f>
        <v>1</v>
      </c>
      <c r="V142" s="11" t="n">
        <f aca="false">IF(U142=1,SUMPRODUCT(($K$4:$K$703=K142)*($F$4:$F$703=F142)*($U$4:$U$703=1)*($B$4:$B$703&lt;&gt;B142)),0)</f>
        <v>0</v>
      </c>
      <c r="W142" s="11" t="n">
        <f aca="false">IF(AND(U142=1,V142&gt;0),1+SUMPRODUCT(($K$4:$K$703=K142)*($F$4:$F$703=F142)*($U$4:$U$703=1)*($S$4:$S$703&gt;S142))+SUMPRODUCT(($K$4:$K$703=K142)*($F$4:$F$703=F142)*($U$4:$U$703=1)*($S$4:$S$703=S142)*($T$4:$T$703&gt;T142))+SUMPRODUCT(($K$4:$K$703=K142)*($F$4:$F$703=F142)*($U$4:$U$703=1)*($S$4:$S$703=S142)*($T$4:$T$703=T142)*($C$4:$C$703&lt;C142))+SUMPRODUCT(($K$4:$K$703=K142)*($F$4:$F$703=F142)*($U$4:$U$703=1)*($S$4:$S$703=S142)*($T$4:$T$703=T142)*($C$4:$C$703=C142)*($D$4:$D$703&lt;D142)),0)</f>
        <v>0</v>
      </c>
      <c r="X142" s="11" t="n">
        <f aca="false">IF(AND(U142=1,V142&gt;0,W142&gt;1),S142,0)</f>
        <v>0</v>
      </c>
      <c r="Y142" s="11" t="n">
        <f aca="false">IF(T142=1,X142/(1+Controls!$B$11)^F142,0)</f>
        <v>0</v>
      </c>
      <c r="Z142" s="11" t="n">
        <f aca="false">IF(AND(N142,E142="capacity",LEN(K142)&gt;0),1,0)</f>
        <v>1</v>
      </c>
      <c r="AA142" s="11" t="n">
        <f aca="false">IF(Z142=1,SUMPRODUCT(($K$4:$K$703=K142)*($F$4:$F$703=F142)*($Z$4:$Z$703=1)*($B$4:$B$703&lt;&gt;B142)),0)</f>
        <v>0</v>
      </c>
      <c r="AB142" s="11" t="n">
        <f aca="false">IF(AND(Z142=1,AA142&gt;0),1+SUMPRODUCT(($K$4:$K$703=K142)*($F$4:$F$703=F142)*($Z$4:$Z$703=1)*($P$4:$P$703&gt;P142))+SUMPRODUCT(($K$4:$K$703=K142)*($F$4:$F$703=F142)*($Z$4:$Z$703=1)*($P$4:$P$703=P142)*($C$4:$C$703&lt;C142))+SUMPRODUCT(($K$4:$K$703=K142)*($F$4:$F$703=F142)*($Z$4:$Z$703=1)*($P$4:$P$703=P142)*($C$4:$C$703=C142)*($D$4:$D$703&lt;D142)),0)</f>
        <v>0</v>
      </c>
      <c r="AC142" s="11" t="n">
        <f aca="false">IF(AND(Z142=1,AA142&gt;0,AB142&gt;1),P142,0)</f>
        <v>0</v>
      </c>
    </row>
    <row r="143" customFormat="false" ht="15" hidden="false" customHeight="false" outlineLevel="0" collapsed="false">
      <c r="A143" s="4" t="s">
        <v>358</v>
      </c>
      <c r="B143" s="4" t="s">
        <v>86</v>
      </c>
      <c r="C143" s="4" t="n">
        <v>4</v>
      </c>
      <c r="D143" s="4" t="n">
        <v>140</v>
      </c>
      <c r="E143" s="4" t="s">
        <v>233</v>
      </c>
      <c r="F143" s="4" t="n">
        <v>12</v>
      </c>
      <c r="G143" s="4" t="n">
        <v>5</v>
      </c>
      <c r="H143" s="4" t="n">
        <v>1675.73</v>
      </c>
      <c r="I143" s="13" t="b">
        <f aca="false">FALSE()</f>
        <v>0</v>
      </c>
      <c r="K143" s="4" t="s">
        <v>351</v>
      </c>
      <c r="L143" s="4" t="n">
        <v>406.2</v>
      </c>
      <c r="M143" s="11" t="n">
        <f aca="false">IFERROR(MATCH(Controls!$B$3&amp;"|"&amp;B143,'Scenario inputs'!$A$4:$A$213,0),0)</f>
        <v>135</v>
      </c>
      <c r="N143" s="8" t="b">
        <f aca="false">IF(M143=0,FALSE(),F143&lt;Controls!$B$12)</f>
        <v>1</v>
      </c>
      <c r="O143" s="11" t="n">
        <f aca="false">IF(N143,IF(INDEX('Scenario inputs'!$E$4:$E$213,M143)=0,1,INDEX('Scenario inputs'!$F$4:$M$213,M143,MIN(MAX(F143-G143,0),INDEX('Scenario inputs'!$E$4:$E$213,M143)-1)+1)),0)</f>
        <v>1</v>
      </c>
      <c r="P143" s="11" t="n">
        <f aca="false">H143*O143</f>
        <v>1675.73</v>
      </c>
      <c r="Q143" s="11" t="n">
        <f aca="false">IF(M143=0,"",IF(ISNUMBER(INDEX('Scenario inputs'!$N$4:$N$213,M143)),INDEX('Scenario inputs'!$N$4:$N$213,M143),""))</f>
        <v>45.12</v>
      </c>
      <c r="R143" s="0" t="str">
        <f aca="false">IF(NOT(N143),"",IF(OR(E143="cash",E143="revenue"),E143,IF(E143="avoided_cost",IF(AND(I143,LEN(TRIM(J143))&gt;0),"avoided_cost_realised","avoided_cost_beside"),IF(ISNUMBER(Q143),"capacity_converted","capacity_hours"))))</f>
        <v>capacity_converted</v>
      </c>
      <c r="S143" s="11" t="n">
        <f aca="false">IF(OR(R143="",R143="capacity_hours"),0,IF(R143="capacity_converted",P143*Q143,P143))</f>
        <v>75608.9376</v>
      </c>
      <c r="T143" s="11" t="n">
        <f aca="false">IF(OR(R143="cash",R143="revenue",R143="avoided_cost_realised",R143="capacity_converted"),1,0)</f>
        <v>1</v>
      </c>
      <c r="U143" s="11" t="n">
        <f aca="false">IF(AND(N143,R143&lt;&gt;"capacity_hours",LEN(K143)&gt;0),1,0)</f>
        <v>1</v>
      </c>
      <c r="V143" s="11" t="n">
        <f aca="false">IF(U143=1,SUMPRODUCT(($K$4:$K$703=K143)*($F$4:$F$703=F143)*($U$4:$U$703=1)*($B$4:$B$703&lt;&gt;B143)),0)</f>
        <v>0</v>
      </c>
      <c r="W143" s="11" t="n">
        <f aca="false">IF(AND(U143=1,V143&gt;0),1+SUMPRODUCT(($K$4:$K$703=K143)*($F$4:$F$703=F143)*($U$4:$U$703=1)*($S$4:$S$703&gt;S143))+SUMPRODUCT(($K$4:$K$703=K143)*($F$4:$F$703=F143)*($U$4:$U$703=1)*($S$4:$S$703=S143)*($T$4:$T$703&gt;T143))+SUMPRODUCT(($K$4:$K$703=K143)*($F$4:$F$703=F143)*($U$4:$U$703=1)*($S$4:$S$703=S143)*($T$4:$T$703=T143)*($C$4:$C$703&lt;C143))+SUMPRODUCT(($K$4:$K$703=K143)*($F$4:$F$703=F143)*($U$4:$U$703=1)*($S$4:$S$703=S143)*($T$4:$T$703=T143)*($C$4:$C$703=C143)*($D$4:$D$703&lt;D143)),0)</f>
        <v>0</v>
      </c>
      <c r="X143" s="11" t="n">
        <f aca="false">IF(AND(U143=1,V143&gt;0,W143&gt;1),S143,0)</f>
        <v>0</v>
      </c>
      <c r="Y143" s="11" t="n">
        <f aca="false">IF(T143=1,X143/(1+Controls!$B$11)^F143,0)</f>
        <v>0</v>
      </c>
      <c r="Z143" s="11" t="n">
        <f aca="false">IF(AND(N143,E143="capacity",LEN(K143)&gt;0),1,0)</f>
        <v>1</v>
      </c>
      <c r="AA143" s="11" t="n">
        <f aca="false">IF(Z143=1,SUMPRODUCT(($K$4:$K$703=K143)*($F$4:$F$703=F143)*($Z$4:$Z$703=1)*($B$4:$B$703&lt;&gt;B143)),0)</f>
        <v>0</v>
      </c>
      <c r="AB143" s="11" t="n">
        <f aca="false">IF(AND(Z143=1,AA143&gt;0),1+SUMPRODUCT(($K$4:$K$703=K143)*($F$4:$F$703=F143)*($Z$4:$Z$703=1)*($P$4:$P$703&gt;P143))+SUMPRODUCT(($K$4:$K$703=K143)*($F$4:$F$703=F143)*($Z$4:$Z$703=1)*($P$4:$P$703=P143)*($C$4:$C$703&lt;C143))+SUMPRODUCT(($K$4:$K$703=K143)*($F$4:$F$703=F143)*($Z$4:$Z$703=1)*($P$4:$P$703=P143)*($C$4:$C$703=C143)*($D$4:$D$703&lt;D143)),0)</f>
        <v>0</v>
      </c>
      <c r="AC143" s="11" t="n">
        <f aca="false">IF(AND(Z143=1,AA143&gt;0,AB143&gt;1),P143,0)</f>
        <v>0</v>
      </c>
    </row>
    <row r="144" customFormat="false" ht="15" hidden="false" customHeight="false" outlineLevel="0" collapsed="false">
      <c r="A144" s="4" t="s">
        <v>359</v>
      </c>
      <c r="B144" s="4" t="s">
        <v>86</v>
      </c>
      <c r="C144" s="4" t="n">
        <v>4</v>
      </c>
      <c r="D144" s="4" t="n">
        <v>141</v>
      </c>
      <c r="E144" s="4" t="s">
        <v>233</v>
      </c>
      <c r="F144" s="4" t="n">
        <v>13</v>
      </c>
      <c r="G144" s="4" t="n">
        <v>5</v>
      </c>
      <c r="H144" s="4" t="n">
        <v>1675.73</v>
      </c>
      <c r="I144" s="13" t="b">
        <f aca="false">FALSE()</f>
        <v>0</v>
      </c>
      <c r="K144" s="4" t="s">
        <v>351</v>
      </c>
      <c r="L144" s="4" t="n">
        <v>406.2</v>
      </c>
      <c r="M144" s="11" t="n">
        <f aca="false">IFERROR(MATCH(Controls!$B$3&amp;"|"&amp;B144,'Scenario inputs'!$A$4:$A$213,0),0)</f>
        <v>135</v>
      </c>
      <c r="N144" s="8" t="b">
        <f aca="false">IF(M144=0,FALSE(),F144&lt;Controls!$B$12)</f>
        <v>1</v>
      </c>
      <c r="O144" s="11" t="n">
        <f aca="false">IF(N144,IF(INDEX('Scenario inputs'!$E$4:$E$213,M144)=0,1,INDEX('Scenario inputs'!$F$4:$M$213,M144,MIN(MAX(F144-G144,0),INDEX('Scenario inputs'!$E$4:$E$213,M144)-1)+1)),0)</f>
        <v>1</v>
      </c>
      <c r="P144" s="11" t="n">
        <f aca="false">H144*O144</f>
        <v>1675.73</v>
      </c>
      <c r="Q144" s="11" t="n">
        <f aca="false">IF(M144=0,"",IF(ISNUMBER(INDEX('Scenario inputs'!$N$4:$N$213,M144)),INDEX('Scenario inputs'!$N$4:$N$213,M144),""))</f>
        <v>45.12</v>
      </c>
      <c r="R144" s="0" t="str">
        <f aca="false">IF(NOT(N144),"",IF(OR(E144="cash",E144="revenue"),E144,IF(E144="avoided_cost",IF(AND(I144,LEN(TRIM(J144))&gt;0),"avoided_cost_realised","avoided_cost_beside"),IF(ISNUMBER(Q144),"capacity_converted","capacity_hours"))))</f>
        <v>capacity_converted</v>
      </c>
      <c r="S144" s="11" t="n">
        <f aca="false">IF(OR(R144="",R144="capacity_hours"),0,IF(R144="capacity_converted",P144*Q144,P144))</f>
        <v>75608.9376</v>
      </c>
      <c r="T144" s="11" t="n">
        <f aca="false">IF(OR(R144="cash",R144="revenue",R144="avoided_cost_realised",R144="capacity_converted"),1,0)</f>
        <v>1</v>
      </c>
      <c r="U144" s="11" t="n">
        <f aca="false">IF(AND(N144,R144&lt;&gt;"capacity_hours",LEN(K144)&gt;0),1,0)</f>
        <v>1</v>
      </c>
      <c r="V144" s="11" t="n">
        <f aca="false">IF(U144=1,SUMPRODUCT(($K$4:$K$703=K144)*($F$4:$F$703=F144)*($U$4:$U$703=1)*($B$4:$B$703&lt;&gt;B144)),0)</f>
        <v>0</v>
      </c>
      <c r="W144" s="11" t="n">
        <f aca="false">IF(AND(U144=1,V144&gt;0),1+SUMPRODUCT(($K$4:$K$703=K144)*($F$4:$F$703=F144)*($U$4:$U$703=1)*($S$4:$S$703&gt;S144))+SUMPRODUCT(($K$4:$K$703=K144)*($F$4:$F$703=F144)*($U$4:$U$703=1)*($S$4:$S$703=S144)*($T$4:$T$703&gt;T144))+SUMPRODUCT(($K$4:$K$703=K144)*($F$4:$F$703=F144)*($U$4:$U$703=1)*($S$4:$S$703=S144)*($T$4:$T$703=T144)*($C$4:$C$703&lt;C144))+SUMPRODUCT(($K$4:$K$703=K144)*($F$4:$F$703=F144)*($U$4:$U$703=1)*($S$4:$S$703=S144)*($T$4:$T$703=T144)*($C$4:$C$703=C144)*($D$4:$D$703&lt;D144)),0)</f>
        <v>0</v>
      </c>
      <c r="X144" s="11" t="n">
        <f aca="false">IF(AND(U144=1,V144&gt;0,W144&gt;1),S144,0)</f>
        <v>0</v>
      </c>
      <c r="Y144" s="11" t="n">
        <f aca="false">IF(T144=1,X144/(1+Controls!$B$11)^F144,0)</f>
        <v>0</v>
      </c>
      <c r="Z144" s="11" t="n">
        <f aca="false">IF(AND(N144,E144="capacity",LEN(K144)&gt;0),1,0)</f>
        <v>1</v>
      </c>
      <c r="AA144" s="11" t="n">
        <f aca="false">IF(Z144=1,SUMPRODUCT(($K$4:$K$703=K144)*($F$4:$F$703=F144)*($Z$4:$Z$703=1)*($B$4:$B$703&lt;&gt;B144)),0)</f>
        <v>0</v>
      </c>
      <c r="AB144" s="11" t="n">
        <f aca="false">IF(AND(Z144=1,AA144&gt;0),1+SUMPRODUCT(($K$4:$K$703=K144)*($F$4:$F$703=F144)*($Z$4:$Z$703=1)*($P$4:$P$703&gt;P144))+SUMPRODUCT(($K$4:$K$703=K144)*($F$4:$F$703=F144)*($Z$4:$Z$703=1)*($P$4:$P$703=P144)*($C$4:$C$703&lt;C144))+SUMPRODUCT(($K$4:$K$703=K144)*($F$4:$F$703=F144)*($Z$4:$Z$703=1)*($P$4:$P$703=P144)*($C$4:$C$703=C144)*($D$4:$D$703&lt;D144)),0)</f>
        <v>0</v>
      </c>
      <c r="AC144" s="11" t="n">
        <f aca="false">IF(AND(Z144=1,AA144&gt;0,AB144&gt;1),P144,0)</f>
        <v>0</v>
      </c>
    </row>
    <row r="145" customFormat="false" ht="15" hidden="false" customHeight="false" outlineLevel="0" collapsed="false">
      <c r="A145" s="4" t="s">
        <v>360</v>
      </c>
      <c r="B145" s="4" t="s">
        <v>86</v>
      </c>
      <c r="C145" s="4" t="n">
        <v>4</v>
      </c>
      <c r="D145" s="4" t="n">
        <v>142</v>
      </c>
      <c r="E145" s="4" t="s">
        <v>233</v>
      </c>
      <c r="F145" s="4" t="n">
        <v>14</v>
      </c>
      <c r="G145" s="4" t="n">
        <v>5</v>
      </c>
      <c r="H145" s="4" t="n">
        <v>1675.73</v>
      </c>
      <c r="I145" s="13" t="b">
        <f aca="false">FALSE()</f>
        <v>0</v>
      </c>
      <c r="K145" s="4" t="s">
        <v>351</v>
      </c>
      <c r="L145" s="4" t="n">
        <v>406.2</v>
      </c>
      <c r="M145" s="11" t="n">
        <f aca="false">IFERROR(MATCH(Controls!$B$3&amp;"|"&amp;B145,'Scenario inputs'!$A$4:$A$213,0),0)</f>
        <v>135</v>
      </c>
      <c r="N145" s="8" t="b">
        <f aca="false">IF(M145=0,FALSE(),F145&lt;Controls!$B$12)</f>
        <v>1</v>
      </c>
      <c r="O145" s="11" t="n">
        <f aca="false">IF(N145,IF(INDEX('Scenario inputs'!$E$4:$E$213,M145)=0,1,INDEX('Scenario inputs'!$F$4:$M$213,M145,MIN(MAX(F145-G145,0),INDEX('Scenario inputs'!$E$4:$E$213,M145)-1)+1)),0)</f>
        <v>1</v>
      </c>
      <c r="P145" s="11" t="n">
        <f aca="false">H145*O145</f>
        <v>1675.73</v>
      </c>
      <c r="Q145" s="11" t="n">
        <f aca="false">IF(M145=0,"",IF(ISNUMBER(INDEX('Scenario inputs'!$N$4:$N$213,M145)),INDEX('Scenario inputs'!$N$4:$N$213,M145),""))</f>
        <v>45.12</v>
      </c>
      <c r="R145" s="0" t="str">
        <f aca="false">IF(NOT(N145),"",IF(OR(E145="cash",E145="revenue"),E145,IF(E145="avoided_cost",IF(AND(I145,LEN(TRIM(J145))&gt;0),"avoided_cost_realised","avoided_cost_beside"),IF(ISNUMBER(Q145),"capacity_converted","capacity_hours"))))</f>
        <v>capacity_converted</v>
      </c>
      <c r="S145" s="11" t="n">
        <f aca="false">IF(OR(R145="",R145="capacity_hours"),0,IF(R145="capacity_converted",P145*Q145,P145))</f>
        <v>75608.9376</v>
      </c>
      <c r="T145" s="11" t="n">
        <f aca="false">IF(OR(R145="cash",R145="revenue",R145="avoided_cost_realised",R145="capacity_converted"),1,0)</f>
        <v>1</v>
      </c>
      <c r="U145" s="11" t="n">
        <f aca="false">IF(AND(N145,R145&lt;&gt;"capacity_hours",LEN(K145)&gt;0),1,0)</f>
        <v>1</v>
      </c>
      <c r="V145" s="11" t="n">
        <f aca="false">IF(U145=1,SUMPRODUCT(($K$4:$K$703=K145)*($F$4:$F$703=F145)*($U$4:$U$703=1)*($B$4:$B$703&lt;&gt;B145)),0)</f>
        <v>0</v>
      </c>
      <c r="W145" s="11" t="n">
        <f aca="false">IF(AND(U145=1,V145&gt;0),1+SUMPRODUCT(($K$4:$K$703=K145)*($F$4:$F$703=F145)*($U$4:$U$703=1)*($S$4:$S$703&gt;S145))+SUMPRODUCT(($K$4:$K$703=K145)*($F$4:$F$703=F145)*($U$4:$U$703=1)*($S$4:$S$703=S145)*($T$4:$T$703&gt;T145))+SUMPRODUCT(($K$4:$K$703=K145)*($F$4:$F$703=F145)*($U$4:$U$703=1)*($S$4:$S$703=S145)*($T$4:$T$703=T145)*($C$4:$C$703&lt;C145))+SUMPRODUCT(($K$4:$K$703=K145)*($F$4:$F$703=F145)*($U$4:$U$703=1)*($S$4:$S$703=S145)*($T$4:$T$703=T145)*($C$4:$C$703=C145)*($D$4:$D$703&lt;D145)),0)</f>
        <v>0</v>
      </c>
      <c r="X145" s="11" t="n">
        <f aca="false">IF(AND(U145=1,V145&gt;0,W145&gt;1),S145,0)</f>
        <v>0</v>
      </c>
      <c r="Y145" s="11" t="n">
        <f aca="false">IF(T145=1,X145/(1+Controls!$B$11)^F145,0)</f>
        <v>0</v>
      </c>
      <c r="Z145" s="11" t="n">
        <f aca="false">IF(AND(N145,E145="capacity",LEN(K145)&gt;0),1,0)</f>
        <v>1</v>
      </c>
      <c r="AA145" s="11" t="n">
        <f aca="false">IF(Z145=1,SUMPRODUCT(($K$4:$K$703=K145)*($F$4:$F$703=F145)*($Z$4:$Z$703=1)*($B$4:$B$703&lt;&gt;B145)),0)</f>
        <v>0</v>
      </c>
      <c r="AB145" s="11" t="n">
        <f aca="false">IF(AND(Z145=1,AA145&gt;0),1+SUMPRODUCT(($K$4:$K$703=K145)*($F$4:$F$703=F145)*($Z$4:$Z$703=1)*($P$4:$P$703&gt;P145))+SUMPRODUCT(($K$4:$K$703=K145)*($F$4:$F$703=F145)*($Z$4:$Z$703=1)*($P$4:$P$703=P145)*($C$4:$C$703&lt;C145))+SUMPRODUCT(($K$4:$K$703=K145)*($F$4:$F$703=F145)*($Z$4:$Z$703=1)*($P$4:$P$703=P145)*($C$4:$C$703=C145)*($D$4:$D$703&lt;D145)),0)</f>
        <v>0</v>
      </c>
      <c r="AC145" s="11" t="n">
        <f aca="false">IF(AND(Z145=1,AA145&gt;0,AB145&gt;1),P145,0)</f>
        <v>0</v>
      </c>
    </row>
    <row r="146" customFormat="false" ht="15" hidden="false" customHeight="false" outlineLevel="0" collapsed="false">
      <c r="A146" s="4" t="s">
        <v>361</v>
      </c>
      <c r="B146" s="4" t="s">
        <v>86</v>
      </c>
      <c r="C146" s="4" t="n">
        <v>4</v>
      </c>
      <c r="D146" s="4" t="n">
        <v>143</v>
      </c>
      <c r="E146" s="4" t="s">
        <v>233</v>
      </c>
      <c r="F146" s="4" t="n">
        <v>15</v>
      </c>
      <c r="G146" s="4" t="n">
        <v>5</v>
      </c>
      <c r="H146" s="4" t="n">
        <v>1675.73</v>
      </c>
      <c r="I146" s="13" t="b">
        <f aca="false">FALSE()</f>
        <v>0</v>
      </c>
      <c r="K146" s="4" t="s">
        <v>351</v>
      </c>
      <c r="L146" s="4" t="n">
        <v>406.2</v>
      </c>
      <c r="M146" s="11" t="n">
        <f aca="false">IFERROR(MATCH(Controls!$B$3&amp;"|"&amp;B146,'Scenario inputs'!$A$4:$A$213,0),0)</f>
        <v>135</v>
      </c>
      <c r="N146" s="8" t="b">
        <f aca="false">IF(M146=0,FALSE(),F146&lt;Controls!$B$12)</f>
        <v>1</v>
      </c>
      <c r="O146" s="11" t="n">
        <f aca="false">IF(N146,IF(INDEX('Scenario inputs'!$E$4:$E$213,M146)=0,1,INDEX('Scenario inputs'!$F$4:$M$213,M146,MIN(MAX(F146-G146,0),INDEX('Scenario inputs'!$E$4:$E$213,M146)-1)+1)),0)</f>
        <v>1</v>
      </c>
      <c r="P146" s="11" t="n">
        <f aca="false">H146*O146</f>
        <v>1675.73</v>
      </c>
      <c r="Q146" s="11" t="n">
        <f aca="false">IF(M146=0,"",IF(ISNUMBER(INDEX('Scenario inputs'!$N$4:$N$213,M146)),INDEX('Scenario inputs'!$N$4:$N$213,M146),""))</f>
        <v>45.12</v>
      </c>
      <c r="R146" s="0" t="str">
        <f aca="false">IF(NOT(N146),"",IF(OR(E146="cash",E146="revenue"),E146,IF(E146="avoided_cost",IF(AND(I146,LEN(TRIM(J146))&gt;0),"avoided_cost_realised","avoided_cost_beside"),IF(ISNUMBER(Q146),"capacity_converted","capacity_hours"))))</f>
        <v>capacity_converted</v>
      </c>
      <c r="S146" s="11" t="n">
        <f aca="false">IF(OR(R146="",R146="capacity_hours"),0,IF(R146="capacity_converted",P146*Q146,P146))</f>
        <v>75608.9376</v>
      </c>
      <c r="T146" s="11" t="n">
        <f aca="false">IF(OR(R146="cash",R146="revenue",R146="avoided_cost_realised",R146="capacity_converted"),1,0)</f>
        <v>1</v>
      </c>
      <c r="U146" s="11" t="n">
        <f aca="false">IF(AND(N146,R146&lt;&gt;"capacity_hours",LEN(K146)&gt;0),1,0)</f>
        <v>1</v>
      </c>
      <c r="V146" s="11" t="n">
        <f aca="false">IF(U146=1,SUMPRODUCT(($K$4:$K$703=K146)*($F$4:$F$703=F146)*($U$4:$U$703=1)*($B$4:$B$703&lt;&gt;B146)),0)</f>
        <v>0</v>
      </c>
      <c r="W146" s="11" t="n">
        <f aca="false">IF(AND(U146=1,V146&gt;0),1+SUMPRODUCT(($K$4:$K$703=K146)*($F$4:$F$703=F146)*($U$4:$U$703=1)*($S$4:$S$703&gt;S146))+SUMPRODUCT(($K$4:$K$703=K146)*($F$4:$F$703=F146)*($U$4:$U$703=1)*($S$4:$S$703=S146)*($T$4:$T$703&gt;T146))+SUMPRODUCT(($K$4:$K$703=K146)*($F$4:$F$703=F146)*($U$4:$U$703=1)*($S$4:$S$703=S146)*($T$4:$T$703=T146)*($C$4:$C$703&lt;C146))+SUMPRODUCT(($K$4:$K$703=K146)*($F$4:$F$703=F146)*($U$4:$U$703=1)*($S$4:$S$703=S146)*($T$4:$T$703=T146)*($C$4:$C$703=C146)*($D$4:$D$703&lt;D146)),0)</f>
        <v>0</v>
      </c>
      <c r="X146" s="11" t="n">
        <f aca="false">IF(AND(U146=1,V146&gt;0,W146&gt;1),S146,0)</f>
        <v>0</v>
      </c>
      <c r="Y146" s="11" t="n">
        <f aca="false">IF(T146=1,X146/(1+Controls!$B$11)^F146,0)</f>
        <v>0</v>
      </c>
      <c r="Z146" s="11" t="n">
        <f aca="false">IF(AND(N146,E146="capacity",LEN(K146)&gt;0),1,0)</f>
        <v>1</v>
      </c>
      <c r="AA146" s="11" t="n">
        <f aca="false">IF(Z146=1,SUMPRODUCT(($K$4:$K$703=K146)*($F$4:$F$703=F146)*($Z$4:$Z$703=1)*($B$4:$B$703&lt;&gt;B146)),0)</f>
        <v>0</v>
      </c>
      <c r="AB146" s="11" t="n">
        <f aca="false">IF(AND(Z146=1,AA146&gt;0),1+SUMPRODUCT(($K$4:$K$703=K146)*($F$4:$F$703=F146)*($Z$4:$Z$703=1)*($P$4:$P$703&gt;P146))+SUMPRODUCT(($K$4:$K$703=K146)*($F$4:$F$703=F146)*($Z$4:$Z$703=1)*($P$4:$P$703=P146)*($C$4:$C$703&lt;C146))+SUMPRODUCT(($K$4:$K$703=K146)*($F$4:$F$703=F146)*($Z$4:$Z$703=1)*($P$4:$P$703=P146)*($C$4:$C$703=C146)*($D$4:$D$703&lt;D146)),0)</f>
        <v>0</v>
      </c>
      <c r="AC146" s="11" t="n">
        <f aca="false">IF(AND(Z146=1,AA146&gt;0,AB146&gt;1),P146,0)</f>
        <v>0</v>
      </c>
    </row>
    <row r="147" customFormat="false" ht="15" hidden="false" customHeight="false" outlineLevel="0" collapsed="false">
      <c r="A147" s="4" t="s">
        <v>362</v>
      </c>
      <c r="B147" s="4" t="s">
        <v>86</v>
      </c>
      <c r="C147" s="4" t="n">
        <v>4</v>
      </c>
      <c r="D147" s="4" t="n">
        <v>144</v>
      </c>
      <c r="E147" s="4" t="s">
        <v>233</v>
      </c>
      <c r="F147" s="4" t="n">
        <v>16</v>
      </c>
      <c r="G147" s="4" t="n">
        <v>5</v>
      </c>
      <c r="H147" s="4" t="n">
        <v>1675.73</v>
      </c>
      <c r="I147" s="13" t="b">
        <f aca="false">FALSE()</f>
        <v>0</v>
      </c>
      <c r="K147" s="4" t="s">
        <v>351</v>
      </c>
      <c r="L147" s="4" t="n">
        <v>406.2</v>
      </c>
      <c r="M147" s="11" t="n">
        <f aca="false">IFERROR(MATCH(Controls!$B$3&amp;"|"&amp;B147,'Scenario inputs'!$A$4:$A$213,0),0)</f>
        <v>135</v>
      </c>
      <c r="N147" s="8" t="b">
        <f aca="false">IF(M147=0,FALSE(),F147&lt;Controls!$B$12)</f>
        <v>1</v>
      </c>
      <c r="O147" s="11" t="n">
        <f aca="false">IF(N147,IF(INDEX('Scenario inputs'!$E$4:$E$213,M147)=0,1,INDEX('Scenario inputs'!$F$4:$M$213,M147,MIN(MAX(F147-G147,0),INDEX('Scenario inputs'!$E$4:$E$213,M147)-1)+1)),0)</f>
        <v>1</v>
      </c>
      <c r="P147" s="11" t="n">
        <f aca="false">H147*O147</f>
        <v>1675.73</v>
      </c>
      <c r="Q147" s="11" t="n">
        <f aca="false">IF(M147=0,"",IF(ISNUMBER(INDEX('Scenario inputs'!$N$4:$N$213,M147)),INDEX('Scenario inputs'!$N$4:$N$213,M147),""))</f>
        <v>45.12</v>
      </c>
      <c r="R147" s="0" t="str">
        <f aca="false">IF(NOT(N147),"",IF(OR(E147="cash",E147="revenue"),E147,IF(E147="avoided_cost",IF(AND(I147,LEN(TRIM(J147))&gt;0),"avoided_cost_realised","avoided_cost_beside"),IF(ISNUMBER(Q147),"capacity_converted","capacity_hours"))))</f>
        <v>capacity_converted</v>
      </c>
      <c r="S147" s="11" t="n">
        <f aca="false">IF(OR(R147="",R147="capacity_hours"),0,IF(R147="capacity_converted",P147*Q147,P147))</f>
        <v>75608.9376</v>
      </c>
      <c r="T147" s="11" t="n">
        <f aca="false">IF(OR(R147="cash",R147="revenue",R147="avoided_cost_realised",R147="capacity_converted"),1,0)</f>
        <v>1</v>
      </c>
      <c r="U147" s="11" t="n">
        <f aca="false">IF(AND(N147,R147&lt;&gt;"capacity_hours",LEN(K147)&gt;0),1,0)</f>
        <v>1</v>
      </c>
      <c r="V147" s="11" t="n">
        <f aca="false">IF(U147=1,SUMPRODUCT(($K$4:$K$703=K147)*($F$4:$F$703=F147)*($U$4:$U$703=1)*($B$4:$B$703&lt;&gt;B147)),0)</f>
        <v>0</v>
      </c>
      <c r="W147" s="11" t="n">
        <f aca="false">IF(AND(U147=1,V147&gt;0),1+SUMPRODUCT(($K$4:$K$703=K147)*($F$4:$F$703=F147)*($U$4:$U$703=1)*($S$4:$S$703&gt;S147))+SUMPRODUCT(($K$4:$K$703=K147)*($F$4:$F$703=F147)*($U$4:$U$703=1)*($S$4:$S$703=S147)*($T$4:$T$703&gt;T147))+SUMPRODUCT(($K$4:$K$703=K147)*($F$4:$F$703=F147)*($U$4:$U$703=1)*($S$4:$S$703=S147)*($T$4:$T$703=T147)*($C$4:$C$703&lt;C147))+SUMPRODUCT(($K$4:$K$703=K147)*($F$4:$F$703=F147)*($U$4:$U$703=1)*($S$4:$S$703=S147)*($T$4:$T$703=T147)*($C$4:$C$703=C147)*($D$4:$D$703&lt;D147)),0)</f>
        <v>0</v>
      </c>
      <c r="X147" s="11" t="n">
        <f aca="false">IF(AND(U147=1,V147&gt;0,W147&gt;1),S147,0)</f>
        <v>0</v>
      </c>
      <c r="Y147" s="11" t="n">
        <f aca="false">IF(T147=1,X147/(1+Controls!$B$11)^F147,0)</f>
        <v>0</v>
      </c>
      <c r="Z147" s="11" t="n">
        <f aca="false">IF(AND(N147,E147="capacity",LEN(K147)&gt;0),1,0)</f>
        <v>1</v>
      </c>
      <c r="AA147" s="11" t="n">
        <f aca="false">IF(Z147=1,SUMPRODUCT(($K$4:$K$703=K147)*($F$4:$F$703=F147)*($Z$4:$Z$703=1)*($B$4:$B$703&lt;&gt;B147)),0)</f>
        <v>0</v>
      </c>
      <c r="AB147" s="11" t="n">
        <f aca="false">IF(AND(Z147=1,AA147&gt;0),1+SUMPRODUCT(($K$4:$K$703=K147)*($F$4:$F$703=F147)*($Z$4:$Z$703=1)*($P$4:$P$703&gt;P147))+SUMPRODUCT(($K$4:$K$703=K147)*($F$4:$F$703=F147)*($Z$4:$Z$703=1)*($P$4:$P$703=P147)*($C$4:$C$703&lt;C147))+SUMPRODUCT(($K$4:$K$703=K147)*($F$4:$F$703=F147)*($Z$4:$Z$703=1)*($P$4:$P$703=P147)*($C$4:$C$703=C147)*($D$4:$D$703&lt;D147)),0)</f>
        <v>0</v>
      </c>
      <c r="AC147" s="11" t="n">
        <f aca="false">IF(AND(Z147=1,AA147&gt;0,AB147&gt;1),P147,0)</f>
        <v>0</v>
      </c>
    </row>
    <row r="148" customFormat="false" ht="15" hidden="false" customHeight="false" outlineLevel="0" collapsed="false">
      <c r="A148" s="4" t="s">
        <v>363</v>
      </c>
      <c r="B148" s="4" t="s">
        <v>87</v>
      </c>
      <c r="C148" s="4" t="n">
        <v>5</v>
      </c>
      <c r="D148" s="4" t="n">
        <v>145</v>
      </c>
      <c r="E148" s="4" t="s">
        <v>112</v>
      </c>
      <c r="F148" s="4" t="n">
        <v>10</v>
      </c>
      <c r="G148" s="4" t="n">
        <v>10</v>
      </c>
      <c r="H148" s="4" t="n">
        <v>126350</v>
      </c>
      <c r="I148" s="13" t="b">
        <f aca="false">FALSE()</f>
        <v>0</v>
      </c>
      <c r="K148" s="4" t="s">
        <v>364</v>
      </c>
      <c r="L148" s="4" t="n">
        <v>1276.14</v>
      </c>
      <c r="M148" s="11" t="n">
        <f aca="false">IFERROR(MATCH(Controls!$B$3&amp;"|"&amp;B148,'Scenario inputs'!$A$4:$A$213,0),0)</f>
        <v>136</v>
      </c>
      <c r="N148" s="8" t="b">
        <f aca="false">IF(M148=0,FALSE(),F148&lt;Controls!$B$12)</f>
        <v>1</v>
      </c>
      <c r="O148" s="11" t="n">
        <f aca="false">IF(N148,IF(INDEX('Scenario inputs'!$E$4:$E$213,M148)=0,1,INDEX('Scenario inputs'!$F$4:$M$213,M148,MIN(MAX(F148-G148,0),INDEX('Scenario inputs'!$E$4:$E$213,M148)-1)+1)),0)</f>
        <v>0.066667</v>
      </c>
      <c r="P148" s="11" t="n">
        <f aca="false">H148*O148</f>
        <v>8423.37545</v>
      </c>
      <c r="Q148" s="0" t="str">
        <f aca="false">IF(M148=0,"",IF(ISNUMBER(INDEX('Scenario inputs'!$N$4:$N$213,M148)),INDEX('Scenario inputs'!$N$4:$N$213,M148),""))</f>
        <v/>
      </c>
      <c r="R148" s="0" t="str">
        <f aca="false">IF(NOT(N148),"",IF(OR(E148="cash",E148="revenue"),E148,IF(E148="avoided_cost",IF(AND(I148,LEN(TRIM(J148))&gt;0),"avoided_cost_realised","avoided_cost_beside"),IF(ISNUMBER(Q148),"capacity_converted","capacity_hours"))))</f>
        <v>cash</v>
      </c>
      <c r="S148" s="11" t="n">
        <f aca="false">IF(OR(R148="",R148="capacity_hours"),0,IF(R148="capacity_converted",P148*Q148,P148))</f>
        <v>8423.37545</v>
      </c>
      <c r="T148" s="11" t="n">
        <f aca="false">IF(OR(R148="cash",R148="revenue",R148="avoided_cost_realised",R148="capacity_converted"),1,0)</f>
        <v>1</v>
      </c>
      <c r="U148" s="11" t="n">
        <f aca="false">IF(AND(N148,R148&lt;&gt;"capacity_hours",LEN(K148)&gt;0),1,0)</f>
        <v>1</v>
      </c>
      <c r="V148" s="11" t="n">
        <f aca="false">IF(U148=1,SUMPRODUCT(($K$4:$K$703=K148)*($F$4:$F$703=F148)*($U$4:$U$703=1)*($B$4:$B$703&lt;&gt;B148)),0)</f>
        <v>0</v>
      </c>
      <c r="W148" s="11" t="n">
        <f aca="false">IF(AND(U148=1,V148&gt;0),1+SUMPRODUCT(($K$4:$K$703=K148)*($F$4:$F$703=F148)*($U$4:$U$703=1)*($S$4:$S$703&gt;S148))+SUMPRODUCT(($K$4:$K$703=K148)*($F$4:$F$703=F148)*($U$4:$U$703=1)*($S$4:$S$703=S148)*($T$4:$T$703&gt;T148))+SUMPRODUCT(($K$4:$K$703=K148)*($F$4:$F$703=F148)*($U$4:$U$703=1)*($S$4:$S$703=S148)*($T$4:$T$703=T148)*($C$4:$C$703&lt;C148))+SUMPRODUCT(($K$4:$K$703=K148)*($F$4:$F$703=F148)*($U$4:$U$703=1)*($S$4:$S$703=S148)*($T$4:$T$703=T148)*($C$4:$C$703=C148)*($D$4:$D$703&lt;D148)),0)</f>
        <v>0</v>
      </c>
      <c r="X148" s="11" t="n">
        <f aca="false">IF(AND(U148=1,V148&gt;0,W148&gt;1),S148,0)</f>
        <v>0</v>
      </c>
      <c r="Y148" s="11" t="n">
        <f aca="false">IF(T148=1,X148/(1+Controls!$B$11)^F148,0)</f>
        <v>0</v>
      </c>
      <c r="Z148" s="11" t="n">
        <f aca="false">IF(AND(N148,E148="capacity",LEN(K148)&gt;0),1,0)</f>
        <v>0</v>
      </c>
      <c r="AA148" s="11" t="n">
        <f aca="false">IF(Z148=1,SUMPRODUCT(($K$4:$K$703=K148)*($F$4:$F$703=F148)*($Z$4:$Z$703=1)*($B$4:$B$703&lt;&gt;B148)),0)</f>
        <v>0</v>
      </c>
      <c r="AB148" s="11" t="n">
        <f aca="false">IF(AND(Z148=1,AA148&gt;0),1+SUMPRODUCT(($K$4:$K$703=K148)*($F$4:$F$703=F148)*($Z$4:$Z$703=1)*($P$4:$P$703&gt;P148))+SUMPRODUCT(($K$4:$K$703=K148)*($F$4:$F$703=F148)*($Z$4:$Z$703=1)*($P$4:$P$703=P148)*($C$4:$C$703&lt;C148))+SUMPRODUCT(($K$4:$K$703=K148)*($F$4:$F$703=F148)*($Z$4:$Z$703=1)*($P$4:$P$703=P148)*($C$4:$C$703=C148)*($D$4:$D$703&lt;D148)),0)</f>
        <v>0</v>
      </c>
      <c r="AC148" s="11" t="n">
        <f aca="false">IF(AND(Z148=1,AA148&gt;0,AB148&gt;1),P148,0)</f>
        <v>0</v>
      </c>
    </row>
    <row r="149" customFormat="false" ht="15" hidden="false" customHeight="false" outlineLevel="0" collapsed="false">
      <c r="A149" s="4" t="s">
        <v>365</v>
      </c>
      <c r="B149" s="4" t="s">
        <v>87</v>
      </c>
      <c r="C149" s="4" t="n">
        <v>5</v>
      </c>
      <c r="D149" s="4" t="n">
        <v>146</v>
      </c>
      <c r="E149" s="4" t="s">
        <v>112</v>
      </c>
      <c r="F149" s="4" t="n">
        <v>11</v>
      </c>
      <c r="G149" s="4" t="n">
        <v>10</v>
      </c>
      <c r="H149" s="4" t="n">
        <v>126350</v>
      </c>
      <c r="I149" s="13" t="b">
        <f aca="false">FALSE()</f>
        <v>0</v>
      </c>
      <c r="K149" s="4" t="s">
        <v>364</v>
      </c>
      <c r="L149" s="4" t="n">
        <v>3828.41</v>
      </c>
      <c r="M149" s="11" t="n">
        <f aca="false">IFERROR(MATCH(Controls!$B$3&amp;"|"&amp;B149,'Scenario inputs'!$A$4:$A$213,0),0)</f>
        <v>136</v>
      </c>
      <c r="N149" s="8" t="b">
        <f aca="false">IF(M149=0,FALSE(),F149&lt;Controls!$B$12)</f>
        <v>1</v>
      </c>
      <c r="O149" s="11" t="n">
        <f aca="false">IF(N149,IF(INDEX('Scenario inputs'!$E$4:$E$213,M149)=0,1,INDEX('Scenario inputs'!$F$4:$M$213,M149,MIN(MAX(F149-G149,0),INDEX('Scenario inputs'!$E$4:$E$213,M149)-1)+1)),0)</f>
        <v>0.2</v>
      </c>
      <c r="P149" s="11" t="n">
        <f aca="false">H149*O149</f>
        <v>25270</v>
      </c>
      <c r="Q149" s="0" t="str">
        <f aca="false">IF(M149=0,"",IF(ISNUMBER(INDEX('Scenario inputs'!$N$4:$N$213,M149)),INDEX('Scenario inputs'!$N$4:$N$213,M149),""))</f>
        <v/>
      </c>
      <c r="R149" s="0" t="str">
        <f aca="false">IF(NOT(N149),"",IF(OR(E149="cash",E149="revenue"),E149,IF(E149="avoided_cost",IF(AND(I149,LEN(TRIM(J149))&gt;0),"avoided_cost_realised","avoided_cost_beside"),IF(ISNUMBER(Q149),"capacity_converted","capacity_hours"))))</f>
        <v>cash</v>
      </c>
      <c r="S149" s="11" t="n">
        <f aca="false">IF(OR(R149="",R149="capacity_hours"),0,IF(R149="capacity_converted",P149*Q149,P149))</f>
        <v>25270</v>
      </c>
      <c r="T149" s="11" t="n">
        <f aca="false">IF(OR(R149="cash",R149="revenue",R149="avoided_cost_realised",R149="capacity_converted"),1,0)</f>
        <v>1</v>
      </c>
      <c r="U149" s="11" t="n">
        <f aca="false">IF(AND(N149,R149&lt;&gt;"capacity_hours",LEN(K149)&gt;0),1,0)</f>
        <v>1</v>
      </c>
      <c r="V149" s="11" t="n">
        <f aca="false">IF(U149=1,SUMPRODUCT(($K$4:$K$703=K149)*($F$4:$F$703=F149)*($U$4:$U$703=1)*($B$4:$B$703&lt;&gt;B149)),0)</f>
        <v>0</v>
      </c>
      <c r="W149" s="11" t="n">
        <f aca="false">IF(AND(U149=1,V149&gt;0),1+SUMPRODUCT(($K$4:$K$703=K149)*($F$4:$F$703=F149)*($U$4:$U$703=1)*($S$4:$S$703&gt;S149))+SUMPRODUCT(($K$4:$K$703=K149)*($F$4:$F$703=F149)*($U$4:$U$703=1)*($S$4:$S$703=S149)*($T$4:$T$703&gt;T149))+SUMPRODUCT(($K$4:$K$703=K149)*($F$4:$F$703=F149)*($U$4:$U$703=1)*($S$4:$S$703=S149)*($T$4:$T$703=T149)*($C$4:$C$703&lt;C149))+SUMPRODUCT(($K$4:$K$703=K149)*($F$4:$F$703=F149)*($U$4:$U$703=1)*($S$4:$S$703=S149)*($T$4:$T$703=T149)*($C$4:$C$703=C149)*($D$4:$D$703&lt;D149)),0)</f>
        <v>0</v>
      </c>
      <c r="X149" s="11" t="n">
        <f aca="false">IF(AND(U149=1,V149&gt;0,W149&gt;1),S149,0)</f>
        <v>0</v>
      </c>
      <c r="Y149" s="11" t="n">
        <f aca="false">IF(T149=1,X149/(1+Controls!$B$11)^F149,0)</f>
        <v>0</v>
      </c>
      <c r="Z149" s="11" t="n">
        <f aca="false">IF(AND(N149,E149="capacity",LEN(K149)&gt;0),1,0)</f>
        <v>0</v>
      </c>
      <c r="AA149" s="11" t="n">
        <f aca="false">IF(Z149=1,SUMPRODUCT(($K$4:$K$703=K149)*($F$4:$F$703=F149)*($Z$4:$Z$703=1)*($B$4:$B$703&lt;&gt;B149)),0)</f>
        <v>0</v>
      </c>
      <c r="AB149" s="11" t="n">
        <f aca="false">IF(AND(Z149=1,AA149&gt;0),1+SUMPRODUCT(($K$4:$K$703=K149)*($F$4:$F$703=F149)*($Z$4:$Z$703=1)*($P$4:$P$703&gt;P149))+SUMPRODUCT(($K$4:$K$703=K149)*($F$4:$F$703=F149)*($Z$4:$Z$703=1)*($P$4:$P$703=P149)*($C$4:$C$703&lt;C149))+SUMPRODUCT(($K$4:$K$703=K149)*($F$4:$F$703=F149)*($Z$4:$Z$703=1)*($P$4:$P$703=P149)*($C$4:$C$703=C149)*($D$4:$D$703&lt;D149)),0)</f>
        <v>0</v>
      </c>
      <c r="AC149" s="11" t="n">
        <f aca="false">IF(AND(Z149=1,AA149&gt;0,AB149&gt;1),P149,0)</f>
        <v>0</v>
      </c>
    </row>
    <row r="150" customFormat="false" ht="15" hidden="false" customHeight="false" outlineLevel="0" collapsed="false">
      <c r="A150" s="4" t="s">
        <v>366</v>
      </c>
      <c r="B150" s="4" t="s">
        <v>87</v>
      </c>
      <c r="C150" s="4" t="n">
        <v>5</v>
      </c>
      <c r="D150" s="4" t="n">
        <v>147</v>
      </c>
      <c r="E150" s="4" t="s">
        <v>112</v>
      </c>
      <c r="F150" s="4" t="n">
        <v>12</v>
      </c>
      <c r="G150" s="4" t="n">
        <v>10</v>
      </c>
      <c r="H150" s="4" t="n">
        <v>126350</v>
      </c>
      <c r="I150" s="13" t="b">
        <f aca="false">FALSE()</f>
        <v>0</v>
      </c>
      <c r="K150" s="4" t="s">
        <v>364</v>
      </c>
      <c r="L150" s="4" t="n">
        <v>7656.81</v>
      </c>
      <c r="M150" s="11" t="n">
        <f aca="false">IFERROR(MATCH(Controls!$B$3&amp;"|"&amp;B150,'Scenario inputs'!$A$4:$A$213,0),0)</f>
        <v>136</v>
      </c>
      <c r="N150" s="8" t="b">
        <f aca="false">IF(M150=0,FALSE(),F150&lt;Controls!$B$12)</f>
        <v>1</v>
      </c>
      <c r="O150" s="11" t="n">
        <f aca="false">IF(N150,IF(INDEX('Scenario inputs'!$E$4:$E$213,M150)=0,1,INDEX('Scenario inputs'!$F$4:$M$213,M150,MIN(MAX(F150-G150,0),INDEX('Scenario inputs'!$E$4:$E$213,M150)-1)+1)),0)</f>
        <v>0.4</v>
      </c>
      <c r="P150" s="11" t="n">
        <f aca="false">H150*O150</f>
        <v>50540</v>
      </c>
      <c r="Q150" s="0" t="str">
        <f aca="false">IF(M150=0,"",IF(ISNUMBER(INDEX('Scenario inputs'!$N$4:$N$213,M150)),INDEX('Scenario inputs'!$N$4:$N$213,M150),""))</f>
        <v/>
      </c>
      <c r="R150" s="0" t="str">
        <f aca="false">IF(NOT(N150),"",IF(OR(E150="cash",E150="revenue"),E150,IF(E150="avoided_cost",IF(AND(I150,LEN(TRIM(J150))&gt;0),"avoided_cost_realised","avoided_cost_beside"),IF(ISNUMBER(Q150),"capacity_converted","capacity_hours"))))</f>
        <v>cash</v>
      </c>
      <c r="S150" s="11" t="n">
        <f aca="false">IF(OR(R150="",R150="capacity_hours"),0,IF(R150="capacity_converted",P150*Q150,P150))</f>
        <v>50540</v>
      </c>
      <c r="T150" s="11" t="n">
        <f aca="false">IF(OR(R150="cash",R150="revenue",R150="avoided_cost_realised",R150="capacity_converted"),1,0)</f>
        <v>1</v>
      </c>
      <c r="U150" s="11" t="n">
        <f aca="false">IF(AND(N150,R150&lt;&gt;"capacity_hours",LEN(K150)&gt;0),1,0)</f>
        <v>1</v>
      </c>
      <c r="V150" s="11" t="n">
        <f aca="false">IF(U150=1,SUMPRODUCT(($K$4:$K$703=K150)*($F$4:$F$703=F150)*($U$4:$U$703=1)*($B$4:$B$703&lt;&gt;B150)),0)</f>
        <v>0</v>
      </c>
      <c r="W150" s="11" t="n">
        <f aca="false">IF(AND(U150=1,V150&gt;0),1+SUMPRODUCT(($K$4:$K$703=K150)*($F$4:$F$703=F150)*($U$4:$U$703=1)*($S$4:$S$703&gt;S150))+SUMPRODUCT(($K$4:$K$703=K150)*($F$4:$F$703=F150)*($U$4:$U$703=1)*($S$4:$S$703=S150)*($T$4:$T$703&gt;T150))+SUMPRODUCT(($K$4:$K$703=K150)*($F$4:$F$703=F150)*($U$4:$U$703=1)*($S$4:$S$703=S150)*($T$4:$T$703=T150)*($C$4:$C$703&lt;C150))+SUMPRODUCT(($K$4:$K$703=K150)*($F$4:$F$703=F150)*($U$4:$U$703=1)*($S$4:$S$703=S150)*($T$4:$T$703=T150)*($C$4:$C$703=C150)*($D$4:$D$703&lt;D150)),0)</f>
        <v>0</v>
      </c>
      <c r="X150" s="11" t="n">
        <f aca="false">IF(AND(U150=1,V150&gt;0,W150&gt;1),S150,0)</f>
        <v>0</v>
      </c>
      <c r="Y150" s="11" t="n">
        <f aca="false">IF(T150=1,X150/(1+Controls!$B$11)^F150,0)</f>
        <v>0</v>
      </c>
      <c r="Z150" s="11" t="n">
        <f aca="false">IF(AND(N150,E150="capacity",LEN(K150)&gt;0),1,0)</f>
        <v>0</v>
      </c>
      <c r="AA150" s="11" t="n">
        <f aca="false">IF(Z150=1,SUMPRODUCT(($K$4:$K$703=K150)*($F$4:$F$703=F150)*($Z$4:$Z$703=1)*($B$4:$B$703&lt;&gt;B150)),0)</f>
        <v>0</v>
      </c>
      <c r="AB150" s="11" t="n">
        <f aca="false">IF(AND(Z150=1,AA150&gt;0),1+SUMPRODUCT(($K$4:$K$703=K150)*($F$4:$F$703=F150)*($Z$4:$Z$703=1)*($P$4:$P$703&gt;P150))+SUMPRODUCT(($K$4:$K$703=K150)*($F$4:$F$703=F150)*($Z$4:$Z$703=1)*($P$4:$P$703=P150)*($C$4:$C$703&lt;C150))+SUMPRODUCT(($K$4:$K$703=K150)*($F$4:$F$703=F150)*($Z$4:$Z$703=1)*($P$4:$P$703=P150)*($C$4:$C$703=C150)*($D$4:$D$703&lt;D150)),0)</f>
        <v>0</v>
      </c>
      <c r="AC150" s="11" t="n">
        <f aca="false">IF(AND(Z150=1,AA150&gt;0,AB150&gt;1),P150,0)</f>
        <v>0</v>
      </c>
    </row>
    <row r="151" customFormat="false" ht="15" hidden="false" customHeight="false" outlineLevel="0" collapsed="false">
      <c r="A151" s="4" t="s">
        <v>367</v>
      </c>
      <c r="B151" s="4" t="s">
        <v>87</v>
      </c>
      <c r="C151" s="4" t="n">
        <v>5</v>
      </c>
      <c r="D151" s="4" t="n">
        <v>148</v>
      </c>
      <c r="E151" s="4" t="s">
        <v>112</v>
      </c>
      <c r="F151" s="4" t="n">
        <v>13</v>
      </c>
      <c r="G151" s="4" t="n">
        <v>10</v>
      </c>
      <c r="H151" s="4" t="n">
        <v>126350</v>
      </c>
      <c r="I151" s="13" t="b">
        <f aca="false">FALSE()</f>
        <v>0</v>
      </c>
      <c r="K151" s="4" t="s">
        <v>364</v>
      </c>
      <c r="L151" s="4" t="n">
        <v>12761.36</v>
      </c>
      <c r="M151" s="11" t="n">
        <f aca="false">IFERROR(MATCH(Controls!$B$3&amp;"|"&amp;B151,'Scenario inputs'!$A$4:$A$213,0),0)</f>
        <v>136</v>
      </c>
      <c r="N151" s="8" t="b">
        <f aca="false">IF(M151=0,FALSE(),F151&lt;Controls!$B$12)</f>
        <v>1</v>
      </c>
      <c r="O151" s="11" t="n">
        <f aca="false">IF(N151,IF(INDEX('Scenario inputs'!$E$4:$E$213,M151)=0,1,INDEX('Scenario inputs'!$F$4:$M$213,M151,MIN(MAX(F151-G151,0),INDEX('Scenario inputs'!$E$4:$E$213,M151)-1)+1)),0)</f>
        <v>0.666667</v>
      </c>
      <c r="P151" s="11" t="n">
        <f aca="false">H151*O151</f>
        <v>84233.37545</v>
      </c>
      <c r="Q151" s="0" t="str">
        <f aca="false">IF(M151=0,"",IF(ISNUMBER(INDEX('Scenario inputs'!$N$4:$N$213,M151)),INDEX('Scenario inputs'!$N$4:$N$213,M151),""))</f>
        <v/>
      </c>
      <c r="R151" s="0" t="str">
        <f aca="false">IF(NOT(N151),"",IF(OR(E151="cash",E151="revenue"),E151,IF(E151="avoided_cost",IF(AND(I151,LEN(TRIM(J151))&gt;0),"avoided_cost_realised","avoided_cost_beside"),IF(ISNUMBER(Q151),"capacity_converted","capacity_hours"))))</f>
        <v>cash</v>
      </c>
      <c r="S151" s="11" t="n">
        <f aca="false">IF(OR(R151="",R151="capacity_hours"),0,IF(R151="capacity_converted",P151*Q151,P151))</f>
        <v>84233.37545</v>
      </c>
      <c r="T151" s="11" t="n">
        <f aca="false">IF(OR(R151="cash",R151="revenue",R151="avoided_cost_realised",R151="capacity_converted"),1,0)</f>
        <v>1</v>
      </c>
      <c r="U151" s="11" t="n">
        <f aca="false">IF(AND(N151,R151&lt;&gt;"capacity_hours",LEN(K151)&gt;0),1,0)</f>
        <v>1</v>
      </c>
      <c r="V151" s="11" t="n">
        <f aca="false">IF(U151=1,SUMPRODUCT(($K$4:$K$703=K151)*($F$4:$F$703=F151)*($U$4:$U$703=1)*($B$4:$B$703&lt;&gt;B151)),0)</f>
        <v>0</v>
      </c>
      <c r="W151" s="11" t="n">
        <f aca="false">IF(AND(U151=1,V151&gt;0),1+SUMPRODUCT(($K$4:$K$703=K151)*($F$4:$F$703=F151)*($U$4:$U$703=1)*($S$4:$S$703&gt;S151))+SUMPRODUCT(($K$4:$K$703=K151)*($F$4:$F$703=F151)*($U$4:$U$703=1)*($S$4:$S$703=S151)*($T$4:$T$703&gt;T151))+SUMPRODUCT(($K$4:$K$703=K151)*($F$4:$F$703=F151)*($U$4:$U$703=1)*($S$4:$S$703=S151)*($T$4:$T$703=T151)*($C$4:$C$703&lt;C151))+SUMPRODUCT(($K$4:$K$703=K151)*($F$4:$F$703=F151)*($U$4:$U$703=1)*($S$4:$S$703=S151)*($T$4:$T$703=T151)*($C$4:$C$703=C151)*($D$4:$D$703&lt;D151)),0)</f>
        <v>0</v>
      </c>
      <c r="X151" s="11" t="n">
        <f aca="false">IF(AND(U151=1,V151&gt;0,W151&gt;1),S151,0)</f>
        <v>0</v>
      </c>
      <c r="Y151" s="11" t="n">
        <f aca="false">IF(T151=1,X151/(1+Controls!$B$11)^F151,0)</f>
        <v>0</v>
      </c>
      <c r="Z151" s="11" t="n">
        <f aca="false">IF(AND(N151,E151="capacity",LEN(K151)&gt;0),1,0)</f>
        <v>0</v>
      </c>
      <c r="AA151" s="11" t="n">
        <f aca="false">IF(Z151=1,SUMPRODUCT(($K$4:$K$703=K151)*($F$4:$F$703=F151)*($Z$4:$Z$703=1)*($B$4:$B$703&lt;&gt;B151)),0)</f>
        <v>0</v>
      </c>
      <c r="AB151" s="11" t="n">
        <f aca="false">IF(AND(Z151=1,AA151&gt;0),1+SUMPRODUCT(($K$4:$K$703=K151)*($F$4:$F$703=F151)*($Z$4:$Z$703=1)*($P$4:$P$703&gt;P151))+SUMPRODUCT(($K$4:$K$703=K151)*($F$4:$F$703=F151)*($Z$4:$Z$703=1)*($P$4:$P$703=P151)*($C$4:$C$703&lt;C151))+SUMPRODUCT(($K$4:$K$703=K151)*($F$4:$F$703=F151)*($Z$4:$Z$703=1)*($P$4:$P$703=P151)*($C$4:$C$703=C151)*($D$4:$D$703&lt;D151)),0)</f>
        <v>0</v>
      </c>
      <c r="AC151" s="11" t="n">
        <f aca="false">IF(AND(Z151=1,AA151&gt;0,AB151&gt;1),P151,0)</f>
        <v>0</v>
      </c>
    </row>
    <row r="152" customFormat="false" ht="15" hidden="false" customHeight="false" outlineLevel="0" collapsed="false">
      <c r="A152" s="4" t="s">
        <v>368</v>
      </c>
      <c r="B152" s="4" t="s">
        <v>87</v>
      </c>
      <c r="C152" s="4" t="n">
        <v>5</v>
      </c>
      <c r="D152" s="4" t="n">
        <v>149</v>
      </c>
      <c r="E152" s="4" t="s">
        <v>112</v>
      </c>
      <c r="F152" s="4" t="n">
        <v>14</v>
      </c>
      <c r="G152" s="4" t="n">
        <v>10</v>
      </c>
      <c r="H152" s="4" t="n">
        <v>126350</v>
      </c>
      <c r="I152" s="13" t="b">
        <f aca="false">FALSE()</f>
        <v>0</v>
      </c>
      <c r="K152" s="4" t="s">
        <v>364</v>
      </c>
      <c r="L152" s="4" t="n">
        <v>19142.03</v>
      </c>
      <c r="M152" s="11" t="n">
        <f aca="false">IFERROR(MATCH(Controls!$B$3&amp;"|"&amp;B152,'Scenario inputs'!$A$4:$A$213,0),0)</f>
        <v>136</v>
      </c>
      <c r="N152" s="8" t="b">
        <f aca="false">IF(M152=0,FALSE(),F152&lt;Controls!$B$12)</f>
        <v>1</v>
      </c>
      <c r="O152" s="11" t="n">
        <f aca="false">IF(N152,IF(INDEX('Scenario inputs'!$E$4:$E$213,M152)=0,1,INDEX('Scenario inputs'!$F$4:$M$213,M152,MIN(MAX(F152-G152,0),INDEX('Scenario inputs'!$E$4:$E$213,M152)-1)+1)),0)</f>
        <v>1</v>
      </c>
      <c r="P152" s="11" t="n">
        <f aca="false">H152*O152</f>
        <v>126350</v>
      </c>
      <c r="Q152" s="0" t="str">
        <f aca="false">IF(M152=0,"",IF(ISNUMBER(INDEX('Scenario inputs'!$N$4:$N$213,M152)),INDEX('Scenario inputs'!$N$4:$N$213,M152),""))</f>
        <v/>
      </c>
      <c r="R152" s="0" t="str">
        <f aca="false">IF(NOT(N152),"",IF(OR(E152="cash",E152="revenue"),E152,IF(E152="avoided_cost",IF(AND(I152,LEN(TRIM(J152))&gt;0),"avoided_cost_realised","avoided_cost_beside"),IF(ISNUMBER(Q152),"capacity_converted","capacity_hours"))))</f>
        <v>cash</v>
      </c>
      <c r="S152" s="11" t="n">
        <f aca="false">IF(OR(R152="",R152="capacity_hours"),0,IF(R152="capacity_converted",P152*Q152,P152))</f>
        <v>126350</v>
      </c>
      <c r="T152" s="11" t="n">
        <f aca="false">IF(OR(R152="cash",R152="revenue",R152="avoided_cost_realised",R152="capacity_converted"),1,0)</f>
        <v>1</v>
      </c>
      <c r="U152" s="11" t="n">
        <f aca="false">IF(AND(N152,R152&lt;&gt;"capacity_hours",LEN(K152)&gt;0),1,0)</f>
        <v>1</v>
      </c>
      <c r="V152" s="11" t="n">
        <f aca="false">IF(U152=1,SUMPRODUCT(($K$4:$K$703=K152)*($F$4:$F$703=F152)*($U$4:$U$703=1)*($B$4:$B$703&lt;&gt;B152)),0)</f>
        <v>0</v>
      </c>
      <c r="W152" s="11" t="n">
        <f aca="false">IF(AND(U152=1,V152&gt;0),1+SUMPRODUCT(($K$4:$K$703=K152)*($F$4:$F$703=F152)*($U$4:$U$703=1)*($S$4:$S$703&gt;S152))+SUMPRODUCT(($K$4:$K$703=K152)*($F$4:$F$703=F152)*($U$4:$U$703=1)*($S$4:$S$703=S152)*($T$4:$T$703&gt;T152))+SUMPRODUCT(($K$4:$K$703=K152)*($F$4:$F$703=F152)*($U$4:$U$703=1)*($S$4:$S$703=S152)*($T$4:$T$703=T152)*($C$4:$C$703&lt;C152))+SUMPRODUCT(($K$4:$K$703=K152)*($F$4:$F$703=F152)*($U$4:$U$703=1)*($S$4:$S$703=S152)*($T$4:$T$703=T152)*($C$4:$C$703=C152)*($D$4:$D$703&lt;D152)),0)</f>
        <v>0</v>
      </c>
      <c r="X152" s="11" t="n">
        <f aca="false">IF(AND(U152=1,V152&gt;0,W152&gt;1),S152,0)</f>
        <v>0</v>
      </c>
      <c r="Y152" s="11" t="n">
        <f aca="false">IF(T152=1,X152/(1+Controls!$B$11)^F152,0)</f>
        <v>0</v>
      </c>
      <c r="Z152" s="11" t="n">
        <f aca="false">IF(AND(N152,E152="capacity",LEN(K152)&gt;0),1,0)</f>
        <v>0</v>
      </c>
      <c r="AA152" s="11" t="n">
        <f aca="false">IF(Z152=1,SUMPRODUCT(($K$4:$K$703=K152)*($F$4:$F$703=F152)*($Z$4:$Z$703=1)*($B$4:$B$703&lt;&gt;B152)),0)</f>
        <v>0</v>
      </c>
      <c r="AB152" s="11" t="n">
        <f aca="false">IF(AND(Z152=1,AA152&gt;0),1+SUMPRODUCT(($K$4:$K$703=K152)*($F$4:$F$703=F152)*($Z$4:$Z$703=1)*($P$4:$P$703&gt;P152))+SUMPRODUCT(($K$4:$K$703=K152)*($F$4:$F$703=F152)*($Z$4:$Z$703=1)*($P$4:$P$703=P152)*($C$4:$C$703&lt;C152))+SUMPRODUCT(($K$4:$K$703=K152)*($F$4:$F$703=F152)*($Z$4:$Z$703=1)*($P$4:$P$703=P152)*($C$4:$C$703=C152)*($D$4:$D$703&lt;D152)),0)</f>
        <v>0</v>
      </c>
      <c r="AC152" s="11" t="n">
        <f aca="false">IF(AND(Z152=1,AA152&gt;0,AB152&gt;1),P152,0)</f>
        <v>0</v>
      </c>
    </row>
    <row r="153" customFormat="false" ht="15" hidden="false" customHeight="false" outlineLevel="0" collapsed="false">
      <c r="A153" s="4" t="s">
        <v>369</v>
      </c>
      <c r="B153" s="4" t="s">
        <v>87</v>
      </c>
      <c r="C153" s="4" t="n">
        <v>5</v>
      </c>
      <c r="D153" s="4" t="n">
        <v>150</v>
      </c>
      <c r="E153" s="4" t="s">
        <v>112</v>
      </c>
      <c r="F153" s="4" t="n">
        <v>15</v>
      </c>
      <c r="G153" s="4" t="n">
        <v>10</v>
      </c>
      <c r="H153" s="4" t="n">
        <v>126350</v>
      </c>
      <c r="I153" s="13" t="b">
        <f aca="false">FALSE()</f>
        <v>0</v>
      </c>
      <c r="K153" s="4" t="s">
        <v>364</v>
      </c>
      <c r="L153" s="4" t="n">
        <v>19142.03</v>
      </c>
      <c r="M153" s="11" t="n">
        <f aca="false">IFERROR(MATCH(Controls!$B$3&amp;"|"&amp;B153,'Scenario inputs'!$A$4:$A$213,0),0)</f>
        <v>136</v>
      </c>
      <c r="N153" s="8" t="b">
        <f aca="false">IF(M153=0,FALSE(),F153&lt;Controls!$B$12)</f>
        <v>1</v>
      </c>
      <c r="O153" s="11" t="n">
        <f aca="false">IF(N153,IF(INDEX('Scenario inputs'!$E$4:$E$213,M153)=0,1,INDEX('Scenario inputs'!$F$4:$M$213,M153,MIN(MAX(F153-G153,0),INDEX('Scenario inputs'!$E$4:$E$213,M153)-1)+1)),0)</f>
        <v>1</v>
      </c>
      <c r="P153" s="11" t="n">
        <f aca="false">H153*O153</f>
        <v>126350</v>
      </c>
      <c r="Q153" s="0" t="str">
        <f aca="false">IF(M153=0,"",IF(ISNUMBER(INDEX('Scenario inputs'!$N$4:$N$213,M153)),INDEX('Scenario inputs'!$N$4:$N$213,M153),""))</f>
        <v/>
      </c>
      <c r="R153" s="0" t="str">
        <f aca="false">IF(NOT(N153),"",IF(OR(E153="cash",E153="revenue"),E153,IF(E153="avoided_cost",IF(AND(I153,LEN(TRIM(J153))&gt;0),"avoided_cost_realised","avoided_cost_beside"),IF(ISNUMBER(Q153),"capacity_converted","capacity_hours"))))</f>
        <v>cash</v>
      </c>
      <c r="S153" s="11" t="n">
        <f aca="false">IF(OR(R153="",R153="capacity_hours"),0,IF(R153="capacity_converted",P153*Q153,P153))</f>
        <v>126350</v>
      </c>
      <c r="T153" s="11" t="n">
        <f aca="false">IF(OR(R153="cash",R153="revenue",R153="avoided_cost_realised",R153="capacity_converted"),1,0)</f>
        <v>1</v>
      </c>
      <c r="U153" s="11" t="n">
        <f aca="false">IF(AND(N153,R153&lt;&gt;"capacity_hours",LEN(K153)&gt;0),1,0)</f>
        <v>1</v>
      </c>
      <c r="V153" s="11" t="n">
        <f aca="false">IF(U153=1,SUMPRODUCT(($K$4:$K$703=K153)*($F$4:$F$703=F153)*($U$4:$U$703=1)*($B$4:$B$703&lt;&gt;B153)),0)</f>
        <v>0</v>
      </c>
      <c r="W153" s="11" t="n">
        <f aca="false">IF(AND(U153=1,V153&gt;0),1+SUMPRODUCT(($K$4:$K$703=K153)*($F$4:$F$703=F153)*($U$4:$U$703=1)*($S$4:$S$703&gt;S153))+SUMPRODUCT(($K$4:$K$703=K153)*($F$4:$F$703=F153)*($U$4:$U$703=1)*($S$4:$S$703=S153)*($T$4:$T$703&gt;T153))+SUMPRODUCT(($K$4:$K$703=K153)*($F$4:$F$703=F153)*($U$4:$U$703=1)*($S$4:$S$703=S153)*($T$4:$T$703=T153)*($C$4:$C$703&lt;C153))+SUMPRODUCT(($K$4:$K$703=K153)*($F$4:$F$703=F153)*($U$4:$U$703=1)*($S$4:$S$703=S153)*($T$4:$T$703=T153)*($C$4:$C$703=C153)*($D$4:$D$703&lt;D153)),0)</f>
        <v>0</v>
      </c>
      <c r="X153" s="11" t="n">
        <f aca="false">IF(AND(U153=1,V153&gt;0,W153&gt;1),S153,0)</f>
        <v>0</v>
      </c>
      <c r="Y153" s="11" t="n">
        <f aca="false">IF(T153=1,X153/(1+Controls!$B$11)^F153,0)</f>
        <v>0</v>
      </c>
      <c r="Z153" s="11" t="n">
        <f aca="false">IF(AND(N153,E153="capacity",LEN(K153)&gt;0),1,0)</f>
        <v>0</v>
      </c>
      <c r="AA153" s="11" t="n">
        <f aca="false">IF(Z153=1,SUMPRODUCT(($K$4:$K$703=K153)*($F$4:$F$703=F153)*($Z$4:$Z$703=1)*($B$4:$B$703&lt;&gt;B153)),0)</f>
        <v>0</v>
      </c>
      <c r="AB153" s="11" t="n">
        <f aca="false">IF(AND(Z153=1,AA153&gt;0),1+SUMPRODUCT(($K$4:$K$703=K153)*($F$4:$F$703=F153)*($Z$4:$Z$703=1)*($P$4:$P$703&gt;P153))+SUMPRODUCT(($K$4:$K$703=K153)*($F$4:$F$703=F153)*($Z$4:$Z$703=1)*($P$4:$P$703=P153)*($C$4:$C$703&lt;C153))+SUMPRODUCT(($K$4:$K$703=K153)*($F$4:$F$703=F153)*($Z$4:$Z$703=1)*($P$4:$P$703=P153)*($C$4:$C$703=C153)*($D$4:$D$703&lt;D153)),0)</f>
        <v>0</v>
      </c>
      <c r="AC153" s="11" t="n">
        <f aca="false">IF(AND(Z153=1,AA153&gt;0,AB153&gt;1),P153,0)</f>
        <v>0</v>
      </c>
    </row>
    <row r="154" customFormat="false" ht="15" hidden="false" customHeight="false" outlineLevel="0" collapsed="false">
      <c r="A154" s="4" t="s">
        <v>370</v>
      </c>
      <c r="B154" s="4" t="s">
        <v>87</v>
      </c>
      <c r="C154" s="4" t="n">
        <v>5</v>
      </c>
      <c r="D154" s="4" t="n">
        <v>151</v>
      </c>
      <c r="E154" s="4" t="s">
        <v>112</v>
      </c>
      <c r="F154" s="4" t="n">
        <v>16</v>
      </c>
      <c r="G154" s="4" t="n">
        <v>10</v>
      </c>
      <c r="H154" s="4" t="n">
        <v>126350</v>
      </c>
      <c r="I154" s="13" t="b">
        <f aca="false">FALSE()</f>
        <v>0</v>
      </c>
      <c r="K154" s="4" t="s">
        <v>364</v>
      </c>
      <c r="L154" s="4" t="n">
        <v>19142.03</v>
      </c>
      <c r="M154" s="11" t="n">
        <f aca="false">IFERROR(MATCH(Controls!$B$3&amp;"|"&amp;B154,'Scenario inputs'!$A$4:$A$213,0),0)</f>
        <v>136</v>
      </c>
      <c r="N154" s="8" t="b">
        <f aca="false">IF(M154=0,FALSE(),F154&lt;Controls!$B$12)</f>
        <v>1</v>
      </c>
      <c r="O154" s="11" t="n">
        <f aca="false">IF(N154,IF(INDEX('Scenario inputs'!$E$4:$E$213,M154)=0,1,INDEX('Scenario inputs'!$F$4:$M$213,M154,MIN(MAX(F154-G154,0),INDEX('Scenario inputs'!$E$4:$E$213,M154)-1)+1)),0)</f>
        <v>1</v>
      </c>
      <c r="P154" s="11" t="n">
        <f aca="false">H154*O154</f>
        <v>126350</v>
      </c>
      <c r="Q154" s="0" t="str">
        <f aca="false">IF(M154=0,"",IF(ISNUMBER(INDEX('Scenario inputs'!$N$4:$N$213,M154)),INDEX('Scenario inputs'!$N$4:$N$213,M154),""))</f>
        <v/>
      </c>
      <c r="R154" s="0" t="str">
        <f aca="false">IF(NOT(N154),"",IF(OR(E154="cash",E154="revenue"),E154,IF(E154="avoided_cost",IF(AND(I154,LEN(TRIM(J154))&gt;0),"avoided_cost_realised","avoided_cost_beside"),IF(ISNUMBER(Q154),"capacity_converted","capacity_hours"))))</f>
        <v>cash</v>
      </c>
      <c r="S154" s="11" t="n">
        <f aca="false">IF(OR(R154="",R154="capacity_hours"),0,IF(R154="capacity_converted",P154*Q154,P154))</f>
        <v>126350</v>
      </c>
      <c r="T154" s="11" t="n">
        <f aca="false">IF(OR(R154="cash",R154="revenue",R154="avoided_cost_realised",R154="capacity_converted"),1,0)</f>
        <v>1</v>
      </c>
      <c r="U154" s="11" t="n">
        <f aca="false">IF(AND(N154,R154&lt;&gt;"capacity_hours",LEN(K154)&gt;0),1,0)</f>
        <v>1</v>
      </c>
      <c r="V154" s="11" t="n">
        <f aca="false">IF(U154=1,SUMPRODUCT(($K$4:$K$703=K154)*($F$4:$F$703=F154)*($U$4:$U$703=1)*($B$4:$B$703&lt;&gt;B154)),0)</f>
        <v>0</v>
      </c>
      <c r="W154" s="11" t="n">
        <f aca="false">IF(AND(U154=1,V154&gt;0),1+SUMPRODUCT(($K$4:$K$703=K154)*($F$4:$F$703=F154)*($U$4:$U$703=1)*($S$4:$S$703&gt;S154))+SUMPRODUCT(($K$4:$K$703=K154)*($F$4:$F$703=F154)*($U$4:$U$703=1)*($S$4:$S$703=S154)*($T$4:$T$703&gt;T154))+SUMPRODUCT(($K$4:$K$703=K154)*($F$4:$F$703=F154)*($U$4:$U$703=1)*($S$4:$S$703=S154)*($T$4:$T$703=T154)*($C$4:$C$703&lt;C154))+SUMPRODUCT(($K$4:$K$703=K154)*($F$4:$F$703=F154)*($U$4:$U$703=1)*($S$4:$S$703=S154)*($T$4:$T$703=T154)*($C$4:$C$703=C154)*($D$4:$D$703&lt;D154)),0)</f>
        <v>0</v>
      </c>
      <c r="X154" s="11" t="n">
        <f aca="false">IF(AND(U154=1,V154&gt;0,W154&gt;1),S154,0)</f>
        <v>0</v>
      </c>
      <c r="Y154" s="11" t="n">
        <f aca="false">IF(T154=1,X154/(1+Controls!$B$11)^F154,0)</f>
        <v>0</v>
      </c>
      <c r="Z154" s="11" t="n">
        <f aca="false">IF(AND(N154,E154="capacity",LEN(K154)&gt;0),1,0)</f>
        <v>0</v>
      </c>
      <c r="AA154" s="11" t="n">
        <f aca="false">IF(Z154=1,SUMPRODUCT(($K$4:$K$703=K154)*($F$4:$F$703=F154)*($Z$4:$Z$703=1)*($B$4:$B$703&lt;&gt;B154)),0)</f>
        <v>0</v>
      </c>
      <c r="AB154" s="11" t="n">
        <f aca="false">IF(AND(Z154=1,AA154&gt;0),1+SUMPRODUCT(($K$4:$K$703=K154)*($F$4:$F$703=F154)*($Z$4:$Z$703=1)*($P$4:$P$703&gt;P154))+SUMPRODUCT(($K$4:$K$703=K154)*($F$4:$F$703=F154)*($Z$4:$Z$703=1)*($P$4:$P$703=P154)*($C$4:$C$703&lt;C154))+SUMPRODUCT(($K$4:$K$703=K154)*($F$4:$F$703=F154)*($Z$4:$Z$703=1)*($P$4:$P$703=P154)*($C$4:$C$703=C154)*($D$4:$D$703&lt;D154)),0)</f>
        <v>0</v>
      </c>
      <c r="AC154" s="11" t="n">
        <f aca="false">IF(AND(Z154=1,AA154&gt;0,AB154&gt;1),P154,0)</f>
        <v>0</v>
      </c>
    </row>
    <row r="155" customFormat="false" ht="15" hidden="false" customHeight="false" outlineLevel="0" collapsed="false">
      <c r="A155" s="4" t="s">
        <v>371</v>
      </c>
      <c r="B155" s="4" t="s">
        <v>87</v>
      </c>
      <c r="C155" s="4" t="n">
        <v>5</v>
      </c>
      <c r="D155" s="4" t="n">
        <v>152</v>
      </c>
      <c r="E155" s="4" t="s">
        <v>112</v>
      </c>
      <c r="F155" s="4" t="n">
        <v>17</v>
      </c>
      <c r="G155" s="4" t="n">
        <v>10</v>
      </c>
      <c r="H155" s="4" t="n">
        <v>126350</v>
      </c>
      <c r="I155" s="13" t="b">
        <f aca="false">FALSE()</f>
        <v>0</v>
      </c>
      <c r="K155" s="4" t="s">
        <v>364</v>
      </c>
      <c r="L155" s="4" t="n">
        <v>19142.03</v>
      </c>
      <c r="M155" s="11" t="n">
        <f aca="false">IFERROR(MATCH(Controls!$B$3&amp;"|"&amp;B155,'Scenario inputs'!$A$4:$A$213,0),0)</f>
        <v>136</v>
      </c>
      <c r="N155" s="8" t="b">
        <f aca="false">IF(M155=0,FALSE(),F155&lt;Controls!$B$12)</f>
        <v>1</v>
      </c>
      <c r="O155" s="11" t="n">
        <f aca="false">IF(N155,IF(INDEX('Scenario inputs'!$E$4:$E$213,M155)=0,1,INDEX('Scenario inputs'!$F$4:$M$213,M155,MIN(MAX(F155-G155,0),INDEX('Scenario inputs'!$E$4:$E$213,M155)-1)+1)),0)</f>
        <v>1</v>
      </c>
      <c r="P155" s="11" t="n">
        <f aca="false">H155*O155</f>
        <v>126350</v>
      </c>
      <c r="Q155" s="0" t="str">
        <f aca="false">IF(M155=0,"",IF(ISNUMBER(INDEX('Scenario inputs'!$N$4:$N$213,M155)),INDEX('Scenario inputs'!$N$4:$N$213,M155),""))</f>
        <v/>
      </c>
      <c r="R155" s="0" t="str">
        <f aca="false">IF(NOT(N155),"",IF(OR(E155="cash",E155="revenue"),E155,IF(E155="avoided_cost",IF(AND(I155,LEN(TRIM(J155))&gt;0),"avoided_cost_realised","avoided_cost_beside"),IF(ISNUMBER(Q155),"capacity_converted","capacity_hours"))))</f>
        <v>cash</v>
      </c>
      <c r="S155" s="11" t="n">
        <f aca="false">IF(OR(R155="",R155="capacity_hours"),0,IF(R155="capacity_converted",P155*Q155,P155))</f>
        <v>126350</v>
      </c>
      <c r="T155" s="11" t="n">
        <f aca="false">IF(OR(R155="cash",R155="revenue",R155="avoided_cost_realised",R155="capacity_converted"),1,0)</f>
        <v>1</v>
      </c>
      <c r="U155" s="11" t="n">
        <f aca="false">IF(AND(N155,R155&lt;&gt;"capacity_hours",LEN(K155)&gt;0),1,0)</f>
        <v>1</v>
      </c>
      <c r="V155" s="11" t="n">
        <f aca="false">IF(U155=1,SUMPRODUCT(($K$4:$K$703=K155)*($F$4:$F$703=F155)*($U$4:$U$703=1)*($B$4:$B$703&lt;&gt;B155)),0)</f>
        <v>0</v>
      </c>
      <c r="W155" s="11" t="n">
        <f aca="false">IF(AND(U155=1,V155&gt;0),1+SUMPRODUCT(($K$4:$K$703=K155)*($F$4:$F$703=F155)*($U$4:$U$703=1)*($S$4:$S$703&gt;S155))+SUMPRODUCT(($K$4:$K$703=K155)*($F$4:$F$703=F155)*($U$4:$U$703=1)*($S$4:$S$703=S155)*($T$4:$T$703&gt;T155))+SUMPRODUCT(($K$4:$K$703=K155)*($F$4:$F$703=F155)*($U$4:$U$703=1)*($S$4:$S$703=S155)*($T$4:$T$703=T155)*($C$4:$C$703&lt;C155))+SUMPRODUCT(($K$4:$K$703=K155)*($F$4:$F$703=F155)*($U$4:$U$703=1)*($S$4:$S$703=S155)*($T$4:$T$703=T155)*($C$4:$C$703=C155)*($D$4:$D$703&lt;D155)),0)</f>
        <v>0</v>
      </c>
      <c r="X155" s="11" t="n">
        <f aca="false">IF(AND(U155=1,V155&gt;0,W155&gt;1),S155,0)</f>
        <v>0</v>
      </c>
      <c r="Y155" s="11" t="n">
        <f aca="false">IF(T155=1,X155/(1+Controls!$B$11)^F155,0)</f>
        <v>0</v>
      </c>
      <c r="Z155" s="11" t="n">
        <f aca="false">IF(AND(N155,E155="capacity",LEN(K155)&gt;0),1,0)</f>
        <v>0</v>
      </c>
      <c r="AA155" s="11" t="n">
        <f aca="false">IF(Z155=1,SUMPRODUCT(($K$4:$K$703=K155)*($F$4:$F$703=F155)*($Z$4:$Z$703=1)*($B$4:$B$703&lt;&gt;B155)),0)</f>
        <v>0</v>
      </c>
      <c r="AB155" s="11" t="n">
        <f aca="false">IF(AND(Z155=1,AA155&gt;0),1+SUMPRODUCT(($K$4:$K$703=K155)*($F$4:$F$703=F155)*($Z$4:$Z$703=1)*($P$4:$P$703&gt;P155))+SUMPRODUCT(($K$4:$K$703=K155)*($F$4:$F$703=F155)*($Z$4:$Z$703=1)*($P$4:$P$703=P155)*($C$4:$C$703&lt;C155))+SUMPRODUCT(($K$4:$K$703=K155)*($F$4:$F$703=F155)*($Z$4:$Z$703=1)*($P$4:$P$703=P155)*($C$4:$C$703=C155)*($D$4:$D$703&lt;D155)),0)</f>
        <v>0</v>
      </c>
      <c r="AC155" s="11" t="n">
        <f aca="false">IF(AND(Z155=1,AA155&gt;0,AB155&gt;1),P155,0)</f>
        <v>0</v>
      </c>
    </row>
    <row r="156" customFormat="false" ht="15" hidden="false" customHeight="false" outlineLevel="0" collapsed="false">
      <c r="A156" s="4" t="s">
        <v>372</v>
      </c>
      <c r="B156" s="4" t="s">
        <v>87</v>
      </c>
      <c r="C156" s="4" t="n">
        <v>5</v>
      </c>
      <c r="D156" s="4" t="n">
        <v>153</v>
      </c>
      <c r="E156" s="4" t="s">
        <v>112</v>
      </c>
      <c r="F156" s="4" t="n">
        <v>18</v>
      </c>
      <c r="G156" s="4" t="n">
        <v>10</v>
      </c>
      <c r="H156" s="4" t="n">
        <v>126350</v>
      </c>
      <c r="I156" s="13" t="b">
        <f aca="false">FALSE()</f>
        <v>0</v>
      </c>
      <c r="K156" s="4" t="s">
        <v>364</v>
      </c>
      <c r="L156" s="4" t="n">
        <v>19142.03</v>
      </c>
      <c r="M156" s="11" t="n">
        <f aca="false">IFERROR(MATCH(Controls!$B$3&amp;"|"&amp;B156,'Scenario inputs'!$A$4:$A$213,0),0)</f>
        <v>136</v>
      </c>
      <c r="N156" s="8" t="b">
        <f aca="false">IF(M156=0,FALSE(),F156&lt;Controls!$B$12)</f>
        <v>1</v>
      </c>
      <c r="O156" s="11" t="n">
        <f aca="false">IF(N156,IF(INDEX('Scenario inputs'!$E$4:$E$213,M156)=0,1,INDEX('Scenario inputs'!$F$4:$M$213,M156,MIN(MAX(F156-G156,0),INDEX('Scenario inputs'!$E$4:$E$213,M156)-1)+1)),0)</f>
        <v>1</v>
      </c>
      <c r="P156" s="11" t="n">
        <f aca="false">H156*O156</f>
        <v>126350</v>
      </c>
      <c r="Q156" s="0" t="str">
        <f aca="false">IF(M156=0,"",IF(ISNUMBER(INDEX('Scenario inputs'!$N$4:$N$213,M156)),INDEX('Scenario inputs'!$N$4:$N$213,M156),""))</f>
        <v/>
      </c>
      <c r="R156" s="0" t="str">
        <f aca="false">IF(NOT(N156),"",IF(OR(E156="cash",E156="revenue"),E156,IF(E156="avoided_cost",IF(AND(I156,LEN(TRIM(J156))&gt;0),"avoided_cost_realised","avoided_cost_beside"),IF(ISNUMBER(Q156),"capacity_converted","capacity_hours"))))</f>
        <v>cash</v>
      </c>
      <c r="S156" s="11" t="n">
        <f aca="false">IF(OR(R156="",R156="capacity_hours"),0,IF(R156="capacity_converted",P156*Q156,P156))</f>
        <v>126350</v>
      </c>
      <c r="T156" s="11" t="n">
        <f aca="false">IF(OR(R156="cash",R156="revenue",R156="avoided_cost_realised",R156="capacity_converted"),1,0)</f>
        <v>1</v>
      </c>
      <c r="U156" s="11" t="n">
        <f aca="false">IF(AND(N156,R156&lt;&gt;"capacity_hours",LEN(K156)&gt;0),1,0)</f>
        <v>1</v>
      </c>
      <c r="V156" s="11" t="n">
        <f aca="false">IF(U156=1,SUMPRODUCT(($K$4:$K$703=K156)*($F$4:$F$703=F156)*($U$4:$U$703=1)*($B$4:$B$703&lt;&gt;B156)),0)</f>
        <v>0</v>
      </c>
      <c r="W156" s="11" t="n">
        <f aca="false">IF(AND(U156=1,V156&gt;0),1+SUMPRODUCT(($K$4:$K$703=K156)*($F$4:$F$703=F156)*($U$4:$U$703=1)*($S$4:$S$703&gt;S156))+SUMPRODUCT(($K$4:$K$703=K156)*($F$4:$F$703=F156)*($U$4:$U$703=1)*($S$4:$S$703=S156)*($T$4:$T$703&gt;T156))+SUMPRODUCT(($K$4:$K$703=K156)*($F$4:$F$703=F156)*($U$4:$U$703=1)*($S$4:$S$703=S156)*($T$4:$T$703=T156)*($C$4:$C$703&lt;C156))+SUMPRODUCT(($K$4:$K$703=K156)*($F$4:$F$703=F156)*($U$4:$U$703=1)*($S$4:$S$703=S156)*($T$4:$T$703=T156)*($C$4:$C$703=C156)*($D$4:$D$703&lt;D156)),0)</f>
        <v>0</v>
      </c>
      <c r="X156" s="11" t="n">
        <f aca="false">IF(AND(U156=1,V156&gt;0,W156&gt;1),S156,0)</f>
        <v>0</v>
      </c>
      <c r="Y156" s="11" t="n">
        <f aca="false">IF(T156=1,X156/(1+Controls!$B$11)^F156,0)</f>
        <v>0</v>
      </c>
      <c r="Z156" s="11" t="n">
        <f aca="false">IF(AND(N156,E156="capacity",LEN(K156)&gt;0),1,0)</f>
        <v>0</v>
      </c>
      <c r="AA156" s="11" t="n">
        <f aca="false">IF(Z156=1,SUMPRODUCT(($K$4:$K$703=K156)*($F$4:$F$703=F156)*($Z$4:$Z$703=1)*($B$4:$B$703&lt;&gt;B156)),0)</f>
        <v>0</v>
      </c>
      <c r="AB156" s="11" t="n">
        <f aca="false">IF(AND(Z156=1,AA156&gt;0),1+SUMPRODUCT(($K$4:$K$703=K156)*($F$4:$F$703=F156)*($Z$4:$Z$703=1)*($P$4:$P$703&gt;P156))+SUMPRODUCT(($K$4:$K$703=K156)*($F$4:$F$703=F156)*($Z$4:$Z$703=1)*($P$4:$P$703=P156)*($C$4:$C$703&lt;C156))+SUMPRODUCT(($K$4:$K$703=K156)*($F$4:$F$703=F156)*($Z$4:$Z$703=1)*($P$4:$P$703=P156)*($C$4:$C$703=C156)*($D$4:$D$703&lt;D156)),0)</f>
        <v>0</v>
      </c>
      <c r="AC156" s="11" t="n">
        <f aca="false">IF(AND(Z156=1,AA156&gt;0,AB156&gt;1),P156,0)</f>
        <v>0</v>
      </c>
    </row>
    <row r="157" customFormat="false" ht="15" hidden="false" customHeight="false" outlineLevel="0" collapsed="false">
      <c r="A157" s="4" t="s">
        <v>373</v>
      </c>
      <c r="B157" s="4" t="s">
        <v>87</v>
      </c>
      <c r="C157" s="4" t="n">
        <v>5</v>
      </c>
      <c r="D157" s="4" t="n">
        <v>154</v>
      </c>
      <c r="E157" s="4" t="s">
        <v>112</v>
      </c>
      <c r="F157" s="4" t="n">
        <v>19</v>
      </c>
      <c r="G157" s="4" t="n">
        <v>10</v>
      </c>
      <c r="H157" s="4" t="n">
        <v>126350</v>
      </c>
      <c r="I157" s="13" t="b">
        <f aca="false">FALSE()</f>
        <v>0</v>
      </c>
      <c r="K157" s="4" t="s">
        <v>364</v>
      </c>
      <c r="L157" s="4" t="n">
        <v>19142.03</v>
      </c>
      <c r="M157" s="11" t="n">
        <f aca="false">IFERROR(MATCH(Controls!$B$3&amp;"|"&amp;B157,'Scenario inputs'!$A$4:$A$213,0),0)</f>
        <v>136</v>
      </c>
      <c r="N157" s="8" t="b">
        <f aca="false">IF(M157=0,FALSE(),F157&lt;Controls!$B$12)</f>
        <v>1</v>
      </c>
      <c r="O157" s="11" t="n">
        <f aca="false">IF(N157,IF(INDEX('Scenario inputs'!$E$4:$E$213,M157)=0,1,INDEX('Scenario inputs'!$F$4:$M$213,M157,MIN(MAX(F157-G157,0),INDEX('Scenario inputs'!$E$4:$E$213,M157)-1)+1)),0)</f>
        <v>1</v>
      </c>
      <c r="P157" s="11" t="n">
        <f aca="false">H157*O157</f>
        <v>126350</v>
      </c>
      <c r="Q157" s="0" t="str">
        <f aca="false">IF(M157=0,"",IF(ISNUMBER(INDEX('Scenario inputs'!$N$4:$N$213,M157)),INDEX('Scenario inputs'!$N$4:$N$213,M157),""))</f>
        <v/>
      </c>
      <c r="R157" s="0" t="str">
        <f aca="false">IF(NOT(N157),"",IF(OR(E157="cash",E157="revenue"),E157,IF(E157="avoided_cost",IF(AND(I157,LEN(TRIM(J157))&gt;0),"avoided_cost_realised","avoided_cost_beside"),IF(ISNUMBER(Q157),"capacity_converted","capacity_hours"))))</f>
        <v>cash</v>
      </c>
      <c r="S157" s="11" t="n">
        <f aca="false">IF(OR(R157="",R157="capacity_hours"),0,IF(R157="capacity_converted",P157*Q157,P157))</f>
        <v>126350</v>
      </c>
      <c r="T157" s="11" t="n">
        <f aca="false">IF(OR(R157="cash",R157="revenue",R157="avoided_cost_realised",R157="capacity_converted"),1,0)</f>
        <v>1</v>
      </c>
      <c r="U157" s="11" t="n">
        <f aca="false">IF(AND(N157,R157&lt;&gt;"capacity_hours",LEN(K157)&gt;0),1,0)</f>
        <v>1</v>
      </c>
      <c r="V157" s="11" t="n">
        <f aca="false">IF(U157=1,SUMPRODUCT(($K$4:$K$703=K157)*($F$4:$F$703=F157)*($U$4:$U$703=1)*($B$4:$B$703&lt;&gt;B157)),0)</f>
        <v>0</v>
      </c>
      <c r="W157" s="11" t="n">
        <f aca="false">IF(AND(U157=1,V157&gt;0),1+SUMPRODUCT(($K$4:$K$703=K157)*($F$4:$F$703=F157)*($U$4:$U$703=1)*($S$4:$S$703&gt;S157))+SUMPRODUCT(($K$4:$K$703=K157)*($F$4:$F$703=F157)*($U$4:$U$703=1)*($S$4:$S$703=S157)*($T$4:$T$703&gt;T157))+SUMPRODUCT(($K$4:$K$703=K157)*($F$4:$F$703=F157)*($U$4:$U$703=1)*($S$4:$S$703=S157)*($T$4:$T$703=T157)*($C$4:$C$703&lt;C157))+SUMPRODUCT(($K$4:$K$703=K157)*($F$4:$F$703=F157)*($U$4:$U$703=1)*($S$4:$S$703=S157)*($T$4:$T$703=T157)*($C$4:$C$703=C157)*($D$4:$D$703&lt;D157)),0)</f>
        <v>0</v>
      </c>
      <c r="X157" s="11" t="n">
        <f aca="false">IF(AND(U157=1,V157&gt;0,W157&gt;1),S157,0)</f>
        <v>0</v>
      </c>
      <c r="Y157" s="11" t="n">
        <f aca="false">IF(T157=1,X157/(1+Controls!$B$11)^F157,0)</f>
        <v>0</v>
      </c>
      <c r="Z157" s="11" t="n">
        <f aca="false">IF(AND(N157,E157="capacity",LEN(K157)&gt;0),1,0)</f>
        <v>0</v>
      </c>
      <c r="AA157" s="11" t="n">
        <f aca="false">IF(Z157=1,SUMPRODUCT(($K$4:$K$703=K157)*($F$4:$F$703=F157)*($Z$4:$Z$703=1)*($B$4:$B$703&lt;&gt;B157)),0)</f>
        <v>0</v>
      </c>
      <c r="AB157" s="11" t="n">
        <f aca="false">IF(AND(Z157=1,AA157&gt;0),1+SUMPRODUCT(($K$4:$K$703=K157)*($F$4:$F$703=F157)*($Z$4:$Z$703=1)*($P$4:$P$703&gt;P157))+SUMPRODUCT(($K$4:$K$703=K157)*($F$4:$F$703=F157)*($Z$4:$Z$703=1)*($P$4:$P$703=P157)*($C$4:$C$703&lt;C157))+SUMPRODUCT(($K$4:$K$703=K157)*($F$4:$F$703=F157)*($Z$4:$Z$703=1)*($P$4:$P$703=P157)*($C$4:$C$703=C157)*($D$4:$D$703&lt;D157)),0)</f>
        <v>0</v>
      </c>
      <c r="AC157" s="11" t="n">
        <f aca="false">IF(AND(Z157=1,AA157&gt;0,AB157&gt;1),P157,0)</f>
        <v>0</v>
      </c>
    </row>
    <row r="158" customFormat="false" ht="15" hidden="false" customHeight="false" outlineLevel="0" collapsed="false">
      <c r="A158" s="4" t="s">
        <v>374</v>
      </c>
      <c r="B158" s="4" t="s">
        <v>87</v>
      </c>
      <c r="C158" s="4" t="n">
        <v>5</v>
      </c>
      <c r="D158" s="4" t="n">
        <v>155</v>
      </c>
      <c r="E158" s="4" t="s">
        <v>112</v>
      </c>
      <c r="F158" s="4" t="n">
        <v>20</v>
      </c>
      <c r="G158" s="4" t="n">
        <v>10</v>
      </c>
      <c r="H158" s="4" t="n">
        <v>126350</v>
      </c>
      <c r="I158" s="13" t="b">
        <f aca="false">FALSE()</f>
        <v>0</v>
      </c>
      <c r="K158" s="4" t="s">
        <v>364</v>
      </c>
      <c r="L158" s="4" t="n">
        <v>19142.03</v>
      </c>
      <c r="M158" s="11" t="n">
        <f aca="false">IFERROR(MATCH(Controls!$B$3&amp;"|"&amp;B158,'Scenario inputs'!$A$4:$A$213,0),0)</f>
        <v>136</v>
      </c>
      <c r="N158" s="8" t="b">
        <f aca="false">IF(M158=0,FALSE(),F158&lt;Controls!$B$12)</f>
        <v>1</v>
      </c>
      <c r="O158" s="11" t="n">
        <f aca="false">IF(N158,IF(INDEX('Scenario inputs'!$E$4:$E$213,M158)=0,1,INDEX('Scenario inputs'!$F$4:$M$213,M158,MIN(MAX(F158-G158,0),INDEX('Scenario inputs'!$E$4:$E$213,M158)-1)+1)),0)</f>
        <v>1</v>
      </c>
      <c r="P158" s="11" t="n">
        <f aca="false">H158*O158</f>
        <v>126350</v>
      </c>
      <c r="Q158" s="0" t="str">
        <f aca="false">IF(M158=0,"",IF(ISNUMBER(INDEX('Scenario inputs'!$N$4:$N$213,M158)),INDEX('Scenario inputs'!$N$4:$N$213,M158),""))</f>
        <v/>
      </c>
      <c r="R158" s="0" t="str">
        <f aca="false">IF(NOT(N158),"",IF(OR(E158="cash",E158="revenue"),E158,IF(E158="avoided_cost",IF(AND(I158,LEN(TRIM(J158))&gt;0),"avoided_cost_realised","avoided_cost_beside"),IF(ISNUMBER(Q158),"capacity_converted","capacity_hours"))))</f>
        <v>cash</v>
      </c>
      <c r="S158" s="11" t="n">
        <f aca="false">IF(OR(R158="",R158="capacity_hours"),0,IF(R158="capacity_converted",P158*Q158,P158))</f>
        <v>126350</v>
      </c>
      <c r="T158" s="11" t="n">
        <f aca="false">IF(OR(R158="cash",R158="revenue",R158="avoided_cost_realised",R158="capacity_converted"),1,0)</f>
        <v>1</v>
      </c>
      <c r="U158" s="11" t="n">
        <f aca="false">IF(AND(N158,R158&lt;&gt;"capacity_hours",LEN(K158)&gt;0),1,0)</f>
        <v>1</v>
      </c>
      <c r="V158" s="11" t="n">
        <f aca="false">IF(U158=1,SUMPRODUCT(($K$4:$K$703=K158)*($F$4:$F$703=F158)*($U$4:$U$703=1)*($B$4:$B$703&lt;&gt;B158)),0)</f>
        <v>0</v>
      </c>
      <c r="W158" s="11" t="n">
        <f aca="false">IF(AND(U158=1,V158&gt;0),1+SUMPRODUCT(($K$4:$K$703=K158)*($F$4:$F$703=F158)*($U$4:$U$703=1)*($S$4:$S$703&gt;S158))+SUMPRODUCT(($K$4:$K$703=K158)*($F$4:$F$703=F158)*($U$4:$U$703=1)*($S$4:$S$703=S158)*($T$4:$T$703&gt;T158))+SUMPRODUCT(($K$4:$K$703=K158)*($F$4:$F$703=F158)*($U$4:$U$703=1)*($S$4:$S$703=S158)*($T$4:$T$703=T158)*($C$4:$C$703&lt;C158))+SUMPRODUCT(($K$4:$K$703=K158)*($F$4:$F$703=F158)*($U$4:$U$703=1)*($S$4:$S$703=S158)*($T$4:$T$703=T158)*($C$4:$C$703=C158)*($D$4:$D$703&lt;D158)),0)</f>
        <v>0</v>
      </c>
      <c r="X158" s="11" t="n">
        <f aca="false">IF(AND(U158=1,V158&gt;0,W158&gt;1),S158,0)</f>
        <v>0</v>
      </c>
      <c r="Y158" s="11" t="n">
        <f aca="false">IF(T158=1,X158/(1+Controls!$B$11)^F158,0)</f>
        <v>0</v>
      </c>
      <c r="Z158" s="11" t="n">
        <f aca="false">IF(AND(N158,E158="capacity",LEN(K158)&gt;0),1,0)</f>
        <v>0</v>
      </c>
      <c r="AA158" s="11" t="n">
        <f aca="false">IF(Z158=1,SUMPRODUCT(($K$4:$K$703=K158)*($F$4:$F$703=F158)*($Z$4:$Z$703=1)*($B$4:$B$703&lt;&gt;B158)),0)</f>
        <v>0</v>
      </c>
      <c r="AB158" s="11" t="n">
        <f aca="false">IF(AND(Z158=1,AA158&gt;0),1+SUMPRODUCT(($K$4:$K$703=K158)*($F$4:$F$703=F158)*($Z$4:$Z$703=1)*($P$4:$P$703&gt;P158))+SUMPRODUCT(($K$4:$K$703=K158)*($F$4:$F$703=F158)*($Z$4:$Z$703=1)*($P$4:$P$703=P158)*($C$4:$C$703&lt;C158))+SUMPRODUCT(($K$4:$K$703=K158)*($F$4:$F$703=F158)*($Z$4:$Z$703=1)*($P$4:$P$703=P158)*($C$4:$C$703=C158)*($D$4:$D$703&lt;D158)),0)</f>
        <v>0</v>
      </c>
      <c r="AC158" s="11" t="n">
        <f aca="false">IF(AND(Z158=1,AA158&gt;0,AB158&gt;1),P158,0)</f>
        <v>0</v>
      </c>
    </row>
    <row r="159" customFormat="false" ht="15" hidden="false" customHeight="false" outlineLevel="0" collapsed="false">
      <c r="A159" s="4" t="s">
        <v>375</v>
      </c>
      <c r="B159" s="4" t="s">
        <v>87</v>
      </c>
      <c r="C159" s="4" t="n">
        <v>5</v>
      </c>
      <c r="D159" s="4" t="n">
        <v>156</v>
      </c>
      <c r="E159" s="4" t="s">
        <v>112</v>
      </c>
      <c r="F159" s="4" t="n">
        <v>21</v>
      </c>
      <c r="G159" s="4" t="n">
        <v>10</v>
      </c>
      <c r="H159" s="4" t="n">
        <v>126350</v>
      </c>
      <c r="I159" s="13" t="b">
        <f aca="false">FALSE()</f>
        <v>0</v>
      </c>
      <c r="K159" s="4" t="s">
        <v>364</v>
      </c>
      <c r="L159" s="4" t="n">
        <v>19142.03</v>
      </c>
      <c r="M159" s="11" t="n">
        <f aca="false">IFERROR(MATCH(Controls!$B$3&amp;"|"&amp;B159,'Scenario inputs'!$A$4:$A$213,0),0)</f>
        <v>136</v>
      </c>
      <c r="N159" s="8" t="b">
        <f aca="false">IF(M159=0,FALSE(),F159&lt;Controls!$B$12)</f>
        <v>1</v>
      </c>
      <c r="O159" s="11" t="n">
        <f aca="false">IF(N159,IF(INDEX('Scenario inputs'!$E$4:$E$213,M159)=0,1,INDEX('Scenario inputs'!$F$4:$M$213,M159,MIN(MAX(F159-G159,0),INDEX('Scenario inputs'!$E$4:$E$213,M159)-1)+1)),0)</f>
        <v>1</v>
      </c>
      <c r="P159" s="11" t="n">
        <f aca="false">H159*O159</f>
        <v>126350</v>
      </c>
      <c r="Q159" s="0" t="str">
        <f aca="false">IF(M159=0,"",IF(ISNUMBER(INDEX('Scenario inputs'!$N$4:$N$213,M159)),INDEX('Scenario inputs'!$N$4:$N$213,M159),""))</f>
        <v/>
      </c>
      <c r="R159" s="0" t="str">
        <f aca="false">IF(NOT(N159),"",IF(OR(E159="cash",E159="revenue"),E159,IF(E159="avoided_cost",IF(AND(I159,LEN(TRIM(J159))&gt;0),"avoided_cost_realised","avoided_cost_beside"),IF(ISNUMBER(Q159),"capacity_converted","capacity_hours"))))</f>
        <v>cash</v>
      </c>
      <c r="S159" s="11" t="n">
        <f aca="false">IF(OR(R159="",R159="capacity_hours"),0,IF(R159="capacity_converted",P159*Q159,P159))</f>
        <v>126350</v>
      </c>
      <c r="T159" s="11" t="n">
        <f aca="false">IF(OR(R159="cash",R159="revenue",R159="avoided_cost_realised",R159="capacity_converted"),1,0)</f>
        <v>1</v>
      </c>
      <c r="U159" s="11" t="n">
        <f aca="false">IF(AND(N159,R159&lt;&gt;"capacity_hours",LEN(K159)&gt;0),1,0)</f>
        <v>1</v>
      </c>
      <c r="V159" s="11" t="n">
        <f aca="false">IF(U159=1,SUMPRODUCT(($K$4:$K$703=K159)*($F$4:$F$703=F159)*($U$4:$U$703=1)*($B$4:$B$703&lt;&gt;B159)),0)</f>
        <v>0</v>
      </c>
      <c r="W159" s="11" t="n">
        <f aca="false">IF(AND(U159=1,V159&gt;0),1+SUMPRODUCT(($K$4:$K$703=K159)*($F$4:$F$703=F159)*($U$4:$U$703=1)*($S$4:$S$703&gt;S159))+SUMPRODUCT(($K$4:$K$703=K159)*($F$4:$F$703=F159)*($U$4:$U$703=1)*($S$4:$S$703=S159)*($T$4:$T$703&gt;T159))+SUMPRODUCT(($K$4:$K$703=K159)*($F$4:$F$703=F159)*($U$4:$U$703=1)*($S$4:$S$703=S159)*($T$4:$T$703=T159)*($C$4:$C$703&lt;C159))+SUMPRODUCT(($K$4:$K$703=K159)*($F$4:$F$703=F159)*($U$4:$U$703=1)*($S$4:$S$703=S159)*($T$4:$T$703=T159)*($C$4:$C$703=C159)*($D$4:$D$703&lt;D159)),0)</f>
        <v>0</v>
      </c>
      <c r="X159" s="11" t="n">
        <f aca="false">IF(AND(U159=1,V159&gt;0,W159&gt;1),S159,0)</f>
        <v>0</v>
      </c>
      <c r="Y159" s="11" t="n">
        <f aca="false">IF(T159=1,X159/(1+Controls!$B$11)^F159,0)</f>
        <v>0</v>
      </c>
      <c r="Z159" s="11" t="n">
        <f aca="false">IF(AND(N159,E159="capacity",LEN(K159)&gt;0),1,0)</f>
        <v>0</v>
      </c>
      <c r="AA159" s="11" t="n">
        <f aca="false">IF(Z159=1,SUMPRODUCT(($K$4:$K$703=K159)*($F$4:$F$703=F159)*($Z$4:$Z$703=1)*($B$4:$B$703&lt;&gt;B159)),0)</f>
        <v>0</v>
      </c>
      <c r="AB159" s="11" t="n">
        <f aca="false">IF(AND(Z159=1,AA159&gt;0),1+SUMPRODUCT(($K$4:$K$703=K159)*($F$4:$F$703=F159)*($Z$4:$Z$703=1)*($P$4:$P$703&gt;P159))+SUMPRODUCT(($K$4:$K$703=K159)*($F$4:$F$703=F159)*($Z$4:$Z$703=1)*($P$4:$P$703=P159)*($C$4:$C$703&lt;C159))+SUMPRODUCT(($K$4:$K$703=K159)*($F$4:$F$703=F159)*($Z$4:$Z$703=1)*($P$4:$P$703=P159)*($C$4:$C$703=C159)*($D$4:$D$703&lt;D159)),0)</f>
        <v>0</v>
      </c>
      <c r="AC159" s="11" t="n">
        <f aca="false">IF(AND(Z159=1,AA159&gt;0,AB159&gt;1),P159,0)</f>
        <v>0</v>
      </c>
    </row>
    <row r="160" customFormat="false" ht="15" hidden="false" customHeight="false" outlineLevel="0" collapsed="false">
      <c r="A160" s="4" t="s">
        <v>376</v>
      </c>
      <c r="B160" s="4" t="s">
        <v>87</v>
      </c>
      <c r="C160" s="4" t="n">
        <v>5</v>
      </c>
      <c r="D160" s="4" t="n">
        <v>157</v>
      </c>
      <c r="E160" s="4" t="s">
        <v>233</v>
      </c>
      <c r="F160" s="4" t="n">
        <v>11</v>
      </c>
      <c r="G160" s="4" t="n">
        <v>11</v>
      </c>
      <c r="H160" s="4" t="n">
        <v>1894.5</v>
      </c>
      <c r="I160" s="13" t="b">
        <f aca="false">FALSE()</f>
        <v>0</v>
      </c>
      <c r="K160" s="4" t="s">
        <v>377</v>
      </c>
      <c r="L160" s="4" t="n">
        <v>15</v>
      </c>
      <c r="M160" s="11" t="n">
        <f aca="false">IFERROR(MATCH(Controls!$B$3&amp;"|"&amp;B160,'Scenario inputs'!$A$4:$A$213,0),0)</f>
        <v>136</v>
      </c>
      <c r="N160" s="8" t="b">
        <f aca="false">IF(M160=0,FALSE(),F160&lt;Controls!$B$12)</f>
        <v>1</v>
      </c>
      <c r="O160" s="11" t="n">
        <f aca="false">IF(N160,IF(INDEX('Scenario inputs'!$E$4:$E$213,M160)=0,1,INDEX('Scenario inputs'!$F$4:$M$213,M160,MIN(MAX(F160-G160,0),INDEX('Scenario inputs'!$E$4:$E$213,M160)-1)+1)),0)</f>
        <v>0.066667</v>
      </c>
      <c r="P160" s="11" t="n">
        <f aca="false">H160*O160</f>
        <v>126.3006315</v>
      </c>
      <c r="Q160" s="0" t="str">
        <f aca="false">IF(M160=0,"",IF(ISNUMBER(INDEX('Scenario inputs'!$N$4:$N$213,M160)),INDEX('Scenario inputs'!$N$4:$N$213,M160),""))</f>
        <v/>
      </c>
      <c r="R160" s="0" t="str">
        <f aca="false">IF(NOT(N160),"",IF(OR(E160="cash",E160="revenue"),E160,IF(E160="avoided_cost",IF(AND(I160,LEN(TRIM(J160))&gt;0),"avoided_cost_realised","avoided_cost_beside"),IF(ISNUMBER(Q160),"capacity_converted","capacity_hours"))))</f>
        <v>capacity_hours</v>
      </c>
      <c r="S160" s="11" t="n">
        <f aca="false">IF(OR(R160="",R160="capacity_hours"),0,IF(R160="capacity_converted",P160*Q160,P160))</f>
        <v>0</v>
      </c>
      <c r="T160" s="11" t="n">
        <f aca="false">IF(OR(R160="cash",R160="revenue",R160="avoided_cost_realised",R160="capacity_converted"),1,0)</f>
        <v>0</v>
      </c>
      <c r="U160" s="11" t="n">
        <f aca="false">IF(AND(N160,R160&lt;&gt;"capacity_hours",LEN(K160)&gt;0),1,0)</f>
        <v>0</v>
      </c>
      <c r="V160" s="11" t="n">
        <f aca="false">IF(U160=1,SUMPRODUCT(($K$4:$K$703=K160)*($F$4:$F$703=F160)*($U$4:$U$703=1)*($B$4:$B$703&lt;&gt;B160)),0)</f>
        <v>0</v>
      </c>
      <c r="W160" s="11" t="n">
        <f aca="false">IF(AND(U160=1,V160&gt;0),1+SUMPRODUCT(($K$4:$K$703=K160)*($F$4:$F$703=F160)*($U$4:$U$703=1)*($S$4:$S$703&gt;S160))+SUMPRODUCT(($K$4:$K$703=K160)*($F$4:$F$703=F160)*($U$4:$U$703=1)*($S$4:$S$703=S160)*($T$4:$T$703&gt;T160))+SUMPRODUCT(($K$4:$K$703=K160)*($F$4:$F$703=F160)*($U$4:$U$703=1)*($S$4:$S$703=S160)*($T$4:$T$703=T160)*($C$4:$C$703&lt;C160))+SUMPRODUCT(($K$4:$K$703=K160)*($F$4:$F$703=F160)*($U$4:$U$703=1)*($S$4:$S$703=S160)*($T$4:$T$703=T160)*($C$4:$C$703=C160)*($D$4:$D$703&lt;D160)),0)</f>
        <v>0</v>
      </c>
      <c r="X160" s="11" t="n">
        <f aca="false">IF(AND(U160=1,V160&gt;0,W160&gt;1),S160,0)</f>
        <v>0</v>
      </c>
      <c r="Y160" s="11" t="n">
        <f aca="false">IF(T160=1,X160/(1+Controls!$B$11)^F160,0)</f>
        <v>0</v>
      </c>
      <c r="Z160" s="11" t="n">
        <f aca="false">IF(AND(N160,E160="capacity",LEN(K160)&gt;0),1,0)</f>
        <v>1</v>
      </c>
      <c r="AA160" s="11" t="n">
        <f aca="false">IF(Z160=1,SUMPRODUCT(($K$4:$K$703=K160)*($F$4:$F$703=F160)*($Z$4:$Z$703=1)*($B$4:$B$703&lt;&gt;B160)),0)</f>
        <v>0</v>
      </c>
      <c r="AB160" s="11" t="n">
        <f aca="false">IF(AND(Z160=1,AA160&gt;0),1+SUMPRODUCT(($K$4:$K$703=K160)*($F$4:$F$703=F160)*($Z$4:$Z$703=1)*($P$4:$P$703&gt;P160))+SUMPRODUCT(($K$4:$K$703=K160)*($F$4:$F$703=F160)*($Z$4:$Z$703=1)*($P$4:$P$703=P160)*($C$4:$C$703&lt;C160))+SUMPRODUCT(($K$4:$K$703=K160)*($F$4:$F$703=F160)*($Z$4:$Z$703=1)*($P$4:$P$703=P160)*($C$4:$C$703=C160)*($D$4:$D$703&lt;D160)),0)</f>
        <v>0</v>
      </c>
      <c r="AC160" s="11" t="n">
        <f aca="false">IF(AND(Z160=1,AA160&gt;0,AB160&gt;1),P160,0)</f>
        <v>0</v>
      </c>
    </row>
    <row r="161" customFormat="false" ht="15" hidden="false" customHeight="false" outlineLevel="0" collapsed="false">
      <c r="A161" s="4" t="s">
        <v>378</v>
      </c>
      <c r="B161" s="4" t="s">
        <v>87</v>
      </c>
      <c r="C161" s="4" t="n">
        <v>5</v>
      </c>
      <c r="D161" s="4" t="n">
        <v>158</v>
      </c>
      <c r="E161" s="4" t="s">
        <v>233</v>
      </c>
      <c r="F161" s="4" t="n">
        <v>12</v>
      </c>
      <c r="G161" s="4" t="n">
        <v>11</v>
      </c>
      <c r="H161" s="4" t="n">
        <v>1894.5</v>
      </c>
      <c r="I161" s="13" t="b">
        <f aca="false">FALSE()</f>
        <v>0</v>
      </c>
      <c r="K161" s="4" t="s">
        <v>377</v>
      </c>
      <c r="L161" s="4" t="n">
        <v>45.01</v>
      </c>
      <c r="M161" s="11" t="n">
        <f aca="false">IFERROR(MATCH(Controls!$B$3&amp;"|"&amp;B161,'Scenario inputs'!$A$4:$A$213,0),0)</f>
        <v>136</v>
      </c>
      <c r="N161" s="8" t="b">
        <f aca="false">IF(M161=0,FALSE(),F161&lt;Controls!$B$12)</f>
        <v>1</v>
      </c>
      <c r="O161" s="11" t="n">
        <f aca="false">IF(N161,IF(INDEX('Scenario inputs'!$E$4:$E$213,M161)=0,1,INDEX('Scenario inputs'!$F$4:$M$213,M161,MIN(MAX(F161-G161,0),INDEX('Scenario inputs'!$E$4:$E$213,M161)-1)+1)),0)</f>
        <v>0.2</v>
      </c>
      <c r="P161" s="11" t="n">
        <f aca="false">H161*O161</f>
        <v>378.9</v>
      </c>
      <c r="Q161" s="0" t="str">
        <f aca="false">IF(M161=0,"",IF(ISNUMBER(INDEX('Scenario inputs'!$N$4:$N$213,M161)),INDEX('Scenario inputs'!$N$4:$N$213,M161),""))</f>
        <v/>
      </c>
      <c r="R161" s="0" t="str">
        <f aca="false">IF(NOT(N161),"",IF(OR(E161="cash",E161="revenue"),E161,IF(E161="avoided_cost",IF(AND(I161,LEN(TRIM(J161))&gt;0),"avoided_cost_realised","avoided_cost_beside"),IF(ISNUMBER(Q161),"capacity_converted","capacity_hours"))))</f>
        <v>capacity_hours</v>
      </c>
      <c r="S161" s="11" t="n">
        <f aca="false">IF(OR(R161="",R161="capacity_hours"),0,IF(R161="capacity_converted",P161*Q161,P161))</f>
        <v>0</v>
      </c>
      <c r="T161" s="11" t="n">
        <f aca="false">IF(OR(R161="cash",R161="revenue",R161="avoided_cost_realised",R161="capacity_converted"),1,0)</f>
        <v>0</v>
      </c>
      <c r="U161" s="11" t="n">
        <f aca="false">IF(AND(N161,R161&lt;&gt;"capacity_hours",LEN(K161)&gt;0),1,0)</f>
        <v>0</v>
      </c>
      <c r="V161" s="11" t="n">
        <f aca="false">IF(U161=1,SUMPRODUCT(($K$4:$K$703=K161)*($F$4:$F$703=F161)*($U$4:$U$703=1)*($B$4:$B$703&lt;&gt;B161)),0)</f>
        <v>0</v>
      </c>
      <c r="W161" s="11" t="n">
        <f aca="false">IF(AND(U161=1,V161&gt;0),1+SUMPRODUCT(($K$4:$K$703=K161)*($F$4:$F$703=F161)*($U$4:$U$703=1)*($S$4:$S$703&gt;S161))+SUMPRODUCT(($K$4:$K$703=K161)*($F$4:$F$703=F161)*($U$4:$U$703=1)*($S$4:$S$703=S161)*($T$4:$T$703&gt;T161))+SUMPRODUCT(($K$4:$K$703=K161)*($F$4:$F$703=F161)*($U$4:$U$703=1)*($S$4:$S$703=S161)*($T$4:$T$703=T161)*($C$4:$C$703&lt;C161))+SUMPRODUCT(($K$4:$K$703=K161)*($F$4:$F$703=F161)*($U$4:$U$703=1)*($S$4:$S$703=S161)*($T$4:$T$703=T161)*($C$4:$C$703=C161)*($D$4:$D$703&lt;D161)),0)</f>
        <v>0</v>
      </c>
      <c r="X161" s="11" t="n">
        <f aca="false">IF(AND(U161=1,V161&gt;0,W161&gt;1),S161,0)</f>
        <v>0</v>
      </c>
      <c r="Y161" s="11" t="n">
        <f aca="false">IF(T161=1,X161/(1+Controls!$B$11)^F161,0)</f>
        <v>0</v>
      </c>
      <c r="Z161" s="11" t="n">
        <f aca="false">IF(AND(N161,E161="capacity",LEN(K161)&gt;0),1,0)</f>
        <v>1</v>
      </c>
      <c r="AA161" s="11" t="n">
        <f aca="false">IF(Z161=1,SUMPRODUCT(($K$4:$K$703=K161)*($F$4:$F$703=F161)*($Z$4:$Z$703=1)*($B$4:$B$703&lt;&gt;B161)),0)</f>
        <v>0</v>
      </c>
      <c r="AB161" s="11" t="n">
        <f aca="false">IF(AND(Z161=1,AA161&gt;0),1+SUMPRODUCT(($K$4:$K$703=K161)*($F$4:$F$703=F161)*($Z$4:$Z$703=1)*($P$4:$P$703&gt;P161))+SUMPRODUCT(($K$4:$K$703=K161)*($F$4:$F$703=F161)*($Z$4:$Z$703=1)*($P$4:$P$703=P161)*($C$4:$C$703&lt;C161))+SUMPRODUCT(($K$4:$K$703=K161)*($F$4:$F$703=F161)*($Z$4:$Z$703=1)*($P$4:$P$703=P161)*($C$4:$C$703=C161)*($D$4:$D$703&lt;D161)),0)</f>
        <v>0</v>
      </c>
      <c r="AC161" s="11" t="n">
        <f aca="false">IF(AND(Z161=1,AA161&gt;0,AB161&gt;1),P161,0)</f>
        <v>0</v>
      </c>
    </row>
    <row r="162" customFormat="false" ht="15" hidden="false" customHeight="false" outlineLevel="0" collapsed="false">
      <c r="A162" s="4" t="s">
        <v>379</v>
      </c>
      <c r="B162" s="4" t="s">
        <v>87</v>
      </c>
      <c r="C162" s="4" t="n">
        <v>5</v>
      </c>
      <c r="D162" s="4" t="n">
        <v>159</v>
      </c>
      <c r="E162" s="4" t="s">
        <v>233</v>
      </c>
      <c r="F162" s="4" t="n">
        <v>13</v>
      </c>
      <c r="G162" s="4" t="n">
        <v>11</v>
      </c>
      <c r="H162" s="4" t="n">
        <v>1894.5</v>
      </c>
      <c r="I162" s="13" t="b">
        <f aca="false">FALSE()</f>
        <v>0</v>
      </c>
      <c r="K162" s="4" t="s">
        <v>377</v>
      </c>
      <c r="L162" s="4" t="n">
        <v>90.03</v>
      </c>
      <c r="M162" s="11" t="n">
        <f aca="false">IFERROR(MATCH(Controls!$B$3&amp;"|"&amp;B162,'Scenario inputs'!$A$4:$A$213,0),0)</f>
        <v>136</v>
      </c>
      <c r="N162" s="8" t="b">
        <f aca="false">IF(M162=0,FALSE(),F162&lt;Controls!$B$12)</f>
        <v>1</v>
      </c>
      <c r="O162" s="11" t="n">
        <f aca="false">IF(N162,IF(INDEX('Scenario inputs'!$E$4:$E$213,M162)=0,1,INDEX('Scenario inputs'!$F$4:$M$213,M162,MIN(MAX(F162-G162,0),INDEX('Scenario inputs'!$E$4:$E$213,M162)-1)+1)),0)</f>
        <v>0.4</v>
      </c>
      <c r="P162" s="11" t="n">
        <f aca="false">H162*O162</f>
        <v>757.8</v>
      </c>
      <c r="Q162" s="0" t="str">
        <f aca="false">IF(M162=0,"",IF(ISNUMBER(INDEX('Scenario inputs'!$N$4:$N$213,M162)),INDEX('Scenario inputs'!$N$4:$N$213,M162),""))</f>
        <v/>
      </c>
      <c r="R162" s="0" t="str">
        <f aca="false">IF(NOT(N162),"",IF(OR(E162="cash",E162="revenue"),E162,IF(E162="avoided_cost",IF(AND(I162,LEN(TRIM(J162))&gt;0),"avoided_cost_realised","avoided_cost_beside"),IF(ISNUMBER(Q162),"capacity_converted","capacity_hours"))))</f>
        <v>capacity_hours</v>
      </c>
      <c r="S162" s="11" t="n">
        <f aca="false">IF(OR(R162="",R162="capacity_hours"),0,IF(R162="capacity_converted",P162*Q162,P162))</f>
        <v>0</v>
      </c>
      <c r="T162" s="11" t="n">
        <f aca="false">IF(OR(R162="cash",R162="revenue",R162="avoided_cost_realised",R162="capacity_converted"),1,0)</f>
        <v>0</v>
      </c>
      <c r="U162" s="11" t="n">
        <f aca="false">IF(AND(N162,R162&lt;&gt;"capacity_hours",LEN(K162)&gt;0),1,0)</f>
        <v>0</v>
      </c>
      <c r="V162" s="11" t="n">
        <f aca="false">IF(U162=1,SUMPRODUCT(($K$4:$K$703=K162)*($F$4:$F$703=F162)*($U$4:$U$703=1)*($B$4:$B$703&lt;&gt;B162)),0)</f>
        <v>0</v>
      </c>
      <c r="W162" s="11" t="n">
        <f aca="false">IF(AND(U162=1,V162&gt;0),1+SUMPRODUCT(($K$4:$K$703=K162)*($F$4:$F$703=F162)*($U$4:$U$703=1)*($S$4:$S$703&gt;S162))+SUMPRODUCT(($K$4:$K$703=K162)*($F$4:$F$703=F162)*($U$4:$U$703=1)*($S$4:$S$703=S162)*($T$4:$T$703&gt;T162))+SUMPRODUCT(($K$4:$K$703=K162)*($F$4:$F$703=F162)*($U$4:$U$703=1)*($S$4:$S$703=S162)*($T$4:$T$703=T162)*($C$4:$C$703&lt;C162))+SUMPRODUCT(($K$4:$K$703=K162)*($F$4:$F$703=F162)*($U$4:$U$703=1)*($S$4:$S$703=S162)*($T$4:$T$703=T162)*($C$4:$C$703=C162)*($D$4:$D$703&lt;D162)),0)</f>
        <v>0</v>
      </c>
      <c r="X162" s="11" t="n">
        <f aca="false">IF(AND(U162=1,V162&gt;0,W162&gt;1),S162,0)</f>
        <v>0</v>
      </c>
      <c r="Y162" s="11" t="n">
        <f aca="false">IF(T162=1,X162/(1+Controls!$B$11)^F162,0)</f>
        <v>0</v>
      </c>
      <c r="Z162" s="11" t="n">
        <f aca="false">IF(AND(N162,E162="capacity",LEN(K162)&gt;0),1,0)</f>
        <v>1</v>
      </c>
      <c r="AA162" s="11" t="n">
        <f aca="false">IF(Z162=1,SUMPRODUCT(($K$4:$K$703=K162)*($F$4:$F$703=F162)*($Z$4:$Z$703=1)*($B$4:$B$703&lt;&gt;B162)),0)</f>
        <v>0</v>
      </c>
      <c r="AB162" s="11" t="n">
        <f aca="false">IF(AND(Z162=1,AA162&gt;0),1+SUMPRODUCT(($K$4:$K$703=K162)*($F$4:$F$703=F162)*($Z$4:$Z$703=1)*($P$4:$P$703&gt;P162))+SUMPRODUCT(($K$4:$K$703=K162)*($F$4:$F$703=F162)*($Z$4:$Z$703=1)*($P$4:$P$703=P162)*($C$4:$C$703&lt;C162))+SUMPRODUCT(($K$4:$K$703=K162)*($F$4:$F$703=F162)*($Z$4:$Z$703=1)*($P$4:$P$703=P162)*($C$4:$C$703=C162)*($D$4:$D$703&lt;D162)),0)</f>
        <v>0</v>
      </c>
      <c r="AC162" s="11" t="n">
        <f aca="false">IF(AND(Z162=1,AA162&gt;0,AB162&gt;1),P162,0)</f>
        <v>0</v>
      </c>
    </row>
    <row r="163" customFormat="false" ht="15" hidden="false" customHeight="false" outlineLevel="0" collapsed="false">
      <c r="A163" s="4" t="s">
        <v>380</v>
      </c>
      <c r="B163" s="4" t="s">
        <v>87</v>
      </c>
      <c r="C163" s="4" t="n">
        <v>5</v>
      </c>
      <c r="D163" s="4" t="n">
        <v>160</v>
      </c>
      <c r="E163" s="4" t="s">
        <v>233</v>
      </c>
      <c r="F163" s="4" t="n">
        <v>14</v>
      </c>
      <c r="G163" s="4" t="n">
        <v>11</v>
      </c>
      <c r="H163" s="4" t="n">
        <v>1894.5</v>
      </c>
      <c r="I163" s="13" t="b">
        <f aca="false">FALSE()</f>
        <v>0</v>
      </c>
      <c r="K163" s="4" t="s">
        <v>377</v>
      </c>
      <c r="L163" s="4" t="n">
        <v>150.04</v>
      </c>
      <c r="M163" s="11" t="n">
        <f aca="false">IFERROR(MATCH(Controls!$B$3&amp;"|"&amp;B163,'Scenario inputs'!$A$4:$A$213,0),0)</f>
        <v>136</v>
      </c>
      <c r="N163" s="8" t="b">
        <f aca="false">IF(M163=0,FALSE(),F163&lt;Controls!$B$12)</f>
        <v>1</v>
      </c>
      <c r="O163" s="11" t="n">
        <f aca="false">IF(N163,IF(INDEX('Scenario inputs'!$E$4:$E$213,M163)=0,1,INDEX('Scenario inputs'!$F$4:$M$213,M163,MIN(MAX(F163-G163,0),INDEX('Scenario inputs'!$E$4:$E$213,M163)-1)+1)),0)</f>
        <v>0.666667</v>
      </c>
      <c r="P163" s="11" t="n">
        <f aca="false">H163*O163</f>
        <v>1263.0006315</v>
      </c>
      <c r="Q163" s="0" t="str">
        <f aca="false">IF(M163=0,"",IF(ISNUMBER(INDEX('Scenario inputs'!$N$4:$N$213,M163)),INDEX('Scenario inputs'!$N$4:$N$213,M163),""))</f>
        <v/>
      </c>
      <c r="R163" s="0" t="str">
        <f aca="false">IF(NOT(N163),"",IF(OR(E163="cash",E163="revenue"),E163,IF(E163="avoided_cost",IF(AND(I163,LEN(TRIM(J163))&gt;0),"avoided_cost_realised","avoided_cost_beside"),IF(ISNUMBER(Q163),"capacity_converted","capacity_hours"))))</f>
        <v>capacity_hours</v>
      </c>
      <c r="S163" s="11" t="n">
        <f aca="false">IF(OR(R163="",R163="capacity_hours"),0,IF(R163="capacity_converted",P163*Q163,P163))</f>
        <v>0</v>
      </c>
      <c r="T163" s="11" t="n">
        <f aca="false">IF(OR(R163="cash",R163="revenue",R163="avoided_cost_realised",R163="capacity_converted"),1,0)</f>
        <v>0</v>
      </c>
      <c r="U163" s="11" t="n">
        <f aca="false">IF(AND(N163,R163&lt;&gt;"capacity_hours",LEN(K163)&gt;0),1,0)</f>
        <v>0</v>
      </c>
      <c r="V163" s="11" t="n">
        <f aca="false">IF(U163=1,SUMPRODUCT(($K$4:$K$703=K163)*($F$4:$F$703=F163)*($U$4:$U$703=1)*($B$4:$B$703&lt;&gt;B163)),0)</f>
        <v>0</v>
      </c>
      <c r="W163" s="11" t="n">
        <f aca="false">IF(AND(U163=1,V163&gt;0),1+SUMPRODUCT(($K$4:$K$703=K163)*($F$4:$F$703=F163)*($U$4:$U$703=1)*($S$4:$S$703&gt;S163))+SUMPRODUCT(($K$4:$K$703=K163)*($F$4:$F$703=F163)*($U$4:$U$703=1)*($S$4:$S$703=S163)*($T$4:$T$703&gt;T163))+SUMPRODUCT(($K$4:$K$703=K163)*($F$4:$F$703=F163)*($U$4:$U$703=1)*($S$4:$S$703=S163)*($T$4:$T$703=T163)*($C$4:$C$703&lt;C163))+SUMPRODUCT(($K$4:$K$703=K163)*($F$4:$F$703=F163)*($U$4:$U$703=1)*($S$4:$S$703=S163)*($T$4:$T$703=T163)*($C$4:$C$703=C163)*($D$4:$D$703&lt;D163)),0)</f>
        <v>0</v>
      </c>
      <c r="X163" s="11" t="n">
        <f aca="false">IF(AND(U163=1,V163&gt;0,W163&gt;1),S163,0)</f>
        <v>0</v>
      </c>
      <c r="Y163" s="11" t="n">
        <f aca="false">IF(T163=1,X163/(1+Controls!$B$11)^F163,0)</f>
        <v>0</v>
      </c>
      <c r="Z163" s="11" t="n">
        <f aca="false">IF(AND(N163,E163="capacity",LEN(K163)&gt;0),1,0)</f>
        <v>1</v>
      </c>
      <c r="AA163" s="11" t="n">
        <f aca="false">IF(Z163=1,SUMPRODUCT(($K$4:$K$703=K163)*($F$4:$F$703=F163)*($Z$4:$Z$703=1)*($B$4:$B$703&lt;&gt;B163)),0)</f>
        <v>0</v>
      </c>
      <c r="AB163" s="11" t="n">
        <f aca="false">IF(AND(Z163=1,AA163&gt;0),1+SUMPRODUCT(($K$4:$K$703=K163)*($F$4:$F$703=F163)*($Z$4:$Z$703=1)*($P$4:$P$703&gt;P163))+SUMPRODUCT(($K$4:$K$703=K163)*($F$4:$F$703=F163)*($Z$4:$Z$703=1)*($P$4:$P$703=P163)*($C$4:$C$703&lt;C163))+SUMPRODUCT(($K$4:$K$703=K163)*($F$4:$F$703=F163)*($Z$4:$Z$703=1)*($P$4:$P$703=P163)*($C$4:$C$703=C163)*($D$4:$D$703&lt;D163)),0)</f>
        <v>0</v>
      </c>
      <c r="AC163" s="11" t="n">
        <f aca="false">IF(AND(Z163=1,AA163&gt;0,AB163&gt;1),P163,0)</f>
        <v>0</v>
      </c>
    </row>
    <row r="164" customFormat="false" ht="15" hidden="false" customHeight="false" outlineLevel="0" collapsed="false">
      <c r="A164" s="4" t="s">
        <v>381</v>
      </c>
      <c r="B164" s="4" t="s">
        <v>87</v>
      </c>
      <c r="C164" s="4" t="n">
        <v>5</v>
      </c>
      <c r="D164" s="4" t="n">
        <v>161</v>
      </c>
      <c r="E164" s="4" t="s">
        <v>233</v>
      </c>
      <c r="F164" s="4" t="n">
        <v>15</v>
      </c>
      <c r="G164" s="4" t="n">
        <v>11</v>
      </c>
      <c r="H164" s="4" t="n">
        <v>1894.5</v>
      </c>
      <c r="I164" s="13" t="b">
        <f aca="false">FALSE()</f>
        <v>0</v>
      </c>
      <c r="K164" s="4" t="s">
        <v>377</v>
      </c>
      <c r="L164" s="4" t="n">
        <v>225.07</v>
      </c>
      <c r="M164" s="11" t="n">
        <f aca="false">IFERROR(MATCH(Controls!$B$3&amp;"|"&amp;B164,'Scenario inputs'!$A$4:$A$213,0),0)</f>
        <v>136</v>
      </c>
      <c r="N164" s="8" t="b">
        <f aca="false">IF(M164=0,FALSE(),F164&lt;Controls!$B$12)</f>
        <v>1</v>
      </c>
      <c r="O164" s="11" t="n">
        <f aca="false">IF(N164,IF(INDEX('Scenario inputs'!$E$4:$E$213,M164)=0,1,INDEX('Scenario inputs'!$F$4:$M$213,M164,MIN(MAX(F164-G164,0),INDEX('Scenario inputs'!$E$4:$E$213,M164)-1)+1)),0)</f>
        <v>1</v>
      </c>
      <c r="P164" s="11" t="n">
        <f aca="false">H164*O164</f>
        <v>1894.5</v>
      </c>
      <c r="Q164" s="0" t="str">
        <f aca="false">IF(M164=0,"",IF(ISNUMBER(INDEX('Scenario inputs'!$N$4:$N$213,M164)),INDEX('Scenario inputs'!$N$4:$N$213,M164),""))</f>
        <v/>
      </c>
      <c r="R164" s="0" t="str">
        <f aca="false">IF(NOT(N164),"",IF(OR(E164="cash",E164="revenue"),E164,IF(E164="avoided_cost",IF(AND(I164,LEN(TRIM(J164))&gt;0),"avoided_cost_realised","avoided_cost_beside"),IF(ISNUMBER(Q164),"capacity_converted","capacity_hours"))))</f>
        <v>capacity_hours</v>
      </c>
      <c r="S164" s="11" t="n">
        <f aca="false">IF(OR(R164="",R164="capacity_hours"),0,IF(R164="capacity_converted",P164*Q164,P164))</f>
        <v>0</v>
      </c>
      <c r="T164" s="11" t="n">
        <f aca="false">IF(OR(R164="cash",R164="revenue",R164="avoided_cost_realised",R164="capacity_converted"),1,0)</f>
        <v>0</v>
      </c>
      <c r="U164" s="11" t="n">
        <f aca="false">IF(AND(N164,R164&lt;&gt;"capacity_hours",LEN(K164)&gt;0),1,0)</f>
        <v>0</v>
      </c>
      <c r="V164" s="11" t="n">
        <f aca="false">IF(U164=1,SUMPRODUCT(($K$4:$K$703=K164)*($F$4:$F$703=F164)*($U$4:$U$703=1)*($B$4:$B$703&lt;&gt;B164)),0)</f>
        <v>0</v>
      </c>
      <c r="W164" s="11" t="n">
        <f aca="false">IF(AND(U164=1,V164&gt;0),1+SUMPRODUCT(($K$4:$K$703=K164)*($F$4:$F$703=F164)*($U$4:$U$703=1)*($S$4:$S$703&gt;S164))+SUMPRODUCT(($K$4:$K$703=K164)*($F$4:$F$703=F164)*($U$4:$U$703=1)*($S$4:$S$703=S164)*($T$4:$T$703&gt;T164))+SUMPRODUCT(($K$4:$K$703=K164)*($F$4:$F$703=F164)*($U$4:$U$703=1)*($S$4:$S$703=S164)*($T$4:$T$703=T164)*($C$4:$C$703&lt;C164))+SUMPRODUCT(($K$4:$K$703=K164)*($F$4:$F$703=F164)*($U$4:$U$703=1)*($S$4:$S$703=S164)*($T$4:$T$703=T164)*($C$4:$C$703=C164)*($D$4:$D$703&lt;D164)),0)</f>
        <v>0</v>
      </c>
      <c r="X164" s="11" t="n">
        <f aca="false">IF(AND(U164=1,V164&gt;0,W164&gt;1),S164,0)</f>
        <v>0</v>
      </c>
      <c r="Y164" s="11" t="n">
        <f aca="false">IF(T164=1,X164/(1+Controls!$B$11)^F164,0)</f>
        <v>0</v>
      </c>
      <c r="Z164" s="11" t="n">
        <f aca="false">IF(AND(N164,E164="capacity",LEN(K164)&gt;0),1,0)</f>
        <v>1</v>
      </c>
      <c r="AA164" s="11" t="n">
        <f aca="false">IF(Z164=1,SUMPRODUCT(($K$4:$K$703=K164)*($F$4:$F$703=F164)*($Z$4:$Z$703=1)*($B$4:$B$703&lt;&gt;B164)),0)</f>
        <v>0</v>
      </c>
      <c r="AB164" s="11" t="n">
        <f aca="false">IF(AND(Z164=1,AA164&gt;0),1+SUMPRODUCT(($K$4:$K$703=K164)*($F$4:$F$703=F164)*($Z$4:$Z$703=1)*($P$4:$P$703&gt;P164))+SUMPRODUCT(($K$4:$K$703=K164)*($F$4:$F$703=F164)*($Z$4:$Z$703=1)*($P$4:$P$703=P164)*($C$4:$C$703&lt;C164))+SUMPRODUCT(($K$4:$K$703=K164)*($F$4:$F$703=F164)*($Z$4:$Z$703=1)*($P$4:$P$703=P164)*($C$4:$C$703=C164)*($D$4:$D$703&lt;D164)),0)</f>
        <v>0</v>
      </c>
      <c r="AC164" s="11" t="n">
        <f aca="false">IF(AND(Z164=1,AA164&gt;0,AB164&gt;1),P164,0)</f>
        <v>0</v>
      </c>
    </row>
    <row r="165" customFormat="false" ht="15" hidden="false" customHeight="false" outlineLevel="0" collapsed="false">
      <c r="A165" s="4" t="s">
        <v>382</v>
      </c>
      <c r="B165" s="4" t="s">
        <v>87</v>
      </c>
      <c r="C165" s="4" t="n">
        <v>5</v>
      </c>
      <c r="D165" s="4" t="n">
        <v>162</v>
      </c>
      <c r="E165" s="4" t="s">
        <v>233</v>
      </c>
      <c r="F165" s="4" t="n">
        <v>16</v>
      </c>
      <c r="G165" s="4" t="n">
        <v>11</v>
      </c>
      <c r="H165" s="4" t="n">
        <v>1894.5</v>
      </c>
      <c r="I165" s="13" t="b">
        <f aca="false">FALSE()</f>
        <v>0</v>
      </c>
      <c r="K165" s="4" t="s">
        <v>377</v>
      </c>
      <c r="L165" s="4" t="n">
        <v>225.07</v>
      </c>
      <c r="M165" s="11" t="n">
        <f aca="false">IFERROR(MATCH(Controls!$B$3&amp;"|"&amp;B165,'Scenario inputs'!$A$4:$A$213,0),0)</f>
        <v>136</v>
      </c>
      <c r="N165" s="8" t="b">
        <f aca="false">IF(M165=0,FALSE(),F165&lt;Controls!$B$12)</f>
        <v>1</v>
      </c>
      <c r="O165" s="11" t="n">
        <f aca="false">IF(N165,IF(INDEX('Scenario inputs'!$E$4:$E$213,M165)=0,1,INDEX('Scenario inputs'!$F$4:$M$213,M165,MIN(MAX(F165-G165,0),INDEX('Scenario inputs'!$E$4:$E$213,M165)-1)+1)),0)</f>
        <v>1</v>
      </c>
      <c r="P165" s="11" t="n">
        <f aca="false">H165*O165</f>
        <v>1894.5</v>
      </c>
      <c r="Q165" s="0" t="str">
        <f aca="false">IF(M165=0,"",IF(ISNUMBER(INDEX('Scenario inputs'!$N$4:$N$213,M165)),INDEX('Scenario inputs'!$N$4:$N$213,M165),""))</f>
        <v/>
      </c>
      <c r="R165" s="0" t="str">
        <f aca="false">IF(NOT(N165),"",IF(OR(E165="cash",E165="revenue"),E165,IF(E165="avoided_cost",IF(AND(I165,LEN(TRIM(J165))&gt;0),"avoided_cost_realised","avoided_cost_beside"),IF(ISNUMBER(Q165),"capacity_converted","capacity_hours"))))</f>
        <v>capacity_hours</v>
      </c>
      <c r="S165" s="11" t="n">
        <f aca="false">IF(OR(R165="",R165="capacity_hours"),0,IF(R165="capacity_converted",P165*Q165,P165))</f>
        <v>0</v>
      </c>
      <c r="T165" s="11" t="n">
        <f aca="false">IF(OR(R165="cash",R165="revenue",R165="avoided_cost_realised",R165="capacity_converted"),1,0)</f>
        <v>0</v>
      </c>
      <c r="U165" s="11" t="n">
        <f aca="false">IF(AND(N165,R165&lt;&gt;"capacity_hours",LEN(K165)&gt;0),1,0)</f>
        <v>0</v>
      </c>
      <c r="V165" s="11" t="n">
        <f aca="false">IF(U165=1,SUMPRODUCT(($K$4:$K$703=K165)*($F$4:$F$703=F165)*($U$4:$U$703=1)*($B$4:$B$703&lt;&gt;B165)),0)</f>
        <v>0</v>
      </c>
      <c r="W165" s="11" t="n">
        <f aca="false">IF(AND(U165=1,V165&gt;0),1+SUMPRODUCT(($K$4:$K$703=K165)*($F$4:$F$703=F165)*($U$4:$U$703=1)*($S$4:$S$703&gt;S165))+SUMPRODUCT(($K$4:$K$703=K165)*($F$4:$F$703=F165)*($U$4:$U$703=1)*($S$4:$S$703=S165)*($T$4:$T$703&gt;T165))+SUMPRODUCT(($K$4:$K$703=K165)*($F$4:$F$703=F165)*($U$4:$U$703=1)*($S$4:$S$703=S165)*($T$4:$T$703=T165)*($C$4:$C$703&lt;C165))+SUMPRODUCT(($K$4:$K$703=K165)*($F$4:$F$703=F165)*($U$4:$U$703=1)*($S$4:$S$703=S165)*($T$4:$T$703=T165)*($C$4:$C$703=C165)*($D$4:$D$703&lt;D165)),0)</f>
        <v>0</v>
      </c>
      <c r="X165" s="11" t="n">
        <f aca="false">IF(AND(U165=1,V165&gt;0,W165&gt;1),S165,0)</f>
        <v>0</v>
      </c>
      <c r="Y165" s="11" t="n">
        <f aca="false">IF(T165=1,X165/(1+Controls!$B$11)^F165,0)</f>
        <v>0</v>
      </c>
      <c r="Z165" s="11" t="n">
        <f aca="false">IF(AND(N165,E165="capacity",LEN(K165)&gt;0),1,0)</f>
        <v>1</v>
      </c>
      <c r="AA165" s="11" t="n">
        <f aca="false">IF(Z165=1,SUMPRODUCT(($K$4:$K$703=K165)*($F$4:$F$703=F165)*($Z$4:$Z$703=1)*($B$4:$B$703&lt;&gt;B165)),0)</f>
        <v>0</v>
      </c>
      <c r="AB165" s="11" t="n">
        <f aca="false">IF(AND(Z165=1,AA165&gt;0),1+SUMPRODUCT(($K$4:$K$703=K165)*($F$4:$F$703=F165)*($Z$4:$Z$703=1)*($P$4:$P$703&gt;P165))+SUMPRODUCT(($K$4:$K$703=K165)*($F$4:$F$703=F165)*($Z$4:$Z$703=1)*($P$4:$P$703=P165)*($C$4:$C$703&lt;C165))+SUMPRODUCT(($K$4:$K$703=K165)*($F$4:$F$703=F165)*($Z$4:$Z$703=1)*($P$4:$P$703=P165)*($C$4:$C$703=C165)*($D$4:$D$703&lt;D165)),0)</f>
        <v>0</v>
      </c>
      <c r="AC165" s="11" t="n">
        <f aca="false">IF(AND(Z165=1,AA165&gt;0,AB165&gt;1),P165,0)</f>
        <v>0</v>
      </c>
    </row>
    <row r="166" customFormat="false" ht="15" hidden="false" customHeight="false" outlineLevel="0" collapsed="false">
      <c r="A166" s="4" t="s">
        <v>383</v>
      </c>
      <c r="B166" s="4" t="s">
        <v>87</v>
      </c>
      <c r="C166" s="4" t="n">
        <v>5</v>
      </c>
      <c r="D166" s="4" t="n">
        <v>163</v>
      </c>
      <c r="E166" s="4" t="s">
        <v>233</v>
      </c>
      <c r="F166" s="4" t="n">
        <v>17</v>
      </c>
      <c r="G166" s="4" t="n">
        <v>11</v>
      </c>
      <c r="H166" s="4" t="n">
        <v>1894.5</v>
      </c>
      <c r="I166" s="13" t="b">
        <f aca="false">FALSE()</f>
        <v>0</v>
      </c>
      <c r="K166" s="4" t="s">
        <v>377</v>
      </c>
      <c r="L166" s="4" t="n">
        <v>225.07</v>
      </c>
      <c r="M166" s="11" t="n">
        <f aca="false">IFERROR(MATCH(Controls!$B$3&amp;"|"&amp;B166,'Scenario inputs'!$A$4:$A$213,0),0)</f>
        <v>136</v>
      </c>
      <c r="N166" s="8" t="b">
        <f aca="false">IF(M166=0,FALSE(),F166&lt;Controls!$B$12)</f>
        <v>1</v>
      </c>
      <c r="O166" s="11" t="n">
        <f aca="false">IF(N166,IF(INDEX('Scenario inputs'!$E$4:$E$213,M166)=0,1,INDEX('Scenario inputs'!$F$4:$M$213,M166,MIN(MAX(F166-G166,0),INDEX('Scenario inputs'!$E$4:$E$213,M166)-1)+1)),0)</f>
        <v>1</v>
      </c>
      <c r="P166" s="11" t="n">
        <f aca="false">H166*O166</f>
        <v>1894.5</v>
      </c>
      <c r="Q166" s="0" t="str">
        <f aca="false">IF(M166=0,"",IF(ISNUMBER(INDEX('Scenario inputs'!$N$4:$N$213,M166)),INDEX('Scenario inputs'!$N$4:$N$213,M166),""))</f>
        <v/>
      </c>
      <c r="R166" s="0" t="str">
        <f aca="false">IF(NOT(N166),"",IF(OR(E166="cash",E166="revenue"),E166,IF(E166="avoided_cost",IF(AND(I166,LEN(TRIM(J166))&gt;0),"avoided_cost_realised","avoided_cost_beside"),IF(ISNUMBER(Q166),"capacity_converted","capacity_hours"))))</f>
        <v>capacity_hours</v>
      </c>
      <c r="S166" s="11" t="n">
        <f aca="false">IF(OR(R166="",R166="capacity_hours"),0,IF(R166="capacity_converted",P166*Q166,P166))</f>
        <v>0</v>
      </c>
      <c r="T166" s="11" t="n">
        <f aca="false">IF(OR(R166="cash",R166="revenue",R166="avoided_cost_realised",R166="capacity_converted"),1,0)</f>
        <v>0</v>
      </c>
      <c r="U166" s="11" t="n">
        <f aca="false">IF(AND(N166,R166&lt;&gt;"capacity_hours",LEN(K166)&gt;0),1,0)</f>
        <v>0</v>
      </c>
      <c r="V166" s="11" t="n">
        <f aca="false">IF(U166=1,SUMPRODUCT(($K$4:$K$703=K166)*($F$4:$F$703=F166)*($U$4:$U$703=1)*($B$4:$B$703&lt;&gt;B166)),0)</f>
        <v>0</v>
      </c>
      <c r="W166" s="11" t="n">
        <f aca="false">IF(AND(U166=1,V166&gt;0),1+SUMPRODUCT(($K$4:$K$703=K166)*($F$4:$F$703=F166)*($U$4:$U$703=1)*($S$4:$S$703&gt;S166))+SUMPRODUCT(($K$4:$K$703=K166)*($F$4:$F$703=F166)*($U$4:$U$703=1)*($S$4:$S$703=S166)*($T$4:$T$703&gt;T166))+SUMPRODUCT(($K$4:$K$703=K166)*($F$4:$F$703=F166)*($U$4:$U$703=1)*($S$4:$S$703=S166)*($T$4:$T$703=T166)*($C$4:$C$703&lt;C166))+SUMPRODUCT(($K$4:$K$703=K166)*($F$4:$F$703=F166)*($U$4:$U$703=1)*($S$4:$S$703=S166)*($T$4:$T$703=T166)*($C$4:$C$703=C166)*($D$4:$D$703&lt;D166)),0)</f>
        <v>0</v>
      </c>
      <c r="X166" s="11" t="n">
        <f aca="false">IF(AND(U166=1,V166&gt;0,W166&gt;1),S166,0)</f>
        <v>0</v>
      </c>
      <c r="Y166" s="11" t="n">
        <f aca="false">IF(T166=1,X166/(1+Controls!$B$11)^F166,0)</f>
        <v>0</v>
      </c>
      <c r="Z166" s="11" t="n">
        <f aca="false">IF(AND(N166,E166="capacity",LEN(K166)&gt;0),1,0)</f>
        <v>1</v>
      </c>
      <c r="AA166" s="11" t="n">
        <f aca="false">IF(Z166=1,SUMPRODUCT(($K$4:$K$703=K166)*($F$4:$F$703=F166)*($Z$4:$Z$703=1)*($B$4:$B$703&lt;&gt;B166)),0)</f>
        <v>0</v>
      </c>
      <c r="AB166" s="11" t="n">
        <f aca="false">IF(AND(Z166=1,AA166&gt;0),1+SUMPRODUCT(($K$4:$K$703=K166)*($F$4:$F$703=F166)*($Z$4:$Z$703=1)*($P$4:$P$703&gt;P166))+SUMPRODUCT(($K$4:$K$703=K166)*($F$4:$F$703=F166)*($Z$4:$Z$703=1)*($P$4:$P$703=P166)*($C$4:$C$703&lt;C166))+SUMPRODUCT(($K$4:$K$703=K166)*($F$4:$F$703=F166)*($Z$4:$Z$703=1)*($P$4:$P$703=P166)*($C$4:$C$703=C166)*($D$4:$D$703&lt;D166)),0)</f>
        <v>0</v>
      </c>
      <c r="AC166" s="11" t="n">
        <f aca="false">IF(AND(Z166=1,AA166&gt;0,AB166&gt;1),P166,0)</f>
        <v>0</v>
      </c>
    </row>
    <row r="167" customFormat="false" ht="15" hidden="false" customHeight="false" outlineLevel="0" collapsed="false">
      <c r="A167" s="4" t="s">
        <v>384</v>
      </c>
      <c r="B167" s="4" t="s">
        <v>87</v>
      </c>
      <c r="C167" s="4" t="n">
        <v>5</v>
      </c>
      <c r="D167" s="4" t="n">
        <v>164</v>
      </c>
      <c r="E167" s="4" t="s">
        <v>233</v>
      </c>
      <c r="F167" s="4" t="n">
        <v>18</v>
      </c>
      <c r="G167" s="4" t="n">
        <v>11</v>
      </c>
      <c r="H167" s="4" t="n">
        <v>1894.5</v>
      </c>
      <c r="I167" s="13" t="b">
        <f aca="false">FALSE()</f>
        <v>0</v>
      </c>
      <c r="K167" s="4" t="s">
        <v>377</v>
      </c>
      <c r="L167" s="4" t="n">
        <v>225.07</v>
      </c>
      <c r="M167" s="11" t="n">
        <f aca="false">IFERROR(MATCH(Controls!$B$3&amp;"|"&amp;B167,'Scenario inputs'!$A$4:$A$213,0),0)</f>
        <v>136</v>
      </c>
      <c r="N167" s="8" t="b">
        <f aca="false">IF(M167=0,FALSE(),F167&lt;Controls!$B$12)</f>
        <v>1</v>
      </c>
      <c r="O167" s="11" t="n">
        <f aca="false">IF(N167,IF(INDEX('Scenario inputs'!$E$4:$E$213,M167)=0,1,INDEX('Scenario inputs'!$F$4:$M$213,M167,MIN(MAX(F167-G167,0),INDEX('Scenario inputs'!$E$4:$E$213,M167)-1)+1)),0)</f>
        <v>1</v>
      </c>
      <c r="P167" s="11" t="n">
        <f aca="false">H167*O167</f>
        <v>1894.5</v>
      </c>
      <c r="Q167" s="0" t="str">
        <f aca="false">IF(M167=0,"",IF(ISNUMBER(INDEX('Scenario inputs'!$N$4:$N$213,M167)),INDEX('Scenario inputs'!$N$4:$N$213,M167),""))</f>
        <v/>
      </c>
      <c r="R167" s="0" t="str">
        <f aca="false">IF(NOT(N167),"",IF(OR(E167="cash",E167="revenue"),E167,IF(E167="avoided_cost",IF(AND(I167,LEN(TRIM(J167))&gt;0),"avoided_cost_realised","avoided_cost_beside"),IF(ISNUMBER(Q167),"capacity_converted","capacity_hours"))))</f>
        <v>capacity_hours</v>
      </c>
      <c r="S167" s="11" t="n">
        <f aca="false">IF(OR(R167="",R167="capacity_hours"),0,IF(R167="capacity_converted",P167*Q167,P167))</f>
        <v>0</v>
      </c>
      <c r="T167" s="11" t="n">
        <f aca="false">IF(OR(R167="cash",R167="revenue",R167="avoided_cost_realised",R167="capacity_converted"),1,0)</f>
        <v>0</v>
      </c>
      <c r="U167" s="11" t="n">
        <f aca="false">IF(AND(N167,R167&lt;&gt;"capacity_hours",LEN(K167)&gt;0),1,0)</f>
        <v>0</v>
      </c>
      <c r="V167" s="11" t="n">
        <f aca="false">IF(U167=1,SUMPRODUCT(($K$4:$K$703=K167)*($F$4:$F$703=F167)*($U$4:$U$703=1)*($B$4:$B$703&lt;&gt;B167)),0)</f>
        <v>0</v>
      </c>
      <c r="W167" s="11" t="n">
        <f aca="false">IF(AND(U167=1,V167&gt;0),1+SUMPRODUCT(($K$4:$K$703=K167)*($F$4:$F$703=F167)*($U$4:$U$703=1)*($S$4:$S$703&gt;S167))+SUMPRODUCT(($K$4:$K$703=K167)*($F$4:$F$703=F167)*($U$4:$U$703=1)*($S$4:$S$703=S167)*($T$4:$T$703&gt;T167))+SUMPRODUCT(($K$4:$K$703=K167)*($F$4:$F$703=F167)*($U$4:$U$703=1)*($S$4:$S$703=S167)*($T$4:$T$703=T167)*($C$4:$C$703&lt;C167))+SUMPRODUCT(($K$4:$K$703=K167)*($F$4:$F$703=F167)*($U$4:$U$703=1)*($S$4:$S$703=S167)*($T$4:$T$703=T167)*($C$4:$C$703=C167)*($D$4:$D$703&lt;D167)),0)</f>
        <v>0</v>
      </c>
      <c r="X167" s="11" t="n">
        <f aca="false">IF(AND(U167=1,V167&gt;0,W167&gt;1),S167,0)</f>
        <v>0</v>
      </c>
      <c r="Y167" s="11" t="n">
        <f aca="false">IF(T167=1,X167/(1+Controls!$B$11)^F167,0)</f>
        <v>0</v>
      </c>
      <c r="Z167" s="11" t="n">
        <f aca="false">IF(AND(N167,E167="capacity",LEN(K167)&gt;0),1,0)</f>
        <v>1</v>
      </c>
      <c r="AA167" s="11" t="n">
        <f aca="false">IF(Z167=1,SUMPRODUCT(($K$4:$K$703=K167)*($F$4:$F$703=F167)*($Z$4:$Z$703=1)*($B$4:$B$703&lt;&gt;B167)),0)</f>
        <v>0</v>
      </c>
      <c r="AB167" s="11" t="n">
        <f aca="false">IF(AND(Z167=1,AA167&gt;0),1+SUMPRODUCT(($K$4:$K$703=K167)*($F$4:$F$703=F167)*($Z$4:$Z$703=1)*($P$4:$P$703&gt;P167))+SUMPRODUCT(($K$4:$K$703=K167)*($F$4:$F$703=F167)*($Z$4:$Z$703=1)*($P$4:$P$703=P167)*($C$4:$C$703&lt;C167))+SUMPRODUCT(($K$4:$K$703=K167)*($F$4:$F$703=F167)*($Z$4:$Z$703=1)*($P$4:$P$703=P167)*($C$4:$C$703=C167)*($D$4:$D$703&lt;D167)),0)</f>
        <v>0</v>
      </c>
      <c r="AC167" s="11" t="n">
        <f aca="false">IF(AND(Z167=1,AA167&gt;0,AB167&gt;1),P167,0)</f>
        <v>0</v>
      </c>
    </row>
    <row r="168" customFormat="false" ht="15" hidden="false" customHeight="false" outlineLevel="0" collapsed="false">
      <c r="A168" s="4" t="s">
        <v>385</v>
      </c>
      <c r="B168" s="4" t="s">
        <v>87</v>
      </c>
      <c r="C168" s="4" t="n">
        <v>5</v>
      </c>
      <c r="D168" s="4" t="n">
        <v>165</v>
      </c>
      <c r="E168" s="4" t="s">
        <v>233</v>
      </c>
      <c r="F168" s="4" t="n">
        <v>19</v>
      </c>
      <c r="G168" s="4" t="n">
        <v>11</v>
      </c>
      <c r="H168" s="4" t="n">
        <v>1894.5</v>
      </c>
      <c r="I168" s="13" t="b">
        <f aca="false">FALSE()</f>
        <v>0</v>
      </c>
      <c r="K168" s="4" t="s">
        <v>377</v>
      </c>
      <c r="L168" s="4" t="n">
        <v>225.07</v>
      </c>
      <c r="M168" s="11" t="n">
        <f aca="false">IFERROR(MATCH(Controls!$B$3&amp;"|"&amp;B168,'Scenario inputs'!$A$4:$A$213,0),0)</f>
        <v>136</v>
      </c>
      <c r="N168" s="8" t="b">
        <f aca="false">IF(M168=0,FALSE(),F168&lt;Controls!$B$12)</f>
        <v>1</v>
      </c>
      <c r="O168" s="11" t="n">
        <f aca="false">IF(N168,IF(INDEX('Scenario inputs'!$E$4:$E$213,M168)=0,1,INDEX('Scenario inputs'!$F$4:$M$213,M168,MIN(MAX(F168-G168,0),INDEX('Scenario inputs'!$E$4:$E$213,M168)-1)+1)),0)</f>
        <v>1</v>
      </c>
      <c r="P168" s="11" t="n">
        <f aca="false">H168*O168</f>
        <v>1894.5</v>
      </c>
      <c r="Q168" s="0" t="str">
        <f aca="false">IF(M168=0,"",IF(ISNUMBER(INDEX('Scenario inputs'!$N$4:$N$213,M168)),INDEX('Scenario inputs'!$N$4:$N$213,M168),""))</f>
        <v/>
      </c>
      <c r="R168" s="0" t="str">
        <f aca="false">IF(NOT(N168),"",IF(OR(E168="cash",E168="revenue"),E168,IF(E168="avoided_cost",IF(AND(I168,LEN(TRIM(J168))&gt;0),"avoided_cost_realised","avoided_cost_beside"),IF(ISNUMBER(Q168),"capacity_converted","capacity_hours"))))</f>
        <v>capacity_hours</v>
      </c>
      <c r="S168" s="11" t="n">
        <f aca="false">IF(OR(R168="",R168="capacity_hours"),0,IF(R168="capacity_converted",P168*Q168,P168))</f>
        <v>0</v>
      </c>
      <c r="T168" s="11" t="n">
        <f aca="false">IF(OR(R168="cash",R168="revenue",R168="avoided_cost_realised",R168="capacity_converted"),1,0)</f>
        <v>0</v>
      </c>
      <c r="U168" s="11" t="n">
        <f aca="false">IF(AND(N168,R168&lt;&gt;"capacity_hours",LEN(K168)&gt;0),1,0)</f>
        <v>0</v>
      </c>
      <c r="V168" s="11" t="n">
        <f aca="false">IF(U168=1,SUMPRODUCT(($K$4:$K$703=K168)*($F$4:$F$703=F168)*($U$4:$U$703=1)*($B$4:$B$703&lt;&gt;B168)),0)</f>
        <v>0</v>
      </c>
      <c r="W168" s="11" t="n">
        <f aca="false">IF(AND(U168=1,V168&gt;0),1+SUMPRODUCT(($K$4:$K$703=K168)*($F$4:$F$703=F168)*($U$4:$U$703=1)*($S$4:$S$703&gt;S168))+SUMPRODUCT(($K$4:$K$703=K168)*($F$4:$F$703=F168)*($U$4:$U$703=1)*($S$4:$S$703=S168)*($T$4:$T$703&gt;T168))+SUMPRODUCT(($K$4:$K$703=K168)*($F$4:$F$703=F168)*($U$4:$U$703=1)*($S$4:$S$703=S168)*($T$4:$T$703=T168)*($C$4:$C$703&lt;C168))+SUMPRODUCT(($K$4:$K$703=K168)*($F$4:$F$703=F168)*($U$4:$U$703=1)*($S$4:$S$703=S168)*($T$4:$T$703=T168)*($C$4:$C$703=C168)*($D$4:$D$703&lt;D168)),0)</f>
        <v>0</v>
      </c>
      <c r="X168" s="11" t="n">
        <f aca="false">IF(AND(U168=1,V168&gt;0,W168&gt;1),S168,0)</f>
        <v>0</v>
      </c>
      <c r="Y168" s="11" t="n">
        <f aca="false">IF(T168=1,X168/(1+Controls!$B$11)^F168,0)</f>
        <v>0</v>
      </c>
      <c r="Z168" s="11" t="n">
        <f aca="false">IF(AND(N168,E168="capacity",LEN(K168)&gt;0),1,0)</f>
        <v>1</v>
      </c>
      <c r="AA168" s="11" t="n">
        <f aca="false">IF(Z168=1,SUMPRODUCT(($K$4:$K$703=K168)*($F$4:$F$703=F168)*($Z$4:$Z$703=1)*($B$4:$B$703&lt;&gt;B168)),0)</f>
        <v>0</v>
      </c>
      <c r="AB168" s="11" t="n">
        <f aca="false">IF(AND(Z168=1,AA168&gt;0),1+SUMPRODUCT(($K$4:$K$703=K168)*($F$4:$F$703=F168)*($Z$4:$Z$703=1)*($P$4:$P$703&gt;P168))+SUMPRODUCT(($K$4:$K$703=K168)*($F$4:$F$703=F168)*($Z$4:$Z$703=1)*($P$4:$P$703=P168)*($C$4:$C$703&lt;C168))+SUMPRODUCT(($K$4:$K$703=K168)*($F$4:$F$703=F168)*($Z$4:$Z$703=1)*($P$4:$P$703=P168)*($C$4:$C$703=C168)*($D$4:$D$703&lt;D168)),0)</f>
        <v>0</v>
      </c>
      <c r="AC168" s="11" t="n">
        <f aca="false">IF(AND(Z168=1,AA168&gt;0,AB168&gt;1),P168,0)</f>
        <v>0</v>
      </c>
    </row>
    <row r="169" customFormat="false" ht="15" hidden="false" customHeight="false" outlineLevel="0" collapsed="false">
      <c r="A169" s="4" t="s">
        <v>386</v>
      </c>
      <c r="B169" s="4" t="s">
        <v>87</v>
      </c>
      <c r="C169" s="4" t="n">
        <v>5</v>
      </c>
      <c r="D169" s="4" t="n">
        <v>166</v>
      </c>
      <c r="E169" s="4" t="s">
        <v>233</v>
      </c>
      <c r="F169" s="4" t="n">
        <v>20</v>
      </c>
      <c r="G169" s="4" t="n">
        <v>11</v>
      </c>
      <c r="H169" s="4" t="n">
        <v>1894.5</v>
      </c>
      <c r="I169" s="13" t="b">
        <f aca="false">FALSE()</f>
        <v>0</v>
      </c>
      <c r="K169" s="4" t="s">
        <v>377</v>
      </c>
      <c r="L169" s="4" t="n">
        <v>225.07</v>
      </c>
      <c r="M169" s="11" t="n">
        <f aca="false">IFERROR(MATCH(Controls!$B$3&amp;"|"&amp;B169,'Scenario inputs'!$A$4:$A$213,0),0)</f>
        <v>136</v>
      </c>
      <c r="N169" s="8" t="b">
        <f aca="false">IF(M169=0,FALSE(),F169&lt;Controls!$B$12)</f>
        <v>1</v>
      </c>
      <c r="O169" s="11" t="n">
        <f aca="false">IF(N169,IF(INDEX('Scenario inputs'!$E$4:$E$213,M169)=0,1,INDEX('Scenario inputs'!$F$4:$M$213,M169,MIN(MAX(F169-G169,0),INDEX('Scenario inputs'!$E$4:$E$213,M169)-1)+1)),0)</f>
        <v>1</v>
      </c>
      <c r="P169" s="11" t="n">
        <f aca="false">H169*O169</f>
        <v>1894.5</v>
      </c>
      <c r="Q169" s="0" t="str">
        <f aca="false">IF(M169=0,"",IF(ISNUMBER(INDEX('Scenario inputs'!$N$4:$N$213,M169)),INDEX('Scenario inputs'!$N$4:$N$213,M169),""))</f>
        <v/>
      </c>
      <c r="R169" s="0" t="str">
        <f aca="false">IF(NOT(N169),"",IF(OR(E169="cash",E169="revenue"),E169,IF(E169="avoided_cost",IF(AND(I169,LEN(TRIM(J169))&gt;0),"avoided_cost_realised","avoided_cost_beside"),IF(ISNUMBER(Q169),"capacity_converted","capacity_hours"))))</f>
        <v>capacity_hours</v>
      </c>
      <c r="S169" s="11" t="n">
        <f aca="false">IF(OR(R169="",R169="capacity_hours"),0,IF(R169="capacity_converted",P169*Q169,P169))</f>
        <v>0</v>
      </c>
      <c r="T169" s="11" t="n">
        <f aca="false">IF(OR(R169="cash",R169="revenue",R169="avoided_cost_realised",R169="capacity_converted"),1,0)</f>
        <v>0</v>
      </c>
      <c r="U169" s="11" t="n">
        <f aca="false">IF(AND(N169,R169&lt;&gt;"capacity_hours",LEN(K169)&gt;0),1,0)</f>
        <v>0</v>
      </c>
      <c r="V169" s="11" t="n">
        <f aca="false">IF(U169=1,SUMPRODUCT(($K$4:$K$703=K169)*($F$4:$F$703=F169)*($U$4:$U$703=1)*($B$4:$B$703&lt;&gt;B169)),0)</f>
        <v>0</v>
      </c>
      <c r="W169" s="11" t="n">
        <f aca="false">IF(AND(U169=1,V169&gt;0),1+SUMPRODUCT(($K$4:$K$703=K169)*($F$4:$F$703=F169)*($U$4:$U$703=1)*($S$4:$S$703&gt;S169))+SUMPRODUCT(($K$4:$K$703=K169)*($F$4:$F$703=F169)*($U$4:$U$703=1)*($S$4:$S$703=S169)*($T$4:$T$703&gt;T169))+SUMPRODUCT(($K$4:$K$703=K169)*($F$4:$F$703=F169)*($U$4:$U$703=1)*($S$4:$S$703=S169)*($T$4:$T$703=T169)*($C$4:$C$703&lt;C169))+SUMPRODUCT(($K$4:$K$703=K169)*($F$4:$F$703=F169)*($U$4:$U$703=1)*($S$4:$S$703=S169)*($T$4:$T$703=T169)*($C$4:$C$703=C169)*($D$4:$D$703&lt;D169)),0)</f>
        <v>0</v>
      </c>
      <c r="X169" s="11" t="n">
        <f aca="false">IF(AND(U169=1,V169&gt;0,W169&gt;1),S169,0)</f>
        <v>0</v>
      </c>
      <c r="Y169" s="11" t="n">
        <f aca="false">IF(T169=1,X169/(1+Controls!$B$11)^F169,0)</f>
        <v>0</v>
      </c>
      <c r="Z169" s="11" t="n">
        <f aca="false">IF(AND(N169,E169="capacity",LEN(K169)&gt;0),1,0)</f>
        <v>1</v>
      </c>
      <c r="AA169" s="11" t="n">
        <f aca="false">IF(Z169=1,SUMPRODUCT(($K$4:$K$703=K169)*($F$4:$F$703=F169)*($Z$4:$Z$703=1)*($B$4:$B$703&lt;&gt;B169)),0)</f>
        <v>0</v>
      </c>
      <c r="AB169" s="11" t="n">
        <f aca="false">IF(AND(Z169=1,AA169&gt;0),1+SUMPRODUCT(($K$4:$K$703=K169)*($F$4:$F$703=F169)*($Z$4:$Z$703=1)*($P$4:$P$703&gt;P169))+SUMPRODUCT(($K$4:$K$703=K169)*($F$4:$F$703=F169)*($Z$4:$Z$703=1)*($P$4:$P$703=P169)*($C$4:$C$703&lt;C169))+SUMPRODUCT(($K$4:$K$703=K169)*($F$4:$F$703=F169)*($Z$4:$Z$703=1)*($P$4:$P$703=P169)*($C$4:$C$703=C169)*($D$4:$D$703&lt;D169)),0)</f>
        <v>0</v>
      </c>
      <c r="AC169" s="11" t="n">
        <f aca="false">IF(AND(Z169=1,AA169&gt;0,AB169&gt;1),P169,0)</f>
        <v>0</v>
      </c>
    </row>
    <row r="170" customFormat="false" ht="15" hidden="false" customHeight="false" outlineLevel="0" collapsed="false">
      <c r="A170" s="4" t="s">
        <v>387</v>
      </c>
      <c r="B170" s="4" t="s">
        <v>87</v>
      </c>
      <c r="C170" s="4" t="n">
        <v>5</v>
      </c>
      <c r="D170" s="4" t="n">
        <v>167</v>
      </c>
      <c r="E170" s="4" t="s">
        <v>233</v>
      </c>
      <c r="F170" s="4" t="n">
        <v>21</v>
      </c>
      <c r="G170" s="4" t="n">
        <v>11</v>
      </c>
      <c r="H170" s="4" t="n">
        <v>1894.5</v>
      </c>
      <c r="I170" s="13" t="b">
        <f aca="false">FALSE()</f>
        <v>0</v>
      </c>
      <c r="K170" s="4" t="s">
        <v>377</v>
      </c>
      <c r="L170" s="4" t="n">
        <v>225.07</v>
      </c>
      <c r="M170" s="11" t="n">
        <f aca="false">IFERROR(MATCH(Controls!$B$3&amp;"|"&amp;B170,'Scenario inputs'!$A$4:$A$213,0),0)</f>
        <v>136</v>
      </c>
      <c r="N170" s="8" t="b">
        <f aca="false">IF(M170=0,FALSE(),F170&lt;Controls!$B$12)</f>
        <v>1</v>
      </c>
      <c r="O170" s="11" t="n">
        <f aca="false">IF(N170,IF(INDEX('Scenario inputs'!$E$4:$E$213,M170)=0,1,INDEX('Scenario inputs'!$F$4:$M$213,M170,MIN(MAX(F170-G170,0),INDEX('Scenario inputs'!$E$4:$E$213,M170)-1)+1)),0)</f>
        <v>1</v>
      </c>
      <c r="P170" s="11" t="n">
        <f aca="false">H170*O170</f>
        <v>1894.5</v>
      </c>
      <c r="Q170" s="0" t="str">
        <f aca="false">IF(M170=0,"",IF(ISNUMBER(INDEX('Scenario inputs'!$N$4:$N$213,M170)),INDEX('Scenario inputs'!$N$4:$N$213,M170),""))</f>
        <v/>
      </c>
      <c r="R170" s="0" t="str">
        <f aca="false">IF(NOT(N170),"",IF(OR(E170="cash",E170="revenue"),E170,IF(E170="avoided_cost",IF(AND(I170,LEN(TRIM(J170))&gt;0),"avoided_cost_realised","avoided_cost_beside"),IF(ISNUMBER(Q170),"capacity_converted","capacity_hours"))))</f>
        <v>capacity_hours</v>
      </c>
      <c r="S170" s="11" t="n">
        <f aca="false">IF(OR(R170="",R170="capacity_hours"),0,IF(R170="capacity_converted",P170*Q170,P170))</f>
        <v>0</v>
      </c>
      <c r="T170" s="11" t="n">
        <f aca="false">IF(OR(R170="cash",R170="revenue",R170="avoided_cost_realised",R170="capacity_converted"),1,0)</f>
        <v>0</v>
      </c>
      <c r="U170" s="11" t="n">
        <f aca="false">IF(AND(N170,R170&lt;&gt;"capacity_hours",LEN(K170)&gt;0),1,0)</f>
        <v>0</v>
      </c>
      <c r="V170" s="11" t="n">
        <f aca="false">IF(U170=1,SUMPRODUCT(($K$4:$K$703=K170)*($F$4:$F$703=F170)*($U$4:$U$703=1)*($B$4:$B$703&lt;&gt;B170)),0)</f>
        <v>0</v>
      </c>
      <c r="W170" s="11" t="n">
        <f aca="false">IF(AND(U170=1,V170&gt;0),1+SUMPRODUCT(($K$4:$K$703=K170)*($F$4:$F$703=F170)*($U$4:$U$703=1)*($S$4:$S$703&gt;S170))+SUMPRODUCT(($K$4:$K$703=K170)*($F$4:$F$703=F170)*($U$4:$U$703=1)*($S$4:$S$703=S170)*($T$4:$T$703&gt;T170))+SUMPRODUCT(($K$4:$K$703=K170)*($F$4:$F$703=F170)*($U$4:$U$703=1)*($S$4:$S$703=S170)*($T$4:$T$703=T170)*($C$4:$C$703&lt;C170))+SUMPRODUCT(($K$4:$K$703=K170)*($F$4:$F$703=F170)*($U$4:$U$703=1)*($S$4:$S$703=S170)*($T$4:$T$703=T170)*($C$4:$C$703=C170)*($D$4:$D$703&lt;D170)),0)</f>
        <v>0</v>
      </c>
      <c r="X170" s="11" t="n">
        <f aca="false">IF(AND(U170=1,V170&gt;0,W170&gt;1),S170,0)</f>
        <v>0</v>
      </c>
      <c r="Y170" s="11" t="n">
        <f aca="false">IF(T170=1,X170/(1+Controls!$B$11)^F170,0)</f>
        <v>0</v>
      </c>
      <c r="Z170" s="11" t="n">
        <f aca="false">IF(AND(N170,E170="capacity",LEN(K170)&gt;0),1,0)</f>
        <v>1</v>
      </c>
      <c r="AA170" s="11" t="n">
        <f aca="false">IF(Z170=1,SUMPRODUCT(($K$4:$K$703=K170)*($F$4:$F$703=F170)*($Z$4:$Z$703=1)*($B$4:$B$703&lt;&gt;B170)),0)</f>
        <v>0</v>
      </c>
      <c r="AB170" s="11" t="n">
        <f aca="false">IF(AND(Z170=1,AA170&gt;0),1+SUMPRODUCT(($K$4:$K$703=K170)*($F$4:$F$703=F170)*($Z$4:$Z$703=1)*($P$4:$P$703&gt;P170))+SUMPRODUCT(($K$4:$K$703=K170)*($F$4:$F$703=F170)*($Z$4:$Z$703=1)*($P$4:$P$703=P170)*($C$4:$C$703&lt;C170))+SUMPRODUCT(($K$4:$K$703=K170)*($F$4:$F$703=F170)*($Z$4:$Z$703=1)*($P$4:$P$703=P170)*($C$4:$C$703=C170)*($D$4:$D$703&lt;D170)),0)</f>
        <v>0</v>
      </c>
      <c r="AC170" s="11" t="n">
        <f aca="false">IF(AND(Z170=1,AA170&gt;0,AB170&gt;1),P170,0)</f>
        <v>0</v>
      </c>
    </row>
    <row r="171" customFormat="false" ht="15" hidden="false" customHeight="false" outlineLevel="0" collapsed="false">
      <c r="A171" s="4" t="s">
        <v>388</v>
      </c>
      <c r="B171" s="4" t="s">
        <v>87</v>
      </c>
      <c r="C171" s="4" t="n">
        <v>5</v>
      </c>
      <c r="D171" s="4" t="n">
        <v>168</v>
      </c>
      <c r="E171" s="4" t="s">
        <v>233</v>
      </c>
      <c r="F171" s="4" t="n">
        <v>22</v>
      </c>
      <c r="G171" s="4" t="n">
        <v>11</v>
      </c>
      <c r="H171" s="4" t="n">
        <v>1894.5</v>
      </c>
      <c r="I171" s="13" t="b">
        <f aca="false">FALSE()</f>
        <v>0</v>
      </c>
      <c r="K171" s="4" t="s">
        <v>377</v>
      </c>
      <c r="L171" s="4" t="n">
        <v>225.07</v>
      </c>
      <c r="M171" s="11" t="n">
        <f aca="false">IFERROR(MATCH(Controls!$B$3&amp;"|"&amp;B171,'Scenario inputs'!$A$4:$A$213,0),0)</f>
        <v>136</v>
      </c>
      <c r="N171" s="8" t="b">
        <f aca="false">IF(M171=0,FALSE(),F171&lt;Controls!$B$12)</f>
        <v>1</v>
      </c>
      <c r="O171" s="11" t="n">
        <f aca="false">IF(N171,IF(INDEX('Scenario inputs'!$E$4:$E$213,M171)=0,1,INDEX('Scenario inputs'!$F$4:$M$213,M171,MIN(MAX(F171-G171,0),INDEX('Scenario inputs'!$E$4:$E$213,M171)-1)+1)),0)</f>
        <v>1</v>
      </c>
      <c r="P171" s="11" t="n">
        <f aca="false">H171*O171</f>
        <v>1894.5</v>
      </c>
      <c r="Q171" s="0" t="str">
        <f aca="false">IF(M171=0,"",IF(ISNUMBER(INDEX('Scenario inputs'!$N$4:$N$213,M171)),INDEX('Scenario inputs'!$N$4:$N$213,M171),""))</f>
        <v/>
      </c>
      <c r="R171" s="0" t="str">
        <f aca="false">IF(NOT(N171),"",IF(OR(E171="cash",E171="revenue"),E171,IF(E171="avoided_cost",IF(AND(I171,LEN(TRIM(J171))&gt;0),"avoided_cost_realised","avoided_cost_beside"),IF(ISNUMBER(Q171),"capacity_converted","capacity_hours"))))</f>
        <v>capacity_hours</v>
      </c>
      <c r="S171" s="11" t="n">
        <f aca="false">IF(OR(R171="",R171="capacity_hours"),0,IF(R171="capacity_converted",P171*Q171,P171))</f>
        <v>0</v>
      </c>
      <c r="T171" s="11" t="n">
        <f aca="false">IF(OR(R171="cash",R171="revenue",R171="avoided_cost_realised",R171="capacity_converted"),1,0)</f>
        <v>0</v>
      </c>
      <c r="U171" s="11" t="n">
        <f aca="false">IF(AND(N171,R171&lt;&gt;"capacity_hours",LEN(K171)&gt;0),1,0)</f>
        <v>0</v>
      </c>
      <c r="V171" s="11" t="n">
        <f aca="false">IF(U171=1,SUMPRODUCT(($K$4:$K$703=K171)*($F$4:$F$703=F171)*($U$4:$U$703=1)*($B$4:$B$703&lt;&gt;B171)),0)</f>
        <v>0</v>
      </c>
      <c r="W171" s="11" t="n">
        <f aca="false">IF(AND(U171=1,V171&gt;0),1+SUMPRODUCT(($K$4:$K$703=K171)*($F$4:$F$703=F171)*($U$4:$U$703=1)*($S$4:$S$703&gt;S171))+SUMPRODUCT(($K$4:$K$703=K171)*($F$4:$F$703=F171)*($U$4:$U$703=1)*($S$4:$S$703=S171)*($T$4:$T$703&gt;T171))+SUMPRODUCT(($K$4:$K$703=K171)*($F$4:$F$703=F171)*($U$4:$U$703=1)*($S$4:$S$703=S171)*($T$4:$T$703=T171)*($C$4:$C$703&lt;C171))+SUMPRODUCT(($K$4:$K$703=K171)*($F$4:$F$703=F171)*($U$4:$U$703=1)*($S$4:$S$703=S171)*($T$4:$T$703=T171)*($C$4:$C$703=C171)*($D$4:$D$703&lt;D171)),0)</f>
        <v>0</v>
      </c>
      <c r="X171" s="11" t="n">
        <f aca="false">IF(AND(U171=1,V171&gt;0,W171&gt;1),S171,0)</f>
        <v>0</v>
      </c>
      <c r="Y171" s="11" t="n">
        <f aca="false">IF(T171=1,X171/(1+Controls!$B$11)^F171,0)</f>
        <v>0</v>
      </c>
      <c r="Z171" s="11" t="n">
        <f aca="false">IF(AND(N171,E171="capacity",LEN(K171)&gt;0),1,0)</f>
        <v>1</v>
      </c>
      <c r="AA171" s="11" t="n">
        <f aca="false">IF(Z171=1,SUMPRODUCT(($K$4:$K$703=K171)*($F$4:$F$703=F171)*($Z$4:$Z$703=1)*($B$4:$B$703&lt;&gt;B171)),0)</f>
        <v>0</v>
      </c>
      <c r="AB171" s="11" t="n">
        <f aca="false">IF(AND(Z171=1,AA171&gt;0),1+SUMPRODUCT(($K$4:$K$703=K171)*($F$4:$F$703=F171)*($Z$4:$Z$703=1)*($P$4:$P$703&gt;P171))+SUMPRODUCT(($K$4:$K$703=K171)*($F$4:$F$703=F171)*($Z$4:$Z$703=1)*($P$4:$P$703=P171)*($C$4:$C$703&lt;C171))+SUMPRODUCT(($K$4:$K$703=K171)*($F$4:$F$703=F171)*($Z$4:$Z$703=1)*($P$4:$P$703=P171)*($C$4:$C$703=C171)*($D$4:$D$703&lt;D171)),0)</f>
        <v>0</v>
      </c>
      <c r="AC171" s="11" t="n">
        <f aca="false">IF(AND(Z171=1,AA171&gt;0,AB171&gt;1),P171,0)</f>
        <v>0</v>
      </c>
    </row>
    <row r="172" customFormat="false" ht="15" hidden="false" customHeight="false" outlineLevel="0" collapsed="false">
      <c r="A172" s="4" t="s">
        <v>389</v>
      </c>
      <c r="B172" s="4" t="s">
        <v>88</v>
      </c>
      <c r="C172" s="4" t="n">
        <v>6</v>
      </c>
      <c r="D172" s="4" t="n">
        <v>169</v>
      </c>
      <c r="E172" s="4" t="s">
        <v>205</v>
      </c>
      <c r="F172" s="4" t="n">
        <v>15</v>
      </c>
      <c r="G172" s="4" t="n">
        <v>15</v>
      </c>
      <c r="H172" s="4" t="n">
        <v>22700</v>
      </c>
      <c r="I172" s="13" t="b">
        <f aca="false">FALSE()</f>
        <v>0</v>
      </c>
      <c r="K172" s="4" t="s">
        <v>390</v>
      </c>
      <c r="L172" s="4" t="n">
        <v>254.24</v>
      </c>
      <c r="M172" s="11" t="n">
        <f aca="false">IFERROR(MATCH(Controls!$B$3&amp;"|"&amp;B172,'Scenario inputs'!$A$4:$A$213,0),0)</f>
        <v>137</v>
      </c>
      <c r="N172" s="8" t="b">
        <f aca="false">IF(M172=0,FALSE(),F172&lt;Controls!$B$12)</f>
        <v>1</v>
      </c>
      <c r="O172" s="11" t="n">
        <f aca="false">IF(N172,IF(INDEX('Scenario inputs'!$E$4:$E$213,M172)=0,1,INDEX('Scenario inputs'!$F$4:$M$213,M172,MIN(MAX(F172-G172,0),INDEX('Scenario inputs'!$E$4:$E$213,M172)-1)+1)),0)</f>
        <v>0.066667</v>
      </c>
      <c r="P172" s="11" t="n">
        <f aca="false">H172*O172</f>
        <v>1513.3409</v>
      </c>
      <c r="Q172" s="0" t="str">
        <f aca="false">IF(M172=0,"",IF(ISNUMBER(INDEX('Scenario inputs'!$N$4:$N$213,M172)),INDEX('Scenario inputs'!$N$4:$N$213,M172),""))</f>
        <v/>
      </c>
      <c r="R172" s="0" t="str">
        <f aca="false">IF(NOT(N172),"",IF(OR(E172="cash",E172="revenue"),E172,IF(E172="avoided_cost",IF(AND(I172,LEN(TRIM(J172))&gt;0),"avoided_cost_realised","avoided_cost_beside"),IF(ISNUMBER(Q172),"capacity_converted","capacity_hours"))))</f>
        <v>avoided_cost_beside</v>
      </c>
      <c r="S172" s="11" t="n">
        <f aca="false">IF(OR(R172="",R172="capacity_hours"),0,IF(R172="capacity_converted",P172*Q172,P172))</f>
        <v>1513.3409</v>
      </c>
      <c r="T172" s="11" t="n">
        <f aca="false">IF(OR(R172="cash",R172="revenue",R172="avoided_cost_realised",R172="capacity_converted"),1,0)</f>
        <v>0</v>
      </c>
      <c r="U172" s="11" t="n">
        <f aca="false">IF(AND(N172,R172&lt;&gt;"capacity_hours",LEN(K172)&gt;0),1,0)</f>
        <v>1</v>
      </c>
      <c r="V172" s="11" t="n">
        <f aca="false">IF(U172=1,SUMPRODUCT(($K$4:$K$703=K172)*($F$4:$F$703=F172)*($U$4:$U$703=1)*($B$4:$B$703&lt;&gt;B172)),0)</f>
        <v>0</v>
      </c>
      <c r="W172" s="11" t="n">
        <f aca="false">IF(AND(U172=1,V172&gt;0),1+SUMPRODUCT(($K$4:$K$703=K172)*($F$4:$F$703=F172)*($U$4:$U$703=1)*($S$4:$S$703&gt;S172))+SUMPRODUCT(($K$4:$K$703=K172)*($F$4:$F$703=F172)*($U$4:$U$703=1)*($S$4:$S$703=S172)*($T$4:$T$703&gt;T172))+SUMPRODUCT(($K$4:$K$703=K172)*($F$4:$F$703=F172)*($U$4:$U$703=1)*($S$4:$S$703=S172)*($T$4:$T$703=T172)*($C$4:$C$703&lt;C172))+SUMPRODUCT(($K$4:$K$703=K172)*($F$4:$F$703=F172)*($U$4:$U$703=1)*($S$4:$S$703=S172)*($T$4:$T$703=T172)*($C$4:$C$703=C172)*($D$4:$D$703&lt;D172)),0)</f>
        <v>0</v>
      </c>
      <c r="X172" s="11" t="n">
        <f aca="false">IF(AND(U172=1,V172&gt;0,W172&gt;1),S172,0)</f>
        <v>0</v>
      </c>
      <c r="Y172" s="11" t="n">
        <f aca="false">IF(T172=1,X172/(1+Controls!$B$11)^F172,0)</f>
        <v>0</v>
      </c>
      <c r="Z172" s="11" t="n">
        <f aca="false">IF(AND(N172,E172="capacity",LEN(K172)&gt;0),1,0)</f>
        <v>0</v>
      </c>
      <c r="AA172" s="11" t="n">
        <f aca="false">IF(Z172=1,SUMPRODUCT(($K$4:$K$703=K172)*($F$4:$F$703=F172)*($Z$4:$Z$703=1)*($B$4:$B$703&lt;&gt;B172)),0)</f>
        <v>0</v>
      </c>
      <c r="AB172" s="11" t="n">
        <f aca="false">IF(AND(Z172=1,AA172&gt;0),1+SUMPRODUCT(($K$4:$K$703=K172)*($F$4:$F$703=F172)*($Z$4:$Z$703=1)*($P$4:$P$703&gt;P172))+SUMPRODUCT(($K$4:$K$703=K172)*($F$4:$F$703=F172)*($Z$4:$Z$703=1)*($P$4:$P$703=P172)*($C$4:$C$703&lt;C172))+SUMPRODUCT(($K$4:$K$703=K172)*($F$4:$F$703=F172)*($Z$4:$Z$703=1)*($P$4:$P$703=P172)*($C$4:$C$703=C172)*($D$4:$D$703&lt;D172)),0)</f>
        <v>0</v>
      </c>
      <c r="AC172" s="11" t="n">
        <f aca="false">IF(AND(Z172=1,AA172&gt;0,AB172&gt;1),P172,0)</f>
        <v>0</v>
      </c>
    </row>
    <row r="173" customFormat="false" ht="15" hidden="false" customHeight="false" outlineLevel="0" collapsed="false">
      <c r="A173" s="4" t="s">
        <v>391</v>
      </c>
      <c r="B173" s="4" t="s">
        <v>88</v>
      </c>
      <c r="C173" s="4" t="n">
        <v>6</v>
      </c>
      <c r="D173" s="4" t="n">
        <v>170</v>
      </c>
      <c r="E173" s="4" t="s">
        <v>205</v>
      </c>
      <c r="F173" s="4" t="n">
        <v>16</v>
      </c>
      <c r="G173" s="4" t="n">
        <v>15</v>
      </c>
      <c r="H173" s="4" t="n">
        <v>22700</v>
      </c>
      <c r="I173" s="13" t="b">
        <f aca="false">FALSE()</f>
        <v>0</v>
      </c>
      <c r="K173" s="4" t="s">
        <v>390</v>
      </c>
      <c r="L173" s="4" t="n">
        <v>762.72</v>
      </c>
      <c r="M173" s="11" t="n">
        <f aca="false">IFERROR(MATCH(Controls!$B$3&amp;"|"&amp;B173,'Scenario inputs'!$A$4:$A$213,0),0)</f>
        <v>137</v>
      </c>
      <c r="N173" s="8" t="b">
        <f aca="false">IF(M173=0,FALSE(),F173&lt;Controls!$B$12)</f>
        <v>1</v>
      </c>
      <c r="O173" s="11" t="n">
        <f aca="false">IF(N173,IF(INDEX('Scenario inputs'!$E$4:$E$213,M173)=0,1,INDEX('Scenario inputs'!$F$4:$M$213,M173,MIN(MAX(F173-G173,0),INDEX('Scenario inputs'!$E$4:$E$213,M173)-1)+1)),0)</f>
        <v>0.2</v>
      </c>
      <c r="P173" s="11" t="n">
        <f aca="false">H173*O173</f>
        <v>4540</v>
      </c>
      <c r="Q173" s="0" t="str">
        <f aca="false">IF(M173=0,"",IF(ISNUMBER(INDEX('Scenario inputs'!$N$4:$N$213,M173)),INDEX('Scenario inputs'!$N$4:$N$213,M173),""))</f>
        <v/>
      </c>
      <c r="R173" s="0" t="str">
        <f aca="false">IF(NOT(N173),"",IF(OR(E173="cash",E173="revenue"),E173,IF(E173="avoided_cost",IF(AND(I173,LEN(TRIM(J173))&gt;0),"avoided_cost_realised","avoided_cost_beside"),IF(ISNUMBER(Q173),"capacity_converted","capacity_hours"))))</f>
        <v>avoided_cost_beside</v>
      </c>
      <c r="S173" s="11" t="n">
        <f aca="false">IF(OR(R173="",R173="capacity_hours"),0,IF(R173="capacity_converted",P173*Q173,P173))</f>
        <v>4540</v>
      </c>
      <c r="T173" s="11" t="n">
        <f aca="false">IF(OR(R173="cash",R173="revenue",R173="avoided_cost_realised",R173="capacity_converted"),1,0)</f>
        <v>0</v>
      </c>
      <c r="U173" s="11" t="n">
        <f aca="false">IF(AND(N173,R173&lt;&gt;"capacity_hours",LEN(K173)&gt;0),1,0)</f>
        <v>1</v>
      </c>
      <c r="V173" s="11" t="n">
        <f aca="false">IF(U173=1,SUMPRODUCT(($K$4:$K$703=K173)*($F$4:$F$703=F173)*($U$4:$U$703=1)*($B$4:$B$703&lt;&gt;B173)),0)</f>
        <v>0</v>
      </c>
      <c r="W173" s="11" t="n">
        <f aca="false">IF(AND(U173=1,V173&gt;0),1+SUMPRODUCT(($K$4:$K$703=K173)*($F$4:$F$703=F173)*($U$4:$U$703=1)*($S$4:$S$703&gt;S173))+SUMPRODUCT(($K$4:$K$703=K173)*($F$4:$F$703=F173)*($U$4:$U$703=1)*($S$4:$S$703=S173)*($T$4:$T$703&gt;T173))+SUMPRODUCT(($K$4:$K$703=K173)*($F$4:$F$703=F173)*($U$4:$U$703=1)*($S$4:$S$703=S173)*($T$4:$T$703=T173)*($C$4:$C$703&lt;C173))+SUMPRODUCT(($K$4:$K$703=K173)*($F$4:$F$703=F173)*($U$4:$U$703=1)*($S$4:$S$703=S173)*($T$4:$T$703=T173)*($C$4:$C$703=C173)*($D$4:$D$703&lt;D173)),0)</f>
        <v>0</v>
      </c>
      <c r="X173" s="11" t="n">
        <f aca="false">IF(AND(U173=1,V173&gt;0,W173&gt;1),S173,0)</f>
        <v>0</v>
      </c>
      <c r="Y173" s="11" t="n">
        <f aca="false">IF(T173=1,X173/(1+Controls!$B$11)^F173,0)</f>
        <v>0</v>
      </c>
      <c r="Z173" s="11" t="n">
        <f aca="false">IF(AND(N173,E173="capacity",LEN(K173)&gt;0),1,0)</f>
        <v>0</v>
      </c>
      <c r="AA173" s="11" t="n">
        <f aca="false">IF(Z173=1,SUMPRODUCT(($K$4:$K$703=K173)*($F$4:$F$703=F173)*($Z$4:$Z$703=1)*($B$4:$B$703&lt;&gt;B173)),0)</f>
        <v>0</v>
      </c>
      <c r="AB173" s="11" t="n">
        <f aca="false">IF(AND(Z173=1,AA173&gt;0),1+SUMPRODUCT(($K$4:$K$703=K173)*($F$4:$F$703=F173)*($Z$4:$Z$703=1)*($P$4:$P$703&gt;P173))+SUMPRODUCT(($K$4:$K$703=K173)*($F$4:$F$703=F173)*($Z$4:$Z$703=1)*($P$4:$P$703=P173)*($C$4:$C$703&lt;C173))+SUMPRODUCT(($K$4:$K$703=K173)*($F$4:$F$703=F173)*($Z$4:$Z$703=1)*($P$4:$P$703=P173)*($C$4:$C$703=C173)*($D$4:$D$703&lt;D173)),0)</f>
        <v>0</v>
      </c>
      <c r="AC173" s="11" t="n">
        <f aca="false">IF(AND(Z173=1,AA173&gt;0,AB173&gt;1),P173,0)</f>
        <v>0</v>
      </c>
    </row>
    <row r="174" customFormat="false" ht="15" hidden="false" customHeight="false" outlineLevel="0" collapsed="false">
      <c r="A174" s="4" t="s">
        <v>392</v>
      </c>
      <c r="B174" s="4" t="s">
        <v>88</v>
      </c>
      <c r="C174" s="4" t="n">
        <v>6</v>
      </c>
      <c r="D174" s="4" t="n">
        <v>171</v>
      </c>
      <c r="E174" s="4" t="s">
        <v>205</v>
      </c>
      <c r="F174" s="4" t="n">
        <v>17</v>
      </c>
      <c r="G174" s="4" t="n">
        <v>15</v>
      </c>
      <c r="H174" s="4" t="n">
        <v>22700</v>
      </c>
      <c r="I174" s="13" t="b">
        <f aca="false">FALSE()</f>
        <v>0</v>
      </c>
      <c r="K174" s="4" t="s">
        <v>390</v>
      </c>
      <c r="L174" s="4" t="n">
        <v>1525.44</v>
      </c>
      <c r="M174" s="11" t="n">
        <f aca="false">IFERROR(MATCH(Controls!$B$3&amp;"|"&amp;B174,'Scenario inputs'!$A$4:$A$213,0),0)</f>
        <v>137</v>
      </c>
      <c r="N174" s="8" t="b">
        <f aca="false">IF(M174=0,FALSE(),F174&lt;Controls!$B$12)</f>
        <v>1</v>
      </c>
      <c r="O174" s="11" t="n">
        <f aca="false">IF(N174,IF(INDEX('Scenario inputs'!$E$4:$E$213,M174)=0,1,INDEX('Scenario inputs'!$F$4:$M$213,M174,MIN(MAX(F174-G174,0),INDEX('Scenario inputs'!$E$4:$E$213,M174)-1)+1)),0)</f>
        <v>0.4</v>
      </c>
      <c r="P174" s="11" t="n">
        <f aca="false">H174*O174</f>
        <v>9080</v>
      </c>
      <c r="Q174" s="0" t="str">
        <f aca="false">IF(M174=0,"",IF(ISNUMBER(INDEX('Scenario inputs'!$N$4:$N$213,M174)),INDEX('Scenario inputs'!$N$4:$N$213,M174),""))</f>
        <v/>
      </c>
      <c r="R174" s="0" t="str">
        <f aca="false">IF(NOT(N174),"",IF(OR(E174="cash",E174="revenue"),E174,IF(E174="avoided_cost",IF(AND(I174,LEN(TRIM(J174))&gt;0),"avoided_cost_realised","avoided_cost_beside"),IF(ISNUMBER(Q174),"capacity_converted","capacity_hours"))))</f>
        <v>avoided_cost_beside</v>
      </c>
      <c r="S174" s="11" t="n">
        <f aca="false">IF(OR(R174="",R174="capacity_hours"),0,IF(R174="capacity_converted",P174*Q174,P174))</f>
        <v>9080</v>
      </c>
      <c r="T174" s="11" t="n">
        <f aca="false">IF(OR(R174="cash",R174="revenue",R174="avoided_cost_realised",R174="capacity_converted"),1,0)</f>
        <v>0</v>
      </c>
      <c r="U174" s="11" t="n">
        <f aca="false">IF(AND(N174,R174&lt;&gt;"capacity_hours",LEN(K174)&gt;0),1,0)</f>
        <v>1</v>
      </c>
      <c r="V174" s="11" t="n">
        <f aca="false">IF(U174=1,SUMPRODUCT(($K$4:$K$703=K174)*($F$4:$F$703=F174)*($U$4:$U$703=1)*($B$4:$B$703&lt;&gt;B174)),0)</f>
        <v>0</v>
      </c>
      <c r="W174" s="11" t="n">
        <f aca="false">IF(AND(U174=1,V174&gt;0),1+SUMPRODUCT(($K$4:$K$703=K174)*($F$4:$F$703=F174)*($U$4:$U$703=1)*($S$4:$S$703&gt;S174))+SUMPRODUCT(($K$4:$K$703=K174)*($F$4:$F$703=F174)*($U$4:$U$703=1)*($S$4:$S$703=S174)*($T$4:$T$703&gt;T174))+SUMPRODUCT(($K$4:$K$703=K174)*($F$4:$F$703=F174)*($U$4:$U$703=1)*($S$4:$S$703=S174)*($T$4:$T$703=T174)*($C$4:$C$703&lt;C174))+SUMPRODUCT(($K$4:$K$703=K174)*($F$4:$F$703=F174)*($U$4:$U$703=1)*($S$4:$S$703=S174)*($T$4:$T$703=T174)*($C$4:$C$703=C174)*($D$4:$D$703&lt;D174)),0)</f>
        <v>0</v>
      </c>
      <c r="X174" s="11" t="n">
        <f aca="false">IF(AND(U174=1,V174&gt;0,W174&gt;1),S174,0)</f>
        <v>0</v>
      </c>
      <c r="Y174" s="11" t="n">
        <f aca="false">IF(T174=1,X174/(1+Controls!$B$11)^F174,0)</f>
        <v>0</v>
      </c>
      <c r="Z174" s="11" t="n">
        <f aca="false">IF(AND(N174,E174="capacity",LEN(K174)&gt;0),1,0)</f>
        <v>0</v>
      </c>
      <c r="AA174" s="11" t="n">
        <f aca="false">IF(Z174=1,SUMPRODUCT(($K$4:$K$703=K174)*($F$4:$F$703=F174)*($Z$4:$Z$703=1)*($B$4:$B$703&lt;&gt;B174)),0)</f>
        <v>0</v>
      </c>
      <c r="AB174" s="11" t="n">
        <f aca="false">IF(AND(Z174=1,AA174&gt;0),1+SUMPRODUCT(($K$4:$K$703=K174)*($F$4:$F$703=F174)*($Z$4:$Z$703=1)*($P$4:$P$703&gt;P174))+SUMPRODUCT(($K$4:$K$703=K174)*($F$4:$F$703=F174)*($Z$4:$Z$703=1)*($P$4:$P$703=P174)*($C$4:$C$703&lt;C174))+SUMPRODUCT(($K$4:$K$703=K174)*($F$4:$F$703=F174)*($Z$4:$Z$703=1)*($P$4:$P$703=P174)*($C$4:$C$703=C174)*($D$4:$D$703&lt;D174)),0)</f>
        <v>0</v>
      </c>
      <c r="AC174" s="11" t="n">
        <f aca="false">IF(AND(Z174=1,AA174&gt;0,AB174&gt;1),P174,0)</f>
        <v>0</v>
      </c>
    </row>
    <row r="175" customFormat="false" ht="15" hidden="false" customHeight="false" outlineLevel="0" collapsed="false">
      <c r="A175" s="4" t="s">
        <v>393</v>
      </c>
      <c r="B175" s="4" t="s">
        <v>88</v>
      </c>
      <c r="C175" s="4" t="n">
        <v>6</v>
      </c>
      <c r="D175" s="4" t="n">
        <v>172</v>
      </c>
      <c r="E175" s="4" t="s">
        <v>205</v>
      </c>
      <c r="F175" s="4" t="n">
        <v>18</v>
      </c>
      <c r="G175" s="4" t="n">
        <v>15</v>
      </c>
      <c r="H175" s="4" t="n">
        <v>22700</v>
      </c>
      <c r="I175" s="13" t="b">
        <f aca="false">FALSE()</f>
        <v>0</v>
      </c>
      <c r="K175" s="4" t="s">
        <v>390</v>
      </c>
      <c r="L175" s="4" t="n">
        <v>2542.4</v>
      </c>
      <c r="M175" s="11" t="n">
        <f aca="false">IFERROR(MATCH(Controls!$B$3&amp;"|"&amp;B175,'Scenario inputs'!$A$4:$A$213,0),0)</f>
        <v>137</v>
      </c>
      <c r="N175" s="8" t="b">
        <f aca="false">IF(M175=0,FALSE(),F175&lt;Controls!$B$12)</f>
        <v>1</v>
      </c>
      <c r="O175" s="11" t="n">
        <f aca="false">IF(N175,IF(INDEX('Scenario inputs'!$E$4:$E$213,M175)=0,1,INDEX('Scenario inputs'!$F$4:$M$213,M175,MIN(MAX(F175-G175,0),INDEX('Scenario inputs'!$E$4:$E$213,M175)-1)+1)),0)</f>
        <v>0.666667</v>
      </c>
      <c r="P175" s="11" t="n">
        <f aca="false">H175*O175</f>
        <v>15133.3409</v>
      </c>
      <c r="Q175" s="0" t="str">
        <f aca="false">IF(M175=0,"",IF(ISNUMBER(INDEX('Scenario inputs'!$N$4:$N$213,M175)),INDEX('Scenario inputs'!$N$4:$N$213,M175),""))</f>
        <v/>
      </c>
      <c r="R175" s="0" t="str">
        <f aca="false">IF(NOT(N175),"",IF(OR(E175="cash",E175="revenue"),E175,IF(E175="avoided_cost",IF(AND(I175,LEN(TRIM(J175))&gt;0),"avoided_cost_realised","avoided_cost_beside"),IF(ISNUMBER(Q175),"capacity_converted","capacity_hours"))))</f>
        <v>avoided_cost_beside</v>
      </c>
      <c r="S175" s="11" t="n">
        <f aca="false">IF(OR(R175="",R175="capacity_hours"),0,IF(R175="capacity_converted",P175*Q175,P175))</f>
        <v>15133.3409</v>
      </c>
      <c r="T175" s="11" t="n">
        <f aca="false">IF(OR(R175="cash",R175="revenue",R175="avoided_cost_realised",R175="capacity_converted"),1,0)</f>
        <v>0</v>
      </c>
      <c r="U175" s="11" t="n">
        <f aca="false">IF(AND(N175,R175&lt;&gt;"capacity_hours",LEN(K175)&gt;0),1,0)</f>
        <v>1</v>
      </c>
      <c r="V175" s="11" t="n">
        <f aca="false">IF(U175=1,SUMPRODUCT(($K$4:$K$703=K175)*($F$4:$F$703=F175)*($U$4:$U$703=1)*($B$4:$B$703&lt;&gt;B175)),0)</f>
        <v>0</v>
      </c>
      <c r="W175" s="11" t="n">
        <f aca="false">IF(AND(U175=1,V175&gt;0),1+SUMPRODUCT(($K$4:$K$703=K175)*($F$4:$F$703=F175)*($U$4:$U$703=1)*($S$4:$S$703&gt;S175))+SUMPRODUCT(($K$4:$K$703=K175)*($F$4:$F$703=F175)*($U$4:$U$703=1)*($S$4:$S$703=S175)*($T$4:$T$703&gt;T175))+SUMPRODUCT(($K$4:$K$703=K175)*($F$4:$F$703=F175)*($U$4:$U$703=1)*($S$4:$S$703=S175)*($T$4:$T$703=T175)*($C$4:$C$703&lt;C175))+SUMPRODUCT(($K$4:$K$703=K175)*($F$4:$F$703=F175)*($U$4:$U$703=1)*($S$4:$S$703=S175)*($T$4:$T$703=T175)*($C$4:$C$703=C175)*($D$4:$D$703&lt;D175)),0)</f>
        <v>0</v>
      </c>
      <c r="X175" s="11" t="n">
        <f aca="false">IF(AND(U175=1,V175&gt;0,W175&gt;1),S175,0)</f>
        <v>0</v>
      </c>
      <c r="Y175" s="11" t="n">
        <f aca="false">IF(T175=1,X175/(1+Controls!$B$11)^F175,0)</f>
        <v>0</v>
      </c>
      <c r="Z175" s="11" t="n">
        <f aca="false">IF(AND(N175,E175="capacity",LEN(K175)&gt;0),1,0)</f>
        <v>0</v>
      </c>
      <c r="AA175" s="11" t="n">
        <f aca="false">IF(Z175=1,SUMPRODUCT(($K$4:$K$703=K175)*($F$4:$F$703=F175)*($Z$4:$Z$703=1)*($B$4:$B$703&lt;&gt;B175)),0)</f>
        <v>0</v>
      </c>
      <c r="AB175" s="11" t="n">
        <f aca="false">IF(AND(Z175=1,AA175&gt;0),1+SUMPRODUCT(($K$4:$K$703=K175)*($F$4:$F$703=F175)*($Z$4:$Z$703=1)*($P$4:$P$703&gt;P175))+SUMPRODUCT(($K$4:$K$703=K175)*($F$4:$F$703=F175)*($Z$4:$Z$703=1)*($P$4:$P$703=P175)*($C$4:$C$703&lt;C175))+SUMPRODUCT(($K$4:$K$703=K175)*($F$4:$F$703=F175)*($Z$4:$Z$703=1)*($P$4:$P$703=P175)*($C$4:$C$703=C175)*($D$4:$D$703&lt;D175)),0)</f>
        <v>0</v>
      </c>
      <c r="AC175" s="11" t="n">
        <f aca="false">IF(AND(Z175=1,AA175&gt;0,AB175&gt;1),P175,0)</f>
        <v>0</v>
      </c>
    </row>
    <row r="176" customFormat="false" ht="15" hidden="false" customHeight="false" outlineLevel="0" collapsed="false">
      <c r="A176" s="4" t="s">
        <v>394</v>
      </c>
      <c r="B176" s="4" t="s">
        <v>88</v>
      </c>
      <c r="C176" s="4" t="n">
        <v>6</v>
      </c>
      <c r="D176" s="4" t="n">
        <v>173</v>
      </c>
      <c r="E176" s="4" t="s">
        <v>205</v>
      </c>
      <c r="F176" s="4" t="n">
        <v>19</v>
      </c>
      <c r="G176" s="4" t="n">
        <v>15</v>
      </c>
      <c r="H176" s="4" t="n">
        <v>22700</v>
      </c>
      <c r="I176" s="13" t="b">
        <f aca="false">FALSE()</f>
        <v>0</v>
      </c>
      <c r="K176" s="4" t="s">
        <v>390</v>
      </c>
      <c r="L176" s="4" t="n">
        <v>3813.6</v>
      </c>
      <c r="M176" s="11" t="n">
        <f aca="false">IFERROR(MATCH(Controls!$B$3&amp;"|"&amp;B176,'Scenario inputs'!$A$4:$A$213,0),0)</f>
        <v>137</v>
      </c>
      <c r="N176" s="8" t="b">
        <f aca="false">IF(M176=0,FALSE(),F176&lt;Controls!$B$12)</f>
        <v>1</v>
      </c>
      <c r="O176" s="11" t="n">
        <f aca="false">IF(N176,IF(INDEX('Scenario inputs'!$E$4:$E$213,M176)=0,1,INDEX('Scenario inputs'!$F$4:$M$213,M176,MIN(MAX(F176-G176,0),INDEX('Scenario inputs'!$E$4:$E$213,M176)-1)+1)),0)</f>
        <v>1</v>
      </c>
      <c r="P176" s="11" t="n">
        <f aca="false">H176*O176</f>
        <v>22700</v>
      </c>
      <c r="Q176" s="0" t="str">
        <f aca="false">IF(M176=0,"",IF(ISNUMBER(INDEX('Scenario inputs'!$N$4:$N$213,M176)),INDEX('Scenario inputs'!$N$4:$N$213,M176),""))</f>
        <v/>
      </c>
      <c r="R176" s="0" t="str">
        <f aca="false">IF(NOT(N176),"",IF(OR(E176="cash",E176="revenue"),E176,IF(E176="avoided_cost",IF(AND(I176,LEN(TRIM(J176))&gt;0),"avoided_cost_realised","avoided_cost_beside"),IF(ISNUMBER(Q176),"capacity_converted","capacity_hours"))))</f>
        <v>avoided_cost_beside</v>
      </c>
      <c r="S176" s="11" t="n">
        <f aca="false">IF(OR(R176="",R176="capacity_hours"),0,IF(R176="capacity_converted",P176*Q176,P176))</f>
        <v>22700</v>
      </c>
      <c r="T176" s="11" t="n">
        <f aca="false">IF(OR(R176="cash",R176="revenue",R176="avoided_cost_realised",R176="capacity_converted"),1,0)</f>
        <v>0</v>
      </c>
      <c r="U176" s="11" t="n">
        <f aca="false">IF(AND(N176,R176&lt;&gt;"capacity_hours",LEN(K176)&gt;0),1,0)</f>
        <v>1</v>
      </c>
      <c r="V176" s="11" t="n">
        <f aca="false">IF(U176=1,SUMPRODUCT(($K$4:$K$703=K176)*($F$4:$F$703=F176)*($U$4:$U$703=1)*($B$4:$B$703&lt;&gt;B176)),0)</f>
        <v>0</v>
      </c>
      <c r="W176" s="11" t="n">
        <f aca="false">IF(AND(U176=1,V176&gt;0),1+SUMPRODUCT(($K$4:$K$703=K176)*($F$4:$F$703=F176)*($U$4:$U$703=1)*($S$4:$S$703&gt;S176))+SUMPRODUCT(($K$4:$K$703=K176)*($F$4:$F$703=F176)*($U$4:$U$703=1)*($S$4:$S$703=S176)*($T$4:$T$703&gt;T176))+SUMPRODUCT(($K$4:$K$703=K176)*($F$4:$F$703=F176)*($U$4:$U$703=1)*($S$4:$S$703=S176)*($T$4:$T$703=T176)*($C$4:$C$703&lt;C176))+SUMPRODUCT(($K$4:$K$703=K176)*($F$4:$F$703=F176)*($U$4:$U$703=1)*($S$4:$S$703=S176)*($T$4:$T$703=T176)*($C$4:$C$703=C176)*($D$4:$D$703&lt;D176)),0)</f>
        <v>0</v>
      </c>
      <c r="X176" s="11" t="n">
        <f aca="false">IF(AND(U176=1,V176&gt;0,W176&gt;1),S176,0)</f>
        <v>0</v>
      </c>
      <c r="Y176" s="11" t="n">
        <f aca="false">IF(T176=1,X176/(1+Controls!$B$11)^F176,0)</f>
        <v>0</v>
      </c>
      <c r="Z176" s="11" t="n">
        <f aca="false">IF(AND(N176,E176="capacity",LEN(K176)&gt;0),1,0)</f>
        <v>0</v>
      </c>
      <c r="AA176" s="11" t="n">
        <f aca="false">IF(Z176=1,SUMPRODUCT(($K$4:$K$703=K176)*($F$4:$F$703=F176)*($Z$4:$Z$703=1)*($B$4:$B$703&lt;&gt;B176)),0)</f>
        <v>0</v>
      </c>
      <c r="AB176" s="11" t="n">
        <f aca="false">IF(AND(Z176=1,AA176&gt;0),1+SUMPRODUCT(($K$4:$K$703=K176)*($F$4:$F$703=F176)*($Z$4:$Z$703=1)*($P$4:$P$703&gt;P176))+SUMPRODUCT(($K$4:$K$703=K176)*($F$4:$F$703=F176)*($Z$4:$Z$703=1)*($P$4:$P$703=P176)*($C$4:$C$703&lt;C176))+SUMPRODUCT(($K$4:$K$703=K176)*($F$4:$F$703=F176)*($Z$4:$Z$703=1)*($P$4:$P$703=P176)*($C$4:$C$703=C176)*($D$4:$D$703&lt;D176)),0)</f>
        <v>0</v>
      </c>
      <c r="AC176" s="11" t="n">
        <f aca="false">IF(AND(Z176=1,AA176&gt;0,AB176&gt;1),P176,0)</f>
        <v>0</v>
      </c>
    </row>
    <row r="177" customFormat="false" ht="15" hidden="false" customHeight="false" outlineLevel="0" collapsed="false">
      <c r="A177" s="4" t="s">
        <v>395</v>
      </c>
      <c r="B177" s="4" t="s">
        <v>88</v>
      </c>
      <c r="C177" s="4" t="n">
        <v>6</v>
      </c>
      <c r="D177" s="4" t="n">
        <v>174</v>
      </c>
      <c r="E177" s="4" t="s">
        <v>205</v>
      </c>
      <c r="F177" s="4" t="n">
        <v>20</v>
      </c>
      <c r="G177" s="4" t="n">
        <v>15</v>
      </c>
      <c r="H177" s="4" t="n">
        <v>22700</v>
      </c>
      <c r="I177" s="13" t="b">
        <f aca="false">FALSE()</f>
        <v>0</v>
      </c>
      <c r="K177" s="4" t="s">
        <v>390</v>
      </c>
      <c r="L177" s="4" t="n">
        <v>3813.6</v>
      </c>
      <c r="M177" s="11" t="n">
        <f aca="false">IFERROR(MATCH(Controls!$B$3&amp;"|"&amp;B177,'Scenario inputs'!$A$4:$A$213,0),0)</f>
        <v>137</v>
      </c>
      <c r="N177" s="8" t="b">
        <f aca="false">IF(M177=0,FALSE(),F177&lt;Controls!$B$12)</f>
        <v>1</v>
      </c>
      <c r="O177" s="11" t="n">
        <f aca="false">IF(N177,IF(INDEX('Scenario inputs'!$E$4:$E$213,M177)=0,1,INDEX('Scenario inputs'!$F$4:$M$213,M177,MIN(MAX(F177-G177,0),INDEX('Scenario inputs'!$E$4:$E$213,M177)-1)+1)),0)</f>
        <v>1</v>
      </c>
      <c r="P177" s="11" t="n">
        <f aca="false">H177*O177</f>
        <v>22700</v>
      </c>
      <c r="Q177" s="0" t="str">
        <f aca="false">IF(M177=0,"",IF(ISNUMBER(INDEX('Scenario inputs'!$N$4:$N$213,M177)),INDEX('Scenario inputs'!$N$4:$N$213,M177),""))</f>
        <v/>
      </c>
      <c r="R177" s="0" t="str">
        <f aca="false">IF(NOT(N177),"",IF(OR(E177="cash",E177="revenue"),E177,IF(E177="avoided_cost",IF(AND(I177,LEN(TRIM(J177))&gt;0),"avoided_cost_realised","avoided_cost_beside"),IF(ISNUMBER(Q177),"capacity_converted","capacity_hours"))))</f>
        <v>avoided_cost_beside</v>
      </c>
      <c r="S177" s="11" t="n">
        <f aca="false">IF(OR(R177="",R177="capacity_hours"),0,IF(R177="capacity_converted",P177*Q177,P177))</f>
        <v>22700</v>
      </c>
      <c r="T177" s="11" t="n">
        <f aca="false">IF(OR(R177="cash",R177="revenue",R177="avoided_cost_realised",R177="capacity_converted"),1,0)</f>
        <v>0</v>
      </c>
      <c r="U177" s="11" t="n">
        <f aca="false">IF(AND(N177,R177&lt;&gt;"capacity_hours",LEN(K177)&gt;0),1,0)</f>
        <v>1</v>
      </c>
      <c r="V177" s="11" t="n">
        <f aca="false">IF(U177=1,SUMPRODUCT(($K$4:$K$703=K177)*($F$4:$F$703=F177)*($U$4:$U$703=1)*($B$4:$B$703&lt;&gt;B177)),0)</f>
        <v>0</v>
      </c>
      <c r="W177" s="11" t="n">
        <f aca="false">IF(AND(U177=1,V177&gt;0),1+SUMPRODUCT(($K$4:$K$703=K177)*($F$4:$F$703=F177)*($U$4:$U$703=1)*($S$4:$S$703&gt;S177))+SUMPRODUCT(($K$4:$K$703=K177)*($F$4:$F$703=F177)*($U$4:$U$703=1)*($S$4:$S$703=S177)*($T$4:$T$703&gt;T177))+SUMPRODUCT(($K$4:$K$703=K177)*($F$4:$F$703=F177)*($U$4:$U$703=1)*($S$4:$S$703=S177)*($T$4:$T$703=T177)*($C$4:$C$703&lt;C177))+SUMPRODUCT(($K$4:$K$703=K177)*($F$4:$F$703=F177)*($U$4:$U$703=1)*($S$4:$S$703=S177)*($T$4:$T$703=T177)*($C$4:$C$703=C177)*($D$4:$D$703&lt;D177)),0)</f>
        <v>0</v>
      </c>
      <c r="X177" s="11" t="n">
        <f aca="false">IF(AND(U177=1,V177&gt;0,W177&gt;1),S177,0)</f>
        <v>0</v>
      </c>
      <c r="Y177" s="11" t="n">
        <f aca="false">IF(T177=1,X177/(1+Controls!$B$11)^F177,0)</f>
        <v>0</v>
      </c>
      <c r="Z177" s="11" t="n">
        <f aca="false">IF(AND(N177,E177="capacity",LEN(K177)&gt;0),1,0)</f>
        <v>0</v>
      </c>
      <c r="AA177" s="11" t="n">
        <f aca="false">IF(Z177=1,SUMPRODUCT(($K$4:$K$703=K177)*($F$4:$F$703=F177)*($Z$4:$Z$703=1)*($B$4:$B$703&lt;&gt;B177)),0)</f>
        <v>0</v>
      </c>
      <c r="AB177" s="11" t="n">
        <f aca="false">IF(AND(Z177=1,AA177&gt;0),1+SUMPRODUCT(($K$4:$K$703=K177)*($F$4:$F$703=F177)*($Z$4:$Z$703=1)*($P$4:$P$703&gt;P177))+SUMPRODUCT(($K$4:$K$703=K177)*($F$4:$F$703=F177)*($Z$4:$Z$703=1)*($P$4:$P$703=P177)*($C$4:$C$703&lt;C177))+SUMPRODUCT(($K$4:$K$703=K177)*($F$4:$F$703=F177)*($Z$4:$Z$703=1)*($P$4:$P$703=P177)*($C$4:$C$703=C177)*($D$4:$D$703&lt;D177)),0)</f>
        <v>0</v>
      </c>
      <c r="AC177" s="11" t="n">
        <f aca="false">IF(AND(Z177=1,AA177&gt;0,AB177&gt;1),P177,0)</f>
        <v>0</v>
      </c>
    </row>
    <row r="178" customFormat="false" ht="15" hidden="false" customHeight="false" outlineLevel="0" collapsed="false">
      <c r="A178" s="4" t="s">
        <v>396</v>
      </c>
      <c r="B178" s="4" t="s">
        <v>88</v>
      </c>
      <c r="C178" s="4" t="n">
        <v>6</v>
      </c>
      <c r="D178" s="4" t="n">
        <v>175</v>
      </c>
      <c r="E178" s="4" t="s">
        <v>205</v>
      </c>
      <c r="F178" s="4" t="n">
        <v>21</v>
      </c>
      <c r="G178" s="4" t="n">
        <v>15</v>
      </c>
      <c r="H178" s="4" t="n">
        <v>22700</v>
      </c>
      <c r="I178" s="13" t="b">
        <f aca="false">FALSE()</f>
        <v>0</v>
      </c>
      <c r="K178" s="4" t="s">
        <v>390</v>
      </c>
      <c r="L178" s="4" t="n">
        <v>3813.6</v>
      </c>
      <c r="M178" s="11" t="n">
        <f aca="false">IFERROR(MATCH(Controls!$B$3&amp;"|"&amp;B178,'Scenario inputs'!$A$4:$A$213,0),0)</f>
        <v>137</v>
      </c>
      <c r="N178" s="8" t="b">
        <f aca="false">IF(M178=0,FALSE(),F178&lt;Controls!$B$12)</f>
        <v>1</v>
      </c>
      <c r="O178" s="11" t="n">
        <f aca="false">IF(N178,IF(INDEX('Scenario inputs'!$E$4:$E$213,M178)=0,1,INDEX('Scenario inputs'!$F$4:$M$213,M178,MIN(MAX(F178-G178,0),INDEX('Scenario inputs'!$E$4:$E$213,M178)-1)+1)),0)</f>
        <v>1</v>
      </c>
      <c r="P178" s="11" t="n">
        <f aca="false">H178*O178</f>
        <v>22700</v>
      </c>
      <c r="Q178" s="0" t="str">
        <f aca="false">IF(M178=0,"",IF(ISNUMBER(INDEX('Scenario inputs'!$N$4:$N$213,M178)),INDEX('Scenario inputs'!$N$4:$N$213,M178),""))</f>
        <v/>
      </c>
      <c r="R178" s="0" t="str">
        <f aca="false">IF(NOT(N178),"",IF(OR(E178="cash",E178="revenue"),E178,IF(E178="avoided_cost",IF(AND(I178,LEN(TRIM(J178))&gt;0),"avoided_cost_realised","avoided_cost_beside"),IF(ISNUMBER(Q178),"capacity_converted","capacity_hours"))))</f>
        <v>avoided_cost_beside</v>
      </c>
      <c r="S178" s="11" t="n">
        <f aca="false">IF(OR(R178="",R178="capacity_hours"),0,IF(R178="capacity_converted",P178*Q178,P178))</f>
        <v>22700</v>
      </c>
      <c r="T178" s="11" t="n">
        <f aca="false">IF(OR(R178="cash",R178="revenue",R178="avoided_cost_realised",R178="capacity_converted"),1,0)</f>
        <v>0</v>
      </c>
      <c r="U178" s="11" t="n">
        <f aca="false">IF(AND(N178,R178&lt;&gt;"capacity_hours",LEN(K178)&gt;0),1,0)</f>
        <v>1</v>
      </c>
      <c r="V178" s="11" t="n">
        <f aca="false">IF(U178=1,SUMPRODUCT(($K$4:$K$703=K178)*($F$4:$F$703=F178)*($U$4:$U$703=1)*($B$4:$B$703&lt;&gt;B178)),0)</f>
        <v>0</v>
      </c>
      <c r="W178" s="11" t="n">
        <f aca="false">IF(AND(U178=1,V178&gt;0),1+SUMPRODUCT(($K$4:$K$703=K178)*($F$4:$F$703=F178)*($U$4:$U$703=1)*($S$4:$S$703&gt;S178))+SUMPRODUCT(($K$4:$K$703=K178)*($F$4:$F$703=F178)*($U$4:$U$703=1)*($S$4:$S$703=S178)*($T$4:$T$703&gt;T178))+SUMPRODUCT(($K$4:$K$703=K178)*($F$4:$F$703=F178)*($U$4:$U$703=1)*($S$4:$S$703=S178)*($T$4:$T$703=T178)*($C$4:$C$703&lt;C178))+SUMPRODUCT(($K$4:$K$703=K178)*($F$4:$F$703=F178)*($U$4:$U$703=1)*($S$4:$S$703=S178)*($T$4:$T$703=T178)*($C$4:$C$703=C178)*($D$4:$D$703&lt;D178)),0)</f>
        <v>0</v>
      </c>
      <c r="X178" s="11" t="n">
        <f aca="false">IF(AND(U178=1,V178&gt;0,W178&gt;1),S178,0)</f>
        <v>0</v>
      </c>
      <c r="Y178" s="11" t="n">
        <f aca="false">IF(T178=1,X178/(1+Controls!$B$11)^F178,0)</f>
        <v>0</v>
      </c>
      <c r="Z178" s="11" t="n">
        <f aca="false">IF(AND(N178,E178="capacity",LEN(K178)&gt;0),1,0)</f>
        <v>0</v>
      </c>
      <c r="AA178" s="11" t="n">
        <f aca="false">IF(Z178=1,SUMPRODUCT(($K$4:$K$703=K178)*($F$4:$F$703=F178)*($Z$4:$Z$703=1)*($B$4:$B$703&lt;&gt;B178)),0)</f>
        <v>0</v>
      </c>
      <c r="AB178" s="11" t="n">
        <f aca="false">IF(AND(Z178=1,AA178&gt;0),1+SUMPRODUCT(($K$4:$K$703=K178)*($F$4:$F$703=F178)*($Z$4:$Z$703=1)*($P$4:$P$703&gt;P178))+SUMPRODUCT(($K$4:$K$703=K178)*($F$4:$F$703=F178)*($Z$4:$Z$703=1)*($P$4:$P$703=P178)*($C$4:$C$703&lt;C178))+SUMPRODUCT(($K$4:$K$703=K178)*($F$4:$F$703=F178)*($Z$4:$Z$703=1)*($P$4:$P$703=P178)*($C$4:$C$703=C178)*($D$4:$D$703&lt;D178)),0)</f>
        <v>0</v>
      </c>
      <c r="AC178" s="11" t="n">
        <f aca="false">IF(AND(Z178=1,AA178&gt;0,AB178&gt;1),P178,0)</f>
        <v>0</v>
      </c>
    </row>
    <row r="179" customFormat="false" ht="15" hidden="false" customHeight="false" outlineLevel="0" collapsed="false">
      <c r="A179" s="4" t="s">
        <v>397</v>
      </c>
      <c r="B179" s="4" t="s">
        <v>88</v>
      </c>
      <c r="C179" s="4" t="n">
        <v>6</v>
      </c>
      <c r="D179" s="4" t="n">
        <v>176</v>
      </c>
      <c r="E179" s="4" t="s">
        <v>205</v>
      </c>
      <c r="F179" s="4" t="n">
        <v>22</v>
      </c>
      <c r="G179" s="4" t="n">
        <v>15</v>
      </c>
      <c r="H179" s="4" t="n">
        <v>22700</v>
      </c>
      <c r="I179" s="13" t="b">
        <f aca="false">FALSE()</f>
        <v>0</v>
      </c>
      <c r="K179" s="4" t="s">
        <v>390</v>
      </c>
      <c r="L179" s="4" t="n">
        <v>3813.6</v>
      </c>
      <c r="M179" s="11" t="n">
        <f aca="false">IFERROR(MATCH(Controls!$B$3&amp;"|"&amp;B179,'Scenario inputs'!$A$4:$A$213,0),0)</f>
        <v>137</v>
      </c>
      <c r="N179" s="8" t="b">
        <f aca="false">IF(M179=0,FALSE(),F179&lt;Controls!$B$12)</f>
        <v>1</v>
      </c>
      <c r="O179" s="11" t="n">
        <f aca="false">IF(N179,IF(INDEX('Scenario inputs'!$E$4:$E$213,M179)=0,1,INDEX('Scenario inputs'!$F$4:$M$213,M179,MIN(MAX(F179-G179,0),INDEX('Scenario inputs'!$E$4:$E$213,M179)-1)+1)),0)</f>
        <v>1</v>
      </c>
      <c r="P179" s="11" t="n">
        <f aca="false">H179*O179</f>
        <v>22700</v>
      </c>
      <c r="Q179" s="0" t="str">
        <f aca="false">IF(M179=0,"",IF(ISNUMBER(INDEX('Scenario inputs'!$N$4:$N$213,M179)),INDEX('Scenario inputs'!$N$4:$N$213,M179),""))</f>
        <v/>
      </c>
      <c r="R179" s="0" t="str">
        <f aca="false">IF(NOT(N179),"",IF(OR(E179="cash",E179="revenue"),E179,IF(E179="avoided_cost",IF(AND(I179,LEN(TRIM(J179))&gt;0),"avoided_cost_realised","avoided_cost_beside"),IF(ISNUMBER(Q179),"capacity_converted","capacity_hours"))))</f>
        <v>avoided_cost_beside</v>
      </c>
      <c r="S179" s="11" t="n">
        <f aca="false">IF(OR(R179="",R179="capacity_hours"),0,IF(R179="capacity_converted",P179*Q179,P179))</f>
        <v>22700</v>
      </c>
      <c r="T179" s="11" t="n">
        <f aca="false">IF(OR(R179="cash",R179="revenue",R179="avoided_cost_realised",R179="capacity_converted"),1,0)</f>
        <v>0</v>
      </c>
      <c r="U179" s="11" t="n">
        <f aca="false">IF(AND(N179,R179&lt;&gt;"capacity_hours",LEN(K179)&gt;0),1,0)</f>
        <v>1</v>
      </c>
      <c r="V179" s="11" t="n">
        <f aca="false">IF(U179=1,SUMPRODUCT(($K$4:$K$703=K179)*($F$4:$F$703=F179)*($U$4:$U$703=1)*($B$4:$B$703&lt;&gt;B179)),0)</f>
        <v>0</v>
      </c>
      <c r="W179" s="11" t="n">
        <f aca="false">IF(AND(U179=1,V179&gt;0),1+SUMPRODUCT(($K$4:$K$703=K179)*($F$4:$F$703=F179)*($U$4:$U$703=1)*($S$4:$S$703&gt;S179))+SUMPRODUCT(($K$4:$K$703=K179)*($F$4:$F$703=F179)*($U$4:$U$703=1)*($S$4:$S$703=S179)*($T$4:$T$703&gt;T179))+SUMPRODUCT(($K$4:$K$703=K179)*($F$4:$F$703=F179)*($U$4:$U$703=1)*($S$4:$S$703=S179)*($T$4:$T$703=T179)*($C$4:$C$703&lt;C179))+SUMPRODUCT(($K$4:$K$703=K179)*($F$4:$F$703=F179)*($U$4:$U$703=1)*($S$4:$S$703=S179)*($T$4:$T$703=T179)*($C$4:$C$703=C179)*($D$4:$D$703&lt;D179)),0)</f>
        <v>0</v>
      </c>
      <c r="X179" s="11" t="n">
        <f aca="false">IF(AND(U179=1,V179&gt;0,W179&gt;1),S179,0)</f>
        <v>0</v>
      </c>
      <c r="Y179" s="11" t="n">
        <f aca="false">IF(T179=1,X179/(1+Controls!$B$11)^F179,0)</f>
        <v>0</v>
      </c>
      <c r="Z179" s="11" t="n">
        <f aca="false">IF(AND(N179,E179="capacity",LEN(K179)&gt;0),1,0)</f>
        <v>0</v>
      </c>
      <c r="AA179" s="11" t="n">
        <f aca="false">IF(Z179=1,SUMPRODUCT(($K$4:$K$703=K179)*($F$4:$F$703=F179)*($Z$4:$Z$703=1)*($B$4:$B$703&lt;&gt;B179)),0)</f>
        <v>0</v>
      </c>
      <c r="AB179" s="11" t="n">
        <f aca="false">IF(AND(Z179=1,AA179&gt;0),1+SUMPRODUCT(($K$4:$K$703=K179)*($F$4:$F$703=F179)*($Z$4:$Z$703=1)*($P$4:$P$703&gt;P179))+SUMPRODUCT(($K$4:$K$703=K179)*($F$4:$F$703=F179)*($Z$4:$Z$703=1)*($P$4:$P$703=P179)*($C$4:$C$703&lt;C179))+SUMPRODUCT(($K$4:$K$703=K179)*($F$4:$F$703=F179)*($Z$4:$Z$703=1)*($P$4:$P$703=P179)*($C$4:$C$703=C179)*($D$4:$D$703&lt;D179)),0)</f>
        <v>0</v>
      </c>
      <c r="AC179" s="11" t="n">
        <f aca="false">IF(AND(Z179=1,AA179&gt;0,AB179&gt;1),P179,0)</f>
        <v>0</v>
      </c>
    </row>
    <row r="180" customFormat="false" ht="15" hidden="false" customHeight="false" outlineLevel="0" collapsed="false">
      <c r="A180" s="4" t="s">
        <v>398</v>
      </c>
      <c r="B180" s="4" t="s">
        <v>88</v>
      </c>
      <c r="C180" s="4" t="n">
        <v>6</v>
      </c>
      <c r="D180" s="4" t="n">
        <v>177</v>
      </c>
      <c r="E180" s="4" t="s">
        <v>205</v>
      </c>
      <c r="F180" s="4" t="n">
        <v>23</v>
      </c>
      <c r="G180" s="4" t="n">
        <v>15</v>
      </c>
      <c r="H180" s="4" t="n">
        <v>22700</v>
      </c>
      <c r="I180" s="13" t="b">
        <f aca="false">FALSE()</f>
        <v>0</v>
      </c>
      <c r="K180" s="4" t="s">
        <v>390</v>
      </c>
      <c r="L180" s="4" t="n">
        <v>3813.6</v>
      </c>
      <c r="M180" s="11" t="n">
        <f aca="false">IFERROR(MATCH(Controls!$B$3&amp;"|"&amp;B180,'Scenario inputs'!$A$4:$A$213,0),0)</f>
        <v>137</v>
      </c>
      <c r="N180" s="8" t="b">
        <f aca="false">IF(M180=0,FALSE(),F180&lt;Controls!$B$12)</f>
        <v>1</v>
      </c>
      <c r="O180" s="11" t="n">
        <f aca="false">IF(N180,IF(INDEX('Scenario inputs'!$E$4:$E$213,M180)=0,1,INDEX('Scenario inputs'!$F$4:$M$213,M180,MIN(MAX(F180-G180,0),INDEX('Scenario inputs'!$E$4:$E$213,M180)-1)+1)),0)</f>
        <v>1</v>
      </c>
      <c r="P180" s="11" t="n">
        <f aca="false">H180*O180</f>
        <v>22700</v>
      </c>
      <c r="Q180" s="0" t="str">
        <f aca="false">IF(M180=0,"",IF(ISNUMBER(INDEX('Scenario inputs'!$N$4:$N$213,M180)),INDEX('Scenario inputs'!$N$4:$N$213,M180),""))</f>
        <v/>
      </c>
      <c r="R180" s="0" t="str">
        <f aca="false">IF(NOT(N180),"",IF(OR(E180="cash",E180="revenue"),E180,IF(E180="avoided_cost",IF(AND(I180,LEN(TRIM(J180))&gt;0),"avoided_cost_realised","avoided_cost_beside"),IF(ISNUMBER(Q180),"capacity_converted","capacity_hours"))))</f>
        <v>avoided_cost_beside</v>
      </c>
      <c r="S180" s="11" t="n">
        <f aca="false">IF(OR(R180="",R180="capacity_hours"),0,IF(R180="capacity_converted",P180*Q180,P180))</f>
        <v>22700</v>
      </c>
      <c r="T180" s="11" t="n">
        <f aca="false">IF(OR(R180="cash",R180="revenue",R180="avoided_cost_realised",R180="capacity_converted"),1,0)</f>
        <v>0</v>
      </c>
      <c r="U180" s="11" t="n">
        <f aca="false">IF(AND(N180,R180&lt;&gt;"capacity_hours",LEN(K180)&gt;0),1,0)</f>
        <v>1</v>
      </c>
      <c r="V180" s="11" t="n">
        <f aca="false">IF(U180=1,SUMPRODUCT(($K$4:$K$703=K180)*($F$4:$F$703=F180)*($U$4:$U$703=1)*($B$4:$B$703&lt;&gt;B180)),0)</f>
        <v>0</v>
      </c>
      <c r="W180" s="11" t="n">
        <f aca="false">IF(AND(U180=1,V180&gt;0),1+SUMPRODUCT(($K$4:$K$703=K180)*($F$4:$F$703=F180)*($U$4:$U$703=1)*($S$4:$S$703&gt;S180))+SUMPRODUCT(($K$4:$K$703=K180)*($F$4:$F$703=F180)*($U$4:$U$703=1)*($S$4:$S$703=S180)*($T$4:$T$703&gt;T180))+SUMPRODUCT(($K$4:$K$703=K180)*($F$4:$F$703=F180)*($U$4:$U$703=1)*($S$4:$S$703=S180)*($T$4:$T$703=T180)*($C$4:$C$703&lt;C180))+SUMPRODUCT(($K$4:$K$703=K180)*($F$4:$F$703=F180)*($U$4:$U$703=1)*($S$4:$S$703=S180)*($T$4:$T$703=T180)*($C$4:$C$703=C180)*($D$4:$D$703&lt;D180)),0)</f>
        <v>0</v>
      </c>
      <c r="X180" s="11" t="n">
        <f aca="false">IF(AND(U180=1,V180&gt;0,W180&gt;1),S180,0)</f>
        <v>0</v>
      </c>
      <c r="Y180" s="11" t="n">
        <f aca="false">IF(T180=1,X180/(1+Controls!$B$11)^F180,0)</f>
        <v>0</v>
      </c>
      <c r="Z180" s="11" t="n">
        <f aca="false">IF(AND(N180,E180="capacity",LEN(K180)&gt;0),1,0)</f>
        <v>0</v>
      </c>
      <c r="AA180" s="11" t="n">
        <f aca="false">IF(Z180=1,SUMPRODUCT(($K$4:$K$703=K180)*($F$4:$F$703=F180)*($Z$4:$Z$703=1)*($B$4:$B$703&lt;&gt;B180)),0)</f>
        <v>0</v>
      </c>
      <c r="AB180" s="11" t="n">
        <f aca="false">IF(AND(Z180=1,AA180&gt;0),1+SUMPRODUCT(($K$4:$K$703=K180)*($F$4:$F$703=F180)*($Z$4:$Z$703=1)*($P$4:$P$703&gt;P180))+SUMPRODUCT(($K$4:$K$703=K180)*($F$4:$F$703=F180)*($Z$4:$Z$703=1)*($P$4:$P$703=P180)*($C$4:$C$703&lt;C180))+SUMPRODUCT(($K$4:$K$703=K180)*($F$4:$F$703=F180)*($Z$4:$Z$703=1)*($P$4:$P$703=P180)*($C$4:$C$703=C180)*($D$4:$D$703&lt;D180)),0)</f>
        <v>0</v>
      </c>
      <c r="AC180" s="11" t="n">
        <f aca="false">IF(AND(Z180=1,AA180&gt;0,AB180&gt;1),P180,0)</f>
        <v>0</v>
      </c>
    </row>
    <row r="181" customFormat="false" ht="15" hidden="false" customHeight="false" outlineLevel="0" collapsed="false">
      <c r="A181" s="4" t="s">
        <v>399</v>
      </c>
      <c r="B181" s="4" t="s">
        <v>88</v>
      </c>
      <c r="C181" s="4" t="n">
        <v>6</v>
      </c>
      <c r="D181" s="4" t="n">
        <v>178</v>
      </c>
      <c r="E181" s="4" t="s">
        <v>205</v>
      </c>
      <c r="F181" s="4" t="n">
        <v>24</v>
      </c>
      <c r="G181" s="4" t="n">
        <v>15</v>
      </c>
      <c r="H181" s="4" t="n">
        <v>22700</v>
      </c>
      <c r="I181" s="13" t="b">
        <f aca="false">FALSE()</f>
        <v>0</v>
      </c>
      <c r="K181" s="4" t="s">
        <v>390</v>
      </c>
      <c r="L181" s="4" t="n">
        <v>3813.6</v>
      </c>
      <c r="M181" s="11" t="n">
        <f aca="false">IFERROR(MATCH(Controls!$B$3&amp;"|"&amp;B181,'Scenario inputs'!$A$4:$A$213,0),0)</f>
        <v>137</v>
      </c>
      <c r="N181" s="8" t="b">
        <f aca="false">IF(M181=0,FALSE(),F181&lt;Controls!$B$12)</f>
        <v>1</v>
      </c>
      <c r="O181" s="11" t="n">
        <f aca="false">IF(N181,IF(INDEX('Scenario inputs'!$E$4:$E$213,M181)=0,1,INDEX('Scenario inputs'!$F$4:$M$213,M181,MIN(MAX(F181-G181,0),INDEX('Scenario inputs'!$E$4:$E$213,M181)-1)+1)),0)</f>
        <v>1</v>
      </c>
      <c r="P181" s="11" t="n">
        <f aca="false">H181*O181</f>
        <v>22700</v>
      </c>
      <c r="Q181" s="0" t="str">
        <f aca="false">IF(M181=0,"",IF(ISNUMBER(INDEX('Scenario inputs'!$N$4:$N$213,M181)),INDEX('Scenario inputs'!$N$4:$N$213,M181),""))</f>
        <v/>
      </c>
      <c r="R181" s="0" t="str">
        <f aca="false">IF(NOT(N181),"",IF(OR(E181="cash",E181="revenue"),E181,IF(E181="avoided_cost",IF(AND(I181,LEN(TRIM(J181))&gt;0),"avoided_cost_realised","avoided_cost_beside"),IF(ISNUMBER(Q181),"capacity_converted","capacity_hours"))))</f>
        <v>avoided_cost_beside</v>
      </c>
      <c r="S181" s="11" t="n">
        <f aca="false">IF(OR(R181="",R181="capacity_hours"),0,IF(R181="capacity_converted",P181*Q181,P181))</f>
        <v>22700</v>
      </c>
      <c r="T181" s="11" t="n">
        <f aca="false">IF(OR(R181="cash",R181="revenue",R181="avoided_cost_realised",R181="capacity_converted"),1,0)</f>
        <v>0</v>
      </c>
      <c r="U181" s="11" t="n">
        <f aca="false">IF(AND(N181,R181&lt;&gt;"capacity_hours",LEN(K181)&gt;0),1,0)</f>
        <v>1</v>
      </c>
      <c r="V181" s="11" t="n">
        <f aca="false">IF(U181=1,SUMPRODUCT(($K$4:$K$703=K181)*($F$4:$F$703=F181)*($U$4:$U$703=1)*($B$4:$B$703&lt;&gt;B181)),0)</f>
        <v>0</v>
      </c>
      <c r="W181" s="11" t="n">
        <f aca="false">IF(AND(U181=1,V181&gt;0),1+SUMPRODUCT(($K$4:$K$703=K181)*($F$4:$F$703=F181)*($U$4:$U$703=1)*($S$4:$S$703&gt;S181))+SUMPRODUCT(($K$4:$K$703=K181)*($F$4:$F$703=F181)*($U$4:$U$703=1)*($S$4:$S$703=S181)*($T$4:$T$703&gt;T181))+SUMPRODUCT(($K$4:$K$703=K181)*($F$4:$F$703=F181)*($U$4:$U$703=1)*($S$4:$S$703=S181)*($T$4:$T$703=T181)*($C$4:$C$703&lt;C181))+SUMPRODUCT(($K$4:$K$703=K181)*($F$4:$F$703=F181)*($U$4:$U$703=1)*($S$4:$S$703=S181)*($T$4:$T$703=T181)*($C$4:$C$703=C181)*($D$4:$D$703&lt;D181)),0)</f>
        <v>0</v>
      </c>
      <c r="X181" s="11" t="n">
        <f aca="false">IF(AND(U181=1,V181&gt;0,W181&gt;1),S181,0)</f>
        <v>0</v>
      </c>
      <c r="Y181" s="11" t="n">
        <f aca="false">IF(T181=1,X181/(1+Controls!$B$11)^F181,0)</f>
        <v>0</v>
      </c>
      <c r="Z181" s="11" t="n">
        <f aca="false">IF(AND(N181,E181="capacity",LEN(K181)&gt;0),1,0)</f>
        <v>0</v>
      </c>
      <c r="AA181" s="11" t="n">
        <f aca="false">IF(Z181=1,SUMPRODUCT(($K$4:$K$703=K181)*($F$4:$F$703=F181)*($Z$4:$Z$703=1)*($B$4:$B$703&lt;&gt;B181)),0)</f>
        <v>0</v>
      </c>
      <c r="AB181" s="11" t="n">
        <f aca="false">IF(AND(Z181=1,AA181&gt;0),1+SUMPRODUCT(($K$4:$K$703=K181)*($F$4:$F$703=F181)*($Z$4:$Z$703=1)*($P$4:$P$703&gt;P181))+SUMPRODUCT(($K$4:$K$703=K181)*($F$4:$F$703=F181)*($Z$4:$Z$703=1)*($P$4:$P$703=P181)*($C$4:$C$703&lt;C181))+SUMPRODUCT(($K$4:$K$703=K181)*($F$4:$F$703=F181)*($Z$4:$Z$703=1)*($P$4:$P$703=P181)*($C$4:$C$703=C181)*($D$4:$D$703&lt;D181)),0)</f>
        <v>0</v>
      </c>
      <c r="AC181" s="11" t="n">
        <f aca="false">IF(AND(Z181=1,AA181&gt;0,AB181&gt;1),P181,0)</f>
        <v>0</v>
      </c>
    </row>
    <row r="182" customFormat="false" ht="15" hidden="false" customHeight="false" outlineLevel="0" collapsed="false">
      <c r="A182" s="4" t="s">
        <v>400</v>
      </c>
      <c r="B182" s="4" t="s">
        <v>88</v>
      </c>
      <c r="C182" s="4" t="n">
        <v>6</v>
      </c>
      <c r="D182" s="4" t="n">
        <v>179</v>
      </c>
      <c r="E182" s="4" t="s">
        <v>205</v>
      </c>
      <c r="F182" s="4" t="n">
        <v>25</v>
      </c>
      <c r="G182" s="4" t="n">
        <v>15</v>
      </c>
      <c r="H182" s="4" t="n">
        <v>22700</v>
      </c>
      <c r="I182" s="13" t="b">
        <f aca="false">FALSE()</f>
        <v>0</v>
      </c>
      <c r="K182" s="4" t="s">
        <v>390</v>
      </c>
      <c r="L182" s="4" t="n">
        <v>3813.6</v>
      </c>
      <c r="M182" s="11" t="n">
        <f aca="false">IFERROR(MATCH(Controls!$B$3&amp;"|"&amp;B182,'Scenario inputs'!$A$4:$A$213,0),0)</f>
        <v>137</v>
      </c>
      <c r="N182" s="8" t="b">
        <f aca="false">IF(M182=0,FALSE(),F182&lt;Controls!$B$12)</f>
        <v>1</v>
      </c>
      <c r="O182" s="11" t="n">
        <f aca="false">IF(N182,IF(INDEX('Scenario inputs'!$E$4:$E$213,M182)=0,1,INDEX('Scenario inputs'!$F$4:$M$213,M182,MIN(MAX(F182-G182,0),INDEX('Scenario inputs'!$E$4:$E$213,M182)-1)+1)),0)</f>
        <v>1</v>
      </c>
      <c r="P182" s="11" t="n">
        <f aca="false">H182*O182</f>
        <v>22700</v>
      </c>
      <c r="Q182" s="0" t="str">
        <f aca="false">IF(M182=0,"",IF(ISNUMBER(INDEX('Scenario inputs'!$N$4:$N$213,M182)),INDEX('Scenario inputs'!$N$4:$N$213,M182),""))</f>
        <v/>
      </c>
      <c r="R182" s="0" t="str">
        <f aca="false">IF(NOT(N182),"",IF(OR(E182="cash",E182="revenue"),E182,IF(E182="avoided_cost",IF(AND(I182,LEN(TRIM(J182))&gt;0),"avoided_cost_realised","avoided_cost_beside"),IF(ISNUMBER(Q182),"capacity_converted","capacity_hours"))))</f>
        <v>avoided_cost_beside</v>
      </c>
      <c r="S182" s="11" t="n">
        <f aca="false">IF(OR(R182="",R182="capacity_hours"),0,IF(R182="capacity_converted",P182*Q182,P182))</f>
        <v>22700</v>
      </c>
      <c r="T182" s="11" t="n">
        <f aca="false">IF(OR(R182="cash",R182="revenue",R182="avoided_cost_realised",R182="capacity_converted"),1,0)</f>
        <v>0</v>
      </c>
      <c r="U182" s="11" t="n">
        <f aca="false">IF(AND(N182,R182&lt;&gt;"capacity_hours",LEN(K182)&gt;0),1,0)</f>
        <v>1</v>
      </c>
      <c r="V182" s="11" t="n">
        <f aca="false">IF(U182=1,SUMPRODUCT(($K$4:$K$703=K182)*($F$4:$F$703=F182)*($U$4:$U$703=1)*($B$4:$B$703&lt;&gt;B182)),0)</f>
        <v>0</v>
      </c>
      <c r="W182" s="11" t="n">
        <f aca="false">IF(AND(U182=1,V182&gt;0),1+SUMPRODUCT(($K$4:$K$703=K182)*($F$4:$F$703=F182)*($U$4:$U$703=1)*($S$4:$S$703&gt;S182))+SUMPRODUCT(($K$4:$K$703=K182)*($F$4:$F$703=F182)*($U$4:$U$703=1)*($S$4:$S$703=S182)*($T$4:$T$703&gt;T182))+SUMPRODUCT(($K$4:$K$703=K182)*($F$4:$F$703=F182)*($U$4:$U$703=1)*($S$4:$S$703=S182)*($T$4:$T$703=T182)*($C$4:$C$703&lt;C182))+SUMPRODUCT(($K$4:$K$703=K182)*($F$4:$F$703=F182)*($U$4:$U$703=1)*($S$4:$S$703=S182)*($T$4:$T$703=T182)*($C$4:$C$703=C182)*($D$4:$D$703&lt;D182)),0)</f>
        <v>0</v>
      </c>
      <c r="X182" s="11" t="n">
        <f aca="false">IF(AND(U182=1,V182&gt;0,W182&gt;1),S182,0)</f>
        <v>0</v>
      </c>
      <c r="Y182" s="11" t="n">
        <f aca="false">IF(T182=1,X182/(1+Controls!$B$11)^F182,0)</f>
        <v>0</v>
      </c>
      <c r="Z182" s="11" t="n">
        <f aca="false">IF(AND(N182,E182="capacity",LEN(K182)&gt;0),1,0)</f>
        <v>0</v>
      </c>
      <c r="AA182" s="11" t="n">
        <f aca="false">IF(Z182=1,SUMPRODUCT(($K$4:$K$703=K182)*($F$4:$F$703=F182)*($Z$4:$Z$703=1)*($B$4:$B$703&lt;&gt;B182)),0)</f>
        <v>0</v>
      </c>
      <c r="AB182" s="11" t="n">
        <f aca="false">IF(AND(Z182=1,AA182&gt;0),1+SUMPRODUCT(($K$4:$K$703=K182)*($F$4:$F$703=F182)*($Z$4:$Z$703=1)*($P$4:$P$703&gt;P182))+SUMPRODUCT(($K$4:$K$703=K182)*($F$4:$F$703=F182)*($Z$4:$Z$703=1)*($P$4:$P$703=P182)*($C$4:$C$703&lt;C182))+SUMPRODUCT(($K$4:$K$703=K182)*($F$4:$F$703=F182)*($Z$4:$Z$703=1)*($P$4:$P$703=P182)*($C$4:$C$703=C182)*($D$4:$D$703&lt;D182)),0)</f>
        <v>0</v>
      </c>
      <c r="AC182" s="11" t="n">
        <f aca="false">IF(AND(Z182=1,AA182&gt;0,AB182&gt;1),P182,0)</f>
        <v>0</v>
      </c>
    </row>
    <row r="183" customFormat="false" ht="15" hidden="false" customHeight="false" outlineLevel="0" collapsed="false">
      <c r="A183" s="4" t="s">
        <v>401</v>
      </c>
      <c r="B183" s="4" t="s">
        <v>88</v>
      </c>
      <c r="C183" s="4" t="n">
        <v>6</v>
      </c>
      <c r="D183" s="4" t="n">
        <v>180</v>
      </c>
      <c r="E183" s="4" t="s">
        <v>205</v>
      </c>
      <c r="F183" s="4" t="n">
        <v>26</v>
      </c>
      <c r="G183" s="4" t="n">
        <v>15</v>
      </c>
      <c r="H183" s="4" t="n">
        <v>22700</v>
      </c>
      <c r="I183" s="13" t="b">
        <f aca="false">FALSE()</f>
        <v>0</v>
      </c>
      <c r="K183" s="4" t="s">
        <v>390</v>
      </c>
      <c r="L183" s="4" t="n">
        <v>3813.6</v>
      </c>
      <c r="M183" s="11" t="n">
        <f aca="false">IFERROR(MATCH(Controls!$B$3&amp;"|"&amp;B183,'Scenario inputs'!$A$4:$A$213,0),0)</f>
        <v>137</v>
      </c>
      <c r="N183" s="8" t="b">
        <f aca="false">IF(M183=0,FALSE(),F183&lt;Controls!$B$12)</f>
        <v>1</v>
      </c>
      <c r="O183" s="11" t="n">
        <f aca="false">IF(N183,IF(INDEX('Scenario inputs'!$E$4:$E$213,M183)=0,1,INDEX('Scenario inputs'!$F$4:$M$213,M183,MIN(MAX(F183-G183,0),INDEX('Scenario inputs'!$E$4:$E$213,M183)-1)+1)),0)</f>
        <v>1</v>
      </c>
      <c r="P183" s="11" t="n">
        <f aca="false">H183*O183</f>
        <v>22700</v>
      </c>
      <c r="Q183" s="0" t="str">
        <f aca="false">IF(M183=0,"",IF(ISNUMBER(INDEX('Scenario inputs'!$N$4:$N$213,M183)),INDEX('Scenario inputs'!$N$4:$N$213,M183),""))</f>
        <v/>
      </c>
      <c r="R183" s="0" t="str">
        <f aca="false">IF(NOT(N183),"",IF(OR(E183="cash",E183="revenue"),E183,IF(E183="avoided_cost",IF(AND(I183,LEN(TRIM(J183))&gt;0),"avoided_cost_realised","avoided_cost_beside"),IF(ISNUMBER(Q183),"capacity_converted","capacity_hours"))))</f>
        <v>avoided_cost_beside</v>
      </c>
      <c r="S183" s="11" t="n">
        <f aca="false">IF(OR(R183="",R183="capacity_hours"),0,IF(R183="capacity_converted",P183*Q183,P183))</f>
        <v>22700</v>
      </c>
      <c r="T183" s="11" t="n">
        <f aca="false">IF(OR(R183="cash",R183="revenue",R183="avoided_cost_realised",R183="capacity_converted"),1,0)</f>
        <v>0</v>
      </c>
      <c r="U183" s="11" t="n">
        <f aca="false">IF(AND(N183,R183&lt;&gt;"capacity_hours",LEN(K183)&gt;0),1,0)</f>
        <v>1</v>
      </c>
      <c r="V183" s="11" t="n">
        <f aca="false">IF(U183=1,SUMPRODUCT(($K$4:$K$703=K183)*($F$4:$F$703=F183)*($U$4:$U$703=1)*($B$4:$B$703&lt;&gt;B183)),0)</f>
        <v>0</v>
      </c>
      <c r="W183" s="11" t="n">
        <f aca="false">IF(AND(U183=1,V183&gt;0),1+SUMPRODUCT(($K$4:$K$703=K183)*($F$4:$F$703=F183)*($U$4:$U$703=1)*($S$4:$S$703&gt;S183))+SUMPRODUCT(($K$4:$K$703=K183)*($F$4:$F$703=F183)*($U$4:$U$703=1)*($S$4:$S$703=S183)*($T$4:$T$703&gt;T183))+SUMPRODUCT(($K$4:$K$703=K183)*($F$4:$F$703=F183)*($U$4:$U$703=1)*($S$4:$S$703=S183)*($T$4:$T$703=T183)*($C$4:$C$703&lt;C183))+SUMPRODUCT(($K$4:$K$703=K183)*($F$4:$F$703=F183)*($U$4:$U$703=1)*($S$4:$S$703=S183)*($T$4:$T$703=T183)*($C$4:$C$703=C183)*($D$4:$D$703&lt;D183)),0)</f>
        <v>0</v>
      </c>
      <c r="X183" s="11" t="n">
        <f aca="false">IF(AND(U183=1,V183&gt;0,W183&gt;1),S183,0)</f>
        <v>0</v>
      </c>
      <c r="Y183" s="11" t="n">
        <f aca="false">IF(T183=1,X183/(1+Controls!$B$11)^F183,0)</f>
        <v>0</v>
      </c>
      <c r="Z183" s="11" t="n">
        <f aca="false">IF(AND(N183,E183="capacity",LEN(K183)&gt;0),1,0)</f>
        <v>0</v>
      </c>
      <c r="AA183" s="11" t="n">
        <f aca="false">IF(Z183=1,SUMPRODUCT(($K$4:$K$703=K183)*($F$4:$F$703=F183)*($Z$4:$Z$703=1)*($B$4:$B$703&lt;&gt;B183)),0)</f>
        <v>0</v>
      </c>
      <c r="AB183" s="11" t="n">
        <f aca="false">IF(AND(Z183=1,AA183&gt;0),1+SUMPRODUCT(($K$4:$K$703=K183)*($F$4:$F$703=F183)*($Z$4:$Z$703=1)*($P$4:$P$703&gt;P183))+SUMPRODUCT(($K$4:$K$703=K183)*($F$4:$F$703=F183)*($Z$4:$Z$703=1)*($P$4:$P$703=P183)*($C$4:$C$703&lt;C183))+SUMPRODUCT(($K$4:$K$703=K183)*($F$4:$F$703=F183)*($Z$4:$Z$703=1)*($P$4:$P$703=P183)*($C$4:$C$703=C183)*($D$4:$D$703&lt;D183)),0)</f>
        <v>0</v>
      </c>
      <c r="AC183" s="11" t="n">
        <f aca="false">IF(AND(Z183=1,AA183&gt;0,AB183&gt;1),P183,0)</f>
        <v>0</v>
      </c>
    </row>
    <row r="184" customFormat="false" ht="15" hidden="false" customHeight="false" outlineLevel="0" collapsed="false">
      <c r="A184" s="4" t="s">
        <v>402</v>
      </c>
      <c r="B184" s="4" t="s">
        <v>88</v>
      </c>
      <c r="C184" s="4" t="n">
        <v>6</v>
      </c>
      <c r="D184" s="4" t="n">
        <v>181</v>
      </c>
      <c r="E184" s="4" t="s">
        <v>233</v>
      </c>
      <c r="F184" s="4" t="n">
        <v>16</v>
      </c>
      <c r="G184" s="4" t="n">
        <v>16</v>
      </c>
      <c r="H184" s="4" t="n">
        <v>1580.07</v>
      </c>
      <c r="I184" s="13" t="b">
        <f aca="false">FALSE()</f>
        <v>0</v>
      </c>
      <c r="K184" s="4" t="s">
        <v>403</v>
      </c>
      <c r="L184" s="4" t="n">
        <v>13.02</v>
      </c>
      <c r="M184" s="11" t="n">
        <f aca="false">IFERROR(MATCH(Controls!$B$3&amp;"|"&amp;B184,'Scenario inputs'!$A$4:$A$213,0),0)</f>
        <v>137</v>
      </c>
      <c r="N184" s="8" t="b">
        <f aca="false">IF(M184=0,FALSE(),F184&lt;Controls!$B$12)</f>
        <v>1</v>
      </c>
      <c r="O184" s="11" t="n">
        <f aca="false">IF(N184,IF(INDEX('Scenario inputs'!$E$4:$E$213,M184)=0,1,INDEX('Scenario inputs'!$F$4:$M$213,M184,MIN(MAX(F184-G184,0),INDEX('Scenario inputs'!$E$4:$E$213,M184)-1)+1)),0)</f>
        <v>0.066667</v>
      </c>
      <c r="P184" s="11" t="n">
        <f aca="false">H184*O184</f>
        <v>105.33852669</v>
      </c>
      <c r="Q184" s="0" t="str">
        <f aca="false">IF(M184=0,"",IF(ISNUMBER(INDEX('Scenario inputs'!$N$4:$N$213,M184)),INDEX('Scenario inputs'!$N$4:$N$213,M184),""))</f>
        <v/>
      </c>
      <c r="R184" s="0" t="str">
        <f aca="false">IF(NOT(N184),"",IF(OR(E184="cash",E184="revenue"),E184,IF(E184="avoided_cost",IF(AND(I184,LEN(TRIM(J184))&gt;0),"avoided_cost_realised","avoided_cost_beside"),IF(ISNUMBER(Q184),"capacity_converted","capacity_hours"))))</f>
        <v>capacity_hours</v>
      </c>
      <c r="S184" s="11" t="n">
        <f aca="false">IF(OR(R184="",R184="capacity_hours"),0,IF(R184="capacity_converted",P184*Q184,P184))</f>
        <v>0</v>
      </c>
      <c r="T184" s="11" t="n">
        <f aca="false">IF(OR(R184="cash",R184="revenue",R184="avoided_cost_realised",R184="capacity_converted"),1,0)</f>
        <v>0</v>
      </c>
      <c r="U184" s="11" t="n">
        <f aca="false">IF(AND(N184,R184&lt;&gt;"capacity_hours",LEN(K184)&gt;0),1,0)</f>
        <v>0</v>
      </c>
      <c r="V184" s="11" t="n">
        <f aca="false">IF(U184=1,SUMPRODUCT(($K$4:$K$703=K184)*($F$4:$F$703=F184)*($U$4:$U$703=1)*($B$4:$B$703&lt;&gt;B184)),0)</f>
        <v>0</v>
      </c>
      <c r="W184" s="11" t="n">
        <f aca="false">IF(AND(U184=1,V184&gt;0),1+SUMPRODUCT(($K$4:$K$703=K184)*($F$4:$F$703=F184)*($U$4:$U$703=1)*($S$4:$S$703&gt;S184))+SUMPRODUCT(($K$4:$K$703=K184)*($F$4:$F$703=F184)*($U$4:$U$703=1)*($S$4:$S$703=S184)*($T$4:$T$703&gt;T184))+SUMPRODUCT(($K$4:$K$703=K184)*($F$4:$F$703=F184)*($U$4:$U$703=1)*($S$4:$S$703=S184)*($T$4:$T$703=T184)*($C$4:$C$703&lt;C184))+SUMPRODUCT(($K$4:$K$703=K184)*($F$4:$F$703=F184)*($U$4:$U$703=1)*($S$4:$S$703=S184)*($T$4:$T$703=T184)*($C$4:$C$703=C184)*($D$4:$D$703&lt;D184)),0)</f>
        <v>0</v>
      </c>
      <c r="X184" s="11" t="n">
        <f aca="false">IF(AND(U184=1,V184&gt;0,W184&gt;1),S184,0)</f>
        <v>0</v>
      </c>
      <c r="Y184" s="11" t="n">
        <f aca="false">IF(T184=1,X184/(1+Controls!$B$11)^F184,0)</f>
        <v>0</v>
      </c>
      <c r="Z184" s="11" t="n">
        <f aca="false">IF(AND(N184,E184="capacity",LEN(K184)&gt;0),1,0)</f>
        <v>1</v>
      </c>
      <c r="AA184" s="11" t="n">
        <f aca="false">IF(Z184=1,SUMPRODUCT(($K$4:$K$703=K184)*($F$4:$F$703=F184)*($Z$4:$Z$703=1)*($B$4:$B$703&lt;&gt;B184)),0)</f>
        <v>0</v>
      </c>
      <c r="AB184" s="11" t="n">
        <f aca="false">IF(AND(Z184=1,AA184&gt;0),1+SUMPRODUCT(($K$4:$K$703=K184)*($F$4:$F$703=F184)*($Z$4:$Z$703=1)*($P$4:$P$703&gt;P184))+SUMPRODUCT(($K$4:$K$703=K184)*($F$4:$F$703=F184)*($Z$4:$Z$703=1)*($P$4:$P$703=P184)*($C$4:$C$703&lt;C184))+SUMPRODUCT(($K$4:$K$703=K184)*($F$4:$F$703=F184)*($Z$4:$Z$703=1)*($P$4:$P$703=P184)*($C$4:$C$703=C184)*($D$4:$D$703&lt;D184)),0)</f>
        <v>0</v>
      </c>
      <c r="AC184" s="11" t="n">
        <f aca="false">IF(AND(Z184=1,AA184&gt;0,AB184&gt;1),P184,0)</f>
        <v>0</v>
      </c>
    </row>
    <row r="185" customFormat="false" ht="15" hidden="false" customHeight="false" outlineLevel="0" collapsed="false">
      <c r="A185" s="4" t="s">
        <v>404</v>
      </c>
      <c r="B185" s="4" t="s">
        <v>88</v>
      </c>
      <c r="C185" s="4" t="n">
        <v>6</v>
      </c>
      <c r="D185" s="4" t="n">
        <v>182</v>
      </c>
      <c r="E185" s="4" t="s">
        <v>233</v>
      </c>
      <c r="F185" s="4" t="n">
        <v>17</v>
      </c>
      <c r="G185" s="4" t="n">
        <v>16</v>
      </c>
      <c r="H185" s="4" t="n">
        <v>1580.07</v>
      </c>
      <c r="I185" s="13" t="b">
        <f aca="false">FALSE()</f>
        <v>0</v>
      </c>
      <c r="K185" s="4" t="s">
        <v>403</v>
      </c>
      <c r="L185" s="4" t="n">
        <v>39.06</v>
      </c>
      <c r="M185" s="11" t="n">
        <f aca="false">IFERROR(MATCH(Controls!$B$3&amp;"|"&amp;B185,'Scenario inputs'!$A$4:$A$213,0),0)</f>
        <v>137</v>
      </c>
      <c r="N185" s="8" t="b">
        <f aca="false">IF(M185=0,FALSE(),F185&lt;Controls!$B$12)</f>
        <v>1</v>
      </c>
      <c r="O185" s="11" t="n">
        <f aca="false">IF(N185,IF(INDEX('Scenario inputs'!$E$4:$E$213,M185)=0,1,INDEX('Scenario inputs'!$F$4:$M$213,M185,MIN(MAX(F185-G185,0),INDEX('Scenario inputs'!$E$4:$E$213,M185)-1)+1)),0)</f>
        <v>0.2</v>
      </c>
      <c r="P185" s="11" t="n">
        <f aca="false">H185*O185</f>
        <v>316.014</v>
      </c>
      <c r="Q185" s="0" t="str">
        <f aca="false">IF(M185=0,"",IF(ISNUMBER(INDEX('Scenario inputs'!$N$4:$N$213,M185)),INDEX('Scenario inputs'!$N$4:$N$213,M185),""))</f>
        <v/>
      </c>
      <c r="R185" s="0" t="str">
        <f aca="false">IF(NOT(N185),"",IF(OR(E185="cash",E185="revenue"),E185,IF(E185="avoided_cost",IF(AND(I185,LEN(TRIM(J185))&gt;0),"avoided_cost_realised","avoided_cost_beside"),IF(ISNUMBER(Q185),"capacity_converted","capacity_hours"))))</f>
        <v>capacity_hours</v>
      </c>
      <c r="S185" s="11" t="n">
        <f aca="false">IF(OR(R185="",R185="capacity_hours"),0,IF(R185="capacity_converted",P185*Q185,P185))</f>
        <v>0</v>
      </c>
      <c r="T185" s="11" t="n">
        <f aca="false">IF(OR(R185="cash",R185="revenue",R185="avoided_cost_realised",R185="capacity_converted"),1,0)</f>
        <v>0</v>
      </c>
      <c r="U185" s="11" t="n">
        <f aca="false">IF(AND(N185,R185&lt;&gt;"capacity_hours",LEN(K185)&gt;0),1,0)</f>
        <v>0</v>
      </c>
      <c r="V185" s="11" t="n">
        <f aca="false">IF(U185=1,SUMPRODUCT(($K$4:$K$703=K185)*($F$4:$F$703=F185)*($U$4:$U$703=1)*($B$4:$B$703&lt;&gt;B185)),0)</f>
        <v>0</v>
      </c>
      <c r="W185" s="11" t="n">
        <f aca="false">IF(AND(U185=1,V185&gt;0),1+SUMPRODUCT(($K$4:$K$703=K185)*($F$4:$F$703=F185)*($U$4:$U$703=1)*($S$4:$S$703&gt;S185))+SUMPRODUCT(($K$4:$K$703=K185)*($F$4:$F$703=F185)*($U$4:$U$703=1)*($S$4:$S$703=S185)*($T$4:$T$703&gt;T185))+SUMPRODUCT(($K$4:$K$703=K185)*($F$4:$F$703=F185)*($U$4:$U$703=1)*($S$4:$S$703=S185)*($T$4:$T$703=T185)*($C$4:$C$703&lt;C185))+SUMPRODUCT(($K$4:$K$703=K185)*($F$4:$F$703=F185)*($U$4:$U$703=1)*($S$4:$S$703=S185)*($T$4:$T$703=T185)*($C$4:$C$703=C185)*($D$4:$D$703&lt;D185)),0)</f>
        <v>0</v>
      </c>
      <c r="X185" s="11" t="n">
        <f aca="false">IF(AND(U185=1,V185&gt;0,W185&gt;1),S185,0)</f>
        <v>0</v>
      </c>
      <c r="Y185" s="11" t="n">
        <f aca="false">IF(T185=1,X185/(1+Controls!$B$11)^F185,0)</f>
        <v>0</v>
      </c>
      <c r="Z185" s="11" t="n">
        <f aca="false">IF(AND(N185,E185="capacity",LEN(K185)&gt;0),1,0)</f>
        <v>1</v>
      </c>
      <c r="AA185" s="11" t="n">
        <f aca="false">IF(Z185=1,SUMPRODUCT(($K$4:$K$703=K185)*($F$4:$F$703=F185)*($Z$4:$Z$703=1)*($B$4:$B$703&lt;&gt;B185)),0)</f>
        <v>0</v>
      </c>
      <c r="AB185" s="11" t="n">
        <f aca="false">IF(AND(Z185=1,AA185&gt;0),1+SUMPRODUCT(($K$4:$K$703=K185)*($F$4:$F$703=F185)*($Z$4:$Z$703=1)*($P$4:$P$703&gt;P185))+SUMPRODUCT(($K$4:$K$703=K185)*($F$4:$F$703=F185)*($Z$4:$Z$703=1)*($P$4:$P$703=P185)*($C$4:$C$703&lt;C185))+SUMPRODUCT(($K$4:$K$703=K185)*($F$4:$F$703=F185)*($Z$4:$Z$703=1)*($P$4:$P$703=P185)*($C$4:$C$703=C185)*($D$4:$D$703&lt;D185)),0)</f>
        <v>0</v>
      </c>
      <c r="AC185" s="11" t="n">
        <f aca="false">IF(AND(Z185=1,AA185&gt;0,AB185&gt;1),P185,0)</f>
        <v>0</v>
      </c>
    </row>
    <row r="186" customFormat="false" ht="15" hidden="false" customHeight="false" outlineLevel="0" collapsed="false">
      <c r="A186" s="4" t="s">
        <v>405</v>
      </c>
      <c r="B186" s="4" t="s">
        <v>88</v>
      </c>
      <c r="C186" s="4" t="n">
        <v>6</v>
      </c>
      <c r="D186" s="4" t="n">
        <v>183</v>
      </c>
      <c r="E186" s="4" t="s">
        <v>233</v>
      </c>
      <c r="F186" s="4" t="n">
        <v>18</v>
      </c>
      <c r="G186" s="4" t="n">
        <v>16</v>
      </c>
      <c r="H186" s="4" t="n">
        <v>1580.07</v>
      </c>
      <c r="I186" s="13" t="b">
        <f aca="false">FALSE()</f>
        <v>0</v>
      </c>
      <c r="K186" s="4" t="s">
        <v>403</v>
      </c>
      <c r="L186" s="4" t="n">
        <v>78.12</v>
      </c>
      <c r="M186" s="11" t="n">
        <f aca="false">IFERROR(MATCH(Controls!$B$3&amp;"|"&amp;B186,'Scenario inputs'!$A$4:$A$213,0),0)</f>
        <v>137</v>
      </c>
      <c r="N186" s="8" t="b">
        <f aca="false">IF(M186=0,FALSE(),F186&lt;Controls!$B$12)</f>
        <v>1</v>
      </c>
      <c r="O186" s="11" t="n">
        <f aca="false">IF(N186,IF(INDEX('Scenario inputs'!$E$4:$E$213,M186)=0,1,INDEX('Scenario inputs'!$F$4:$M$213,M186,MIN(MAX(F186-G186,0),INDEX('Scenario inputs'!$E$4:$E$213,M186)-1)+1)),0)</f>
        <v>0.4</v>
      </c>
      <c r="P186" s="11" t="n">
        <f aca="false">H186*O186</f>
        <v>632.028</v>
      </c>
      <c r="Q186" s="0" t="str">
        <f aca="false">IF(M186=0,"",IF(ISNUMBER(INDEX('Scenario inputs'!$N$4:$N$213,M186)),INDEX('Scenario inputs'!$N$4:$N$213,M186),""))</f>
        <v/>
      </c>
      <c r="R186" s="0" t="str">
        <f aca="false">IF(NOT(N186),"",IF(OR(E186="cash",E186="revenue"),E186,IF(E186="avoided_cost",IF(AND(I186,LEN(TRIM(J186))&gt;0),"avoided_cost_realised","avoided_cost_beside"),IF(ISNUMBER(Q186),"capacity_converted","capacity_hours"))))</f>
        <v>capacity_hours</v>
      </c>
      <c r="S186" s="11" t="n">
        <f aca="false">IF(OR(R186="",R186="capacity_hours"),0,IF(R186="capacity_converted",P186*Q186,P186))</f>
        <v>0</v>
      </c>
      <c r="T186" s="11" t="n">
        <f aca="false">IF(OR(R186="cash",R186="revenue",R186="avoided_cost_realised",R186="capacity_converted"),1,0)</f>
        <v>0</v>
      </c>
      <c r="U186" s="11" t="n">
        <f aca="false">IF(AND(N186,R186&lt;&gt;"capacity_hours",LEN(K186)&gt;0),1,0)</f>
        <v>0</v>
      </c>
      <c r="V186" s="11" t="n">
        <f aca="false">IF(U186=1,SUMPRODUCT(($K$4:$K$703=K186)*($F$4:$F$703=F186)*($U$4:$U$703=1)*($B$4:$B$703&lt;&gt;B186)),0)</f>
        <v>0</v>
      </c>
      <c r="W186" s="11" t="n">
        <f aca="false">IF(AND(U186=1,V186&gt;0),1+SUMPRODUCT(($K$4:$K$703=K186)*($F$4:$F$703=F186)*($U$4:$U$703=1)*($S$4:$S$703&gt;S186))+SUMPRODUCT(($K$4:$K$703=K186)*($F$4:$F$703=F186)*($U$4:$U$703=1)*($S$4:$S$703=S186)*($T$4:$T$703&gt;T186))+SUMPRODUCT(($K$4:$K$703=K186)*($F$4:$F$703=F186)*($U$4:$U$703=1)*($S$4:$S$703=S186)*($T$4:$T$703=T186)*($C$4:$C$703&lt;C186))+SUMPRODUCT(($K$4:$K$703=K186)*($F$4:$F$703=F186)*($U$4:$U$703=1)*($S$4:$S$703=S186)*($T$4:$T$703=T186)*($C$4:$C$703=C186)*($D$4:$D$703&lt;D186)),0)</f>
        <v>0</v>
      </c>
      <c r="X186" s="11" t="n">
        <f aca="false">IF(AND(U186=1,V186&gt;0,W186&gt;1),S186,0)</f>
        <v>0</v>
      </c>
      <c r="Y186" s="11" t="n">
        <f aca="false">IF(T186=1,X186/(1+Controls!$B$11)^F186,0)</f>
        <v>0</v>
      </c>
      <c r="Z186" s="11" t="n">
        <f aca="false">IF(AND(N186,E186="capacity",LEN(K186)&gt;0),1,0)</f>
        <v>1</v>
      </c>
      <c r="AA186" s="11" t="n">
        <f aca="false">IF(Z186=1,SUMPRODUCT(($K$4:$K$703=K186)*($F$4:$F$703=F186)*($Z$4:$Z$703=1)*($B$4:$B$703&lt;&gt;B186)),0)</f>
        <v>0</v>
      </c>
      <c r="AB186" s="11" t="n">
        <f aca="false">IF(AND(Z186=1,AA186&gt;0),1+SUMPRODUCT(($K$4:$K$703=K186)*($F$4:$F$703=F186)*($Z$4:$Z$703=1)*($P$4:$P$703&gt;P186))+SUMPRODUCT(($K$4:$K$703=K186)*($F$4:$F$703=F186)*($Z$4:$Z$703=1)*($P$4:$P$703=P186)*($C$4:$C$703&lt;C186))+SUMPRODUCT(($K$4:$K$703=K186)*($F$4:$F$703=F186)*($Z$4:$Z$703=1)*($P$4:$P$703=P186)*($C$4:$C$703=C186)*($D$4:$D$703&lt;D186)),0)</f>
        <v>0</v>
      </c>
      <c r="AC186" s="11" t="n">
        <f aca="false">IF(AND(Z186=1,AA186&gt;0,AB186&gt;1),P186,0)</f>
        <v>0</v>
      </c>
    </row>
    <row r="187" customFormat="false" ht="15" hidden="false" customHeight="false" outlineLevel="0" collapsed="false">
      <c r="A187" s="4" t="s">
        <v>406</v>
      </c>
      <c r="B187" s="4" t="s">
        <v>88</v>
      </c>
      <c r="C187" s="4" t="n">
        <v>6</v>
      </c>
      <c r="D187" s="4" t="n">
        <v>184</v>
      </c>
      <c r="E187" s="4" t="s">
        <v>233</v>
      </c>
      <c r="F187" s="4" t="n">
        <v>19</v>
      </c>
      <c r="G187" s="4" t="n">
        <v>16</v>
      </c>
      <c r="H187" s="4" t="n">
        <v>1580.07</v>
      </c>
      <c r="I187" s="13" t="b">
        <f aca="false">FALSE()</f>
        <v>0</v>
      </c>
      <c r="K187" s="4" t="s">
        <v>403</v>
      </c>
      <c r="L187" s="4" t="n">
        <v>130.2</v>
      </c>
      <c r="M187" s="11" t="n">
        <f aca="false">IFERROR(MATCH(Controls!$B$3&amp;"|"&amp;B187,'Scenario inputs'!$A$4:$A$213,0),0)</f>
        <v>137</v>
      </c>
      <c r="N187" s="8" t="b">
        <f aca="false">IF(M187=0,FALSE(),F187&lt;Controls!$B$12)</f>
        <v>1</v>
      </c>
      <c r="O187" s="11" t="n">
        <f aca="false">IF(N187,IF(INDEX('Scenario inputs'!$E$4:$E$213,M187)=0,1,INDEX('Scenario inputs'!$F$4:$M$213,M187,MIN(MAX(F187-G187,0),INDEX('Scenario inputs'!$E$4:$E$213,M187)-1)+1)),0)</f>
        <v>0.666667</v>
      </c>
      <c r="P187" s="11" t="n">
        <f aca="false">H187*O187</f>
        <v>1053.38052669</v>
      </c>
      <c r="Q187" s="0" t="str">
        <f aca="false">IF(M187=0,"",IF(ISNUMBER(INDEX('Scenario inputs'!$N$4:$N$213,M187)),INDEX('Scenario inputs'!$N$4:$N$213,M187),""))</f>
        <v/>
      </c>
      <c r="R187" s="0" t="str">
        <f aca="false">IF(NOT(N187),"",IF(OR(E187="cash",E187="revenue"),E187,IF(E187="avoided_cost",IF(AND(I187,LEN(TRIM(J187))&gt;0),"avoided_cost_realised","avoided_cost_beside"),IF(ISNUMBER(Q187),"capacity_converted","capacity_hours"))))</f>
        <v>capacity_hours</v>
      </c>
      <c r="S187" s="11" t="n">
        <f aca="false">IF(OR(R187="",R187="capacity_hours"),0,IF(R187="capacity_converted",P187*Q187,P187))</f>
        <v>0</v>
      </c>
      <c r="T187" s="11" t="n">
        <f aca="false">IF(OR(R187="cash",R187="revenue",R187="avoided_cost_realised",R187="capacity_converted"),1,0)</f>
        <v>0</v>
      </c>
      <c r="U187" s="11" t="n">
        <f aca="false">IF(AND(N187,R187&lt;&gt;"capacity_hours",LEN(K187)&gt;0),1,0)</f>
        <v>0</v>
      </c>
      <c r="V187" s="11" t="n">
        <f aca="false">IF(U187=1,SUMPRODUCT(($K$4:$K$703=K187)*($F$4:$F$703=F187)*($U$4:$U$703=1)*($B$4:$B$703&lt;&gt;B187)),0)</f>
        <v>0</v>
      </c>
      <c r="W187" s="11" t="n">
        <f aca="false">IF(AND(U187=1,V187&gt;0),1+SUMPRODUCT(($K$4:$K$703=K187)*($F$4:$F$703=F187)*($U$4:$U$703=1)*($S$4:$S$703&gt;S187))+SUMPRODUCT(($K$4:$K$703=K187)*($F$4:$F$703=F187)*($U$4:$U$703=1)*($S$4:$S$703=S187)*($T$4:$T$703&gt;T187))+SUMPRODUCT(($K$4:$K$703=K187)*($F$4:$F$703=F187)*($U$4:$U$703=1)*($S$4:$S$703=S187)*($T$4:$T$703=T187)*($C$4:$C$703&lt;C187))+SUMPRODUCT(($K$4:$K$703=K187)*($F$4:$F$703=F187)*($U$4:$U$703=1)*($S$4:$S$703=S187)*($T$4:$T$703=T187)*($C$4:$C$703=C187)*($D$4:$D$703&lt;D187)),0)</f>
        <v>0</v>
      </c>
      <c r="X187" s="11" t="n">
        <f aca="false">IF(AND(U187=1,V187&gt;0,W187&gt;1),S187,0)</f>
        <v>0</v>
      </c>
      <c r="Y187" s="11" t="n">
        <f aca="false">IF(T187=1,X187/(1+Controls!$B$11)^F187,0)</f>
        <v>0</v>
      </c>
      <c r="Z187" s="11" t="n">
        <f aca="false">IF(AND(N187,E187="capacity",LEN(K187)&gt;0),1,0)</f>
        <v>1</v>
      </c>
      <c r="AA187" s="11" t="n">
        <f aca="false">IF(Z187=1,SUMPRODUCT(($K$4:$K$703=K187)*($F$4:$F$703=F187)*($Z$4:$Z$703=1)*($B$4:$B$703&lt;&gt;B187)),0)</f>
        <v>0</v>
      </c>
      <c r="AB187" s="11" t="n">
        <f aca="false">IF(AND(Z187=1,AA187&gt;0),1+SUMPRODUCT(($K$4:$K$703=K187)*($F$4:$F$703=F187)*($Z$4:$Z$703=1)*($P$4:$P$703&gt;P187))+SUMPRODUCT(($K$4:$K$703=K187)*($F$4:$F$703=F187)*($Z$4:$Z$703=1)*($P$4:$P$703=P187)*($C$4:$C$703&lt;C187))+SUMPRODUCT(($K$4:$K$703=K187)*($F$4:$F$703=F187)*($Z$4:$Z$703=1)*($P$4:$P$703=P187)*($C$4:$C$703=C187)*($D$4:$D$703&lt;D187)),0)</f>
        <v>0</v>
      </c>
      <c r="AC187" s="11" t="n">
        <f aca="false">IF(AND(Z187=1,AA187&gt;0,AB187&gt;1),P187,0)</f>
        <v>0</v>
      </c>
    </row>
    <row r="188" customFormat="false" ht="15" hidden="false" customHeight="false" outlineLevel="0" collapsed="false">
      <c r="A188" s="4" t="s">
        <v>407</v>
      </c>
      <c r="B188" s="4" t="s">
        <v>88</v>
      </c>
      <c r="C188" s="4" t="n">
        <v>6</v>
      </c>
      <c r="D188" s="4" t="n">
        <v>185</v>
      </c>
      <c r="E188" s="4" t="s">
        <v>233</v>
      </c>
      <c r="F188" s="4" t="n">
        <v>20</v>
      </c>
      <c r="G188" s="4" t="n">
        <v>16</v>
      </c>
      <c r="H188" s="4" t="n">
        <v>1580.07</v>
      </c>
      <c r="I188" s="13" t="b">
        <f aca="false">FALSE()</f>
        <v>0</v>
      </c>
      <c r="K188" s="4" t="s">
        <v>403</v>
      </c>
      <c r="L188" s="4" t="n">
        <v>195.3</v>
      </c>
      <c r="M188" s="11" t="n">
        <f aca="false">IFERROR(MATCH(Controls!$B$3&amp;"|"&amp;B188,'Scenario inputs'!$A$4:$A$213,0),0)</f>
        <v>137</v>
      </c>
      <c r="N188" s="8" t="b">
        <f aca="false">IF(M188=0,FALSE(),F188&lt;Controls!$B$12)</f>
        <v>1</v>
      </c>
      <c r="O188" s="11" t="n">
        <f aca="false">IF(N188,IF(INDEX('Scenario inputs'!$E$4:$E$213,M188)=0,1,INDEX('Scenario inputs'!$F$4:$M$213,M188,MIN(MAX(F188-G188,0),INDEX('Scenario inputs'!$E$4:$E$213,M188)-1)+1)),0)</f>
        <v>1</v>
      </c>
      <c r="P188" s="11" t="n">
        <f aca="false">H188*O188</f>
        <v>1580.07</v>
      </c>
      <c r="Q188" s="0" t="str">
        <f aca="false">IF(M188=0,"",IF(ISNUMBER(INDEX('Scenario inputs'!$N$4:$N$213,M188)),INDEX('Scenario inputs'!$N$4:$N$213,M188),""))</f>
        <v/>
      </c>
      <c r="R188" s="0" t="str">
        <f aca="false">IF(NOT(N188),"",IF(OR(E188="cash",E188="revenue"),E188,IF(E188="avoided_cost",IF(AND(I188,LEN(TRIM(J188))&gt;0),"avoided_cost_realised","avoided_cost_beside"),IF(ISNUMBER(Q188),"capacity_converted","capacity_hours"))))</f>
        <v>capacity_hours</v>
      </c>
      <c r="S188" s="11" t="n">
        <f aca="false">IF(OR(R188="",R188="capacity_hours"),0,IF(R188="capacity_converted",P188*Q188,P188))</f>
        <v>0</v>
      </c>
      <c r="T188" s="11" t="n">
        <f aca="false">IF(OR(R188="cash",R188="revenue",R188="avoided_cost_realised",R188="capacity_converted"),1,0)</f>
        <v>0</v>
      </c>
      <c r="U188" s="11" t="n">
        <f aca="false">IF(AND(N188,R188&lt;&gt;"capacity_hours",LEN(K188)&gt;0),1,0)</f>
        <v>0</v>
      </c>
      <c r="V188" s="11" t="n">
        <f aca="false">IF(U188=1,SUMPRODUCT(($K$4:$K$703=K188)*($F$4:$F$703=F188)*($U$4:$U$703=1)*($B$4:$B$703&lt;&gt;B188)),0)</f>
        <v>0</v>
      </c>
      <c r="W188" s="11" t="n">
        <f aca="false">IF(AND(U188=1,V188&gt;0),1+SUMPRODUCT(($K$4:$K$703=K188)*($F$4:$F$703=F188)*($U$4:$U$703=1)*($S$4:$S$703&gt;S188))+SUMPRODUCT(($K$4:$K$703=K188)*($F$4:$F$703=F188)*($U$4:$U$703=1)*($S$4:$S$703=S188)*($T$4:$T$703&gt;T188))+SUMPRODUCT(($K$4:$K$703=K188)*($F$4:$F$703=F188)*($U$4:$U$703=1)*($S$4:$S$703=S188)*($T$4:$T$703=T188)*($C$4:$C$703&lt;C188))+SUMPRODUCT(($K$4:$K$703=K188)*($F$4:$F$703=F188)*($U$4:$U$703=1)*($S$4:$S$703=S188)*($T$4:$T$703=T188)*($C$4:$C$703=C188)*($D$4:$D$703&lt;D188)),0)</f>
        <v>0</v>
      </c>
      <c r="X188" s="11" t="n">
        <f aca="false">IF(AND(U188=1,V188&gt;0,W188&gt;1),S188,0)</f>
        <v>0</v>
      </c>
      <c r="Y188" s="11" t="n">
        <f aca="false">IF(T188=1,X188/(1+Controls!$B$11)^F188,0)</f>
        <v>0</v>
      </c>
      <c r="Z188" s="11" t="n">
        <f aca="false">IF(AND(N188,E188="capacity",LEN(K188)&gt;0),1,0)</f>
        <v>1</v>
      </c>
      <c r="AA188" s="11" t="n">
        <f aca="false">IF(Z188=1,SUMPRODUCT(($K$4:$K$703=K188)*($F$4:$F$703=F188)*($Z$4:$Z$703=1)*($B$4:$B$703&lt;&gt;B188)),0)</f>
        <v>0</v>
      </c>
      <c r="AB188" s="11" t="n">
        <f aca="false">IF(AND(Z188=1,AA188&gt;0),1+SUMPRODUCT(($K$4:$K$703=K188)*($F$4:$F$703=F188)*($Z$4:$Z$703=1)*($P$4:$P$703&gt;P188))+SUMPRODUCT(($K$4:$K$703=K188)*($F$4:$F$703=F188)*($Z$4:$Z$703=1)*($P$4:$P$703=P188)*($C$4:$C$703&lt;C188))+SUMPRODUCT(($K$4:$K$703=K188)*($F$4:$F$703=F188)*($Z$4:$Z$703=1)*($P$4:$P$703=P188)*($C$4:$C$703=C188)*($D$4:$D$703&lt;D188)),0)</f>
        <v>0</v>
      </c>
      <c r="AC188" s="11" t="n">
        <f aca="false">IF(AND(Z188=1,AA188&gt;0,AB188&gt;1),P188,0)</f>
        <v>0</v>
      </c>
    </row>
    <row r="189" customFormat="false" ht="15" hidden="false" customHeight="false" outlineLevel="0" collapsed="false">
      <c r="A189" s="4" t="s">
        <v>408</v>
      </c>
      <c r="B189" s="4" t="s">
        <v>88</v>
      </c>
      <c r="C189" s="4" t="n">
        <v>6</v>
      </c>
      <c r="D189" s="4" t="n">
        <v>186</v>
      </c>
      <c r="E189" s="4" t="s">
        <v>233</v>
      </c>
      <c r="F189" s="4" t="n">
        <v>21</v>
      </c>
      <c r="G189" s="4" t="n">
        <v>16</v>
      </c>
      <c r="H189" s="4" t="n">
        <v>1580.07</v>
      </c>
      <c r="I189" s="13" t="b">
        <f aca="false">FALSE()</f>
        <v>0</v>
      </c>
      <c r="K189" s="4" t="s">
        <v>403</v>
      </c>
      <c r="L189" s="4" t="n">
        <v>195.3</v>
      </c>
      <c r="M189" s="11" t="n">
        <f aca="false">IFERROR(MATCH(Controls!$B$3&amp;"|"&amp;B189,'Scenario inputs'!$A$4:$A$213,0),0)</f>
        <v>137</v>
      </c>
      <c r="N189" s="8" t="b">
        <f aca="false">IF(M189=0,FALSE(),F189&lt;Controls!$B$12)</f>
        <v>1</v>
      </c>
      <c r="O189" s="11" t="n">
        <f aca="false">IF(N189,IF(INDEX('Scenario inputs'!$E$4:$E$213,M189)=0,1,INDEX('Scenario inputs'!$F$4:$M$213,M189,MIN(MAX(F189-G189,0),INDEX('Scenario inputs'!$E$4:$E$213,M189)-1)+1)),0)</f>
        <v>1</v>
      </c>
      <c r="P189" s="11" t="n">
        <f aca="false">H189*O189</f>
        <v>1580.07</v>
      </c>
      <c r="Q189" s="0" t="str">
        <f aca="false">IF(M189=0,"",IF(ISNUMBER(INDEX('Scenario inputs'!$N$4:$N$213,M189)),INDEX('Scenario inputs'!$N$4:$N$213,M189),""))</f>
        <v/>
      </c>
      <c r="R189" s="0" t="str">
        <f aca="false">IF(NOT(N189),"",IF(OR(E189="cash",E189="revenue"),E189,IF(E189="avoided_cost",IF(AND(I189,LEN(TRIM(J189))&gt;0),"avoided_cost_realised","avoided_cost_beside"),IF(ISNUMBER(Q189),"capacity_converted","capacity_hours"))))</f>
        <v>capacity_hours</v>
      </c>
      <c r="S189" s="11" t="n">
        <f aca="false">IF(OR(R189="",R189="capacity_hours"),0,IF(R189="capacity_converted",P189*Q189,P189))</f>
        <v>0</v>
      </c>
      <c r="T189" s="11" t="n">
        <f aca="false">IF(OR(R189="cash",R189="revenue",R189="avoided_cost_realised",R189="capacity_converted"),1,0)</f>
        <v>0</v>
      </c>
      <c r="U189" s="11" t="n">
        <f aca="false">IF(AND(N189,R189&lt;&gt;"capacity_hours",LEN(K189)&gt;0),1,0)</f>
        <v>0</v>
      </c>
      <c r="V189" s="11" t="n">
        <f aca="false">IF(U189=1,SUMPRODUCT(($K$4:$K$703=K189)*($F$4:$F$703=F189)*($U$4:$U$703=1)*($B$4:$B$703&lt;&gt;B189)),0)</f>
        <v>0</v>
      </c>
      <c r="W189" s="11" t="n">
        <f aca="false">IF(AND(U189=1,V189&gt;0),1+SUMPRODUCT(($K$4:$K$703=K189)*($F$4:$F$703=F189)*($U$4:$U$703=1)*($S$4:$S$703&gt;S189))+SUMPRODUCT(($K$4:$K$703=K189)*($F$4:$F$703=F189)*($U$4:$U$703=1)*($S$4:$S$703=S189)*($T$4:$T$703&gt;T189))+SUMPRODUCT(($K$4:$K$703=K189)*($F$4:$F$703=F189)*($U$4:$U$703=1)*($S$4:$S$703=S189)*($T$4:$T$703=T189)*($C$4:$C$703&lt;C189))+SUMPRODUCT(($K$4:$K$703=K189)*($F$4:$F$703=F189)*($U$4:$U$703=1)*($S$4:$S$703=S189)*($T$4:$T$703=T189)*($C$4:$C$703=C189)*($D$4:$D$703&lt;D189)),0)</f>
        <v>0</v>
      </c>
      <c r="X189" s="11" t="n">
        <f aca="false">IF(AND(U189=1,V189&gt;0,W189&gt;1),S189,0)</f>
        <v>0</v>
      </c>
      <c r="Y189" s="11" t="n">
        <f aca="false">IF(T189=1,X189/(1+Controls!$B$11)^F189,0)</f>
        <v>0</v>
      </c>
      <c r="Z189" s="11" t="n">
        <f aca="false">IF(AND(N189,E189="capacity",LEN(K189)&gt;0),1,0)</f>
        <v>1</v>
      </c>
      <c r="AA189" s="11" t="n">
        <f aca="false">IF(Z189=1,SUMPRODUCT(($K$4:$K$703=K189)*($F$4:$F$703=F189)*($Z$4:$Z$703=1)*($B$4:$B$703&lt;&gt;B189)),0)</f>
        <v>0</v>
      </c>
      <c r="AB189" s="11" t="n">
        <f aca="false">IF(AND(Z189=1,AA189&gt;0),1+SUMPRODUCT(($K$4:$K$703=K189)*($F$4:$F$703=F189)*($Z$4:$Z$703=1)*($P$4:$P$703&gt;P189))+SUMPRODUCT(($K$4:$K$703=K189)*($F$4:$F$703=F189)*($Z$4:$Z$703=1)*($P$4:$P$703=P189)*($C$4:$C$703&lt;C189))+SUMPRODUCT(($K$4:$K$703=K189)*($F$4:$F$703=F189)*($Z$4:$Z$703=1)*($P$4:$P$703=P189)*($C$4:$C$703=C189)*($D$4:$D$703&lt;D189)),0)</f>
        <v>0</v>
      </c>
      <c r="AC189" s="11" t="n">
        <f aca="false">IF(AND(Z189=1,AA189&gt;0,AB189&gt;1),P189,0)</f>
        <v>0</v>
      </c>
    </row>
    <row r="190" customFormat="false" ht="15" hidden="false" customHeight="false" outlineLevel="0" collapsed="false">
      <c r="A190" s="4" t="s">
        <v>409</v>
      </c>
      <c r="B190" s="4" t="s">
        <v>88</v>
      </c>
      <c r="C190" s="4" t="n">
        <v>6</v>
      </c>
      <c r="D190" s="4" t="n">
        <v>187</v>
      </c>
      <c r="E190" s="4" t="s">
        <v>233</v>
      </c>
      <c r="F190" s="4" t="n">
        <v>22</v>
      </c>
      <c r="G190" s="4" t="n">
        <v>16</v>
      </c>
      <c r="H190" s="4" t="n">
        <v>1580.07</v>
      </c>
      <c r="I190" s="13" t="b">
        <f aca="false">FALSE()</f>
        <v>0</v>
      </c>
      <c r="K190" s="4" t="s">
        <v>403</v>
      </c>
      <c r="L190" s="4" t="n">
        <v>195.3</v>
      </c>
      <c r="M190" s="11" t="n">
        <f aca="false">IFERROR(MATCH(Controls!$B$3&amp;"|"&amp;B190,'Scenario inputs'!$A$4:$A$213,0),0)</f>
        <v>137</v>
      </c>
      <c r="N190" s="8" t="b">
        <f aca="false">IF(M190=0,FALSE(),F190&lt;Controls!$B$12)</f>
        <v>1</v>
      </c>
      <c r="O190" s="11" t="n">
        <f aca="false">IF(N190,IF(INDEX('Scenario inputs'!$E$4:$E$213,M190)=0,1,INDEX('Scenario inputs'!$F$4:$M$213,M190,MIN(MAX(F190-G190,0),INDEX('Scenario inputs'!$E$4:$E$213,M190)-1)+1)),0)</f>
        <v>1</v>
      </c>
      <c r="P190" s="11" t="n">
        <f aca="false">H190*O190</f>
        <v>1580.07</v>
      </c>
      <c r="Q190" s="0" t="str">
        <f aca="false">IF(M190=0,"",IF(ISNUMBER(INDEX('Scenario inputs'!$N$4:$N$213,M190)),INDEX('Scenario inputs'!$N$4:$N$213,M190),""))</f>
        <v/>
      </c>
      <c r="R190" s="0" t="str">
        <f aca="false">IF(NOT(N190),"",IF(OR(E190="cash",E190="revenue"),E190,IF(E190="avoided_cost",IF(AND(I190,LEN(TRIM(J190))&gt;0),"avoided_cost_realised","avoided_cost_beside"),IF(ISNUMBER(Q190),"capacity_converted","capacity_hours"))))</f>
        <v>capacity_hours</v>
      </c>
      <c r="S190" s="11" t="n">
        <f aca="false">IF(OR(R190="",R190="capacity_hours"),0,IF(R190="capacity_converted",P190*Q190,P190))</f>
        <v>0</v>
      </c>
      <c r="T190" s="11" t="n">
        <f aca="false">IF(OR(R190="cash",R190="revenue",R190="avoided_cost_realised",R190="capacity_converted"),1,0)</f>
        <v>0</v>
      </c>
      <c r="U190" s="11" t="n">
        <f aca="false">IF(AND(N190,R190&lt;&gt;"capacity_hours",LEN(K190)&gt;0),1,0)</f>
        <v>0</v>
      </c>
      <c r="V190" s="11" t="n">
        <f aca="false">IF(U190=1,SUMPRODUCT(($K$4:$K$703=K190)*($F$4:$F$703=F190)*($U$4:$U$703=1)*($B$4:$B$703&lt;&gt;B190)),0)</f>
        <v>0</v>
      </c>
      <c r="W190" s="11" t="n">
        <f aca="false">IF(AND(U190=1,V190&gt;0),1+SUMPRODUCT(($K$4:$K$703=K190)*($F$4:$F$703=F190)*($U$4:$U$703=1)*($S$4:$S$703&gt;S190))+SUMPRODUCT(($K$4:$K$703=K190)*($F$4:$F$703=F190)*($U$4:$U$703=1)*($S$4:$S$703=S190)*($T$4:$T$703&gt;T190))+SUMPRODUCT(($K$4:$K$703=K190)*($F$4:$F$703=F190)*($U$4:$U$703=1)*($S$4:$S$703=S190)*($T$4:$T$703=T190)*($C$4:$C$703&lt;C190))+SUMPRODUCT(($K$4:$K$703=K190)*($F$4:$F$703=F190)*($U$4:$U$703=1)*($S$4:$S$703=S190)*($T$4:$T$703=T190)*($C$4:$C$703=C190)*($D$4:$D$703&lt;D190)),0)</f>
        <v>0</v>
      </c>
      <c r="X190" s="11" t="n">
        <f aca="false">IF(AND(U190=1,V190&gt;0,W190&gt;1),S190,0)</f>
        <v>0</v>
      </c>
      <c r="Y190" s="11" t="n">
        <f aca="false">IF(T190=1,X190/(1+Controls!$B$11)^F190,0)</f>
        <v>0</v>
      </c>
      <c r="Z190" s="11" t="n">
        <f aca="false">IF(AND(N190,E190="capacity",LEN(K190)&gt;0),1,0)</f>
        <v>1</v>
      </c>
      <c r="AA190" s="11" t="n">
        <f aca="false">IF(Z190=1,SUMPRODUCT(($K$4:$K$703=K190)*($F$4:$F$703=F190)*($Z$4:$Z$703=1)*($B$4:$B$703&lt;&gt;B190)),0)</f>
        <v>0</v>
      </c>
      <c r="AB190" s="11" t="n">
        <f aca="false">IF(AND(Z190=1,AA190&gt;0),1+SUMPRODUCT(($K$4:$K$703=K190)*($F$4:$F$703=F190)*($Z$4:$Z$703=1)*($P$4:$P$703&gt;P190))+SUMPRODUCT(($K$4:$K$703=K190)*($F$4:$F$703=F190)*($Z$4:$Z$703=1)*($P$4:$P$703=P190)*($C$4:$C$703&lt;C190))+SUMPRODUCT(($K$4:$K$703=K190)*($F$4:$F$703=F190)*($Z$4:$Z$703=1)*($P$4:$P$703=P190)*($C$4:$C$703=C190)*($D$4:$D$703&lt;D190)),0)</f>
        <v>0</v>
      </c>
      <c r="AC190" s="11" t="n">
        <f aca="false">IF(AND(Z190=1,AA190&gt;0,AB190&gt;1),P190,0)</f>
        <v>0</v>
      </c>
    </row>
    <row r="191" customFormat="false" ht="15" hidden="false" customHeight="false" outlineLevel="0" collapsed="false">
      <c r="A191" s="4" t="s">
        <v>410</v>
      </c>
      <c r="B191" s="4" t="s">
        <v>88</v>
      </c>
      <c r="C191" s="4" t="n">
        <v>6</v>
      </c>
      <c r="D191" s="4" t="n">
        <v>188</v>
      </c>
      <c r="E191" s="4" t="s">
        <v>233</v>
      </c>
      <c r="F191" s="4" t="n">
        <v>23</v>
      </c>
      <c r="G191" s="4" t="n">
        <v>16</v>
      </c>
      <c r="H191" s="4" t="n">
        <v>1580.07</v>
      </c>
      <c r="I191" s="13" t="b">
        <f aca="false">FALSE()</f>
        <v>0</v>
      </c>
      <c r="K191" s="4" t="s">
        <v>403</v>
      </c>
      <c r="L191" s="4" t="n">
        <v>195.3</v>
      </c>
      <c r="M191" s="11" t="n">
        <f aca="false">IFERROR(MATCH(Controls!$B$3&amp;"|"&amp;B191,'Scenario inputs'!$A$4:$A$213,0),0)</f>
        <v>137</v>
      </c>
      <c r="N191" s="8" t="b">
        <f aca="false">IF(M191=0,FALSE(),F191&lt;Controls!$B$12)</f>
        <v>1</v>
      </c>
      <c r="O191" s="11" t="n">
        <f aca="false">IF(N191,IF(INDEX('Scenario inputs'!$E$4:$E$213,M191)=0,1,INDEX('Scenario inputs'!$F$4:$M$213,M191,MIN(MAX(F191-G191,0),INDEX('Scenario inputs'!$E$4:$E$213,M191)-1)+1)),0)</f>
        <v>1</v>
      </c>
      <c r="P191" s="11" t="n">
        <f aca="false">H191*O191</f>
        <v>1580.07</v>
      </c>
      <c r="Q191" s="0" t="str">
        <f aca="false">IF(M191=0,"",IF(ISNUMBER(INDEX('Scenario inputs'!$N$4:$N$213,M191)),INDEX('Scenario inputs'!$N$4:$N$213,M191),""))</f>
        <v/>
      </c>
      <c r="R191" s="0" t="str">
        <f aca="false">IF(NOT(N191),"",IF(OR(E191="cash",E191="revenue"),E191,IF(E191="avoided_cost",IF(AND(I191,LEN(TRIM(J191))&gt;0),"avoided_cost_realised","avoided_cost_beside"),IF(ISNUMBER(Q191),"capacity_converted","capacity_hours"))))</f>
        <v>capacity_hours</v>
      </c>
      <c r="S191" s="11" t="n">
        <f aca="false">IF(OR(R191="",R191="capacity_hours"),0,IF(R191="capacity_converted",P191*Q191,P191))</f>
        <v>0</v>
      </c>
      <c r="T191" s="11" t="n">
        <f aca="false">IF(OR(R191="cash",R191="revenue",R191="avoided_cost_realised",R191="capacity_converted"),1,0)</f>
        <v>0</v>
      </c>
      <c r="U191" s="11" t="n">
        <f aca="false">IF(AND(N191,R191&lt;&gt;"capacity_hours",LEN(K191)&gt;0),1,0)</f>
        <v>0</v>
      </c>
      <c r="V191" s="11" t="n">
        <f aca="false">IF(U191=1,SUMPRODUCT(($K$4:$K$703=K191)*($F$4:$F$703=F191)*($U$4:$U$703=1)*($B$4:$B$703&lt;&gt;B191)),0)</f>
        <v>0</v>
      </c>
      <c r="W191" s="11" t="n">
        <f aca="false">IF(AND(U191=1,V191&gt;0),1+SUMPRODUCT(($K$4:$K$703=K191)*($F$4:$F$703=F191)*($U$4:$U$703=1)*($S$4:$S$703&gt;S191))+SUMPRODUCT(($K$4:$K$703=K191)*($F$4:$F$703=F191)*($U$4:$U$703=1)*($S$4:$S$703=S191)*($T$4:$T$703&gt;T191))+SUMPRODUCT(($K$4:$K$703=K191)*($F$4:$F$703=F191)*($U$4:$U$703=1)*($S$4:$S$703=S191)*($T$4:$T$703=T191)*($C$4:$C$703&lt;C191))+SUMPRODUCT(($K$4:$K$703=K191)*($F$4:$F$703=F191)*($U$4:$U$703=1)*($S$4:$S$703=S191)*($T$4:$T$703=T191)*($C$4:$C$703=C191)*($D$4:$D$703&lt;D191)),0)</f>
        <v>0</v>
      </c>
      <c r="X191" s="11" t="n">
        <f aca="false">IF(AND(U191=1,V191&gt;0,W191&gt;1),S191,0)</f>
        <v>0</v>
      </c>
      <c r="Y191" s="11" t="n">
        <f aca="false">IF(T191=1,X191/(1+Controls!$B$11)^F191,0)</f>
        <v>0</v>
      </c>
      <c r="Z191" s="11" t="n">
        <f aca="false">IF(AND(N191,E191="capacity",LEN(K191)&gt;0),1,0)</f>
        <v>1</v>
      </c>
      <c r="AA191" s="11" t="n">
        <f aca="false">IF(Z191=1,SUMPRODUCT(($K$4:$K$703=K191)*($F$4:$F$703=F191)*($Z$4:$Z$703=1)*($B$4:$B$703&lt;&gt;B191)),0)</f>
        <v>0</v>
      </c>
      <c r="AB191" s="11" t="n">
        <f aca="false">IF(AND(Z191=1,AA191&gt;0),1+SUMPRODUCT(($K$4:$K$703=K191)*($F$4:$F$703=F191)*($Z$4:$Z$703=1)*($P$4:$P$703&gt;P191))+SUMPRODUCT(($K$4:$K$703=K191)*($F$4:$F$703=F191)*($Z$4:$Z$703=1)*($P$4:$P$703=P191)*($C$4:$C$703&lt;C191))+SUMPRODUCT(($K$4:$K$703=K191)*($F$4:$F$703=F191)*($Z$4:$Z$703=1)*($P$4:$P$703=P191)*($C$4:$C$703=C191)*($D$4:$D$703&lt;D191)),0)</f>
        <v>0</v>
      </c>
      <c r="AC191" s="11" t="n">
        <f aca="false">IF(AND(Z191=1,AA191&gt;0,AB191&gt;1),P191,0)</f>
        <v>0</v>
      </c>
    </row>
    <row r="192" customFormat="false" ht="15" hidden="false" customHeight="false" outlineLevel="0" collapsed="false">
      <c r="A192" s="4" t="s">
        <v>411</v>
      </c>
      <c r="B192" s="4" t="s">
        <v>88</v>
      </c>
      <c r="C192" s="4" t="n">
        <v>6</v>
      </c>
      <c r="D192" s="4" t="n">
        <v>189</v>
      </c>
      <c r="E192" s="4" t="s">
        <v>233</v>
      </c>
      <c r="F192" s="4" t="n">
        <v>24</v>
      </c>
      <c r="G192" s="4" t="n">
        <v>16</v>
      </c>
      <c r="H192" s="4" t="n">
        <v>1580.07</v>
      </c>
      <c r="I192" s="13" t="b">
        <f aca="false">FALSE()</f>
        <v>0</v>
      </c>
      <c r="K192" s="4" t="s">
        <v>403</v>
      </c>
      <c r="L192" s="4" t="n">
        <v>195.3</v>
      </c>
      <c r="M192" s="11" t="n">
        <f aca="false">IFERROR(MATCH(Controls!$B$3&amp;"|"&amp;B192,'Scenario inputs'!$A$4:$A$213,0),0)</f>
        <v>137</v>
      </c>
      <c r="N192" s="8" t="b">
        <f aca="false">IF(M192=0,FALSE(),F192&lt;Controls!$B$12)</f>
        <v>1</v>
      </c>
      <c r="O192" s="11" t="n">
        <f aca="false">IF(N192,IF(INDEX('Scenario inputs'!$E$4:$E$213,M192)=0,1,INDEX('Scenario inputs'!$F$4:$M$213,M192,MIN(MAX(F192-G192,0),INDEX('Scenario inputs'!$E$4:$E$213,M192)-1)+1)),0)</f>
        <v>1</v>
      </c>
      <c r="P192" s="11" t="n">
        <f aca="false">H192*O192</f>
        <v>1580.07</v>
      </c>
      <c r="Q192" s="0" t="str">
        <f aca="false">IF(M192=0,"",IF(ISNUMBER(INDEX('Scenario inputs'!$N$4:$N$213,M192)),INDEX('Scenario inputs'!$N$4:$N$213,M192),""))</f>
        <v/>
      </c>
      <c r="R192" s="0" t="str">
        <f aca="false">IF(NOT(N192),"",IF(OR(E192="cash",E192="revenue"),E192,IF(E192="avoided_cost",IF(AND(I192,LEN(TRIM(J192))&gt;0),"avoided_cost_realised","avoided_cost_beside"),IF(ISNUMBER(Q192),"capacity_converted","capacity_hours"))))</f>
        <v>capacity_hours</v>
      </c>
      <c r="S192" s="11" t="n">
        <f aca="false">IF(OR(R192="",R192="capacity_hours"),0,IF(R192="capacity_converted",P192*Q192,P192))</f>
        <v>0</v>
      </c>
      <c r="T192" s="11" t="n">
        <f aca="false">IF(OR(R192="cash",R192="revenue",R192="avoided_cost_realised",R192="capacity_converted"),1,0)</f>
        <v>0</v>
      </c>
      <c r="U192" s="11" t="n">
        <f aca="false">IF(AND(N192,R192&lt;&gt;"capacity_hours",LEN(K192)&gt;0),1,0)</f>
        <v>0</v>
      </c>
      <c r="V192" s="11" t="n">
        <f aca="false">IF(U192=1,SUMPRODUCT(($K$4:$K$703=K192)*($F$4:$F$703=F192)*($U$4:$U$703=1)*($B$4:$B$703&lt;&gt;B192)),0)</f>
        <v>0</v>
      </c>
      <c r="W192" s="11" t="n">
        <f aca="false">IF(AND(U192=1,V192&gt;0),1+SUMPRODUCT(($K$4:$K$703=K192)*($F$4:$F$703=F192)*($U$4:$U$703=1)*($S$4:$S$703&gt;S192))+SUMPRODUCT(($K$4:$K$703=K192)*($F$4:$F$703=F192)*($U$4:$U$703=1)*($S$4:$S$703=S192)*($T$4:$T$703&gt;T192))+SUMPRODUCT(($K$4:$K$703=K192)*($F$4:$F$703=F192)*($U$4:$U$703=1)*($S$4:$S$703=S192)*($T$4:$T$703=T192)*($C$4:$C$703&lt;C192))+SUMPRODUCT(($K$4:$K$703=K192)*($F$4:$F$703=F192)*($U$4:$U$703=1)*($S$4:$S$703=S192)*($T$4:$T$703=T192)*($C$4:$C$703=C192)*($D$4:$D$703&lt;D192)),0)</f>
        <v>0</v>
      </c>
      <c r="X192" s="11" t="n">
        <f aca="false">IF(AND(U192=1,V192&gt;0,W192&gt;1),S192,0)</f>
        <v>0</v>
      </c>
      <c r="Y192" s="11" t="n">
        <f aca="false">IF(T192=1,X192/(1+Controls!$B$11)^F192,0)</f>
        <v>0</v>
      </c>
      <c r="Z192" s="11" t="n">
        <f aca="false">IF(AND(N192,E192="capacity",LEN(K192)&gt;0),1,0)</f>
        <v>1</v>
      </c>
      <c r="AA192" s="11" t="n">
        <f aca="false">IF(Z192=1,SUMPRODUCT(($K$4:$K$703=K192)*($F$4:$F$703=F192)*($Z$4:$Z$703=1)*($B$4:$B$703&lt;&gt;B192)),0)</f>
        <v>0</v>
      </c>
      <c r="AB192" s="11" t="n">
        <f aca="false">IF(AND(Z192=1,AA192&gt;0),1+SUMPRODUCT(($K$4:$K$703=K192)*($F$4:$F$703=F192)*($Z$4:$Z$703=1)*($P$4:$P$703&gt;P192))+SUMPRODUCT(($K$4:$K$703=K192)*($F$4:$F$703=F192)*($Z$4:$Z$703=1)*($P$4:$P$703=P192)*($C$4:$C$703&lt;C192))+SUMPRODUCT(($K$4:$K$703=K192)*($F$4:$F$703=F192)*($Z$4:$Z$703=1)*($P$4:$P$703=P192)*($C$4:$C$703=C192)*($D$4:$D$703&lt;D192)),0)</f>
        <v>0</v>
      </c>
      <c r="AC192" s="11" t="n">
        <f aca="false">IF(AND(Z192=1,AA192&gt;0,AB192&gt;1),P192,0)</f>
        <v>0</v>
      </c>
    </row>
    <row r="193" customFormat="false" ht="15" hidden="false" customHeight="false" outlineLevel="0" collapsed="false">
      <c r="A193" s="4" t="s">
        <v>412</v>
      </c>
      <c r="B193" s="4" t="s">
        <v>88</v>
      </c>
      <c r="C193" s="4" t="n">
        <v>6</v>
      </c>
      <c r="D193" s="4" t="n">
        <v>190</v>
      </c>
      <c r="E193" s="4" t="s">
        <v>233</v>
      </c>
      <c r="F193" s="4" t="n">
        <v>25</v>
      </c>
      <c r="G193" s="4" t="n">
        <v>16</v>
      </c>
      <c r="H193" s="4" t="n">
        <v>1580.07</v>
      </c>
      <c r="I193" s="13" t="b">
        <f aca="false">FALSE()</f>
        <v>0</v>
      </c>
      <c r="K193" s="4" t="s">
        <v>403</v>
      </c>
      <c r="L193" s="4" t="n">
        <v>195.3</v>
      </c>
      <c r="M193" s="11" t="n">
        <f aca="false">IFERROR(MATCH(Controls!$B$3&amp;"|"&amp;B193,'Scenario inputs'!$A$4:$A$213,0),0)</f>
        <v>137</v>
      </c>
      <c r="N193" s="8" t="b">
        <f aca="false">IF(M193=0,FALSE(),F193&lt;Controls!$B$12)</f>
        <v>1</v>
      </c>
      <c r="O193" s="11" t="n">
        <f aca="false">IF(N193,IF(INDEX('Scenario inputs'!$E$4:$E$213,M193)=0,1,INDEX('Scenario inputs'!$F$4:$M$213,M193,MIN(MAX(F193-G193,0),INDEX('Scenario inputs'!$E$4:$E$213,M193)-1)+1)),0)</f>
        <v>1</v>
      </c>
      <c r="P193" s="11" t="n">
        <f aca="false">H193*O193</f>
        <v>1580.07</v>
      </c>
      <c r="Q193" s="0" t="str">
        <f aca="false">IF(M193=0,"",IF(ISNUMBER(INDEX('Scenario inputs'!$N$4:$N$213,M193)),INDEX('Scenario inputs'!$N$4:$N$213,M193),""))</f>
        <v/>
      </c>
      <c r="R193" s="0" t="str">
        <f aca="false">IF(NOT(N193),"",IF(OR(E193="cash",E193="revenue"),E193,IF(E193="avoided_cost",IF(AND(I193,LEN(TRIM(J193))&gt;0),"avoided_cost_realised","avoided_cost_beside"),IF(ISNUMBER(Q193),"capacity_converted","capacity_hours"))))</f>
        <v>capacity_hours</v>
      </c>
      <c r="S193" s="11" t="n">
        <f aca="false">IF(OR(R193="",R193="capacity_hours"),0,IF(R193="capacity_converted",P193*Q193,P193))</f>
        <v>0</v>
      </c>
      <c r="T193" s="11" t="n">
        <f aca="false">IF(OR(R193="cash",R193="revenue",R193="avoided_cost_realised",R193="capacity_converted"),1,0)</f>
        <v>0</v>
      </c>
      <c r="U193" s="11" t="n">
        <f aca="false">IF(AND(N193,R193&lt;&gt;"capacity_hours",LEN(K193)&gt;0),1,0)</f>
        <v>0</v>
      </c>
      <c r="V193" s="11" t="n">
        <f aca="false">IF(U193=1,SUMPRODUCT(($K$4:$K$703=K193)*($F$4:$F$703=F193)*($U$4:$U$703=1)*($B$4:$B$703&lt;&gt;B193)),0)</f>
        <v>0</v>
      </c>
      <c r="W193" s="11" t="n">
        <f aca="false">IF(AND(U193=1,V193&gt;0),1+SUMPRODUCT(($K$4:$K$703=K193)*($F$4:$F$703=F193)*($U$4:$U$703=1)*($S$4:$S$703&gt;S193))+SUMPRODUCT(($K$4:$K$703=K193)*($F$4:$F$703=F193)*($U$4:$U$703=1)*($S$4:$S$703=S193)*($T$4:$T$703&gt;T193))+SUMPRODUCT(($K$4:$K$703=K193)*($F$4:$F$703=F193)*($U$4:$U$703=1)*($S$4:$S$703=S193)*($T$4:$T$703=T193)*($C$4:$C$703&lt;C193))+SUMPRODUCT(($K$4:$K$703=K193)*($F$4:$F$703=F193)*($U$4:$U$703=1)*($S$4:$S$703=S193)*($T$4:$T$703=T193)*($C$4:$C$703=C193)*($D$4:$D$703&lt;D193)),0)</f>
        <v>0</v>
      </c>
      <c r="X193" s="11" t="n">
        <f aca="false">IF(AND(U193=1,V193&gt;0,W193&gt;1),S193,0)</f>
        <v>0</v>
      </c>
      <c r="Y193" s="11" t="n">
        <f aca="false">IF(T193=1,X193/(1+Controls!$B$11)^F193,0)</f>
        <v>0</v>
      </c>
      <c r="Z193" s="11" t="n">
        <f aca="false">IF(AND(N193,E193="capacity",LEN(K193)&gt;0),1,0)</f>
        <v>1</v>
      </c>
      <c r="AA193" s="11" t="n">
        <f aca="false">IF(Z193=1,SUMPRODUCT(($K$4:$K$703=K193)*($F$4:$F$703=F193)*($Z$4:$Z$703=1)*($B$4:$B$703&lt;&gt;B193)),0)</f>
        <v>0</v>
      </c>
      <c r="AB193" s="11" t="n">
        <f aca="false">IF(AND(Z193=1,AA193&gt;0),1+SUMPRODUCT(($K$4:$K$703=K193)*($F$4:$F$703=F193)*($Z$4:$Z$703=1)*($P$4:$P$703&gt;P193))+SUMPRODUCT(($K$4:$K$703=K193)*($F$4:$F$703=F193)*($Z$4:$Z$703=1)*($P$4:$P$703=P193)*($C$4:$C$703&lt;C193))+SUMPRODUCT(($K$4:$K$703=K193)*($F$4:$F$703=F193)*($Z$4:$Z$703=1)*($P$4:$P$703=P193)*($C$4:$C$703=C193)*($D$4:$D$703&lt;D193)),0)</f>
        <v>0</v>
      </c>
      <c r="AC193" s="11" t="n">
        <f aca="false">IF(AND(Z193=1,AA193&gt;0,AB193&gt;1),P193,0)</f>
        <v>0</v>
      </c>
    </row>
    <row r="194" customFormat="false" ht="15" hidden="false" customHeight="false" outlineLevel="0" collapsed="false">
      <c r="A194" s="4" t="s">
        <v>413</v>
      </c>
      <c r="B194" s="4" t="s">
        <v>88</v>
      </c>
      <c r="C194" s="4" t="n">
        <v>6</v>
      </c>
      <c r="D194" s="4" t="n">
        <v>191</v>
      </c>
      <c r="E194" s="4" t="s">
        <v>233</v>
      </c>
      <c r="F194" s="4" t="n">
        <v>26</v>
      </c>
      <c r="G194" s="4" t="n">
        <v>16</v>
      </c>
      <c r="H194" s="4" t="n">
        <v>1580.07</v>
      </c>
      <c r="I194" s="13" t="b">
        <f aca="false">FALSE()</f>
        <v>0</v>
      </c>
      <c r="K194" s="4" t="s">
        <v>403</v>
      </c>
      <c r="L194" s="4" t="n">
        <v>195.3</v>
      </c>
      <c r="M194" s="11" t="n">
        <f aca="false">IFERROR(MATCH(Controls!$B$3&amp;"|"&amp;B194,'Scenario inputs'!$A$4:$A$213,0),0)</f>
        <v>137</v>
      </c>
      <c r="N194" s="8" t="b">
        <f aca="false">IF(M194=0,FALSE(),F194&lt;Controls!$B$12)</f>
        <v>1</v>
      </c>
      <c r="O194" s="11" t="n">
        <f aca="false">IF(N194,IF(INDEX('Scenario inputs'!$E$4:$E$213,M194)=0,1,INDEX('Scenario inputs'!$F$4:$M$213,M194,MIN(MAX(F194-G194,0),INDEX('Scenario inputs'!$E$4:$E$213,M194)-1)+1)),0)</f>
        <v>1</v>
      </c>
      <c r="P194" s="11" t="n">
        <f aca="false">H194*O194</f>
        <v>1580.07</v>
      </c>
      <c r="Q194" s="0" t="str">
        <f aca="false">IF(M194=0,"",IF(ISNUMBER(INDEX('Scenario inputs'!$N$4:$N$213,M194)),INDEX('Scenario inputs'!$N$4:$N$213,M194),""))</f>
        <v/>
      </c>
      <c r="R194" s="0" t="str">
        <f aca="false">IF(NOT(N194),"",IF(OR(E194="cash",E194="revenue"),E194,IF(E194="avoided_cost",IF(AND(I194,LEN(TRIM(J194))&gt;0),"avoided_cost_realised","avoided_cost_beside"),IF(ISNUMBER(Q194),"capacity_converted","capacity_hours"))))</f>
        <v>capacity_hours</v>
      </c>
      <c r="S194" s="11" t="n">
        <f aca="false">IF(OR(R194="",R194="capacity_hours"),0,IF(R194="capacity_converted",P194*Q194,P194))</f>
        <v>0</v>
      </c>
      <c r="T194" s="11" t="n">
        <f aca="false">IF(OR(R194="cash",R194="revenue",R194="avoided_cost_realised",R194="capacity_converted"),1,0)</f>
        <v>0</v>
      </c>
      <c r="U194" s="11" t="n">
        <f aca="false">IF(AND(N194,R194&lt;&gt;"capacity_hours",LEN(K194)&gt;0),1,0)</f>
        <v>0</v>
      </c>
      <c r="V194" s="11" t="n">
        <f aca="false">IF(U194=1,SUMPRODUCT(($K$4:$K$703=K194)*($F$4:$F$703=F194)*($U$4:$U$703=1)*($B$4:$B$703&lt;&gt;B194)),0)</f>
        <v>0</v>
      </c>
      <c r="W194" s="11" t="n">
        <f aca="false">IF(AND(U194=1,V194&gt;0),1+SUMPRODUCT(($K$4:$K$703=K194)*($F$4:$F$703=F194)*($U$4:$U$703=1)*($S$4:$S$703&gt;S194))+SUMPRODUCT(($K$4:$K$703=K194)*($F$4:$F$703=F194)*($U$4:$U$703=1)*($S$4:$S$703=S194)*($T$4:$T$703&gt;T194))+SUMPRODUCT(($K$4:$K$703=K194)*($F$4:$F$703=F194)*($U$4:$U$703=1)*($S$4:$S$703=S194)*($T$4:$T$703=T194)*($C$4:$C$703&lt;C194))+SUMPRODUCT(($K$4:$K$703=K194)*($F$4:$F$703=F194)*($U$4:$U$703=1)*($S$4:$S$703=S194)*($T$4:$T$703=T194)*($C$4:$C$703=C194)*($D$4:$D$703&lt;D194)),0)</f>
        <v>0</v>
      </c>
      <c r="X194" s="11" t="n">
        <f aca="false">IF(AND(U194=1,V194&gt;0,W194&gt;1),S194,0)</f>
        <v>0</v>
      </c>
      <c r="Y194" s="11" t="n">
        <f aca="false">IF(T194=1,X194/(1+Controls!$B$11)^F194,0)</f>
        <v>0</v>
      </c>
      <c r="Z194" s="11" t="n">
        <f aca="false">IF(AND(N194,E194="capacity",LEN(K194)&gt;0),1,0)</f>
        <v>1</v>
      </c>
      <c r="AA194" s="11" t="n">
        <f aca="false">IF(Z194=1,SUMPRODUCT(($K$4:$K$703=K194)*($F$4:$F$703=F194)*($Z$4:$Z$703=1)*($B$4:$B$703&lt;&gt;B194)),0)</f>
        <v>0</v>
      </c>
      <c r="AB194" s="11" t="n">
        <f aca="false">IF(AND(Z194=1,AA194&gt;0),1+SUMPRODUCT(($K$4:$K$703=K194)*($F$4:$F$703=F194)*($Z$4:$Z$703=1)*($P$4:$P$703&gt;P194))+SUMPRODUCT(($K$4:$K$703=K194)*($F$4:$F$703=F194)*($Z$4:$Z$703=1)*($P$4:$P$703=P194)*($C$4:$C$703&lt;C194))+SUMPRODUCT(($K$4:$K$703=K194)*($F$4:$F$703=F194)*($Z$4:$Z$703=1)*($P$4:$P$703=P194)*($C$4:$C$703=C194)*($D$4:$D$703&lt;D194)),0)</f>
        <v>0</v>
      </c>
      <c r="AC194" s="11" t="n">
        <f aca="false">IF(AND(Z194=1,AA194&gt;0,AB194&gt;1),P194,0)</f>
        <v>0</v>
      </c>
    </row>
    <row r="195" customFormat="false" ht="15" hidden="false" customHeight="false" outlineLevel="0" collapsed="false">
      <c r="A195" s="4" t="s">
        <v>414</v>
      </c>
      <c r="B195" s="4" t="s">
        <v>88</v>
      </c>
      <c r="C195" s="4" t="n">
        <v>6</v>
      </c>
      <c r="D195" s="4" t="n">
        <v>192</v>
      </c>
      <c r="E195" s="4" t="s">
        <v>233</v>
      </c>
      <c r="F195" s="4" t="n">
        <v>27</v>
      </c>
      <c r="G195" s="4" t="n">
        <v>16</v>
      </c>
      <c r="H195" s="4" t="n">
        <v>1580.07</v>
      </c>
      <c r="I195" s="13" t="b">
        <f aca="false">FALSE()</f>
        <v>0</v>
      </c>
      <c r="K195" s="4" t="s">
        <v>403</v>
      </c>
      <c r="L195" s="4" t="n">
        <v>195.3</v>
      </c>
      <c r="M195" s="11" t="n">
        <f aca="false">IFERROR(MATCH(Controls!$B$3&amp;"|"&amp;B195,'Scenario inputs'!$A$4:$A$213,0),0)</f>
        <v>137</v>
      </c>
      <c r="N195" s="8" t="b">
        <f aca="false">IF(M195=0,FALSE(),F195&lt;Controls!$B$12)</f>
        <v>1</v>
      </c>
      <c r="O195" s="11" t="n">
        <f aca="false">IF(N195,IF(INDEX('Scenario inputs'!$E$4:$E$213,M195)=0,1,INDEX('Scenario inputs'!$F$4:$M$213,M195,MIN(MAX(F195-G195,0),INDEX('Scenario inputs'!$E$4:$E$213,M195)-1)+1)),0)</f>
        <v>1</v>
      </c>
      <c r="P195" s="11" t="n">
        <f aca="false">H195*O195</f>
        <v>1580.07</v>
      </c>
      <c r="Q195" s="0" t="str">
        <f aca="false">IF(M195=0,"",IF(ISNUMBER(INDEX('Scenario inputs'!$N$4:$N$213,M195)),INDEX('Scenario inputs'!$N$4:$N$213,M195),""))</f>
        <v/>
      </c>
      <c r="R195" s="0" t="str">
        <f aca="false">IF(NOT(N195),"",IF(OR(E195="cash",E195="revenue"),E195,IF(E195="avoided_cost",IF(AND(I195,LEN(TRIM(J195))&gt;0),"avoided_cost_realised","avoided_cost_beside"),IF(ISNUMBER(Q195),"capacity_converted","capacity_hours"))))</f>
        <v>capacity_hours</v>
      </c>
      <c r="S195" s="11" t="n">
        <f aca="false">IF(OR(R195="",R195="capacity_hours"),0,IF(R195="capacity_converted",P195*Q195,P195))</f>
        <v>0</v>
      </c>
      <c r="T195" s="11" t="n">
        <f aca="false">IF(OR(R195="cash",R195="revenue",R195="avoided_cost_realised",R195="capacity_converted"),1,0)</f>
        <v>0</v>
      </c>
      <c r="U195" s="11" t="n">
        <f aca="false">IF(AND(N195,R195&lt;&gt;"capacity_hours",LEN(K195)&gt;0),1,0)</f>
        <v>0</v>
      </c>
      <c r="V195" s="11" t="n">
        <f aca="false">IF(U195=1,SUMPRODUCT(($K$4:$K$703=K195)*($F$4:$F$703=F195)*($U$4:$U$703=1)*($B$4:$B$703&lt;&gt;B195)),0)</f>
        <v>0</v>
      </c>
      <c r="W195" s="11" t="n">
        <f aca="false">IF(AND(U195=1,V195&gt;0),1+SUMPRODUCT(($K$4:$K$703=K195)*($F$4:$F$703=F195)*($U$4:$U$703=1)*($S$4:$S$703&gt;S195))+SUMPRODUCT(($K$4:$K$703=K195)*($F$4:$F$703=F195)*($U$4:$U$703=1)*($S$4:$S$703=S195)*($T$4:$T$703&gt;T195))+SUMPRODUCT(($K$4:$K$703=K195)*($F$4:$F$703=F195)*($U$4:$U$703=1)*($S$4:$S$703=S195)*($T$4:$T$703=T195)*($C$4:$C$703&lt;C195))+SUMPRODUCT(($K$4:$K$703=K195)*($F$4:$F$703=F195)*($U$4:$U$703=1)*($S$4:$S$703=S195)*($T$4:$T$703=T195)*($C$4:$C$703=C195)*($D$4:$D$703&lt;D195)),0)</f>
        <v>0</v>
      </c>
      <c r="X195" s="11" t="n">
        <f aca="false">IF(AND(U195=1,V195&gt;0,W195&gt;1),S195,0)</f>
        <v>0</v>
      </c>
      <c r="Y195" s="11" t="n">
        <f aca="false">IF(T195=1,X195/(1+Controls!$B$11)^F195,0)</f>
        <v>0</v>
      </c>
      <c r="Z195" s="11" t="n">
        <f aca="false">IF(AND(N195,E195="capacity",LEN(K195)&gt;0),1,0)</f>
        <v>1</v>
      </c>
      <c r="AA195" s="11" t="n">
        <f aca="false">IF(Z195=1,SUMPRODUCT(($K$4:$K$703=K195)*($F$4:$F$703=F195)*($Z$4:$Z$703=1)*($B$4:$B$703&lt;&gt;B195)),0)</f>
        <v>0</v>
      </c>
      <c r="AB195" s="11" t="n">
        <f aca="false">IF(AND(Z195=1,AA195&gt;0),1+SUMPRODUCT(($K$4:$K$703=K195)*($F$4:$F$703=F195)*($Z$4:$Z$703=1)*($P$4:$P$703&gt;P195))+SUMPRODUCT(($K$4:$K$703=K195)*($F$4:$F$703=F195)*($Z$4:$Z$703=1)*($P$4:$P$703=P195)*($C$4:$C$703&lt;C195))+SUMPRODUCT(($K$4:$K$703=K195)*($F$4:$F$703=F195)*($Z$4:$Z$703=1)*($P$4:$P$703=P195)*($C$4:$C$703=C195)*($D$4:$D$703&lt;D195)),0)</f>
        <v>0</v>
      </c>
      <c r="AC195" s="11" t="n">
        <f aca="false">IF(AND(Z195=1,AA195&gt;0,AB195&gt;1),P195,0)</f>
        <v>0</v>
      </c>
    </row>
    <row r="196" customFormat="false" ht="15" hidden="false" customHeight="false" outlineLevel="0" collapsed="false">
      <c r="A196" s="4" t="s">
        <v>415</v>
      </c>
      <c r="B196" s="4" t="s">
        <v>89</v>
      </c>
      <c r="C196" s="4" t="n">
        <v>7</v>
      </c>
      <c r="D196" s="4" t="n">
        <v>193</v>
      </c>
      <c r="E196" s="4" t="s">
        <v>113</v>
      </c>
      <c r="F196" s="4" t="n">
        <v>1</v>
      </c>
      <c r="G196" s="4" t="n">
        <v>1</v>
      </c>
      <c r="H196" s="4" t="n">
        <v>316850</v>
      </c>
      <c r="I196" s="13" t="b">
        <f aca="false">FALSE()</f>
        <v>0</v>
      </c>
      <c r="K196" s="4" t="s">
        <v>416</v>
      </c>
      <c r="L196" s="4" t="n">
        <v>804.96</v>
      </c>
      <c r="M196" s="11" t="n">
        <f aca="false">IFERROR(MATCH(Controls!$B$3&amp;"|"&amp;B196,'Scenario inputs'!$A$4:$A$213,0),0)</f>
        <v>138</v>
      </c>
      <c r="N196" s="8" t="b">
        <f aca="false">IF(M196=0,FALSE(),F196&lt;Controls!$B$12)</f>
        <v>1</v>
      </c>
      <c r="O196" s="11" t="n">
        <f aca="false">IF(N196,IF(INDEX('Scenario inputs'!$E$4:$E$213,M196)=0,1,INDEX('Scenario inputs'!$F$4:$M$213,M196,MIN(MAX(F196-G196,0),INDEX('Scenario inputs'!$E$4:$E$213,M196)-1)+1)),0)</f>
        <v>0.027778</v>
      </c>
      <c r="P196" s="11" t="n">
        <f aca="false">H196*O196</f>
        <v>8801.4593</v>
      </c>
      <c r="Q196" s="11" t="n">
        <f aca="false">IF(M196=0,"",IF(ISNUMBER(INDEX('Scenario inputs'!$N$4:$N$213,M196)),INDEX('Scenario inputs'!$N$4:$N$213,M196),""))</f>
        <v>30.59</v>
      </c>
      <c r="R196" s="0" t="str">
        <f aca="false">IF(NOT(N196),"",IF(OR(E196="cash",E196="revenue"),E196,IF(E196="avoided_cost",IF(AND(I196,LEN(TRIM(J196))&gt;0),"avoided_cost_realised","avoided_cost_beside"),IF(ISNUMBER(Q196),"capacity_converted","capacity_hours"))))</f>
        <v>revenue</v>
      </c>
      <c r="S196" s="11" t="n">
        <f aca="false">IF(OR(R196="",R196="capacity_hours"),0,IF(R196="capacity_converted",P196*Q196,P196))</f>
        <v>8801.4593</v>
      </c>
      <c r="T196" s="11" t="n">
        <f aca="false">IF(OR(R196="cash",R196="revenue",R196="avoided_cost_realised",R196="capacity_converted"),1,0)</f>
        <v>1</v>
      </c>
      <c r="U196" s="11" t="n">
        <f aca="false">IF(AND(N196,R196&lt;&gt;"capacity_hours",LEN(K196)&gt;0),1,0)</f>
        <v>1</v>
      </c>
      <c r="V196" s="11" t="n">
        <f aca="false">IF(U196=1,SUMPRODUCT(($K$4:$K$703=K196)*($F$4:$F$703=F196)*($U$4:$U$703=1)*($B$4:$B$703&lt;&gt;B196)),0)</f>
        <v>0</v>
      </c>
      <c r="W196" s="11" t="n">
        <f aca="false">IF(AND(U196=1,V196&gt;0),1+SUMPRODUCT(($K$4:$K$703=K196)*($F$4:$F$703=F196)*($U$4:$U$703=1)*($S$4:$S$703&gt;S196))+SUMPRODUCT(($K$4:$K$703=K196)*($F$4:$F$703=F196)*($U$4:$U$703=1)*($S$4:$S$703=S196)*($T$4:$T$703&gt;T196))+SUMPRODUCT(($K$4:$K$703=K196)*($F$4:$F$703=F196)*($U$4:$U$703=1)*($S$4:$S$703=S196)*($T$4:$T$703=T196)*($C$4:$C$703&lt;C196))+SUMPRODUCT(($K$4:$K$703=K196)*($F$4:$F$703=F196)*($U$4:$U$703=1)*($S$4:$S$703=S196)*($T$4:$T$703=T196)*($C$4:$C$703=C196)*($D$4:$D$703&lt;D196)),0)</f>
        <v>0</v>
      </c>
      <c r="X196" s="11" t="n">
        <f aca="false">IF(AND(U196=1,V196&gt;0,W196&gt;1),S196,0)</f>
        <v>0</v>
      </c>
      <c r="Y196" s="11" t="n">
        <f aca="false">IF(T196=1,X196/(1+Controls!$B$11)^F196,0)</f>
        <v>0</v>
      </c>
      <c r="Z196" s="11" t="n">
        <f aca="false">IF(AND(N196,E196="capacity",LEN(K196)&gt;0),1,0)</f>
        <v>0</v>
      </c>
      <c r="AA196" s="11" t="n">
        <f aca="false">IF(Z196=1,SUMPRODUCT(($K$4:$K$703=K196)*($F$4:$F$703=F196)*($Z$4:$Z$703=1)*($B$4:$B$703&lt;&gt;B196)),0)</f>
        <v>0</v>
      </c>
      <c r="AB196" s="11" t="n">
        <f aca="false">IF(AND(Z196=1,AA196&gt;0),1+SUMPRODUCT(($K$4:$K$703=K196)*($F$4:$F$703=F196)*($Z$4:$Z$703=1)*($P$4:$P$703&gt;P196))+SUMPRODUCT(($K$4:$K$703=K196)*($F$4:$F$703=F196)*($Z$4:$Z$703=1)*($P$4:$P$703=P196)*($C$4:$C$703&lt;C196))+SUMPRODUCT(($K$4:$K$703=K196)*($F$4:$F$703=F196)*($Z$4:$Z$703=1)*($P$4:$P$703=P196)*($C$4:$C$703=C196)*($D$4:$D$703&lt;D196)),0)</f>
        <v>0</v>
      </c>
      <c r="AC196" s="11" t="n">
        <f aca="false">IF(AND(Z196=1,AA196&gt;0,AB196&gt;1),P196,0)</f>
        <v>0</v>
      </c>
    </row>
    <row r="197" customFormat="false" ht="15" hidden="false" customHeight="false" outlineLevel="0" collapsed="false">
      <c r="A197" s="4" t="s">
        <v>417</v>
      </c>
      <c r="B197" s="4" t="s">
        <v>89</v>
      </c>
      <c r="C197" s="4" t="n">
        <v>7</v>
      </c>
      <c r="D197" s="4" t="n">
        <v>194</v>
      </c>
      <c r="E197" s="4" t="s">
        <v>113</v>
      </c>
      <c r="F197" s="4" t="n">
        <v>2</v>
      </c>
      <c r="G197" s="4" t="n">
        <v>1</v>
      </c>
      <c r="H197" s="4" t="n">
        <v>316850</v>
      </c>
      <c r="I197" s="13" t="b">
        <f aca="false">FALSE()</f>
        <v>0</v>
      </c>
      <c r="K197" s="4" t="s">
        <v>416</v>
      </c>
      <c r="L197" s="4" t="n">
        <v>2343.12</v>
      </c>
      <c r="M197" s="11" t="n">
        <f aca="false">IFERROR(MATCH(Controls!$B$3&amp;"|"&amp;B197,'Scenario inputs'!$A$4:$A$213,0),0)</f>
        <v>138</v>
      </c>
      <c r="N197" s="8" t="b">
        <f aca="false">IF(M197=0,FALSE(),F197&lt;Controls!$B$12)</f>
        <v>1</v>
      </c>
      <c r="O197" s="11" t="n">
        <f aca="false">IF(N197,IF(INDEX('Scenario inputs'!$E$4:$E$213,M197)=0,1,INDEX('Scenario inputs'!$F$4:$M$213,M197,MIN(MAX(F197-G197,0),INDEX('Scenario inputs'!$E$4:$E$213,M197)-1)+1)),0)</f>
        <v>0.083333</v>
      </c>
      <c r="P197" s="11" t="n">
        <f aca="false">H197*O197</f>
        <v>26404.06105</v>
      </c>
      <c r="Q197" s="11" t="n">
        <f aca="false">IF(M197=0,"",IF(ISNUMBER(INDEX('Scenario inputs'!$N$4:$N$213,M197)),INDEX('Scenario inputs'!$N$4:$N$213,M197),""))</f>
        <v>30.59</v>
      </c>
      <c r="R197" s="0" t="str">
        <f aca="false">IF(NOT(N197),"",IF(OR(E197="cash",E197="revenue"),E197,IF(E197="avoided_cost",IF(AND(I197,LEN(TRIM(J197))&gt;0),"avoided_cost_realised","avoided_cost_beside"),IF(ISNUMBER(Q197),"capacity_converted","capacity_hours"))))</f>
        <v>revenue</v>
      </c>
      <c r="S197" s="11" t="n">
        <f aca="false">IF(OR(R197="",R197="capacity_hours"),0,IF(R197="capacity_converted",P197*Q197,P197))</f>
        <v>26404.06105</v>
      </c>
      <c r="T197" s="11" t="n">
        <f aca="false">IF(OR(R197="cash",R197="revenue",R197="avoided_cost_realised",R197="capacity_converted"),1,0)</f>
        <v>1</v>
      </c>
      <c r="U197" s="11" t="n">
        <f aca="false">IF(AND(N197,R197&lt;&gt;"capacity_hours",LEN(K197)&gt;0),1,0)</f>
        <v>1</v>
      </c>
      <c r="V197" s="11" t="n">
        <f aca="false">IF(U197=1,SUMPRODUCT(($K$4:$K$703=K197)*($F$4:$F$703=F197)*($U$4:$U$703=1)*($B$4:$B$703&lt;&gt;B197)),0)</f>
        <v>0</v>
      </c>
      <c r="W197" s="11" t="n">
        <f aca="false">IF(AND(U197=1,V197&gt;0),1+SUMPRODUCT(($K$4:$K$703=K197)*($F$4:$F$703=F197)*($U$4:$U$703=1)*($S$4:$S$703&gt;S197))+SUMPRODUCT(($K$4:$K$703=K197)*($F$4:$F$703=F197)*($U$4:$U$703=1)*($S$4:$S$703=S197)*($T$4:$T$703&gt;T197))+SUMPRODUCT(($K$4:$K$703=K197)*($F$4:$F$703=F197)*($U$4:$U$703=1)*($S$4:$S$703=S197)*($T$4:$T$703=T197)*($C$4:$C$703&lt;C197))+SUMPRODUCT(($K$4:$K$703=K197)*($F$4:$F$703=F197)*($U$4:$U$703=1)*($S$4:$S$703=S197)*($T$4:$T$703=T197)*($C$4:$C$703=C197)*($D$4:$D$703&lt;D197)),0)</f>
        <v>0</v>
      </c>
      <c r="X197" s="11" t="n">
        <f aca="false">IF(AND(U197=1,V197&gt;0,W197&gt;1),S197,0)</f>
        <v>0</v>
      </c>
      <c r="Y197" s="11" t="n">
        <f aca="false">IF(T197=1,X197/(1+Controls!$B$11)^F197,0)</f>
        <v>0</v>
      </c>
      <c r="Z197" s="11" t="n">
        <f aca="false">IF(AND(N197,E197="capacity",LEN(K197)&gt;0),1,0)</f>
        <v>0</v>
      </c>
      <c r="AA197" s="11" t="n">
        <f aca="false">IF(Z197=1,SUMPRODUCT(($K$4:$K$703=K197)*($F$4:$F$703=F197)*($Z$4:$Z$703=1)*($B$4:$B$703&lt;&gt;B197)),0)</f>
        <v>0</v>
      </c>
      <c r="AB197" s="11" t="n">
        <f aca="false">IF(AND(Z197=1,AA197&gt;0),1+SUMPRODUCT(($K$4:$K$703=K197)*($F$4:$F$703=F197)*($Z$4:$Z$703=1)*($P$4:$P$703&gt;P197))+SUMPRODUCT(($K$4:$K$703=K197)*($F$4:$F$703=F197)*($Z$4:$Z$703=1)*($P$4:$P$703=P197)*($C$4:$C$703&lt;C197))+SUMPRODUCT(($K$4:$K$703=K197)*($F$4:$F$703=F197)*($Z$4:$Z$703=1)*($P$4:$P$703=P197)*($C$4:$C$703=C197)*($D$4:$D$703&lt;D197)),0)</f>
        <v>0</v>
      </c>
      <c r="AC197" s="11" t="n">
        <f aca="false">IF(AND(Z197=1,AA197&gt;0,AB197&gt;1),P197,0)</f>
        <v>0</v>
      </c>
    </row>
    <row r="198" customFormat="false" ht="15" hidden="false" customHeight="false" outlineLevel="0" collapsed="false">
      <c r="A198" s="4" t="s">
        <v>418</v>
      </c>
      <c r="B198" s="4" t="s">
        <v>89</v>
      </c>
      <c r="C198" s="4" t="n">
        <v>7</v>
      </c>
      <c r="D198" s="4" t="n">
        <v>195</v>
      </c>
      <c r="E198" s="4" t="s">
        <v>113</v>
      </c>
      <c r="F198" s="4" t="n">
        <v>3</v>
      </c>
      <c r="G198" s="4" t="n">
        <v>1</v>
      </c>
      <c r="H198" s="4" t="n">
        <v>316850</v>
      </c>
      <c r="I198" s="13" t="b">
        <f aca="false">FALSE()</f>
        <v>0</v>
      </c>
      <c r="K198" s="4" t="s">
        <v>416</v>
      </c>
      <c r="L198" s="4" t="n">
        <v>4829.73</v>
      </c>
      <c r="M198" s="11" t="n">
        <f aca="false">IFERROR(MATCH(Controls!$B$3&amp;"|"&amp;B198,'Scenario inputs'!$A$4:$A$213,0),0)</f>
        <v>138</v>
      </c>
      <c r="N198" s="8" t="b">
        <f aca="false">IF(M198=0,FALSE(),F198&lt;Controls!$B$12)</f>
        <v>1</v>
      </c>
      <c r="O198" s="11" t="n">
        <f aca="false">IF(N198,IF(INDEX('Scenario inputs'!$E$4:$E$213,M198)=0,1,INDEX('Scenario inputs'!$F$4:$M$213,M198,MIN(MAX(F198-G198,0),INDEX('Scenario inputs'!$E$4:$E$213,M198)-1)+1)),0)</f>
        <v>0.166667</v>
      </c>
      <c r="P198" s="11" t="n">
        <f aca="false">H198*O198</f>
        <v>52808.43895</v>
      </c>
      <c r="Q198" s="11" t="n">
        <f aca="false">IF(M198=0,"",IF(ISNUMBER(INDEX('Scenario inputs'!$N$4:$N$213,M198)),INDEX('Scenario inputs'!$N$4:$N$213,M198),""))</f>
        <v>30.59</v>
      </c>
      <c r="R198" s="0" t="str">
        <f aca="false">IF(NOT(N198),"",IF(OR(E198="cash",E198="revenue"),E198,IF(E198="avoided_cost",IF(AND(I198,LEN(TRIM(J198))&gt;0),"avoided_cost_realised","avoided_cost_beside"),IF(ISNUMBER(Q198),"capacity_converted","capacity_hours"))))</f>
        <v>revenue</v>
      </c>
      <c r="S198" s="11" t="n">
        <f aca="false">IF(OR(R198="",R198="capacity_hours"),0,IF(R198="capacity_converted",P198*Q198,P198))</f>
        <v>52808.43895</v>
      </c>
      <c r="T198" s="11" t="n">
        <f aca="false">IF(OR(R198="cash",R198="revenue",R198="avoided_cost_realised",R198="capacity_converted"),1,0)</f>
        <v>1</v>
      </c>
      <c r="U198" s="11" t="n">
        <f aca="false">IF(AND(N198,R198&lt;&gt;"capacity_hours",LEN(K198)&gt;0),1,0)</f>
        <v>1</v>
      </c>
      <c r="V198" s="11" t="n">
        <f aca="false">IF(U198=1,SUMPRODUCT(($K$4:$K$703=K198)*($F$4:$F$703=F198)*($U$4:$U$703=1)*($B$4:$B$703&lt;&gt;B198)),0)</f>
        <v>0</v>
      </c>
      <c r="W198" s="11" t="n">
        <f aca="false">IF(AND(U198=1,V198&gt;0),1+SUMPRODUCT(($K$4:$K$703=K198)*($F$4:$F$703=F198)*($U$4:$U$703=1)*($S$4:$S$703&gt;S198))+SUMPRODUCT(($K$4:$K$703=K198)*($F$4:$F$703=F198)*($U$4:$U$703=1)*($S$4:$S$703=S198)*($T$4:$T$703&gt;T198))+SUMPRODUCT(($K$4:$K$703=K198)*($F$4:$F$703=F198)*($U$4:$U$703=1)*($S$4:$S$703=S198)*($T$4:$T$703=T198)*($C$4:$C$703&lt;C198))+SUMPRODUCT(($K$4:$K$703=K198)*($F$4:$F$703=F198)*($U$4:$U$703=1)*($S$4:$S$703=S198)*($T$4:$T$703=T198)*($C$4:$C$703=C198)*($D$4:$D$703&lt;D198)),0)</f>
        <v>0</v>
      </c>
      <c r="X198" s="11" t="n">
        <f aca="false">IF(AND(U198=1,V198&gt;0,W198&gt;1),S198,0)</f>
        <v>0</v>
      </c>
      <c r="Y198" s="11" t="n">
        <f aca="false">IF(T198=1,X198/(1+Controls!$B$11)^F198,0)</f>
        <v>0</v>
      </c>
      <c r="Z198" s="11" t="n">
        <f aca="false">IF(AND(N198,E198="capacity",LEN(K198)&gt;0),1,0)</f>
        <v>0</v>
      </c>
      <c r="AA198" s="11" t="n">
        <f aca="false">IF(Z198=1,SUMPRODUCT(($K$4:$K$703=K198)*($F$4:$F$703=F198)*($Z$4:$Z$703=1)*($B$4:$B$703&lt;&gt;B198)),0)</f>
        <v>0</v>
      </c>
      <c r="AB198" s="11" t="n">
        <f aca="false">IF(AND(Z198=1,AA198&gt;0),1+SUMPRODUCT(($K$4:$K$703=K198)*($F$4:$F$703=F198)*($Z$4:$Z$703=1)*($P$4:$P$703&gt;P198))+SUMPRODUCT(($K$4:$K$703=K198)*($F$4:$F$703=F198)*($Z$4:$Z$703=1)*($P$4:$P$703=P198)*($C$4:$C$703&lt;C198))+SUMPRODUCT(($K$4:$K$703=K198)*($F$4:$F$703=F198)*($Z$4:$Z$703=1)*($P$4:$P$703=P198)*($C$4:$C$703=C198)*($D$4:$D$703&lt;D198)),0)</f>
        <v>0</v>
      </c>
      <c r="AC198" s="11" t="n">
        <f aca="false">IF(AND(Z198=1,AA198&gt;0,AB198&gt;1),P198,0)</f>
        <v>0</v>
      </c>
    </row>
    <row r="199" customFormat="false" ht="15" hidden="false" customHeight="false" outlineLevel="0" collapsed="false">
      <c r="A199" s="4" t="s">
        <v>419</v>
      </c>
      <c r="B199" s="4" t="s">
        <v>89</v>
      </c>
      <c r="C199" s="4" t="n">
        <v>7</v>
      </c>
      <c r="D199" s="4" t="n">
        <v>196</v>
      </c>
      <c r="E199" s="4" t="s">
        <v>113</v>
      </c>
      <c r="F199" s="4" t="n">
        <v>4</v>
      </c>
      <c r="G199" s="4" t="n">
        <v>1</v>
      </c>
      <c r="H199" s="4" t="n">
        <v>316850</v>
      </c>
      <c r="I199" s="13" t="b">
        <f aca="false">FALSE()</f>
        <v>0</v>
      </c>
      <c r="K199" s="4" t="s">
        <v>416</v>
      </c>
      <c r="L199" s="4" t="n">
        <v>8129.24</v>
      </c>
      <c r="M199" s="11" t="n">
        <f aca="false">IFERROR(MATCH(Controls!$B$3&amp;"|"&amp;B199,'Scenario inputs'!$A$4:$A$213,0),0)</f>
        <v>138</v>
      </c>
      <c r="N199" s="8" t="b">
        <f aca="false">IF(M199=0,FALSE(),F199&lt;Controls!$B$12)</f>
        <v>1</v>
      </c>
      <c r="O199" s="11" t="n">
        <f aca="false">IF(N199,IF(INDEX('Scenario inputs'!$E$4:$E$213,M199)=0,1,INDEX('Scenario inputs'!$F$4:$M$213,M199,MIN(MAX(F199-G199,0),INDEX('Scenario inputs'!$E$4:$E$213,M199)-1)+1)),0)</f>
        <v>0.277778</v>
      </c>
      <c r="P199" s="11" t="n">
        <f aca="false">H199*O199</f>
        <v>88013.9593</v>
      </c>
      <c r="Q199" s="11" t="n">
        <f aca="false">IF(M199=0,"",IF(ISNUMBER(INDEX('Scenario inputs'!$N$4:$N$213,M199)),INDEX('Scenario inputs'!$N$4:$N$213,M199),""))</f>
        <v>30.59</v>
      </c>
      <c r="R199" s="0" t="str">
        <f aca="false">IF(NOT(N199),"",IF(OR(E199="cash",E199="revenue"),E199,IF(E199="avoided_cost",IF(AND(I199,LEN(TRIM(J199))&gt;0),"avoided_cost_realised","avoided_cost_beside"),IF(ISNUMBER(Q199),"capacity_converted","capacity_hours"))))</f>
        <v>revenue</v>
      </c>
      <c r="S199" s="11" t="n">
        <f aca="false">IF(OR(R199="",R199="capacity_hours"),0,IF(R199="capacity_converted",P199*Q199,P199))</f>
        <v>88013.9593</v>
      </c>
      <c r="T199" s="11" t="n">
        <f aca="false">IF(OR(R199="cash",R199="revenue",R199="avoided_cost_realised",R199="capacity_converted"),1,0)</f>
        <v>1</v>
      </c>
      <c r="U199" s="11" t="n">
        <f aca="false">IF(AND(N199,R199&lt;&gt;"capacity_hours",LEN(K199)&gt;0),1,0)</f>
        <v>1</v>
      </c>
      <c r="V199" s="11" t="n">
        <f aca="false">IF(U199=1,SUMPRODUCT(($K$4:$K$703=K199)*($F$4:$F$703=F199)*($U$4:$U$703=1)*($B$4:$B$703&lt;&gt;B199)),0)</f>
        <v>0</v>
      </c>
      <c r="W199" s="11" t="n">
        <f aca="false">IF(AND(U199=1,V199&gt;0),1+SUMPRODUCT(($K$4:$K$703=K199)*($F$4:$F$703=F199)*($U$4:$U$703=1)*($S$4:$S$703&gt;S199))+SUMPRODUCT(($K$4:$K$703=K199)*($F$4:$F$703=F199)*($U$4:$U$703=1)*($S$4:$S$703=S199)*($T$4:$T$703&gt;T199))+SUMPRODUCT(($K$4:$K$703=K199)*($F$4:$F$703=F199)*($U$4:$U$703=1)*($S$4:$S$703=S199)*($T$4:$T$703=T199)*($C$4:$C$703&lt;C199))+SUMPRODUCT(($K$4:$K$703=K199)*($F$4:$F$703=F199)*($U$4:$U$703=1)*($S$4:$S$703=S199)*($T$4:$T$703=T199)*($C$4:$C$703=C199)*($D$4:$D$703&lt;D199)),0)</f>
        <v>0</v>
      </c>
      <c r="X199" s="11" t="n">
        <f aca="false">IF(AND(U199=1,V199&gt;0,W199&gt;1),S199,0)</f>
        <v>0</v>
      </c>
      <c r="Y199" s="11" t="n">
        <f aca="false">IF(T199=1,X199/(1+Controls!$B$11)^F199,0)</f>
        <v>0</v>
      </c>
      <c r="Z199" s="11" t="n">
        <f aca="false">IF(AND(N199,E199="capacity",LEN(K199)&gt;0),1,0)</f>
        <v>0</v>
      </c>
      <c r="AA199" s="11" t="n">
        <f aca="false">IF(Z199=1,SUMPRODUCT(($K$4:$K$703=K199)*($F$4:$F$703=F199)*($Z$4:$Z$703=1)*($B$4:$B$703&lt;&gt;B199)),0)</f>
        <v>0</v>
      </c>
      <c r="AB199" s="11" t="n">
        <f aca="false">IF(AND(Z199=1,AA199&gt;0),1+SUMPRODUCT(($K$4:$K$703=K199)*($F$4:$F$703=F199)*($Z$4:$Z$703=1)*($P$4:$P$703&gt;P199))+SUMPRODUCT(($K$4:$K$703=K199)*($F$4:$F$703=F199)*($Z$4:$Z$703=1)*($P$4:$P$703=P199)*($C$4:$C$703&lt;C199))+SUMPRODUCT(($K$4:$K$703=K199)*($F$4:$F$703=F199)*($Z$4:$Z$703=1)*($P$4:$P$703=P199)*($C$4:$C$703=C199)*($D$4:$D$703&lt;D199)),0)</f>
        <v>0</v>
      </c>
      <c r="AC199" s="11" t="n">
        <f aca="false">IF(AND(Z199=1,AA199&gt;0,AB199&gt;1),P199,0)</f>
        <v>0</v>
      </c>
    </row>
    <row r="200" customFormat="false" ht="15" hidden="false" customHeight="false" outlineLevel="0" collapsed="false">
      <c r="A200" s="4" t="s">
        <v>420</v>
      </c>
      <c r="B200" s="4" t="s">
        <v>89</v>
      </c>
      <c r="C200" s="4" t="n">
        <v>7</v>
      </c>
      <c r="D200" s="4" t="n">
        <v>197</v>
      </c>
      <c r="E200" s="4" t="s">
        <v>113</v>
      </c>
      <c r="F200" s="4" t="n">
        <v>5</v>
      </c>
      <c r="G200" s="4" t="n">
        <v>1</v>
      </c>
      <c r="H200" s="4" t="n">
        <v>316850</v>
      </c>
      <c r="I200" s="13" t="b">
        <f aca="false">FALSE()</f>
        <v>0</v>
      </c>
      <c r="K200" s="4" t="s">
        <v>416</v>
      </c>
      <c r="L200" s="4" t="n">
        <v>12074.31</v>
      </c>
      <c r="M200" s="11" t="n">
        <f aca="false">IFERROR(MATCH(Controls!$B$3&amp;"|"&amp;B200,'Scenario inputs'!$A$4:$A$213,0),0)</f>
        <v>138</v>
      </c>
      <c r="N200" s="8" t="b">
        <f aca="false">IF(M200=0,FALSE(),F200&lt;Controls!$B$12)</f>
        <v>1</v>
      </c>
      <c r="O200" s="11" t="n">
        <f aca="false">IF(N200,IF(INDEX('Scenario inputs'!$E$4:$E$213,M200)=0,1,INDEX('Scenario inputs'!$F$4:$M$213,M200,MIN(MAX(F200-G200,0),INDEX('Scenario inputs'!$E$4:$E$213,M200)-1)+1)),0)</f>
        <v>0.416667</v>
      </c>
      <c r="P200" s="11" t="n">
        <f aca="false">H200*O200</f>
        <v>132020.93895</v>
      </c>
      <c r="Q200" s="11" t="n">
        <f aca="false">IF(M200=0,"",IF(ISNUMBER(INDEX('Scenario inputs'!$N$4:$N$213,M200)),INDEX('Scenario inputs'!$N$4:$N$213,M200),""))</f>
        <v>30.59</v>
      </c>
      <c r="R200" s="0" t="str">
        <f aca="false">IF(NOT(N200),"",IF(OR(E200="cash",E200="revenue"),E200,IF(E200="avoided_cost",IF(AND(I200,LEN(TRIM(J200))&gt;0),"avoided_cost_realised","avoided_cost_beside"),IF(ISNUMBER(Q200),"capacity_converted","capacity_hours"))))</f>
        <v>revenue</v>
      </c>
      <c r="S200" s="11" t="n">
        <f aca="false">IF(OR(R200="",R200="capacity_hours"),0,IF(R200="capacity_converted",P200*Q200,P200))</f>
        <v>132020.93895</v>
      </c>
      <c r="T200" s="11" t="n">
        <f aca="false">IF(OR(R200="cash",R200="revenue",R200="avoided_cost_realised",R200="capacity_converted"),1,0)</f>
        <v>1</v>
      </c>
      <c r="U200" s="11" t="n">
        <f aca="false">IF(AND(N200,R200&lt;&gt;"capacity_hours",LEN(K200)&gt;0),1,0)</f>
        <v>1</v>
      </c>
      <c r="V200" s="11" t="n">
        <f aca="false">IF(U200=1,SUMPRODUCT(($K$4:$K$703=K200)*($F$4:$F$703=F200)*($U$4:$U$703=1)*($B$4:$B$703&lt;&gt;B200)),0)</f>
        <v>0</v>
      </c>
      <c r="W200" s="11" t="n">
        <f aca="false">IF(AND(U200=1,V200&gt;0),1+SUMPRODUCT(($K$4:$K$703=K200)*($F$4:$F$703=F200)*($U$4:$U$703=1)*($S$4:$S$703&gt;S200))+SUMPRODUCT(($K$4:$K$703=K200)*($F$4:$F$703=F200)*($U$4:$U$703=1)*($S$4:$S$703=S200)*($T$4:$T$703&gt;T200))+SUMPRODUCT(($K$4:$K$703=K200)*($F$4:$F$703=F200)*($U$4:$U$703=1)*($S$4:$S$703=S200)*($T$4:$T$703=T200)*($C$4:$C$703&lt;C200))+SUMPRODUCT(($K$4:$K$703=K200)*($F$4:$F$703=F200)*($U$4:$U$703=1)*($S$4:$S$703=S200)*($T$4:$T$703=T200)*($C$4:$C$703=C200)*($D$4:$D$703&lt;D200)),0)</f>
        <v>0</v>
      </c>
      <c r="X200" s="11" t="n">
        <f aca="false">IF(AND(U200=1,V200&gt;0,W200&gt;1),S200,0)</f>
        <v>0</v>
      </c>
      <c r="Y200" s="11" t="n">
        <f aca="false">IF(T200=1,X200/(1+Controls!$B$11)^F200,0)</f>
        <v>0</v>
      </c>
      <c r="Z200" s="11" t="n">
        <f aca="false">IF(AND(N200,E200="capacity",LEN(K200)&gt;0),1,0)</f>
        <v>0</v>
      </c>
      <c r="AA200" s="11" t="n">
        <f aca="false">IF(Z200=1,SUMPRODUCT(($K$4:$K$703=K200)*($F$4:$F$703=F200)*($Z$4:$Z$703=1)*($B$4:$B$703&lt;&gt;B200)),0)</f>
        <v>0</v>
      </c>
      <c r="AB200" s="11" t="n">
        <f aca="false">IF(AND(Z200=1,AA200&gt;0),1+SUMPRODUCT(($K$4:$K$703=K200)*($F$4:$F$703=F200)*($Z$4:$Z$703=1)*($P$4:$P$703&gt;P200))+SUMPRODUCT(($K$4:$K$703=K200)*($F$4:$F$703=F200)*($Z$4:$Z$703=1)*($P$4:$P$703=P200)*($C$4:$C$703&lt;C200))+SUMPRODUCT(($K$4:$K$703=K200)*($F$4:$F$703=F200)*($Z$4:$Z$703=1)*($P$4:$P$703=P200)*($C$4:$C$703=C200)*($D$4:$D$703&lt;D200)),0)</f>
        <v>0</v>
      </c>
      <c r="AC200" s="11" t="n">
        <f aca="false">IF(AND(Z200=1,AA200&gt;0,AB200&gt;1),P200,0)</f>
        <v>0</v>
      </c>
    </row>
    <row r="201" customFormat="false" ht="15" hidden="false" customHeight="false" outlineLevel="0" collapsed="false">
      <c r="A201" s="4" t="s">
        <v>421</v>
      </c>
      <c r="B201" s="4" t="s">
        <v>89</v>
      </c>
      <c r="C201" s="4" t="n">
        <v>7</v>
      </c>
      <c r="D201" s="4" t="n">
        <v>198</v>
      </c>
      <c r="E201" s="4" t="s">
        <v>113</v>
      </c>
      <c r="F201" s="4" t="n">
        <v>6</v>
      </c>
      <c r="G201" s="4" t="n">
        <v>1</v>
      </c>
      <c r="H201" s="4" t="n">
        <v>316850</v>
      </c>
      <c r="I201" s="13" t="b">
        <f aca="false">FALSE()</f>
        <v>0</v>
      </c>
      <c r="K201" s="4" t="s">
        <v>416</v>
      </c>
      <c r="L201" s="4" t="n">
        <v>17238.74</v>
      </c>
      <c r="M201" s="11" t="n">
        <f aca="false">IFERROR(MATCH(Controls!$B$3&amp;"|"&amp;B201,'Scenario inputs'!$A$4:$A$213,0),0)</f>
        <v>138</v>
      </c>
      <c r="N201" s="8" t="b">
        <f aca="false">IF(M201=0,FALSE(),F201&lt;Controls!$B$12)</f>
        <v>1</v>
      </c>
      <c r="O201" s="11" t="n">
        <f aca="false">IF(N201,IF(INDEX('Scenario inputs'!$E$4:$E$213,M201)=0,1,INDEX('Scenario inputs'!$F$4:$M$213,M201,MIN(MAX(F201-G201,0),INDEX('Scenario inputs'!$E$4:$E$213,M201)-1)+1)),0)</f>
        <v>0.583333</v>
      </c>
      <c r="P201" s="11" t="n">
        <f aca="false">H201*O201</f>
        <v>184829.06105</v>
      </c>
      <c r="Q201" s="11" t="n">
        <f aca="false">IF(M201=0,"",IF(ISNUMBER(INDEX('Scenario inputs'!$N$4:$N$213,M201)),INDEX('Scenario inputs'!$N$4:$N$213,M201),""))</f>
        <v>30.59</v>
      </c>
      <c r="R201" s="0" t="str">
        <f aca="false">IF(NOT(N201),"",IF(OR(E201="cash",E201="revenue"),E201,IF(E201="avoided_cost",IF(AND(I201,LEN(TRIM(J201))&gt;0),"avoided_cost_realised","avoided_cost_beside"),IF(ISNUMBER(Q201),"capacity_converted","capacity_hours"))))</f>
        <v>revenue</v>
      </c>
      <c r="S201" s="11" t="n">
        <f aca="false">IF(OR(R201="",R201="capacity_hours"),0,IF(R201="capacity_converted",P201*Q201,P201))</f>
        <v>184829.06105</v>
      </c>
      <c r="T201" s="11" t="n">
        <f aca="false">IF(OR(R201="cash",R201="revenue",R201="avoided_cost_realised",R201="capacity_converted"),1,0)</f>
        <v>1</v>
      </c>
      <c r="U201" s="11" t="n">
        <f aca="false">IF(AND(N201,R201&lt;&gt;"capacity_hours",LEN(K201)&gt;0),1,0)</f>
        <v>1</v>
      </c>
      <c r="V201" s="11" t="n">
        <f aca="false">IF(U201=1,SUMPRODUCT(($K$4:$K$703=K201)*($F$4:$F$703=F201)*($U$4:$U$703=1)*($B$4:$B$703&lt;&gt;B201)),0)</f>
        <v>0</v>
      </c>
      <c r="W201" s="11" t="n">
        <f aca="false">IF(AND(U201=1,V201&gt;0),1+SUMPRODUCT(($K$4:$K$703=K201)*($F$4:$F$703=F201)*($U$4:$U$703=1)*($S$4:$S$703&gt;S201))+SUMPRODUCT(($K$4:$K$703=K201)*($F$4:$F$703=F201)*($U$4:$U$703=1)*($S$4:$S$703=S201)*($T$4:$T$703&gt;T201))+SUMPRODUCT(($K$4:$K$703=K201)*($F$4:$F$703=F201)*($U$4:$U$703=1)*($S$4:$S$703=S201)*($T$4:$T$703=T201)*($C$4:$C$703&lt;C201))+SUMPRODUCT(($K$4:$K$703=K201)*($F$4:$F$703=F201)*($U$4:$U$703=1)*($S$4:$S$703=S201)*($T$4:$T$703=T201)*($C$4:$C$703=C201)*($D$4:$D$703&lt;D201)),0)</f>
        <v>0</v>
      </c>
      <c r="X201" s="11" t="n">
        <f aca="false">IF(AND(U201=1,V201&gt;0,W201&gt;1),S201,0)</f>
        <v>0</v>
      </c>
      <c r="Y201" s="11" t="n">
        <f aca="false">IF(T201=1,X201/(1+Controls!$B$11)^F201,0)</f>
        <v>0</v>
      </c>
      <c r="Z201" s="11" t="n">
        <f aca="false">IF(AND(N201,E201="capacity",LEN(K201)&gt;0),1,0)</f>
        <v>0</v>
      </c>
      <c r="AA201" s="11" t="n">
        <f aca="false">IF(Z201=1,SUMPRODUCT(($K$4:$K$703=K201)*($F$4:$F$703=F201)*($Z$4:$Z$703=1)*($B$4:$B$703&lt;&gt;B201)),0)</f>
        <v>0</v>
      </c>
      <c r="AB201" s="11" t="n">
        <f aca="false">IF(AND(Z201=1,AA201&gt;0),1+SUMPRODUCT(($K$4:$K$703=K201)*($F$4:$F$703=F201)*($Z$4:$Z$703=1)*($P$4:$P$703&gt;P201))+SUMPRODUCT(($K$4:$K$703=K201)*($F$4:$F$703=F201)*($Z$4:$Z$703=1)*($P$4:$P$703=P201)*($C$4:$C$703&lt;C201))+SUMPRODUCT(($K$4:$K$703=K201)*($F$4:$F$703=F201)*($Z$4:$Z$703=1)*($P$4:$P$703=P201)*($C$4:$C$703=C201)*($D$4:$D$703&lt;D201)),0)</f>
        <v>0</v>
      </c>
      <c r="AC201" s="11" t="n">
        <f aca="false">IF(AND(Z201=1,AA201&gt;0,AB201&gt;1),P201,0)</f>
        <v>0</v>
      </c>
    </row>
    <row r="202" customFormat="false" ht="15" hidden="false" customHeight="false" outlineLevel="0" collapsed="false">
      <c r="A202" s="4" t="s">
        <v>422</v>
      </c>
      <c r="B202" s="4" t="s">
        <v>89</v>
      </c>
      <c r="C202" s="4" t="n">
        <v>7</v>
      </c>
      <c r="D202" s="4" t="n">
        <v>199</v>
      </c>
      <c r="E202" s="4" t="s">
        <v>113</v>
      </c>
      <c r="F202" s="4" t="n">
        <v>7</v>
      </c>
      <c r="G202" s="4" t="n">
        <v>1</v>
      </c>
      <c r="H202" s="4" t="n">
        <v>316850</v>
      </c>
      <c r="I202" s="13" t="b">
        <f aca="false">FALSE()</f>
        <v>0</v>
      </c>
      <c r="K202" s="4" t="s">
        <v>416</v>
      </c>
      <c r="L202" s="4" t="n">
        <v>22761.85</v>
      </c>
      <c r="M202" s="11" t="n">
        <f aca="false">IFERROR(MATCH(Controls!$B$3&amp;"|"&amp;B202,'Scenario inputs'!$A$4:$A$213,0),0)</f>
        <v>138</v>
      </c>
      <c r="N202" s="8" t="b">
        <f aca="false">IF(M202=0,FALSE(),F202&lt;Controls!$B$12)</f>
        <v>1</v>
      </c>
      <c r="O202" s="11" t="n">
        <f aca="false">IF(N202,IF(INDEX('Scenario inputs'!$E$4:$E$213,M202)=0,1,INDEX('Scenario inputs'!$F$4:$M$213,M202,MIN(MAX(F202-G202,0),INDEX('Scenario inputs'!$E$4:$E$213,M202)-1)+1)),0)</f>
        <v>0.777778</v>
      </c>
      <c r="P202" s="11" t="n">
        <f aca="false">H202*O202</f>
        <v>246438.9593</v>
      </c>
      <c r="Q202" s="11" t="n">
        <f aca="false">IF(M202=0,"",IF(ISNUMBER(INDEX('Scenario inputs'!$N$4:$N$213,M202)),INDEX('Scenario inputs'!$N$4:$N$213,M202),""))</f>
        <v>30.59</v>
      </c>
      <c r="R202" s="0" t="str">
        <f aca="false">IF(NOT(N202),"",IF(OR(E202="cash",E202="revenue"),E202,IF(E202="avoided_cost",IF(AND(I202,LEN(TRIM(J202))&gt;0),"avoided_cost_realised","avoided_cost_beside"),IF(ISNUMBER(Q202),"capacity_converted","capacity_hours"))))</f>
        <v>revenue</v>
      </c>
      <c r="S202" s="11" t="n">
        <f aca="false">IF(OR(R202="",R202="capacity_hours"),0,IF(R202="capacity_converted",P202*Q202,P202))</f>
        <v>246438.9593</v>
      </c>
      <c r="T202" s="11" t="n">
        <f aca="false">IF(OR(R202="cash",R202="revenue",R202="avoided_cost_realised",R202="capacity_converted"),1,0)</f>
        <v>1</v>
      </c>
      <c r="U202" s="11" t="n">
        <f aca="false">IF(AND(N202,R202&lt;&gt;"capacity_hours",LEN(K202)&gt;0),1,0)</f>
        <v>1</v>
      </c>
      <c r="V202" s="11" t="n">
        <f aca="false">IF(U202=1,SUMPRODUCT(($K$4:$K$703=K202)*($F$4:$F$703=F202)*($U$4:$U$703=1)*($B$4:$B$703&lt;&gt;B202)),0)</f>
        <v>0</v>
      </c>
      <c r="W202" s="11" t="n">
        <f aca="false">IF(AND(U202=1,V202&gt;0),1+SUMPRODUCT(($K$4:$K$703=K202)*($F$4:$F$703=F202)*($U$4:$U$703=1)*($S$4:$S$703&gt;S202))+SUMPRODUCT(($K$4:$K$703=K202)*($F$4:$F$703=F202)*($U$4:$U$703=1)*($S$4:$S$703=S202)*($T$4:$T$703&gt;T202))+SUMPRODUCT(($K$4:$K$703=K202)*($F$4:$F$703=F202)*($U$4:$U$703=1)*($S$4:$S$703=S202)*($T$4:$T$703=T202)*($C$4:$C$703&lt;C202))+SUMPRODUCT(($K$4:$K$703=K202)*($F$4:$F$703=F202)*($U$4:$U$703=1)*($S$4:$S$703=S202)*($T$4:$T$703=T202)*($C$4:$C$703=C202)*($D$4:$D$703&lt;D202)),0)</f>
        <v>0</v>
      </c>
      <c r="X202" s="11" t="n">
        <f aca="false">IF(AND(U202=1,V202&gt;0,W202&gt;1),S202,0)</f>
        <v>0</v>
      </c>
      <c r="Y202" s="11" t="n">
        <f aca="false">IF(T202=1,X202/(1+Controls!$B$11)^F202,0)</f>
        <v>0</v>
      </c>
      <c r="Z202" s="11" t="n">
        <f aca="false">IF(AND(N202,E202="capacity",LEN(K202)&gt;0),1,0)</f>
        <v>0</v>
      </c>
      <c r="AA202" s="11" t="n">
        <f aca="false">IF(Z202=1,SUMPRODUCT(($K$4:$K$703=K202)*($F$4:$F$703=F202)*($Z$4:$Z$703=1)*($B$4:$B$703&lt;&gt;B202)),0)</f>
        <v>0</v>
      </c>
      <c r="AB202" s="11" t="n">
        <f aca="false">IF(AND(Z202=1,AA202&gt;0),1+SUMPRODUCT(($K$4:$K$703=K202)*($F$4:$F$703=F202)*($Z$4:$Z$703=1)*($P$4:$P$703&gt;P202))+SUMPRODUCT(($K$4:$K$703=K202)*($F$4:$F$703=F202)*($Z$4:$Z$703=1)*($P$4:$P$703=P202)*($C$4:$C$703&lt;C202))+SUMPRODUCT(($K$4:$K$703=K202)*($F$4:$F$703=F202)*($Z$4:$Z$703=1)*($P$4:$P$703=P202)*($C$4:$C$703=C202)*($D$4:$D$703&lt;D202)),0)</f>
        <v>0</v>
      </c>
      <c r="AC202" s="11" t="n">
        <f aca="false">IF(AND(Z202=1,AA202&gt;0,AB202&gt;1),P202,0)</f>
        <v>0</v>
      </c>
    </row>
    <row r="203" customFormat="false" ht="15" hidden="false" customHeight="false" outlineLevel="0" collapsed="false">
      <c r="A203" s="4" t="s">
        <v>423</v>
      </c>
      <c r="B203" s="4" t="s">
        <v>89</v>
      </c>
      <c r="C203" s="4" t="n">
        <v>7</v>
      </c>
      <c r="D203" s="4" t="n">
        <v>200</v>
      </c>
      <c r="E203" s="4" t="s">
        <v>113</v>
      </c>
      <c r="F203" s="4" t="n">
        <v>8</v>
      </c>
      <c r="G203" s="4" t="n">
        <v>1</v>
      </c>
      <c r="H203" s="4" t="n">
        <v>316850</v>
      </c>
      <c r="I203" s="13" t="b">
        <f aca="false">FALSE()</f>
        <v>0</v>
      </c>
      <c r="K203" s="4" t="s">
        <v>416</v>
      </c>
      <c r="L203" s="4" t="n">
        <v>28404.49</v>
      </c>
      <c r="M203" s="11" t="n">
        <f aca="false">IFERROR(MATCH(Controls!$B$3&amp;"|"&amp;B203,'Scenario inputs'!$A$4:$A$213,0),0)</f>
        <v>138</v>
      </c>
      <c r="N203" s="8" t="b">
        <f aca="false">IF(M203=0,FALSE(),F203&lt;Controls!$B$12)</f>
        <v>1</v>
      </c>
      <c r="O203" s="11" t="n">
        <f aca="false">IF(N203,IF(INDEX('Scenario inputs'!$E$4:$E$213,M203)=0,1,INDEX('Scenario inputs'!$F$4:$M$213,M203,MIN(MAX(F203-G203,0),INDEX('Scenario inputs'!$E$4:$E$213,M203)-1)+1)),0)</f>
        <v>1</v>
      </c>
      <c r="P203" s="11" t="n">
        <f aca="false">H203*O203</f>
        <v>316850</v>
      </c>
      <c r="Q203" s="11" t="n">
        <f aca="false">IF(M203=0,"",IF(ISNUMBER(INDEX('Scenario inputs'!$N$4:$N$213,M203)),INDEX('Scenario inputs'!$N$4:$N$213,M203),""))</f>
        <v>30.59</v>
      </c>
      <c r="R203" s="0" t="str">
        <f aca="false">IF(NOT(N203),"",IF(OR(E203="cash",E203="revenue"),E203,IF(E203="avoided_cost",IF(AND(I203,LEN(TRIM(J203))&gt;0),"avoided_cost_realised","avoided_cost_beside"),IF(ISNUMBER(Q203),"capacity_converted","capacity_hours"))))</f>
        <v>revenue</v>
      </c>
      <c r="S203" s="11" t="n">
        <f aca="false">IF(OR(R203="",R203="capacity_hours"),0,IF(R203="capacity_converted",P203*Q203,P203))</f>
        <v>316850</v>
      </c>
      <c r="T203" s="11" t="n">
        <f aca="false">IF(OR(R203="cash",R203="revenue",R203="avoided_cost_realised",R203="capacity_converted"),1,0)</f>
        <v>1</v>
      </c>
      <c r="U203" s="11" t="n">
        <f aca="false">IF(AND(N203,R203&lt;&gt;"capacity_hours",LEN(K203)&gt;0),1,0)</f>
        <v>1</v>
      </c>
      <c r="V203" s="11" t="n">
        <f aca="false">IF(U203=1,SUMPRODUCT(($K$4:$K$703=K203)*($F$4:$F$703=F203)*($U$4:$U$703=1)*($B$4:$B$703&lt;&gt;B203)),0)</f>
        <v>0</v>
      </c>
      <c r="W203" s="11" t="n">
        <f aca="false">IF(AND(U203=1,V203&gt;0),1+SUMPRODUCT(($K$4:$K$703=K203)*($F$4:$F$703=F203)*($U$4:$U$703=1)*($S$4:$S$703&gt;S203))+SUMPRODUCT(($K$4:$K$703=K203)*($F$4:$F$703=F203)*($U$4:$U$703=1)*($S$4:$S$703=S203)*($T$4:$T$703&gt;T203))+SUMPRODUCT(($K$4:$K$703=K203)*($F$4:$F$703=F203)*($U$4:$U$703=1)*($S$4:$S$703=S203)*($T$4:$T$703=T203)*($C$4:$C$703&lt;C203))+SUMPRODUCT(($K$4:$K$703=K203)*($F$4:$F$703=F203)*($U$4:$U$703=1)*($S$4:$S$703=S203)*($T$4:$T$703=T203)*($C$4:$C$703=C203)*($D$4:$D$703&lt;D203)),0)</f>
        <v>0</v>
      </c>
      <c r="X203" s="11" t="n">
        <f aca="false">IF(AND(U203=1,V203&gt;0,W203&gt;1),S203,0)</f>
        <v>0</v>
      </c>
      <c r="Y203" s="11" t="n">
        <f aca="false">IF(T203=1,X203/(1+Controls!$B$11)^F203,0)</f>
        <v>0</v>
      </c>
      <c r="Z203" s="11" t="n">
        <f aca="false">IF(AND(N203,E203="capacity",LEN(K203)&gt;0),1,0)</f>
        <v>0</v>
      </c>
      <c r="AA203" s="11" t="n">
        <f aca="false">IF(Z203=1,SUMPRODUCT(($K$4:$K$703=K203)*($F$4:$F$703=F203)*($Z$4:$Z$703=1)*($B$4:$B$703&lt;&gt;B203)),0)</f>
        <v>0</v>
      </c>
      <c r="AB203" s="11" t="n">
        <f aca="false">IF(AND(Z203=1,AA203&gt;0),1+SUMPRODUCT(($K$4:$K$703=K203)*($F$4:$F$703=F203)*($Z$4:$Z$703=1)*($P$4:$P$703&gt;P203))+SUMPRODUCT(($K$4:$K$703=K203)*($F$4:$F$703=F203)*($Z$4:$Z$703=1)*($P$4:$P$703=P203)*($C$4:$C$703&lt;C203))+SUMPRODUCT(($K$4:$K$703=K203)*($F$4:$F$703=F203)*($Z$4:$Z$703=1)*($P$4:$P$703=P203)*($C$4:$C$703=C203)*($D$4:$D$703&lt;D203)),0)</f>
        <v>0</v>
      </c>
      <c r="AC203" s="11" t="n">
        <f aca="false">IF(AND(Z203=1,AA203&gt;0,AB203&gt;1),P203,0)</f>
        <v>0</v>
      </c>
    </row>
    <row r="204" customFormat="false" ht="15" hidden="false" customHeight="false" outlineLevel="0" collapsed="false">
      <c r="A204" s="4" t="s">
        <v>424</v>
      </c>
      <c r="B204" s="4" t="s">
        <v>89</v>
      </c>
      <c r="C204" s="4" t="n">
        <v>7</v>
      </c>
      <c r="D204" s="4" t="n">
        <v>201</v>
      </c>
      <c r="E204" s="4" t="s">
        <v>113</v>
      </c>
      <c r="F204" s="4" t="n">
        <v>9</v>
      </c>
      <c r="G204" s="4" t="n">
        <v>1</v>
      </c>
      <c r="H204" s="4" t="n">
        <v>316850</v>
      </c>
      <c r="I204" s="13" t="b">
        <f aca="false">FALSE()</f>
        <v>0</v>
      </c>
      <c r="K204" s="4" t="s">
        <v>416</v>
      </c>
      <c r="L204" s="4" t="n">
        <v>34156.43</v>
      </c>
      <c r="M204" s="11" t="n">
        <f aca="false">IFERROR(MATCH(Controls!$B$3&amp;"|"&amp;B204,'Scenario inputs'!$A$4:$A$213,0),0)</f>
        <v>138</v>
      </c>
      <c r="N204" s="8" t="b">
        <f aca="false">IF(M204=0,FALSE(),F204&lt;Controls!$B$12)</f>
        <v>1</v>
      </c>
      <c r="O204" s="11" t="n">
        <f aca="false">IF(N204,IF(INDEX('Scenario inputs'!$E$4:$E$213,M204)=0,1,INDEX('Scenario inputs'!$F$4:$M$213,M204,MIN(MAX(F204-G204,0),INDEX('Scenario inputs'!$E$4:$E$213,M204)-1)+1)),0)</f>
        <v>1</v>
      </c>
      <c r="P204" s="11" t="n">
        <f aca="false">H204*O204</f>
        <v>316850</v>
      </c>
      <c r="Q204" s="11" t="n">
        <f aca="false">IF(M204=0,"",IF(ISNUMBER(INDEX('Scenario inputs'!$N$4:$N$213,M204)),INDEX('Scenario inputs'!$N$4:$N$213,M204),""))</f>
        <v>30.59</v>
      </c>
      <c r="R204" s="0" t="str">
        <f aca="false">IF(NOT(N204),"",IF(OR(E204="cash",E204="revenue"),E204,IF(E204="avoided_cost",IF(AND(I204,LEN(TRIM(J204))&gt;0),"avoided_cost_realised","avoided_cost_beside"),IF(ISNUMBER(Q204),"capacity_converted","capacity_hours"))))</f>
        <v>revenue</v>
      </c>
      <c r="S204" s="11" t="n">
        <f aca="false">IF(OR(R204="",R204="capacity_hours"),0,IF(R204="capacity_converted",P204*Q204,P204))</f>
        <v>316850</v>
      </c>
      <c r="T204" s="11" t="n">
        <f aca="false">IF(OR(R204="cash",R204="revenue",R204="avoided_cost_realised",R204="capacity_converted"),1,0)</f>
        <v>1</v>
      </c>
      <c r="U204" s="11" t="n">
        <f aca="false">IF(AND(N204,R204&lt;&gt;"capacity_hours",LEN(K204)&gt;0),1,0)</f>
        <v>1</v>
      </c>
      <c r="V204" s="11" t="n">
        <f aca="false">IF(U204=1,SUMPRODUCT(($K$4:$K$703=K204)*($F$4:$F$703=F204)*($U$4:$U$703=1)*($B$4:$B$703&lt;&gt;B204)),0)</f>
        <v>0</v>
      </c>
      <c r="W204" s="11" t="n">
        <f aca="false">IF(AND(U204=1,V204&gt;0),1+SUMPRODUCT(($K$4:$K$703=K204)*($F$4:$F$703=F204)*($U$4:$U$703=1)*($S$4:$S$703&gt;S204))+SUMPRODUCT(($K$4:$K$703=K204)*($F$4:$F$703=F204)*($U$4:$U$703=1)*($S$4:$S$703=S204)*($T$4:$T$703&gt;T204))+SUMPRODUCT(($K$4:$K$703=K204)*($F$4:$F$703=F204)*($U$4:$U$703=1)*($S$4:$S$703=S204)*($T$4:$T$703=T204)*($C$4:$C$703&lt;C204))+SUMPRODUCT(($K$4:$K$703=K204)*($F$4:$F$703=F204)*($U$4:$U$703=1)*($S$4:$S$703=S204)*($T$4:$T$703=T204)*($C$4:$C$703=C204)*($D$4:$D$703&lt;D204)),0)</f>
        <v>0</v>
      </c>
      <c r="X204" s="11" t="n">
        <f aca="false">IF(AND(U204=1,V204&gt;0,W204&gt;1),S204,0)</f>
        <v>0</v>
      </c>
      <c r="Y204" s="11" t="n">
        <f aca="false">IF(T204=1,X204/(1+Controls!$B$11)^F204,0)</f>
        <v>0</v>
      </c>
      <c r="Z204" s="11" t="n">
        <f aca="false">IF(AND(N204,E204="capacity",LEN(K204)&gt;0),1,0)</f>
        <v>0</v>
      </c>
      <c r="AA204" s="11" t="n">
        <f aca="false">IF(Z204=1,SUMPRODUCT(($K$4:$K$703=K204)*($F$4:$F$703=F204)*($Z$4:$Z$703=1)*($B$4:$B$703&lt;&gt;B204)),0)</f>
        <v>0</v>
      </c>
      <c r="AB204" s="11" t="n">
        <f aca="false">IF(AND(Z204=1,AA204&gt;0),1+SUMPRODUCT(($K$4:$K$703=K204)*($F$4:$F$703=F204)*($Z$4:$Z$703=1)*($P$4:$P$703&gt;P204))+SUMPRODUCT(($K$4:$K$703=K204)*($F$4:$F$703=F204)*($Z$4:$Z$703=1)*($P$4:$P$703=P204)*($C$4:$C$703&lt;C204))+SUMPRODUCT(($K$4:$K$703=K204)*($F$4:$F$703=F204)*($Z$4:$Z$703=1)*($P$4:$P$703=P204)*($C$4:$C$703=C204)*($D$4:$D$703&lt;D204)),0)</f>
        <v>0</v>
      </c>
      <c r="AC204" s="11" t="n">
        <f aca="false">IF(AND(Z204=1,AA204&gt;0,AB204&gt;1),P204,0)</f>
        <v>0</v>
      </c>
    </row>
    <row r="205" customFormat="false" ht="15" hidden="false" customHeight="false" outlineLevel="0" collapsed="false">
      <c r="A205" s="4" t="s">
        <v>425</v>
      </c>
      <c r="B205" s="4" t="s">
        <v>89</v>
      </c>
      <c r="C205" s="4" t="n">
        <v>7</v>
      </c>
      <c r="D205" s="4" t="n">
        <v>202</v>
      </c>
      <c r="E205" s="4" t="s">
        <v>113</v>
      </c>
      <c r="F205" s="4" t="n">
        <v>10</v>
      </c>
      <c r="G205" s="4" t="n">
        <v>1</v>
      </c>
      <c r="H205" s="4" t="n">
        <v>316850</v>
      </c>
      <c r="I205" s="13" t="b">
        <f aca="false">FALSE()</f>
        <v>0</v>
      </c>
      <c r="K205" s="4" t="s">
        <v>416</v>
      </c>
      <c r="L205" s="4" t="n">
        <v>34156.43</v>
      </c>
      <c r="M205" s="11" t="n">
        <f aca="false">IFERROR(MATCH(Controls!$B$3&amp;"|"&amp;B205,'Scenario inputs'!$A$4:$A$213,0),0)</f>
        <v>138</v>
      </c>
      <c r="N205" s="8" t="b">
        <f aca="false">IF(M205=0,FALSE(),F205&lt;Controls!$B$12)</f>
        <v>1</v>
      </c>
      <c r="O205" s="11" t="n">
        <f aca="false">IF(N205,IF(INDEX('Scenario inputs'!$E$4:$E$213,M205)=0,1,INDEX('Scenario inputs'!$F$4:$M$213,M205,MIN(MAX(F205-G205,0),INDEX('Scenario inputs'!$E$4:$E$213,M205)-1)+1)),0)</f>
        <v>1</v>
      </c>
      <c r="P205" s="11" t="n">
        <f aca="false">H205*O205</f>
        <v>316850</v>
      </c>
      <c r="Q205" s="11" t="n">
        <f aca="false">IF(M205=0,"",IF(ISNUMBER(INDEX('Scenario inputs'!$N$4:$N$213,M205)),INDEX('Scenario inputs'!$N$4:$N$213,M205),""))</f>
        <v>30.59</v>
      </c>
      <c r="R205" s="0" t="str">
        <f aca="false">IF(NOT(N205),"",IF(OR(E205="cash",E205="revenue"),E205,IF(E205="avoided_cost",IF(AND(I205,LEN(TRIM(J205))&gt;0),"avoided_cost_realised","avoided_cost_beside"),IF(ISNUMBER(Q205),"capacity_converted","capacity_hours"))))</f>
        <v>revenue</v>
      </c>
      <c r="S205" s="11" t="n">
        <f aca="false">IF(OR(R205="",R205="capacity_hours"),0,IF(R205="capacity_converted",P205*Q205,P205))</f>
        <v>316850</v>
      </c>
      <c r="T205" s="11" t="n">
        <f aca="false">IF(OR(R205="cash",R205="revenue",R205="avoided_cost_realised",R205="capacity_converted"),1,0)</f>
        <v>1</v>
      </c>
      <c r="U205" s="11" t="n">
        <f aca="false">IF(AND(N205,R205&lt;&gt;"capacity_hours",LEN(K205)&gt;0),1,0)</f>
        <v>1</v>
      </c>
      <c r="V205" s="11" t="n">
        <f aca="false">IF(U205=1,SUMPRODUCT(($K$4:$K$703=K205)*($F$4:$F$703=F205)*($U$4:$U$703=1)*($B$4:$B$703&lt;&gt;B205)),0)</f>
        <v>0</v>
      </c>
      <c r="W205" s="11" t="n">
        <f aca="false">IF(AND(U205=1,V205&gt;0),1+SUMPRODUCT(($K$4:$K$703=K205)*($F$4:$F$703=F205)*($U$4:$U$703=1)*($S$4:$S$703&gt;S205))+SUMPRODUCT(($K$4:$K$703=K205)*($F$4:$F$703=F205)*($U$4:$U$703=1)*($S$4:$S$703=S205)*($T$4:$T$703&gt;T205))+SUMPRODUCT(($K$4:$K$703=K205)*($F$4:$F$703=F205)*($U$4:$U$703=1)*($S$4:$S$703=S205)*($T$4:$T$703=T205)*($C$4:$C$703&lt;C205))+SUMPRODUCT(($K$4:$K$703=K205)*($F$4:$F$703=F205)*($U$4:$U$703=1)*($S$4:$S$703=S205)*($T$4:$T$703=T205)*($C$4:$C$703=C205)*($D$4:$D$703&lt;D205)),0)</f>
        <v>0</v>
      </c>
      <c r="X205" s="11" t="n">
        <f aca="false">IF(AND(U205=1,V205&gt;0,W205&gt;1),S205,0)</f>
        <v>0</v>
      </c>
      <c r="Y205" s="11" t="n">
        <f aca="false">IF(T205=1,X205/(1+Controls!$B$11)^F205,0)</f>
        <v>0</v>
      </c>
      <c r="Z205" s="11" t="n">
        <f aca="false">IF(AND(N205,E205="capacity",LEN(K205)&gt;0),1,0)</f>
        <v>0</v>
      </c>
      <c r="AA205" s="11" t="n">
        <f aca="false">IF(Z205=1,SUMPRODUCT(($K$4:$K$703=K205)*($F$4:$F$703=F205)*($Z$4:$Z$703=1)*($B$4:$B$703&lt;&gt;B205)),0)</f>
        <v>0</v>
      </c>
      <c r="AB205" s="11" t="n">
        <f aca="false">IF(AND(Z205=1,AA205&gt;0),1+SUMPRODUCT(($K$4:$K$703=K205)*($F$4:$F$703=F205)*($Z$4:$Z$703=1)*($P$4:$P$703&gt;P205))+SUMPRODUCT(($K$4:$K$703=K205)*($F$4:$F$703=F205)*($Z$4:$Z$703=1)*($P$4:$P$703=P205)*($C$4:$C$703&lt;C205))+SUMPRODUCT(($K$4:$K$703=K205)*($F$4:$F$703=F205)*($Z$4:$Z$703=1)*($P$4:$P$703=P205)*($C$4:$C$703=C205)*($D$4:$D$703&lt;D205)),0)</f>
        <v>0</v>
      </c>
      <c r="AC205" s="11" t="n">
        <f aca="false">IF(AND(Z205=1,AA205&gt;0,AB205&gt;1),P205,0)</f>
        <v>0</v>
      </c>
    </row>
    <row r="206" customFormat="false" ht="15" hidden="false" customHeight="false" outlineLevel="0" collapsed="false">
      <c r="A206" s="4" t="s">
        <v>426</v>
      </c>
      <c r="B206" s="4" t="s">
        <v>89</v>
      </c>
      <c r="C206" s="4" t="n">
        <v>7</v>
      </c>
      <c r="D206" s="4" t="n">
        <v>203</v>
      </c>
      <c r="E206" s="4" t="s">
        <v>113</v>
      </c>
      <c r="F206" s="4" t="n">
        <v>11</v>
      </c>
      <c r="G206" s="4" t="n">
        <v>1</v>
      </c>
      <c r="H206" s="4" t="n">
        <v>316850</v>
      </c>
      <c r="I206" s="13" t="b">
        <f aca="false">FALSE()</f>
        <v>0</v>
      </c>
      <c r="K206" s="4" t="s">
        <v>416</v>
      </c>
      <c r="L206" s="4" t="n">
        <v>34156.43</v>
      </c>
      <c r="M206" s="11" t="n">
        <f aca="false">IFERROR(MATCH(Controls!$B$3&amp;"|"&amp;B206,'Scenario inputs'!$A$4:$A$213,0),0)</f>
        <v>138</v>
      </c>
      <c r="N206" s="8" t="b">
        <f aca="false">IF(M206=0,FALSE(),F206&lt;Controls!$B$12)</f>
        <v>1</v>
      </c>
      <c r="O206" s="11" t="n">
        <f aca="false">IF(N206,IF(INDEX('Scenario inputs'!$E$4:$E$213,M206)=0,1,INDEX('Scenario inputs'!$F$4:$M$213,M206,MIN(MAX(F206-G206,0),INDEX('Scenario inputs'!$E$4:$E$213,M206)-1)+1)),0)</f>
        <v>1</v>
      </c>
      <c r="P206" s="11" t="n">
        <f aca="false">H206*O206</f>
        <v>316850</v>
      </c>
      <c r="Q206" s="11" t="n">
        <f aca="false">IF(M206=0,"",IF(ISNUMBER(INDEX('Scenario inputs'!$N$4:$N$213,M206)),INDEX('Scenario inputs'!$N$4:$N$213,M206),""))</f>
        <v>30.59</v>
      </c>
      <c r="R206" s="0" t="str">
        <f aca="false">IF(NOT(N206),"",IF(OR(E206="cash",E206="revenue"),E206,IF(E206="avoided_cost",IF(AND(I206,LEN(TRIM(J206))&gt;0),"avoided_cost_realised","avoided_cost_beside"),IF(ISNUMBER(Q206),"capacity_converted","capacity_hours"))))</f>
        <v>revenue</v>
      </c>
      <c r="S206" s="11" t="n">
        <f aca="false">IF(OR(R206="",R206="capacity_hours"),0,IF(R206="capacity_converted",P206*Q206,P206))</f>
        <v>316850</v>
      </c>
      <c r="T206" s="11" t="n">
        <f aca="false">IF(OR(R206="cash",R206="revenue",R206="avoided_cost_realised",R206="capacity_converted"),1,0)</f>
        <v>1</v>
      </c>
      <c r="U206" s="11" t="n">
        <f aca="false">IF(AND(N206,R206&lt;&gt;"capacity_hours",LEN(K206)&gt;0),1,0)</f>
        <v>1</v>
      </c>
      <c r="V206" s="11" t="n">
        <f aca="false">IF(U206=1,SUMPRODUCT(($K$4:$K$703=K206)*($F$4:$F$703=F206)*($U$4:$U$703=1)*($B$4:$B$703&lt;&gt;B206)),0)</f>
        <v>0</v>
      </c>
      <c r="W206" s="11" t="n">
        <f aca="false">IF(AND(U206=1,V206&gt;0),1+SUMPRODUCT(($K$4:$K$703=K206)*($F$4:$F$703=F206)*($U$4:$U$703=1)*($S$4:$S$703&gt;S206))+SUMPRODUCT(($K$4:$K$703=K206)*($F$4:$F$703=F206)*($U$4:$U$703=1)*($S$4:$S$703=S206)*($T$4:$T$703&gt;T206))+SUMPRODUCT(($K$4:$K$703=K206)*($F$4:$F$703=F206)*($U$4:$U$703=1)*($S$4:$S$703=S206)*($T$4:$T$703=T206)*($C$4:$C$703&lt;C206))+SUMPRODUCT(($K$4:$K$703=K206)*($F$4:$F$703=F206)*($U$4:$U$703=1)*($S$4:$S$703=S206)*($T$4:$T$703=T206)*($C$4:$C$703=C206)*($D$4:$D$703&lt;D206)),0)</f>
        <v>0</v>
      </c>
      <c r="X206" s="11" t="n">
        <f aca="false">IF(AND(U206=1,V206&gt;0,W206&gt;1),S206,0)</f>
        <v>0</v>
      </c>
      <c r="Y206" s="11" t="n">
        <f aca="false">IF(T206=1,X206/(1+Controls!$B$11)^F206,0)</f>
        <v>0</v>
      </c>
      <c r="Z206" s="11" t="n">
        <f aca="false">IF(AND(N206,E206="capacity",LEN(K206)&gt;0),1,0)</f>
        <v>0</v>
      </c>
      <c r="AA206" s="11" t="n">
        <f aca="false">IF(Z206=1,SUMPRODUCT(($K$4:$K$703=K206)*($F$4:$F$703=F206)*($Z$4:$Z$703=1)*($B$4:$B$703&lt;&gt;B206)),0)</f>
        <v>0</v>
      </c>
      <c r="AB206" s="11" t="n">
        <f aca="false">IF(AND(Z206=1,AA206&gt;0),1+SUMPRODUCT(($K$4:$K$703=K206)*($F$4:$F$703=F206)*($Z$4:$Z$703=1)*($P$4:$P$703&gt;P206))+SUMPRODUCT(($K$4:$K$703=K206)*($F$4:$F$703=F206)*($Z$4:$Z$703=1)*($P$4:$P$703=P206)*($C$4:$C$703&lt;C206))+SUMPRODUCT(($K$4:$K$703=K206)*($F$4:$F$703=F206)*($Z$4:$Z$703=1)*($P$4:$P$703=P206)*($C$4:$C$703=C206)*($D$4:$D$703&lt;D206)),0)</f>
        <v>0</v>
      </c>
      <c r="AC206" s="11" t="n">
        <f aca="false">IF(AND(Z206=1,AA206&gt;0,AB206&gt;1),P206,0)</f>
        <v>0</v>
      </c>
    </row>
    <row r="207" customFormat="false" ht="15" hidden="false" customHeight="false" outlineLevel="0" collapsed="false">
      <c r="A207" s="4" t="s">
        <v>427</v>
      </c>
      <c r="B207" s="4" t="s">
        <v>89</v>
      </c>
      <c r="C207" s="4" t="n">
        <v>7</v>
      </c>
      <c r="D207" s="4" t="n">
        <v>204</v>
      </c>
      <c r="E207" s="4" t="s">
        <v>113</v>
      </c>
      <c r="F207" s="4" t="n">
        <v>12</v>
      </c>
      <c r="G207" s="4" t="n">
        <v>1</v>
      </c>
      <c r="H207" s="4" t="n">
        <v>316850</v>
      </c>
      <c r="I207" s="13" t="b">
        <f aca="false">FALSE()</f>
        <v>0</v>
      </c>
      <c r="K207" s="4" t="s">
        <v>416</v>
      </c>
      <c r="L207" s="4" t="n">
        <v>34156.43</v>
      </c>
      <c r="M207" s="11" t="n">
        <f aca="false">IFERROR(MATCH(Controls!$B$3&amp;"|"&amp;B207,'Scenario inputs'!$A$4:$A$213,0),0)</f>
        <v>138</v>
      </c>
      <c r="N207" s="8" t="b">
        <f aca="false">IF(M207=0,FALSE(),F207&lt;Controls!$B$12)</f>
        <v>1</v>
      </c>
      <c r="O207" s="11" t="n">
        <f aca="false">IF(N207,IF(INDEX('Scenario inputs'!$E$4:$E$213,M207)=0,1,INDEX('Scenario inputs'!$F$4:$M$213,M207,MIN(MAX(F207-G207,0),INDEX('Scenario inputs'!$E$4:$E$213,M207)-1)+1)),0)</f>
        <v>1</v>
      </c>
      <c r="P207" s="11" t="n">
        <f aca="false">H207*O207</f>
        <v>316850</v>
      </c>
      <c r="Q207" s="11" t="n">
        <f aca="false">IF(M207=0,"",IF(ISNUMBER(INDEX('Scenario inputs'!$N$4:$N$213,M207)),INDEX('Scenario inputs'!$N$4:$N$213,M207),""))</f>
        <v>30.59</v>
      </c>
      <c r="R207" s="0" t="str">
        <f aca="false">IF(NOT(N207),"",IF(OR(E207="cash",E207="revenue"),E207,IF(E207="avoided_cost",IF(AND(I207,LEN(TRIM(J207))&gt;0),"avoided_cost_realised","avoided_cost_beside"),IF(ISNUMBER(Q207),"capacity_converted","capacity_hours"))))</f>
        <v>revenue</v>
      </c>
      <c r="S207" s="11" t="n">
        <f aca="false">IF(OR(R207="",R207="capacity_hours"),0,IF(R207="capacity_converted",P207*Q207,P207))</f>
        <v>316850</v>
      </c>
      <c r="T207" s="11" t="n">
        <f aca="false">IF(OR(R207="cash",R207="revenue",R207="avoided_cost_realised",R207="capacity_converted"),1,0)</f>
        <v>1</v>
      </c>
      <c r="U207" s="11" t="n">
        <f aca="false">IF(AND(N207,R207&lt;&gt;"capacity_hours",LEN(K207)&gt;0),1,0)</f>
        <v>1</v>
      </c>
      <c r="V207" s="11" t="n">
        <f aca="false">IF(U207=1,SUMPRODUCT(($K$4:$K$703=K207)*($F$4:$F$703=F207)*($U$4:$U$703=1)*($B$4:$B$703&lt;&gt;B207)),0)</f>
        <v>0</v>
      </c>
      <c r="W207" s="11" t="n">
        <f aca="false">IF(AND(U207=1,V207&gt;0),1+SUMPRODUCT(($K$4:$K$703=K207)*($F$4:$F$703=F207)*($U$4:$U$703=1)*($S$4:$S$703&gt;S207))+SUMPRODUCT(($K$4:$K$703=K207)*($F$4:$F$703=F207)*($U$4:$U$703=1)*($S$4:$S$703=S207)*($T$4:$T$703&gt;T207))+SUMPRODUCT(($K$4:$K$703=K207)*($F$4:$F$703=F207)*($U$4:$U$703=1)*($S$4:$S$703=S207)*($T$4:$T$703=T207)*($C$4:$C$703&lt;C207))+SUMPRODUCT(($K$4:$K$703=K207)*($F$4:$F$703=F207)*($U$4:$U$703=1)*($S$4:$S$703=S207)*($T$4:$T$703=T207)*($C$4:$C$703=C207)*($D$4:$D$703&lt;D207)),0)</f>
        <v>0</v>
      </c>
      <c r="X207" s="11" t="n">
        <f aca="false">IF(AND(U207=1,V207&gt;0,W207&gt;1),S207,0)</f>
        <v>0</v>
      </c>
      <c r="Y207" s="11" t="n">
        <f aca="false">IF(T207=1,X207/(1+Controls!$B$11)^F207,0)</f>
        <v>0</v>
      </c>
      <c r="Z207" s="11" t="n">
        <f aca="false">IF(AND(N207,E207="capacity",LEN(K207)&gt;0),1,0)</f>
        <v>0</v>
      </c>
      <c r="AA207" s="11" t="n">
        <f aca="false">IF(Z207=1,SUMPRODUCT(($K$4:$K$703=K207)*($F$4:$F$703=F207)*($Z$4:$Z$703=1)*($B$4:$B$703&lt;&gt;B207)),0)</f>
        <v>0</v>
      </c>
      <c r="AB207" s="11" t="n">
        <f aca="false">IF(AND(Z207=1,AA207&gt;0),1+SUMPRODUCT(($K$4:$K$703=K207)*($F$4:$F$703=F207)*($Z$4:$Z$703=1)*($P$4:$P$703&gt;P207))+SUMPRODUCT(($K$4:$K$703=K207)*($F$4:$F$703=F207)*($Z$4:$Z$703=1)*($P$4:$P$703=P207)*($C$4:$C$703&lt;C207))+SUMPRODUCT(($K$4:$K$703=K207)*($F$4:$F$703=F207)*($Z$4:$Z$703=1)*($P$4:$P$703=P207)*($C$4:$C$703=C207)*($D$4:$D$703&lt;D207)),0)</f>
        <v>0</v>
      </c>
      <c r="AC207" s="11" t="n">
        <f aca="false">IF(AND(Z207=1,AA207&gt;0,AB207&gt;1),P207,0)</f>
        <v>0</v>
      </c>
    </row>
    <row r="208" customFormat="false" ht="15" hidden="false" customHeight="false" outlineLevel="0" collapsed="false">
      <c r="A208" s="4" t="s">
        <v>428</v>
      </c>
      <c r="B208" s="4" t="s">
        <v>89</v>
      </c>
      <c r="C208" s="4" t="n">
        <v>7</v>
      </c>
      <c r="D208" s="4" t="n">
        <v>205</v>
      </c>
      <c r="E208" s="4" t="s">
        <v>205</v>
      </c>
      <c r="F208" s="4" t="n">
        <v>2</v>
      </c>
      <c r="G208" s="4" t="n">
        <v>2</v>
      </c>
      <c r="H208" s="4" t="n">
        <v>95050</v>
      </c>
      <c r="I208" s="13" t="b">
        <f aca="false">FALSE()</f>
        <v>0</v>
      </c>
      <c r="K208" s="4" t="s">
        <v>429</v>
      </c>
      <c r="L208" s="4" t="n">
        <v>472.98</v>
      </c>
      <c r="M208" s="11" t="n">
        <f aca="false">IFERROR(MATCH(Controls!$B$3&amp;"|"&amp;B208,'Scenario inputs'!$A$4:$A$213,0),0)</f>
        <v>138</v>
      </c>
      <c r="N208" s="8" t="b">
        <f aca="false">IF(M208=0,FALSE(),F208&lt;Controls!$B$12)</f>
        <v>1</v>
      </c>
      <c r="O208" s="11" t="n">
        <f aca="false">IF(N208,IF(INDEX('Scenario inputs'!$E$4:$E$213,M208)=0,1,INDEX('Scenario inputs'!$F$4:$M$213,M208,MIN(MAX(F208-G208,0),INDEX('Scenario inputs'!$E$4:$E$213,M208)-1)+1)),0)</f>
        <v>0.027778</v>
      </c>
      <c r="P208" s="11" t="n">
        <f aca="false">H208*O208</f>
        <v>2640.2989</v>
      </c>
      <c r="Q208" s="11" t="n">
        <f aca="false">IF(M208=0,"",IF(ISNUMBER(INDEX('Scenario inputs'!$N$4:$N$213,M208)),INDEX('Scenario inputs'!$N$4:$N$213,M208),""))</f>
        <v>30.59</v>
      </c>
      <c r="R208" s="0" t="str">
        <f aca="false">IF(NOT(N208),"",IF(OR(E208="cash",E208="revenue"),E208,IF(E208="avoided_cost",IF(AND(I208,LEN(TRIM(J208))&gt;0),"avoided_cost_realised","avoided_cost_beside"),IF(ISNUMBER(Q208),"capacity_converted","capacity_hours"))))</f>
        <v>avoided_cost_beside</v>
      </c>
      <c r="S208" s="11" t="n">
        <f aca="false">IF(OR(R208="",R208="capacity_hours"),0,IF(R208="capacity_converted",P208*Q208,P208))</f>
        <v>2640.2989</v>
      </c>
      <c r="T208" s="11" t="n">
        <f aca="false">IF(OR(R208="cash",R208="revenue",R208="avoided_cost_realised",R208="capacity_converted"),1,0)</f>
        <v>0</v>
      </c>
      <c r="U208" s="11" t="n">
        <f aca="false">IF(AND(N208,R208&lt;&gt;"capacity_hours",LEN(K208)&gt;0),1,0)</f>
        <v>1</v>
      </c>
      <c r="V208" s="11" t="n">
        <f aca="false">IF(U208=1,SUMPRODUCT(($K$4:$K$703=K208)*($F$4:$F$703=F208)*($U$4:$U$703=1)*($B$4:$B$703&lt;&gt;B208)),0)</f>
        <v>0</v>
      </c>
      <c r="W208" s="11" t="n">
        <f aca="false">IF(AND(U208=1,V208&gt;0),1+SUMPRODUCT(($K$4:$K$703=K208)*($F$4:$F$703=F208)*($U$4:$U$703=1)*($S$4:$S$703&gt;S208))+SUMPRODUCT(($K$4:$K$703=K208)*($F$4:$F$703=F208)*($U$4:$U$703=1)*($S$4:$S$703=S208)*($T$4:$T$703&gt;T208))+SUMPRODUCT(($K$4:$K$703=K208)*($F$4:$F$703=F208)*($U$4:$U$703=1)*($S$4:$S$703=S208)*($T$4:$T$703=T208)*($C$4:$C$703&lt;C208))+SUMPRODUCT(($K$4:$K$703=K208)*($F$4:$F$703=F208)*($U$4:$U$703=1)*($S$4:$S$703=S208)*($T$4:$T$703=T208)*($C$4:$C$703=C208)*($D$4:$D$703&lt;D208)),0)</f>
        <v>0</v>
      </c>
      <c r="X208" s="11" t="n">
        <f aca="false">IF(AND(U208=1,V208&gt;0,W208&gt;1),S208,0)</f>
        <v>0</v>
      </c>
      <c r="Y208" s="11" t="n">
        <f aca="false">IF(T208=1,X208/(1+Controls!$B$11)^F208,0)</f>
        <v>0</v>
      </c>
      <c r="Z208" s="11" t="n">
        <f aca="false">IF(AND(N208,E208="capacity",LEN(K208)&gt;0),1,0)</f>
        <v>0</v>
      </c>
      <c r="AA208" s="11" t="n">
        <f aca="false">IF(Z208=1,SUMPRODUCT(($K$4:$K$703=K208)*($F$4:$F$703=F208)*($Z$4:$Z$703=1)*($B$4:$B$703&lt;&gt;B208)),0)</f>
        <v>0</v>
      </c>
      <c r="AB208" s="11" t="n">
        <f aca="false">IF(AND(Z208=1,AA208&gt;0),1+SUMPRODUCT(($K$4:$K$703=K208)*($F$4:$F$703=F208)*($Z$4:$Z$703=1)*($P$4:$P$703&gt;P208))+SUMPRODUCT(($K$4:$K$703=K208)*($F$4:$F$703=F208)*($Z$4:$Z$703=1)*($P$4:$P$703=P208)*($C$4:$C$703&lt;C208))+SUMPRODUCT(($K$4:$K$703=K208)*($F$4:$F$703=F208)*($Z$4:$Z$703=1)*($P$4:$P$703=P208)*($C$4:$C$703=C208)*($D$4:$D$703&lt;D208)),0)</f>
        <v>0</v>
      </c>
      <c r="AC208" s="11" t="n">
        <f aca="false">IF(AND(Z208=1,AA208&gt;0,AB208&gt;1),P208,0)</f>
        <v>0</v>
      </c>
    </row>
    <row r="209" customFormat="false" ht="15" hidden="false" customHeight="false" outlineLevel="0" collapsed="false">
      <c r="A209" s="4" t="s">
        <v>430</v>
      </c>
      <c r="B209" s="4" t="s">
        <v>89</v>
      </c>
      <c r="C209" s="4" t="n">
        <v>7</v>
      </c>
      <c r="D209" s="4" t="n">
        <v>206</v>
      </c>
      <c r="E209" s="4" t="s">
        <v>205</v>
      </c>
      <c r="F209" s="4" t="n">
        <v>3</v>
      </c>
      <c r="G209" s="4" t="n">
        <v>2</v>
      </c>
      <c r="H209" s="4" t="n">
        <v>95050</v>
      </c>
      <c r="I209" s="13" t="b">
        <f aca="false">FALSE()</f>
        <v>0</v>
      </c>
      <c r="K209" s="4" t="s">
        <v>429</v>
      </c>
      <c r="L209" s="4" t="n">
        <v>1477.44</v>
      </c>
      <c r="M209" s="11" t="n">
        <f aca="false">IFERROR(MATCH(Controls!$B$3&amp;"|"&amp;B209,'Scenario inputs'!$A$4:$A$213,0),0)</f>
        <v>138</v>
      </c>
      <c r="N209" s="8" t="b">
        <f aca="false">IF(M209=0,FALSE(),F209&lt;Controls!$B$12)</f>
        <v>1</v>
      </c>
      <c r="O209" s="11" t="n">
        <f aca="false">IF(N209,IF(INDEX('Scenario inputs'!$E$4:$E$213,M209)=0,1,INDEX('Scenario inputs'!$F$4:$M$213,M209,MIN(MAX(F209-G209,0),INDEX('Scenario inputs'!$E$4:$E$213,M209)-1)+1)),0)</f>
        <v>0.083333</v>
      </c>
      <c r="P209" s="11" t="n">
        <f aca="false">H209*O209</f>
        <v>7920.80165</v>
      </c>
      <c r="Q209" s="11" t="n">
        <f aca="false">IF(M209=0,"",IF(ISNUMBER(INDEX('Scenario inputs'!$N$4:$N$213,M209)),INDEX('Scenario inputs'!$N$4:$N$213,M209),""))</f>
        <v>30.59</v>
      </c>
      <c r="R209" s="0" t="str">
        <f aca="false">IF(NOT(N209),"",IF(OR(E209="cash",E209="revenue"),E209,IF(E209="avoided_cost",IF(AND(I209,LEN(TRIM(J209))&gt;0),"avoided_cost_realised","avoided_cost_beside"),IF(ISNUMBER(Q209),"capacity_converted","capacity_hours"))))</f>
        <v>avoided_cost_beside</v>
      </c>
      <c r="S209" s="11" t="n">
        <f aca="false">IF(OR(R209="",R209="capacity_hours"),0,IF(R209="capacity_converted",P209*Q209,P209))</f>
        <v>7920.80165</v>
      </c>
      <c r="T209" s="11" t="n">
        <f aca="false">IF(OR(R209="cash",R209="revenue",R209="avoided_cost_realised",R209="capacity_converted"),1,0)</f>
        <v>0</v>
      </c>
      <c r="U209" s="11" t="n">
        <f aca="false">IF(AND(N209,R209&lt;&gt;"capacity_hours",LEN(K209)&gt;0),1,0)</f>
        <v>1</v>
      </c>
      <c r="V209" s="11" t="n">
        <f aca="false">IF(U209=1,SUMPRODUCT(($K$4:$K$703=K209)*($F$4:$F$703=F209)*($U$4:$U$703=1)*($B$4:$B$703&lt;&gt;B209)),0)</f>
        <v>0</v>
      </c>
      <c r="W209" s="11" t="n">
        <f aca="false">IF(AND(U209=1,V209&gt;0),1+SUMPRODUCT(($K$4:$K$703=K209)*($F$4:$F$703=F209)*($U$4:$U$703=1)*($S$4:$S$703&gt;S209))+SUMPRODUCT(($K$4:$K$703=K209)*($F$4:$F$703=F209)*($U$4:$U$703=1)*($S$4:$S$703=S209)*($T$4:$T$703&gt;T209))+SUMPRODUCT(($K$4:$K$703=K209)*($F$4:$F$703=F209)*($U$4:$U$703=1)*($S$4:$S$703=S209)*($T$4:$T$703=T209)*($C$4:$C$703&lt;C209))+SUMPRODUCT(($K$4:$K$703=K209)*($F$4:$F$703=F209)*($U$4:$U$703=1)*($S$4:$S$703=S209)*($T$4:$T$703=T209)*($C$4:$C$703=C209)*($D$4:$D$703&lt;D209)),0)</f>
        <v>0</v>
      </c>
      <c r="X209" s="11" t="n">
        <f aca="false">IF(AND(U209=1,V209&gt;0,W209&gt;1),S209,0)</f>
        <v>0</v>
      </c>
      <c r="Y209" s="11" t="n">
        <f aca="false">IF(T209=1,X209/(1+Controls!$B$11)^F209,0)</f>
        <v>0</v>
      </c>
      <c r="Z209" s="11" t="n">
        <f aca="false">IF(AND(N209,E209="capacity",LEN(K209)&gt;0),1,0)</f>
        <v>0</v>
      </c>
      <c r="AA209" s="11" t="n">
        <f aca="false">IF(Z209=1,SUMPRODUCT(($K$4:$K$703=K209)*($F$4:$F$703=F209)*($Z$4:$Z$703=1)*($B$4:$B$703&lt;&gt;B209)),0)</f>
        <v>0</v>
      </c>
      <c r="AB209" s="11" t="n">
        <f aca="false">IF(AND(Z209=1,AA209&gt;0),1+SUMPRODUCT(($K$4:$K$703=K209)*($F$4:$F$703=F209)*($Z$4:$Z$703=1)*($P$4:$P$703&gt;P209))+SUMPRODUCT(($K$4:$K$703=K209)*($F$4:$F$703=F209)*($Z$4:$Z$703=1)*($P$4:$P$703=P209)*($C$4:$C$703&lt;C209))+SUMPRODUCT(($K$4:$K$703=K209)*($F$4:$F$703=F209)*($Z$4:$Z$703=1)*($P$4:$P$703=P209)*($C$4:$C$703=C209)*($D$4:$D$703&lt;D209)),0)</f>
        <v>0</v>
      </c>
      <c r="AC209" s="11" t="n">
        <f aca="false">IF(AND(Z209=1,AA209&gt;0,AB209&gt;1),P209,0)</f>
        <v>0</v>
      </c>
    </row>
    <row r="210" customFormat="false" ht="15" hidden="false" customHeight="false" outlineLevel="0" collapsed="false">
      <c r="A210" s="4" t="s">
        <v>431</v>
      </c>
      <c r="B210" s="4" t="s">
        <v>89</v>
      </c>
      <c r="C210" s="4" t="n">
        <v>7</v>
      </c>
      <c r="D210" s="4" t="n">
        <v>207</v>
      </c>
      <c r="E210" s="4" t="s">
        <v>205</v>
      </c>
      <c r="F210" s="4" t="n">
        <v>4</v>
      </c>
      <c r="G210" s="4" t="n">
        <v>2</v>
      </c>
      <c r="H210" s="4" t="n">
        <v>95050</v>
      </c>
      <c r="I210" s="13" t="b">
        <f aca="false">FALSE()</f>
        <v>0</v>
      </c>
      <c r="K210" s="4" t="s">
        <v>429</v>
      </c>
      <c r="L210" s="4" t="n">
        <v>3042.67</v>
      </c>
      <c r="M210" s="11" t="n">
        <f aca="false">IFERROR(MATCH(Controls!$B$3&amp;"|"&amp;B210,'Scenario inputs'!$A$4:$A$213,0),0)</f>
        <v>138</v>
      </c>
      <c r="N210" s="8" t="b">
        <f aca="false">IF(M210=0,FALSE(),F210&lt;Controls!$B$12)</f>
        <v>1</v>
      </c>
      <c r="O210" s="11" t="n">
        <f aca="false">IF(N210,IF(INDEX('Scenario inputs'!$E$4:$E$213,M210)=0,1,INDEX('Scenario inputs'!$F$4:$M$213,M210,MIN(MAX(F210-G210,0),INDEX('Scenario inputs'!$E$4:$E$213,M210)-1)+1)),0)</f>
        <v>0.166667</v>
      </c>
      <c r="P210" s="11" t="n">
        <f aca="false">H210*O210</f>
        <v>15841.69835</v>
      </c>
      <c r="Q210" s="11" t="n">
        <f aca="false">IF(M210=0,"",IF(ISNUMBER(INDEX('Scenario inputs'!$N$4:$N$213,M210)),INDEX('Scenario inputs'!$N$4:$N$213,M210),""))</f>
        <v>30.59</v>
      </c>
      <c r="R210" s="0" t="str">
        <f aca="false">IF(NOT(N210),"",IF(OR(E210="cash",E210="revenue"),E210,IF(E210="avoided_cost",IF(AND(I210,LEN(TRIM(J210))&gt;0),"avoided_cost_realised","avoided_cost_beside"),IF(ISNUMBER(Q210),"capacity_converted","capacity_hours"))))</f>
        <v>avoided_cost_beside</v>
      </c>
      <c r="S210" s="11" t="n">
        <f aca="false">IF(OR(R210="",R210="capacity_hours"),0,IF(R210="capacity_converted",P210*Q210,P210))</f>
        <v>15841.69835</v>
      </c>
      <c r="T210" s="11" t="n">
        <f aca="false">IF(OR(R210="cash",R210="revenue",R210="avoided_cost_realised",R210="capacity_converted"),1,0)</f>
        <v>0</v>
      </c>
      <c r="U210" s="11" t="n">
        <f aca="false">IF(AND(N210,R210&lt;&gt;"capacity_hours",LEN(K210)&gt;0),1,0)</f>
        <v>1</v>
      </c>
      <c r="V210" s="11" t="n">
        <f aca="false">IF(U210=1,SUMPRODUCT(($K$4:$K$703=K210)*($F$4:$F$703=F210)*($U$4:$U$703=1)*($B$4:$B$703&lt;&gt;B210)),0)</f>
        <v>0</v>
      </c>
      <c r="W210" s="11" t="n">
        <f aca="false">IF(AND(U210=1,V210&gt;0),1+SUMPRODUCT(($K$4:$K$703=K210)*($F$4:$F$703=F210)*($U$4:$U$703=1)*($S$4:$S$703&gt;S210))+SUMPRODUCT(($K$4:$K$703=K210)*($F$4:$F$703=F210)*($U$4:$U$703=1)*($S$4:$S$703=S210)*($T$4:$T$703&gt;T210))+SUMPRODUCT(($K$4:$K$703=K210)*($F$4:$F$703=F210)*($U$4:$U$703=1)*($S$4:$S$703=S210)*($T$4:$T$703=T210)*($C$4:$C$703&lt;C210))+SUMPRODUCT(($K$4:$K$703=K210)*($F$4:$F$703=F210)*($U$4:$U$703=1)*($S$4:$S$703=S210)*($T$4:$T$703=T210)*($C$4:$C$703=C210)*($D$4:$D$703&lt;D210)),0)</f>
        <v>0</v>
      </c>
      <c r="X210" s="11" t="n">
        <f aca="false">IF(AND(U210=1,V210&gt;0,W210&gt;1),S210,0)</f>
        <v>0</v>
      </c>
      <c r="Y210" s="11" t="n">
        <f aca="false">IF(T210=1,X210/(1+Controls!$B$11)^F210,0)</f>
        <v>0</v>
      </c>
      <c r="Z210" s="11" t="n">
        <f aca="false">IF(AND(N210,E210="capacity",LEN(K210)&gt;0),1,0)</f>
        <v>0</v>
      </c>
      <c r="AA210" s="11" t="n">
        <f aca="false">IF(Z210=1,SUMPRODUCT(($K$4:$K$703=K210)*($F$4:$F$703=F210)*($Z$4:$Z$703=1)*($B$4:$B$703&lt;&gt;B210)),0)</f>
        <v>0</v>
      </c>
      <c r="AB210" s="11" t="n">
        <f aca="false">IF(AND(Z210=1,AA210&gt;0),1+SUMPRODUCT(($K$4:$K$703=K210)*($F$4:$F$703=F210)*($Z$4:$Z$703=1)*($P$4:$P$703&gt;P210))+SUMPRODUCT(($K$4:$K$703=K210)*($F$4:$F$703=F210)*($Z$4:$Z$703=1)*($P$4:$P$703=P210)*($C$4:$C$703&lt;C210))+SUMPRODUCT(($K$4:$K$703=K210)*($F$4:$F$703=F210)*($Z$4:$Z$703=1)*($P$4:$P$703=P210)*($C$4:$C$703=C210)*($D$4:$D$703&lt;D210)),0)</f>
        <v>0</v>
      </c>
      <c r="AC210" s="11" t="n">
        <f aca="false">IF(AND(Z210=1,AA210&gt;0,AB210&gt;1),P210,0)</f>
        <v>0</v>
      </c>
    </row>
    <row r="211" customFormat="false" ht="15" hidden="false" customHeight="false" outlineLevel="0" collapsed="false">
      <c r="A211" s="4" t="s">
        <v>432</v>
      </c>
      <c r="B211" s="4" t="s">
        <v>89</v>
      </c>
      <c r="C211" s="4" t="n">
        <v>7</v>
      </c>
      <c r="D211" s="4" t="n">
        <v>208</v>
      </c>
      <c r="E211" s="4" t="s">
        <v>205</v>
      </c>
      <c r="F211" s="4" t="n">
        <v>5</v>
      </c>
      <c r="G211" s="4" t="n">
        <v>2</v>
      </c>
      <c r="H211" s="4" t="n">
        <v>95050</v>
      </c>
      <c r="I211" s="13" t="b">
        <f aca="false">FALSE()</f>
        <v>0</v>
      </c>
      <c r="K211" s="4" t="s">
        <v>429</v>
      </c>
      <c r="L211" s="4" t="n">
        <v>4924.83</v>
      </c>
      <c r="M211" s="11" t="n">
        <f aca="false">IFERROR(MATCH(Controls!$B$3&amp;"|"&amp;B211,'Scenario inputs'!$A$4:$A$213,0),0)</f>
        <v>138</v>
      </c>
      <c r="N211" s="8" t="b">
        <f aca="false">IF(M211=0,FALSE(),F211&lt;Controls!$B$12)</f>
        <v>1</v>
      </c>
      <c r="O211" s="11" t="n">
        <f aca="false">IF(N211,IF(INDEX('Scenario inputs'!$E$4:$E$213,M211)=0,1,INDEX('Scenario inputs'!$F$4:$M$213,M211,MIN(MAX(F211-G211,0),INDEX('Scenario inputs'!$E$4:$E$213,M211)-1)+1)),0)</f>
        <v>0.277778</v>
      </c>
      <c r="P211" s="11" t="n">
        <f aca="false">H211*O211</f>
        <v>26402.7989</v>
      </c>
      <c r="Q211" s="11" t="n">
        <f aca="false">IF(M211=0,"",IF(ISNUMBER(INDEX('Scenario inputs'!$N$4:$N$213,M211)),INDEX('Scenario inputs'!$N$4:$N$213,M211),""))</f>
        <v>30.59</v>
      </c>
      <c r="R211" s="0" t="str">
        <f aca="false">IF(NOT(N211),"",IF(OR(E211="cash",E211="revenue"),E211,IF(E211="avoided_cost",IF(AND(I211,LEN(TRIM(J211))&gt;0),"avoided_cost_realised","avoided_cost_beside"),IF(ISNUMBER(Q211),"capacity_converted","capacity_hours"))))</f>
        <v>avoided_cost_beside</v>
      </c>
      <c r="S211" s="11" t="n">
        <f aca="false">IF(OR(R211="",R211="capacity_hours"),0,IF(R211="capacity_converted",P211*Q211,P211))</f>
        <v>26402.7989</v>
      </c>
      <c r="T211" s="11" t="n">
        <f aca="false">IF(OR(R211="cash",R211="revenue",R211="avoided_cost_realised",R211="capacity_converted"),1,0)</f>
        <v>0</v>
      </c>
      <c r="U211" s="11" t="n">
        <f aca="false">IF(AND(N211,R211&lt;&gt;"capacity_hours",LEN(K211)&gt;0),1,0)</f>
        <v>1</v>
      </c>
      <c r="V211" s="11" t="n">
        <f aca="false">IF(U211=1,SUMPRODUCT(($K$4:$K$703=K211)*($F$4:$F$703=F211)*($U$4:$U$703=1)*($B$4:$B$703&lt;&gt;B211)),0)</f>
        <v>0</v>
      </c>
      <c r="W211" s="11" t="n">
        <f aca="false">IF(AND(U211=1,V211&gt;0),1+SUMPRODUCT(($K$4:$K$703=K211)*($F$4:$F$703=F211)*($U$4:$U$703=1)*($S$4:$S$703&gt;S211))+SUMPRODUCT(($K$4:$K$703=K211)*($F$4:$F$703=F211)*($U$4:$U$703=1)*($S$4:$S$703=S211)*($T$4:$T$703&gt;T211))+SUMPRODUCT(($K$4:$K$703=K211)*($F$4:$F$703=F211)*($U$4:$U$703=1)*($S$4:$S$703=S211)*($T$4:$T$703=T211)*($C$4:$C$703&lt;C211))+SUMPRODUCT(($K$4:$K$703=K211)*($F$4:$F$703=F211)*($U$4:$U$703=1)*($S$4:$S$703=S211)*($T$4:$T$703=T211)*($C$4:$C$703=C211)*($D$4:$D$703&lt;D211)),0)</f>
        <v>0</v>
      </c>
      <c r="X211" s="11" t="n">
        <f aca="false">IF(AND(U211=1,V211&gt;0,W211&gt;1),S211,0)</f>
        <v>0</v>
      </c>
      <c r="Y211" s="11" t="n">
        <f aca="false">IF(T211=1,X211/(1+Controls!$B$11)^F211,0)</f>
        <v>0</v>
      </c>
      <c r="Z211" s="11" t="n">
        <f aca="false">IF(AND(N211,E211="capacity",LEN(K211)&gt;0),1,0)</f>
        <v>0</v>
      </c>
      <c r="AA211" s="11" t="n">
        <f aca="false">IF(Z211=1,SUMPRODUCT(($K$4:$K$703=K211)*($F$4:$F$703=F211)*($Z$4:$Z$703=1)*($B$4:$B$703&lt;&gt;B211)),0)</f>
        <v>0</v>
      </c>
      <c r="AB211" s="11" t="n">
        <f aca="false">IF(AND(Z211=1,AA211&gt;0),1+SUMPRODUCT(($K$4:$K$703=K211)*($F$4:$F$703=F211)*($Z$4:$Z$703=1)*($P$4:$P$703&gt;P211))+SUMPRODUCT(($K$4:$K$703=K211)*($F$4:$F$703=F211)*($Z$4:$Z$703=1)*($P$4:$P$703=P211)*($C$4:$C$703&lt;C211))+SUMPRODUCT(($K$4:$K$703=K211)*($F$4:$F$703=F211)*($Z$4:$Z$703=1)*($P$4:$P$703=P211)*($C$4:$C$703=C211)*($D$4:$D$703&lt;D211)),0)</f>
        <v>0</v>
      </c>
      <c r="AC211" s="11" t="n">
        <f aca="false">IF(AND(Z211=1,AA211&gt;0,AB211&gt;1),P211,0)</f>
        <v>0</v>
      </c>
    </row>
    <row r="212" customFormat="false" ht="15" hidden="false" customHeight="false" outlineLevel="0" collapsed="false">
      <c r="A212" s="4" t="s">
        <v>433</v>
      </c>
      <c r="B212" s="4" t="s">
        <v>89</v>
      </c>
      <c r="C212" s="4" t="n">
        <v>7</v>
      </c>
      <c r="D212" s="4" t="n">
        <v>209</v>
      </c>
      <c r="E212" s="4" t="s">
        <v>205</v>
      </c>
      <c r="F212" s="4" t="n">
        <v>6</v>
      </c>
      <c r="G212" s="4" t="n">
        <v>2</v>
      </c>
      <c r="H212" s="4" t="n">
        <v>95050</v>
      </c>
      <c r="I212" s="13" t="b">
        <f aca="false">FALSE()</f>
        <v>0</v>
      </c>
      <c r="K212" s="4" t="s">
        <v>429</v>
      </c>
      <c r="L212" s="4" t="n">
        <v>7167.82</v>
      </c>
      <c r="M212" s="11" t="n">
        <f aca="false">IFERROR(MATCH(Controls!$B$3&amp;"|"&amp;B212,'Scenario inputs'!$A$4:$A$213,0),0)</f>
        <v>138</v>
      </c>
      <c r="N212" s="8" t="b">
        <f aca="false">IF(M212=0,FALSE(),F212&lt;Controls!$B$12)</f>
        <v>1</v>
      </c>
      <c r="O212" s="11" t="n">
        <f aca="false">IF(N212,IF(INDEX('Scenario inputs'!$E$4:$E$213,M212)=0,1,INDEX('Scenario inputs'!$F$4:$M$213,M212,MIN(MAX(F212-G212,0),INDEX('Scenario inputs'!$E$4:$E$213,M212)-1)+1)),0)</f>
        <v>0.416667</v>
      </c>
      <c r="P212" s="11" t="n">
        <f aca="false">H212*O212</f>
        <v>39604.19835</v>
      </c>
      <c r="Q212" s="11" t="n">
        <f aca="false">IF(M212=0,"",IF(ISNUMBER(INDEX('Scenario inputs'!$N$4:$N$213,M212)),INDEX('Scenario inputs'!$N$4:$N$213,M212),""))</f>
        <v>30.59</v>
      </c>
      <c r="R212" s="0" t="str">
        <f aca="false">IF(NOT(N212),"",IF(OR(E212="cash",E212="revenue"),E212,IF(E212="avoided_cost",IF(AND(I212,LEN(TRIM(J212))&gt;0),"avoided_cost_realised","avoided_cost_beside"),IF(ISNUMBER(Q212),"capacity_converted","capacity_hours"))))</f>
        <v>avoided_cost_beside</v>
      </c>
      <c r="S212" s="11" t="n">
        <f aca="false">IF(OR(R212="",R212="capacity_hours"),0,IF(R212="capacity_converted",P212*Q212,P212))</f>
        <v>39604.19835</v>
      </c>
      <c r="T212" s="11" t="n">
        <f aca="false">IF(OR(R212="cash",R212="revenue",R212="avoided_cost_realised",R212="capacity_converted"),1,0)</f>
        <v>0</v>
      </c>
      <c r="U212" s="11" t="n">
        <f aca="false">IF(AND(N212,R212&lt;&gt;"capacity_hours",LEN(K212)&gt;0),1,0)</f>
        <v>1</v>
      </c>
      <c r="V212" s="11" t="n">
        <f aca="false">IF(U212=1,SUMPRODUCT(($K$4:$K$703=K212)*($F$4:$F$703=F212)*($U$4:$U$703=1)*($B$4:$B$703&lt;&gt;B212)),0)</f>
        <v>0</v>
      </c>
      <c r="W212" s="11" t="n">
        <f aca="false">IF(AND(U212=1,V212&gt;0),1+SUMPRODUCT(($K$4:$K$703=K212)*($F$4:$F$703=F212)*($U$4:$U$703=1)*($S$4:$S$703&gt;S212))+SUMPRODUCT(($K$4:$K$703=K212)*($F$4:$F$703=F212)*($U$4:$U$703=1)*($S$4:$S$703=S212)*($T$4:$T$703&gt;T212))+SUMPRODUCT(($K$4:$K$703=K212)*($F$4:$F$703=F212)*($U$4:$U$703=1)*($S$4:$S$703=S212)*($T$4:$T$703=T212)*($C$4:$C$703&lt;C212))+SUMPRODUCT(($K$4:$K$703=K212)*($F$4:$F$703=F212)*($U$4:$U$703=1)*($S$4:$S$703=S212)*($T$4:$T$703=T212)*($C$4:$C$703=C212)*($D$4:$D$703&lt;D212)),0)</f>
        <v>0</v>
      </c>
      <c r="X212" s="11" t="n">
        <f aca="false">IF(AND(U212=1,V212&gt;0,W212&gt;1),S212,0)</f>
        <v>0</v>
      </c>
      <c r="Y212" s="11" t="n">
        <f aca="false">IF(T212=1,X212/(1+Controls!$B$11)^F212,0)</f>
        <v>0</v>
      </c>
      <c r="Z212" s="11" t="n">
        <f aca="false">IF(AND(N212,E212="capacity",LEN(K212)&gt;0),1,0)</f>
        <v>0</v>
      </c>
      <c r="AA212" s="11" t="n">
        <f aca="false">IF(Z212=1,SUMPRODUCT(($K$4:$K$703=K212)*($F$4:$F$703=F212)*($Z$4:$Z$703=1)*($B$4:$B$703&lt;&gt;B212)),0)</f>
        <v>0</v>
      </c>
      <c r="AB212" s="11" t="n">
        <f aca="false">IF(AND(Z212=1,AA212&gt;0),1+SUMPRODUCT(($K$4:$K$703=K212)*($F$4:$F$703=F212)*($Z$4:$Z$703=1)*($P$4:$P$703&gt;P212))+SUMPRODUCT(($K$4:$K$703=K212)*($F$4:$F$703=F212)*($Z$4:$Z$703=1)*($P$4:$P$703=P212)*($C$4:$C$703&lt;C212))+SUMPRODUCT(($K$4:$K$703=K212)*($F$4:$F$703=F212)*($Z$4:$Z$703=1)*($P$4:$P$703=P212)*($C$4:$C$703=C212)*($D$4:$D$703&lt;D212)),0)</f>
        <v>0</v>
      </c>
      <c r="AC212" s="11" t="n">
        <f aca="false">IF(AND(Z212=1,AA212&gt;0,AB212&gt;1),P212,0)</f>
        <v>0</v>
      </c>
    </row>
    <row r="213" customFormat="false" ht="15" hidden="false" customHeight="false" outlineLevel="0" collapsed="false">
      <c r="A213" s="4" t="s">
        <v>434</v>
      </c>
      <c r="B213" s="4" t="s">
        <v>89</v>
      </c>
      <c r="C213" s="4" t="n">
        <v>7</v>
      </c>
      <c r="D213" s="4" t="n">
        <v>210</v>
      </c>
      <c r="E213" s="4" t="s">
        <v>205</v>
      </c>
      <c r="F213" s="4" t="n">
        <v>7</v>
      </c>
      <c r="G213" s="4" t="n">
        <v>2</v>
      </c>
      <c r="H213" s="4" t="n">
        <v>95050</v>
      </c>
      <c r="I213" s="13" t="b">
        <f aca="false">FALSE()</f>
        <v>0</v>
      </c>
      <c r="K213" s="4" t="s">
        <v>429</v>
      </c>
      <c r="L213" s="4" t="n">
        <v>9830.14</v>
      </c>
      <c r="M213" s="11" t="n">
        <f aca="false">IFERROR(MATCH(Controls!$B$3&amp;"|"&amp;B213,'Scenario inputs'!$A$4:$A$213,0),0)</f>
        <v>138</v>
      </c>
      <c r="N213" s="8" t="b">
        <f aca="false">IF(M213=0,FALSE(),F213&lt;Controls!$B$12)</f>
        <v>1</v>
      </c>
      <c r="O213" s="11" t="n">
        <f aca="false">IF(N213,IF(INDEX('Scenario inputs'!$E$4:$E$213,M213)=0,1,INDEX('Scenario inputs'!$F$4:$M$213,M213,MIN(MAX(F213-G213,0),INDEX('Scenario inputs'!$E$4:$E$213,M213)-1)+1)),0)</f>
        <v>0.583333</v>
      </c>
      <c r="P213" s="11" t="n">
        <f aca="false">H213*O213</f>
        <v>55445.80165</v>
      </c>
      <c r="Q213" s="11" t="n">
        <f aca="false">IF(M213=0,"",IF(ISNUMBER(INDEX('Scenario inputs'!$N$4:$N$213,M213)),INDEX('Scenario inputs'!$N$4:$N$213,M213),""))</f>
        <v>30.59</v>
      </c>
      <c r="R213" s="0" t="str">
        <f aca="false">IF(NOT(N213),"",IF(OR(E213="cash",E213="revenue"),E213,IF(E213="avoided_cost",IF(AND(I213,LEN(TRIM(J213))&gt;0),"avoided_cost_realised","avoided_cost_beside"),IF(ISNUMBER(Q213),"capacity_converted","capacity_hours"))))</f>
        <v>avoided_cost_beside</v>
      </c>
      <c r="S213" s="11" t="n">
        <f aca="false">IF(OR(R213="",R213="capacity_hours"),0,IF(R213="capacity_converted",P213*Q213,P213))</f>
        <v>55445.80165</v>
      </c>
      <c r="T213" s="11" t="n">
        <f aca="false">IF(OR(R213="cash",R213="revenue",R213="avoided_cost_realised",R213="capacity_converted"),1,0)</f>
        <v>0</v>
      </c>
      <c r="U213" s="11" t="n">
        <f aca="false">IF(AND(N213,R213&lt;&gt;"capacity_hours",LEN(K213)&gt;0),1,0)</f>
        <v>1</v>
      </c>
      <c r="V213" s="11" t="n">
        <f aca="false">IF(U213=1,SUMPRODUCT(($K$4:$K$703=K213)*($F$4:$F$703=F213)*($U$4:$U$703=1)*($B$4:$B$703&lt;&gt;B213)),0)</f>
        <v>0</v>
      </c>
      <c r="W213" s="11" t="n">
        <f aca="false">IF(AND(U213=1,V213&gt;0),1+SUMPRODUCT(($K$4:$K$703=K213)*($F$4:$F$703=F213)*($U$4:$U$703=1)*($S$4:$S$703&gt;S213))+SUMPRODUCT(($K$4:$K$703=K213)*($F$4:$F$703=F213)*($U$4:$U$703=1)*($S$4:$S$703=S213)*($T$4:$T$703&gt;T213))+SUMPRODUCT(($K$4:$K$703=K213)*($F$4:$F$703=F213)*($U$4:$U$703=1)*($S$4:$S$703=S213)*($T$4:$T$703=T213)*($C$4:$C$703&lt;C213))+SUMPRODUCT(($K$4:$K$703=K213)*($F$4:$F$703=F213)*($U$4:$U$703=1)*($S$4:$S$703=S213)*($T$4:$T$703=T213)*($C$4:$C$703=C213)*($D$4:$D$703&lt;D213)),0)</f>
        <v>0</v>
      </c>
      <c r="X213" s="11" t="n">
        <f aca="false">IF(AND(U213=1,V213&gt;0,W213&gt;1),S213,0)</f>
        <v>0</v>
      </c>
      <c r="Y213" s="11" t="n">
        <f aca="false">IF(T213=1,X213/(1+Controls!$B$11)^F213,0)</f>
        <v>0</v>
      </c>
      <c r="Z213" s="11" t="n">
        <f aca="false">IF(AND(N213,E213="capacity",LEN(K213)&gt;0),1,0)</f>
        <v>0</v>
      </c>
      <c r="AA213" s="11" t="n">
        <f aca="false">IF(Z213=1,SUMPRODUCT(($K$4:$K$703=K213)*($F$4:$F$703=F213)*($Z$4:$Z$703=1)*($B$4:$B$703&lt;&gt;B213)),0)</f>
        <v>0</v>
      </c>
      <c r="AB213" s="11" t="n">
        <f aca="false">IF(AND(Z213=1,AA213&gt;0),1+SUMPRODUCT(($K$4:$K$703=K213)*($F$4:$F$703=F213)*($Z$4:$Z$703=1)*($P$4:$P$703&gt;P213))+SUMPRODUCT(($K$4:$K$703=K213)*($F$4:$F$703=F213)*($Z$4:$Z$703=1)*($P$4:$P$703=P213)*($C$4:$C$703&lt;C213))+SUMPRODUCT(($K$4:$K$703=K213)*($F$4:$F$703=F213)*($Z$4:$Z$703=1)*($P$4:$P$703=P213)*($C$4:$C$703=C213)*($D$4:$D$703&lt;D213)),0)</f>
        <v>0</v>
      </c>
      <c r="AC213" s="11" t="n">
        <f aca="false">IF(AND(Z213=1,AA213&gt;0,AB213&gt;1),P213,0)</f>
        <v>0</v>
      </c>
    </row>
    <row r="214" customFormat="false" ht="15" hidden="false" customHeight="false" outlineLevel="0" collapsed="false">
      <c r="A214" s="4" t="s">
        <v>435</v>
      </c>
      <c r="B214" s="4" t="s">
        <v>89</v>
      </c>
      <c r="C214" s="4" t="n">
        <v>7</v>
      </c>
      <c r="D214" s="4" t="n">
        <v>211</v>
      </c>
      <c r="E214" s="4" t="s">
        <v>205</v>
      </c>
      <c r="F214" s="4" t="n">
        <v>8</v>
      </c>
      <c r="G214" s="4" t="n">
        <v>2</v>
      </c>
      <c r="H214" s="4" t="n">
        <v>95050</v>
      </c>
      <c r="I214" s="13" t="b">
        <f aca="false">FALSE()</f>
        <v>0</v>
      </c>
      <c r="K214" s="4" t="s">
        <v>429</v>
      </c>
      <c r="L214" s="4" t="n">
        <v>13379.93</v>
      </c>
      <c r="M214" s="11" t="n">
        <f aca="false">IFERROR(MATCH(Controls!$B$3&amp;"|"&amp;B214,'Scenario inputs'!$A$4:$A$213,0),0)</f>
        <v>138</v>
      </c>
      <c r="N214" s="8" t="b">
        <f aca="false">IF(M214=0,FALSE(),F214&lt;Controls!$B$12)</f>
        <v>1</v>
      </c>
      <c r="O214" s="11" t="n">
        <f aca="false">IF(N214,IF(INDEX('Scenario inputs'!$E$4:$E$213,M214)=0,1,INDEX('Scenario inputs'!$F$4:$M$213,M214,MIN(MAX(F214-G214,0),INDEX('Scenario inputs'!$E$4:$E$213,M214)-1)+1)),0)</f>
        <v>0.777778</v>
      </c>
      <c r="P214" s="11" t="n">
        <f aca="false">H214*O214</f>
        <v>73927.7989</v>
      </c>
      <c r="Q214" s="11" t="n">
        <f aca="false">IF(M214=0,"",IF(ISNUMBER(INDEX('Scenario inputs'!$N$4:$N$213,M214)),INDEX('Scenario inputs'!$N$4:$N$213,M214),""))</f>
        <v>30.59</v>
      </c>
      <c r="R214" s="0" t="str">
        <f aca="false">IF(NOT(N214),"",IF(OR(E214="cash",E214="revenue"),E214,IF(E214="avoided_cost",IF(AND(I214,LEN(TRIM(J214))&gt;0),"avoided_cost_realised","avoided_cost_beside"),IF(ISNUMBER(Q214),"capacity_converted","capacity_hours"))))</f>
        <v>avoided_cost_beside</v>
      </c>
      <c r="S214" s="11" t="n">
        <f aca="false">IF(OR(R214="",R214="capacity_hours"),0,IF(R214="capacity_converted",P214*Q214,P214))</f>
        <v>73927.7989</v>
      </c>
      <c r="T214" s="11" t="n">
        <f aca="false">IF(OR(R214="cash",R214="revenue",R214="avoided_cost_realised",R214="capacity_converted"),1,0)</f>
        <v>0</v>
      </c>
      <c r="U214" s="11" t="n">
        <f aca="false">IF(AND(N214,R214&lt;&gt;"capacity_hours",LEN(K214)&gt;0),1,0)</f>
        <v>1</v>
      </c>
      <c r="V214" s="11" t="n">
        <f aca="false">IF(U214=1,SUMPRODUCT(($K$4:$K$703=K214)*($F$4:$F$703=F214)*($U$4:$U$703=1)*($B$4:$B$703&lt;&gt;B214)),0)</f>
        <v>0</v>
      </c>
      <c r="W214" s="11" t="n">
        <f aca="false">IF(AND(U214=1,V214&gt;0),1+SUMPRODUCT(($K$4:$K$703=K214)*($F$4:$F$703=F214)*($U$4:$U$703=1)*($S$4:$S$703&gt;S214))+SUMPRODUCT(($K$4:$K$703=K214)*($F$4:$F$703=F214)*($U$4:$U$703=1)*($S$4:$S$703=S214)*($T$4:$T$703&gt;T214))+SUMPRODUCT(($K$4:$K$703=K214)*($F$4:$F$703=F214)*($U$4:$U$703=1)*($S$4:$S$703=S214)*($T$4:$T$703=T214)*($C$4:$C$703&lt;C214))+SUMPRODUCT(($K$4:$K$703=K214)*($F$4:$F$703=F214)*($U$4:$U$703=1)*($S$4:$S$703=S214)*($T$4:$T$703=T214)*($C$4:$C$703=C214)*($D$4:$D$703&lt;D214)),0)</f>
        <v>0</v>
      </c>
      <c r="X214" s="11" t="n">
        <f aca="false">IF(AND(U214=1,V214&gt;0,W214&gt;1),S214,0)</f>
        <v>0</v>
      </c>
      <c r="Y214" s="11" t="n">
        <f aca="false">IF(T214=1,X214/(1+Controls!$B$11)^F214,0)</f>
        <v>0</v>
      </c>
      <c r="Z214" s="11" t="n">
        <f aca="false">IF(AND(N214,E214="capacity",LEN(K214)&gt;0),1,0)</f>
        <v>0</v>
      </c>
      <c r="AA214" s="11" t="n">
        <f aca="false">IF(Z214=1,SUMPRODUCT(($K$4:$K$703=K214)*($F$4:$F$703=F214)*($Z$4:$Z$703=1)*($B$4:$B$703&lt;&gt;B214)),0)</f>
        <v>0</v>
      </c>
      <c r="AB214" s="11" t="n">
        <f aca="false">IF(AND(Z214=1,AA214&gt;0),1+SUMPRODUCT(($K$4:$K$703=K214)*($F$4:$F$703=F214)*($Z$4:$Z$703=1)*($P$4:$P$703&gt;P214))+SUMPRODUCT(($K$4:$K$703=K214)*($F$4:$F$703=F214)*($Z$4:$Z$703=1)*($P$4:$P$703=P214)*($C$4:$C$703&lt;C214))+SUMPRODUCT(($K$4:$K$703=K214)*($F$4:$F$703=F214)*($Z$4:$Z$703=1)*($P$4:$P$703=P214)*($C$4:$C$703=C214)*($D$4:$D$703&lt;D214)),0)</f>
        <v>0</v>
      </c>
      <c r="AC214" s="11" t="n">
        <f aca="false">IF(AND(Z214=1,AA214&gt;0,AB214&gt;1),P214,0)</f>
        <v>0</v>
      </c>
    </row>
    <row r="215" customFormat="false" ht="15" hidden="false" customHeight="false" outlineLevel="0" collapsed="false">
      <c r="A215" s="4" t="s">
        <v>436</v>
      </c>
      <c r="B215" s="4" t="s">
        <v>89</v>
      </c>
      <c r="C215" s="4" t="n">
        <v>7</v>
      </c>
      <c r="D215" s="4" t="n">
        <v>212</v>
      </c>
      <c r="E215" s="4" t="s">
        <v>205</v>
      </c>
      <c r="F215" s="4" t="n">
        <v>9</v>
      </c>
      <c r="G215" s="4" t="n">
        <v>2</v>
      </c>
      <c r="H215" s="4" t="n">
        <v>95050</v>
      </c>
      <c r="I215" s="13" t="b">
        <f aca="false">FALSE()</f>
        <v>0</v>
      </c>
      <c r="K215" s="4" t="s">
        <v>429</v>
      </c>
      <c r="L215" s="4" t="n">
        <v>19504.26</v>
      </c>
      <c r="M215" s="11" t="n">
        <f aca="false">IFERROR(MATCH(Controls!$B$3&amp;"|"&amp;B215,'Scenario inputs'!$A$4:$A$213,0),0)</f>
        <v>138</v>
      </c>
      <c r="N215" s="8" t="b">
        <f aca="false">IF(M215=0,FALSE(),F215&lt;Controls!$B$12)</f>
        <v>1</v>
      </c>
      <c r="O215" s="11" t="n">
        <f aca="false">IF(N215,IF(INDEX('Scenario inputs'!$E$4:$E$213,M215)=0,1,INDEX('Scenario inputs'!$F$4:$M$213,M215,MIN(MAX(F215-G215,0),INDEX('Scenario inputs'!$E$4:$E$213,M215)-1)+1)),0)</f>
        <v>1</v>
      </c>
      <c r="P215" s="11" t="n">
        <f aca="false">H215*O215</f>
        <v>95050</v>
      </c>
      <c r="Q215" s="11" t="n">
        <f aca="false">IF(M215=0,"",IF(ISNUMBER(INDEX('Scenario inputs'!$N$4:$N$213,M215)),INDEX('Scenario inputs'!$N$4:$N$213,M215),""))</f>
        <v>30.59</v>
      </c>
      <c r="R215" s="0" t="str">
        <f aca="false">IF(NOT(N215),"",IF(OR(E215="cash",E215="revenue"),E215,IF(E215="avoided_cost",IF(AND(I215,LEN(TRIM(J215))&gt;0),"avoided_cost_realised","avoided_cost_beside"),IF(ISNUMBER(Q215),"capacity_converted","capacity_hours"))))</f>
        <v>avoided_cost_beside</v>
      </c>
      <c r="S215" s="11" t="n">
        <f aca="false">IF(OR(R215="",R215="capacity_hours"),0,IF(R215="capacity_converted",P215*Q215,P215))</f>
        <v>95050</v>
      </c>
      <c r="T215" s="11" t="n">
        <f aca="false">IF(OR(R215="cash",R215="revenue",R215="avoided_cost_realised",R215="capacity_converted"),1,0)</f>
        <v>0</v>
      </c>
      <c r="U215" s="11" t="n">
        <f aca="false">IF(AND(N215,R215&lt;&gt;"capacity_hours",LEN(K215)&gt;0),1,0)</f>
        <v>1</v>
      </c>
      <c r="V215" s="11" t="n">
        <f aca="false">IF(U215=1,SUMPRODUCT(($K$4:$K$703=K215)*($F$4:$F$703=F215)*($U$4:$U$703=1)*($B$4:$B$703&lt;&gt;B215)),0)</f>
        <v>0</v>
      </c>
      <c r="W215" s="11" t="n">
        <f aca="false">IF(AND(U215=1,V215&gt;0),1+SUMPRODUCT(($K$4:$K$703=K215)*($F$4:$F$703=F215)*($U$4:$U$703=1)*($S$4:$S$703&gt;S215))+SUMPRODUCT(($K$4:$K$703=K215)*($F$4:$F$703=F215)*($U$4:$U$703=1)*($S$4:$S$703=S215)*($T$4:$T$703&gt;T215))+SUMPRODUCT(($K$4:$K$703=K215)*($F$4:$F$703=F215)*($U$4:$U$703=1)*($S$4:$S$703=S215)*($T$4:$T$703=T215)*($C$4:$C$703&lt;C215))+SUMPRODUCT(($K$4:$K$703=K215)*($F$4:$F$703=F215)*($U$4:$U$703=1)*($S$4:$S$703=S215)*($T$4:$T$703=T215)*($C$4:$C$703=C215)*($D$4:$D$703&lt;D215)),0)</f>
        <v>0</v>
      </c>
      <c r="X215" s="11" t="n">
        <f aca="false">IF(AND(U215=1,V215&gt;0,W215&gt;1),S215,0)</f>
        <v>0</v>
      </c>
      <c r="Y215" s="11" t="n">
        <f aca="false">IF(T215=1,X215/(1+Controls!$B$11)^F215,0)</f>
        <v>0</v>
      </c>
      <c r="Z215" s="11" t="n">
        <f aca="false">IF(AND(N215,E215="capacity",LEN(K215)&gt;0),1,0)</f>
        <v>0</v>
      </c>
      <c r="AA215" s="11" t="n">
        <f aca="false">IF(Z215=1,SUMPRODUCT(($K$4:$K$703=K215)*($F$4:$F$703=F215)*($Z$4:$Z$703=1)*($B$4:$B$703&lt;&gt;B215)),0)</f>
        <v>0</v>
      </c>
      <c r="AB215" s="11" t="n">
        <f aca="false">IF(AND(Z215=1,AA215&gt;0),1+SUMPRODUCT(($K$4:$K$703=K215)*($F$4:$F$703=F215)*($Z$4:$Z$703=1)*($P$4:$P$703&gt;P215))+SUMPRODUCT(($K$4:$K$703=K215)*($F$4:$F$703=F215)*($Z$4:$Z$703=1)*($P$4:$P$703=P215)*($C$4:$C$703&lt;C215))+SUMPRODUCT(($K$4:$K$703=K215)*($F$4:$F$703=F215)*($Z$4:$Z$703=1)*($P$4:$P$703=P215)*($C$4:$C$703=C215)*($D$4:$D$703&lt;D215)),0)</f>
        <v>0</v>
      </c>
      <c r="AC215" s="11" t="n">
        <f aca="false">IF(AND(Z215=1,AA215&gt;0,AB215&gt;1),P215,0)</f>
        <v>0</v>
      </c>
    </row>
    <row r="216" customFormat="false" ht="15" hidden="false" customHeight="false" outlineLevel="0" collapsed="false">
      <c r="A216" s="4" t="s">
        <v>437</v>
      </c>
      <c r="B216" s="4" t="s">
        <v>89</v>
      </c>
      <c r="C216" s="4" t="n">
        <v>7</v>
      </c>
      <c r="D216" s="4" t="n">
        <v>213</v>
      </c>
      <c r="E216" s="4" t="s">
        <v>205</v>
      </c>
      <c r="F216" s="4" t="n">
        <v>10</v>
      </c>
      <c r="G216" s="4" t="n">
        <v>2</v>
      </c>
      <c r="H216" s="4" t="n">
        <v>95050</v>
      </c>
      <c r="I216" s="13" t="b">
        <f aca="false">FALSE()</f>
        <v>0</v>
      </c>
      <c r="K216" s="4" t="s">
        <v>429</v>
      </c>
      <c r="L216" s="4" t="n">
        <v>19504.26</v>
      </c>
      <c r="M216" s="11" t="n">
        <f aca="false">IFERROR(MATCH(Controls!$B$3&amp;"|"&amp;B216,'Scenario inputs'!$A$4:$A$213,0),0)</f>
        <v>138</v>
      </c>
      <c r="N216" s="8" t="b">
        <f aca="false">IF(M216=0,FALSE(),F216&lt;Controls!$B$12)</f>
        <v>1</v>
      </c>
      <c r="O216" s="11" t="n">
        <f aca="false">IF(N216,IF(INDEX('Scenario inputs'!$E$4:$E$213,M216)=0,1,INDEX('Scenario inputs'!$F$4:$M$213,M216,MIN(MAX(F216-G216,0),INDEX('Scenario inputs'!$E$4:$E$213,M216)-1)+1)),0)</f>
        <v>1</v>
      </c>
      <c r="P216" s="11" t="n">
        <f aca="false">H216*O216</f>
        <v>95050</v>
      </c>
      <c r="Q216" s="11" t="n">
        <f aca="false">IF(M216=0,"",IF(ISNUMBER(INDEX('Scenario inputs'!$N$4:$N$213,M216)),INDEX('Scenario inputs'!$N$4:$N$213,M216),""))</f>
        <v>30.59</v>
      </c>
      <c r="R216" s="0" t="str">
        <f aca="false">IF(NOT(N216),"",IF(OR(E216="cash",E216="revenue"),E216,IF(E216="avoided_cost",IF(AND(I216,LEN(TRIM(J216))&gt;0),"avoided_cost_realised","avoided_cost_beside"),IF(ISNUMBER(Q216),"capacity_converted","capacity_hours"))))</f>
        <v>avoided_cost_beside</v>
      </c>
      <c r="S216" s="11" t="n">
        <f aca="false">IF(OR(R216="",R216="capacity_hours"),0,IF(R216="capacity_converted",P216*Q216,P216))</f>
        <v>95050</v>
      </c>
      <c r="T216" s="11" t="n">
        <f aca="false">IF(OR(R216="cash",R216="revenue",R216="avoided_cost_realised",R216="capacity_converted"),1,0)</f>
        <v>0</v>
      </c>
      <c r="U216" s="11" t="n">
        <f aca="false">IF(AND(N216,R216&lt;&gt;"capacity_hours",LEN(K216)&gt;0),1,0)</f>
        <v>1</v>
      </c>
      <c r="V216" s="11" t="n">
        <f aca="false">IF(U216=1,SUMPRODUCT(($K$4:$K$703=K216)*($F$4:$F$703=F216)*($U$4:$U$703=1)*($B$4:$B$703&lt;&gt;B216)),0)</f>
        <v>0</v>
      </c>
      <c r="W216" s="11" t="n">
        <f aca="false">IF(AND(U216=1,V216&gt;0),1+SUMPRODUCT(($K$4:$K$703=K216)*($F$4:$F$703=F216)*($U$4:$U$703=1)*($S$4:$S$703&gt;S216))+SUMPRODUCT(($K$4:$K$703=K216)*($F$4:$F$703=F216)*($U$4:$U$703=1)*($S$4:$S$703=S216)*($T$4:$T$703&gt;T216))+SUMPRODUCT(($K$4:$K$703=K216)*($F$4:$F$703=F216)*($U$4:$U$703=1)*($S$4:$S$703=S216)*($T$4:$T$703=T216)*($C$4:$C$703&lt;C216))+SUMPRODUCT(($K$4:$K$703=K216)*($F$4:$F$703=F216)*($U$4:$U$703=1)*($S$4:$S$703=S216)*($T$4:$T$703=T216)*($C$4:$C$703=C216)*($D$4:$D$703&lt;D216)),0)</f>
        <v>0</v>
      </c>
      <c r="X216" s="11" t="n">
        <f aca="false">IF(AND(U216=1,V216&gt;0,W216&gt;1),S216,0)</f>
        <v>0</v>
      </c>
      <c r="Y216" s="11" t="n">
        <f aca="false">IF(T216=1,X216/(1+Controls!$B$11)^F216,0)</f>
        <v>0</v>
      </c>
      <c r="Z216" s="11" t="n">
        <f aca="false">IF(AND(N216,E216="capacity",LEN(K216)&gt;0),1,0)</f>
        <v>0</v>
      </c>
      <c r="AA216" s="11" t="n">
        <f aca="false">IF(Z216=1,SUMPRODUCT(($K$4:$K$703=K216)*($F$4:$F$703=F216)*($Z$4:$Z$703=1)*($B$4:$B$703&lt;&gt;B216)),0)</f>
        <v>0</v>
      </c>
      <c r="AB216" s="11" t="n">
        <f aca="false">IF(AND(Z216=1,AA216&gt;0),1+SUMPRODUCT(($K$4:$K$703=K216)*($F$4:$F$703=F216)*($Z$4:$Z$703=1)*($P$4:$P$703&gt;P216))+SUMPRODUCT(($K$4:$K$703=K216)*($F$4:$F$703=F216)*($Z$4:$Z$703=1)*($P$4:$P$703=P216)*($C$4:$C$703&lt;C216))+SUMPRODUCT(($K$4:$K$703=K216)*($F$4:$F$703=F216)*($Z$4:$Z$703=1)*($P$4:$P$703=P216)*($C$4:$C$703=C216)*($D$4:$D$703&lt;D216)),0)</f>
        <v>0</v>
      </c>
      <c r="AC216" s="11" t="n">
        <f aca="false">IF(AND(Z216=1,AA216&gt;0,AB216&gt;1),P216,0)</f>
        <v>0</v>
      </c>
    </row>
    <row r="217" customFormat="false" ht="15" hidden="false" customHeight="false" outlineLevel="0" collapsed="false">
      <c r="A217" s="4" t="s">
        <v>438</v>
      </c>
      <c r="B217" s="4" t="s">
        <v>89</v>
      </c>
      <c r="C217" s="4" t="n">
        <v>7</v>
      </c>
      <c r="D217" s="4" t="n">
        <v>214</v>
      </c>
      <c r="E217" s="4" t="s">
        <v>205</v>
      </c>
      <c r="F217" s="4" t="n">
        <v>11</v>
      </c>
      <c r="G217" s="4" t="n">
        <v>2</v>
      </c>
      <c r="H217" s="4" t="n">
        <v>95050</v>
      </c>
      <c r="I217" s="13" t="b">
        <f aca="false">FALSE()</f>
        <v>0</v>
      </c>
      <c r="K217" s="4" t="s">
        <v>429</v>
      </c>
      <c r="L217" s="4" t="n">
        <v>19504.26</v>
      </c>
      <c r="M217" s="11" t="n">
        <f aca="false">IFERROR(MATCH(Controls!$B$3&amp;"|"&amp;B217,'Scenario inputs'!$A$4:$A$213,0),0)</f>
        <v>138</v>
      </c>
      <c r="N217" s="8" t="b">
        <f aca="false">IF(M217=0,FALSE(),F217&lt;Controls!$B$12)</f>
        <v>1</v>
      </c>
      <c r="O217" s="11" t="n">
        <f aca="false">IF(N217,IF(INDEX('Scenario inputs'!$E$4:$E$213,M217)=0,1,INDEX('Scenario inputs'!$F$4:$M$213,M217,MIN(MAX(F217-G217,0),INDEX('Scenario inputs'!$E$4:$E$213,M217)-1)+1)),0)</f>
        <v>1</v>
      </c>
      <c r="P217" s="11" t="n">
        <f aca="false">H217*O217</f>
        <v>95050</v>
      </c>
      <c r="Q217" s="11" t="n">
        <f aca="false">IF(M217=0,"",IF(ISNUMBER(INDEX('Scenario inputs'!$N$4:$N$213,M217)),INDEX('Scenario inputs'!$N$4:$N$213,M217),""))</f>
        <v>30.59</v>
      </c>
      <c r="R217" s="0" t="str">
        <f aca="false">IF(NOT(N217),"",IF(OR(E217="cash",E217="revenue"),E217,IF(E217="avoided_cost",IF(AND(I217,LEN(TRIM(J217))&gt;0),"avoided_cost_realised","avoided_cost_beside"),IF(ISNUMBER(Q217),"capacity_converted","capacity_hours"))))</f>
        <v>avoided_cost_beside</v>
      </c>
      <c r="S217" s="11" t="n">
        <f aca="false">IF(OR(R217="",R217="capacity_hours"),0,IF(R217="capacity_converted",P217*Q217,P217))</f>
        <v>95050</v>
      </c>
      <c r="T217" s="11" t="n">
        <f aca="false">IF(OR(R217="cash",R217="revenue",R217="avoided_cost_realised",R217="capacity_converted"),1,0)</f>
        <v>0</v>
      </c>
      <c r="U217" s="11" t="n">
        <f aca="false">IF(AND(N217,R217&lt;&gt;"capacity_hours",LEN(K217)&gt;0),1,0)</f>
        <v>1</v>
      </c>
      <c r="V217" s="11" t="n">
        <f aca="false">IF(U217=1,SUMPRODUCT(($K$4:$K$703=K217)*($F$4:$F$703=F217)*($U$4:$U$703=1)*($B$4:$B$703&lt;&gt;B217)),0)</f>
        <v>0</v>
      </c>
      <c r="W217" s="11" t="n">
        <f aca="false">IF(AND(U217=1,V217&gt;0),1+SUMPRODUCT(($K$4:$K$703=K217)*($F$4:$F$703=F217)*($U$4:$U$703=1)*($S$4:$S$703&gt;S217))+SUMPRODUCT(($K$4:$K$703=K217)*($F$4:$F$703=F217)*($U$4:$U$703=1)*($S$4:$S$703=S217)*($T$4:$T$703&gt;T217))+SUMPRODUCT(($K$4:$K$703=K217)*($F$4:$F$703=F217)*($U$4:$U$703=1)*($S$4:$S$703=S217)*($T$4:$T$703=T217)*($C$4:$C$703&lt;C217))+SUMPRODUCT(($K$4:$K$703=K217)*($F$4:$F$703=F217)*($U$4:$U$703=1)*($S$4:$S$703=S217)*($T$4:$T$703=T217)*($C$4:$C$703=C217)*($D$4:$D$703&lt;D217)),0)</f>
        <v>0</v>
      </c>
      <c r="X217" s="11" t="n">
        <f aca="false">IF(AND(U217=1,V217&gt;0,W217&gt;1),S217,0)</f>
        <v>0</v>
      </c>
      <c r="Y217" s="11" t="n">
        <f aca="false">IF(T217=1,X217/(1+Controls!$B$11)^F217,0)</f>
        <v>0</v>
      </c>
      <c r="Z217" s="11" t="n">
        <f aca="false">IF(AND(N217,E217="capacity",LEN(K217)&gt;0),1,0)</f>
        <v>0</v>
      </c>
      <c r="AA217" s="11" t="n">
        <f aca="false">IF(Z217=1,SUMPRODUCT(($K$4:$K$703=K217)*($F$4:$F$703=F217)*($Z$4:$Z$703=1)*($B$4:$B$703&lt;&gt;B217)),0)</f>
        <v>0</v>
      </c>
      <c r="AB217" s="11" t="n">
        <f aca="false">IF(AND(Z217=1,AA217&gt;0),1+SUMPRODUCT(($K$4:$K$703=K217)*($F$4:$F$703=F217)*($Z$4:$Z$703=1)*($P$4:$P$703&gt;P217))+SUMPRODUCT(($K$4:$K$703=K217)*($F$4:$F$703=F217)*($Z$4:$Z$703=1)*($P$4:$P$703=P217)*($C$4:$C$703&lt;C217))+SUMPRODUCT(($K$4:$K$703=K217)*($F$4:$F$703=F217)*($Z$4:$Z$703=1)*($P$4:$P$703=P217)*($C$4:$C$703=C217)*($D$4:$D$703&lt;D217)),0)</f>
        <v>0</v>
      </c>
      <c r="AC217" s="11" t="n">
        <f aca="false">IF(AND(Z217=1,AA217&gt;0,AB217&gt;1),P217,0)</f>
        <v>0</v>
      </c>
    </row>
    <row r="218" customFormat="false" ht="15" hidden="false" customHeight="false" outlineLevel="0" collapsed="false">
      <c r="A218" s="4" t="s">
        <v>439</v>
      </c>
      <c r="B218" s="4" t="s">
        <v>89</v>
      </c>
      <c r="C218" s="4" t="n">
        <v>7</v>
      </c>
      <c r="D218" s="4" t="n">
        <v>215</v>
      </c>
      <c r="E218" s="4" t="s">
        <v>205</v>
      </c>
      <c r="F218" s="4" t="n">
        <v>12</v>
      </c>
      <c r="G218" s="4" t="n">
        <v>2</v>
      </c>
      <c r="H218" s="4" t="n">
        <v>95050</v>
      </c>
      <c r="I218" s="13" t="b">
        <f aca="false">FALSE()</f>
        <v>0</v>
      </c>
      <c r="K218" s="4" t="s">
        <v>429</v>
      </c>
      <c r="L218" s="4" t="n">
        <v>19504.26</v>
      </c>
      <c r="M218" s="11" t="n">
        <f aca="false">IFERROR(MATCH(Controls!$B$3&amp;"|"&amp;B218,'Scenario inputs'!$A$4:$A$213,0),0)</f>
        <v>138</v>
      </c>
      <c r="N218" s="8" t="b">
        <f aca="false">IF(M218=0,FALSE(),F218&lt;Controls!$B$12)</f>
        <v>1</v>
      </c>
      <c r="O218" s="11" t="n">
        <f aca="false">IF(N218,IF(INDEX('Scenario inputs'!$E$4:$E$213,M218)=0,1,INDEX('Scenario inputs'!$F$4:$M$213,M218,MIN(MAX(F218-G218,0),INDEX('Scenario inputs'!$E$4:$E$213,M218)-1)+1)),0)</f>
        <v>1</v>
      </c>
      <c r="P218" s="11" t="n">
        <f aca="false">H218*O218</f>
        <v>95050</v>
      </c>
      <c r="Q218" s="11" t="n">
        <f aca="false">IF(M218=0,"",IF(ISNUMBER(INDEX('Scenario inputs'!$N$4:$N$213,M218)),INDEX('Scenario inputs'!$N$4:$N$213,M218),""))</f>
        <v>30.59</v>
      </c>
      <c r="R218" s="0" t="str">
        <f aca="false">IF(NOT(N218),"",IF(OR(E218="cash",E218="revenue"),E218,IF(E218="avoided_cost",IF(AND(I218,LEN(TRIM(J218))&gt;0),"avoided_cost_realised","avoided_cost_beside"),IF(ISNUMBER(Q218),"capacity_converted","capacity_hours"))))</f>
        <v>avoided_cost_beside</v>
      </c>
      <c r="S218" s="11" t="n">
        <f aca="false">IF(OR(R218="",R218="capacity_hours"),0,IF(R218="capacity_converted",P218*Q218,P218))</f>
        <v>95050</v>
      </c>
      <c r="T218" s="11" t="n">
        <f aca="false">IF(OR(R218="cash",R218="revenue",R218="avoided_cost_realised",R218="capacity_converted"),1,0)</f>
        <v>0</v>
      </c>
      <c r="U218" s="11" t="n">
        <f aca="false">IF(AND(N218,R218&lt;&gt;"capacity_hours",LEN(K218)&gt;0),1,0)</f>
        <v>1</v>
      </c>
      <c r="V218" s="11" t="n">
        <f aca="false">IF(U218=1,SUMPRODUCT(($K$4:$K$703=K218)*($F$4:$F$703=F218)*($U$4:$U$703=1)*($B$4:$B$703&lt;&gt;B218)),0)</f>
        <v>0</v>
      </c>
      <c r="W218" s="11" t="n">
        <f aca="false">IF(AND(U218=1,V218&gt;0),1+SUMPRODUCT(($K$4:$K$703=K218)*($F$4:$F$703=F218)*($U$4:$U$703=1)*($S$4:$S$703&gt;S218))+SUMPRODUCT(($K$4:$K$703=K218)*($F$4:$F$703=F218)*($U$4:$U$703=1)*($S$4:$S$703=S218)*($T$4:$T$703&gt;T218))+SUMPRODUCT(($K$4:$K$703=K218)*($F$4:$F$703=F218)*($U$4:$U$703=1)*($S$4:$S$703=S218)*($T$4:$T$703=T218)*($C$4:$C$703&lt;C218))+SUMPRODUCT(($K$4:$K$703=K218)*($F$4:$F$703=F218)*($U$4:$U$703=1)*($S$4:$S$703=S218)*($T$4:$T$703=T218)*($C$4:$C$703=C218)*($D$4:$D$703&lt;D218)),0)</f>
        <v>0</v>
      </c>
      <c r="X218" s="11" t="n">
        <f aca="false">IF(AND(U218=1,V218&gt;0,W218&gt;1),S218,0)</f>
        <v>0</v>
      </c>
      <c r="Y218" s="11" t="n">
        <f aca="false">IF(T218=1,X218/(1+Controls!$B$11)^F218,0)</f>
        <v>0</v>
      </c>
      <c r="Z218" s="11" t="n">
        <f aca="false">IF(AND(N218,E218="capacity",LEN(K218)&gt;0),1,0)</f>
        <v>0</v>
      </c>
      <c r="AA218" s="11" t="n">
        <f aca="false">IF(Z218=1,SUMPRODUCT(($K$4:$K$703=K218)*($F$4:$F$703=F218)*($Z$4:$Z$703=1)*($B$4:$B$703&lt;&gt;B218)),0)</f>
        <v>0</v>
      </c>
      <c r="AB218" s="11" t="n">
        <f aca="false">IF(AND(Z218=1,AA218&gt;0),1+SUMPRODUCT(($K$4:$K$703=K218)*($F$4:$F$703=F218)*($Z$4:$Z$703=1)*($P$4:$P$703&gt;P218))+SUMPRODUCT(($K$4:$K$703=K218)*($F$4:$F$703=F218)*($Z$4:$Z$703=1)*($P$4:$P$703=P218)*($C$4:$C$703&lt;C218))+SUMPRODUCT(($K$4:$K$703=K218)*($F$4:$F$703=F218)*($Z$4:$Z$703=1)*($P$4:$P$703=P218)*($C$4:$C$703=C218)*($D$4:$D$703&lt;D218)),0)</f>
        <v>0</v>
      </c>
      <c r="AC218" s="11" t="n">
        <f aca="false">IF(AND(Z218=1,AA218&gt;0,AB218&gt;1),P218,0)</f>
        <v>0</v>
      </c>
    </row>
    <row r="219" customFormat="false" ht="15" hidden="false" customHeight="false" outlineLevel="0" collapsed="false">
      <c r="A219" s="4" t="s">
        <v>440</v>
      </c>
      <c r="B219" s="4" t="s">
        <v>89</v>
      </c>
      <c r="C219" s="4" t="n">
        <v>7</v>
      </c>
      <c r="D219" s="4" t="n">
        <v>216</v>
      </c>
      <c r="E219" s="4" t="s">
        <v>205</v>
      </c>
      <c r="F219" s="4" t="n">
        <v>13</v>
      </c>
      <c r="G219" s="4" t="n">
        <v>2</v>
      </c>
      <c r="H219" s="4" t="n">
        <v>95050</v>
      </c>
      <c r="I219" s="13" t="b">
        <f aca="false">FALSE()</f>
        <v>0</v>
      </c>
      <c r="K219" s="4" t="s">
        <v>429</v>
      </c>
      <c r="L219" s="4" t="n">
        <v>19504.26</v>
      </c>
      <c r="M219" s="11" t="n">
        <f aca="false">IFERROR(MATCH(Controls!$B$3&amp;"|"&amp;B219,'Scenario inputs'!$A$4:$A$213,0),0)</f>
        <v>138</v>
      </c>
      <c r="N219" s="8" t="b">
        <f aca="false">IF(M219=0,FALSE(),F219&lt;Controls!$B$12)</f>
        <v>1</v>
      </c>
      <c r="O219" s="11" t="n">
        <f aca="false">IF(N219,IF(INDEX('Scenario inputs'!$E$4:$E$213,M219)=0,1,INDEX('Scenario inputs'!$F$4:$M$213,M219,MIN(MAX(F219-G219,0),INDEX('Scenario inputs'!$E$4:$E$213,M219)-1)+1)),0)</f>
        <v>1</v>
      </c>
      <c r="P219" s="11" t="n">
        <f aca="false">H219*O219</f>
        <v>95050</v>
      </c>
      <c r="Q219" s="11" t="n">
        <f aca="false">IF(M219=0,"",IF(ISNUMBER(INDEX('Scenario inputs'!$N$4:$N$213,M219)),INDEX('Scenario inputs'!$N$4:$N$213,M219),""))</f>
        <v>30.59</v>
      </c>
      <c r="R219" s="0" t="str">
        <f aca="false">IF(NOT(N219),"",IF(OR(E219="cash",E219="revenue"),E219,IF(E219="avoided_cost",IF(AND(I219,LEN(TRIM(J219))&gt;0),"avoided_cost_realised","avoided_cost_beside"),IF(ISNUMBER(Q219),"capacity_converted","capacity_hours"))))</f>
        <v>avoided_cost_beside</v>
      </c>
      <c r="S219" s="11" t="n">
        <f aca="false">IF(OR(R219="",R219="capacity_hours"),0,IF(R219="capacity_converted",P219*Q219,P219))</f>
        <v>95050</v>
      </c>
      <c r="T219" s="11" t="n">
        <f aca="false">IF(OR(R219="cash",R219="revenue",R219="avoided_cost_realised",R219="capacity_converted"),1,0)</f>
        <v>0</v>
      </c>
      <c r="U219" s="11" t="n">
        <f aca="false">IF(AND(N219,R219&lt;&gt;"capacity_hours",LEN(K219)&gt;0),1,0)</f>
        <v>1</v>
      </c>
      <c r="V219" s="11" t="n">
        <f aca="false">IF(U219=1,SUMPRODUCT(($K$4:$K$703=K219)*($F$4:$F$703=F219)*($U$4:$U$703=1)*($B$4:$B$703&lt;&gt;B219)),0)</f>
        <v>0</v>
      </c>
      <c r="W219" s="11" t="n">
        <f aca="false">IF(AND(U219=1,V219&gt;0),1+SUMPRODUCT(($K$4:$K$703=K219)*($F$4:$F$703=F219)*($U$4:$U$703=1)*($S$4:$S$703&gt;S219))+SUMPRODUCT(($K$4:$K$703=K219)*($F$4:$F$703=F219)*($U$4:$U$703=1)*($S$4:$S$703=S219)*($T$4:$T$703&gt;T219))+SUMPRODUCT(($K$4:$K$703=K219)*($F$4:$F$703=F219)*($U$4:$U$703=1)*($S$4:$S$703=S219)*($T$4:$T$703=T219)*($C$4:$C$703&lt;C219))+SUMPRODUCT(($K$4:$K$703=K219)*($F$4:$F$703=F219)*($U$4:$U$703=1)*($S$4:$S$703=S219)*($T$4:$T$703=T219)*($C$4:$C$703=C219)*($D$4:$D$703&lt;D219)),0)</f>
        <v>0</v>
      </c>
      <c r="X219" s="11" t="n">
        <f aca="false">IF(AND(U219=1,V219&gt;0,W219&gt;1),S219,0)</f>
        <v>0</v>
      </c>
      <c r="Y219" s="11" t="n">
        <f aca="false">IF(T219=1,X219/(1+Controls!$B$11)^F219,0)</f>
        <v>0</v>
      </c>
      <c r="Z219" s="11" t="n">
        <f aca="false">IF(AND(N219,E219="capacity",LEN(K219)&gt;0),1,0)</f>
        <v>0</v>
      </c>
      <c r="AA219" s="11" t="n">
        <f aca="false">IF(Z219=1,SUMPRODUCT(($K$4:$K$703=K219)*($F$4:$F$703=F219)*($Z$4:$Z$703=1)*($B$4:$B$703&lt;&gt;B219)),0)</f>
        <v>0</v>
      </c>
      <c r="AB219" s="11" t="n">
        <f aca="false">IF(AND(Z219=1,AA219&gt;0),1+SUMPRODUCT(($K$4:$K$703=K219)*($F$4:$F$703=F219)*($Z$4:$Z$703=1)*($P$4:$P$703&gt;P219))+SUMPRODUCT(($K$4:$K$703=K219)*($F$4:$F$703=F219)*($Z$4:$Z$703=1)*($P$4:$P$703=P219)*($C$4:$C$703&lt;C219))+SUMPRODUCT(($K$4:$K$703=K219)*($F$4:$F$703=F219)*($Z$4:$Z$703=1)*($P$4:$P$703=P219)*($C$4:$C$703=C219)*($D$4:$D$703&lt;D219)),0)</f>
        <v>0</v>
      </c>
      <c r="AC219" s="11" t="n">
        <f aca="false">IF(AND(Z219=1,AA219&gt;0,AB219&gt;1),P219,0)</f>
        <v>0</v>
      </c>
    </row>
    <row r="220" customFormat="false" ht="15" hidden="false" customHeight="false" outlineLevel="0" collapsed="false">
      <c r="A220" s="4" t="s">
        <v>441</v>
      </c>
      <c r="B220" s="4" t="s">
        <v>89</v>
      </c>
      <c r="C220" s="4" t="n">
        <v>7</v>
      </c>
      <c r="D220" s="4" t="n">
        <v>217</v>
      </c>
      <c r="E220" s="4" t="s">
        <v>233</v>
      </c>
      <c r="F220" s="4" t="n">
        <v>2</v>
      </c>
      <c r="G220" s="4" t="n">
        <v>2</v>
      </c>
      <c r="H220" s="4" t="n">
        <v>739.78</v>
      </c>
      <c r="I220" s="13" t="b">
        <f aca="false">FALSE()</f>
        <v>0</v>
      </c>
      <c r="K220" s="4" t="s">
        <v>442</v>
      </c>
      <c r="L220" s="4" t="n">
        <v>1.95</v>
      </c>
      <c r="M220" s="11" t="n">
        <f aca="false">IFERROR(MATCH(Controls!$B$3&amp;"|"&amp;B220,'Scenario inputs'!$A$4:$A$213,0),0)</f>
        <v>138</v>
      </c>
      <c r="N220" s="8" t="b">
        <f aca="false">IF(M220=0,FALSE(),F220&lt;Controls!$B$12)</f>
        <v>1</v>
      </c>
      <c r="O220" s="11" t="n">
        <f aca="false">IF(N220,IF(INDEX('Scenario inputs'!$E$4:$E$213,M220)=0,1,INDEX('Scenario inputs'!$F$4:$M$213,M220,MIN(MAX(F220-G220,0),INDEX('Scenario inputs'!$E$4:$E$213,M220)-1)+1)),0)</f>
        <v>0.027778</v>
      </c>
      <c r="P220" s="11" t="n">
        <f aca="false">H220*O220</f>
        <v>20.54960884</v>
      </c>
      <c r="Q220" s="11" t="n">
        <f aca="false">IF(M220=0,"",IF(ISNUMBER(INDEX('Scenario inputs'!$N$4:$N$213,M220)),INDEX('Scenario inputs'!$N$4:$N$213,M220),""))</f>
        <v>30.59</v>
      </c>
      <c r="R220" s="0" t="str">
        <f aca="false">IF(NOT(N220),"",IF(OR(E220="cash",E220="revenue"),E220,IF(E220="avoided_cost",IF(AND(I220,LEN(TRIM(J220))&gt;0),"avoided_cost_realised","avoided_cost_beside"),IF(ISNUMBER(Q220),"capacity_converted","capacity_hours"))))</f>
        <v>capacity_converted</v>
      </c>
      <c r="S220" s="11" t="n">
        <f aca="false">IF(OR(R220="",R220="capacity_hours"),0,IF(R220="capacity_converted",P220*Q220,P220))</f>
        <v>628.6125344156</v>
      </c>
      <c r="T220" s="11" t="n">
        <f aca="false">IF(OR(R220="cash",R220="revenue",R220="avoided_cost_realised",R220="capacity_converted"),1,0)</f>
        <v>1</v>
      </c>
      <c r="U220" s="11" t="n">
        <f aca="false">IF(AND(N220,R220&lt;&gt;"capacity_hours",LEN(K220)&gt;0),1,0)</f>
        <v>1</v>
      </c>
      <c r="V220" s="11" t="n">
        <f aca="false">IF(U220=1,SUMPRODUCT(($K$4:$K$703=K220)*($F$4:$F$703=F220)*($U$4:$U$703=1)*($B$4:$B$703&lt;&gt;B220)),0)</f>
        <v>0</v>
      </c>
      <c r="W220" s="11" t="n">
        <f aca="false">IF(AND(U220=1,V220&gt;0),1+SUMPRODUCT(($K$4:$K$703=K220)*($F$4:$F$703=F220)*($U$4:$U$703=1)*($S$4:$S$703&gt;S220))+SUMPRODUCT(($K$4:$K$703=K220)*($F$4:$F$703=F220)*($U$4:$U$703=1)*($S$4:$S$703=S220)*($T$4:$T$703&gt;T220))+SUMPRODUCT(($K$4:$K$703=K220)*($F$4:$F$703=F220)*($U$4:$U$703=1)*($S$4:$S$703=S220)*($T$4:$T$703=T220)*($C$4:$C$703&lt;C220))+SUMPRODUCT(($K$4:$K$703=K220)*($F$4:$F$703=F220)*($U$4:$U$703=1)*($S$4:$S$703=S220)*($T$4:$T$703=T220)*($C$4:$C$703=C220)*($D$4:$D$703&lt;D220)),0)</f>
        <v>0</v>
      </c>
      <c r="X220" s="11" t="n">
        <f aca="false">IF(AND(U220=1,V220&gt;0,W220&gt;1),S220,0)</f>
        <v>0</v>
      </c>
      <c r="Y220" s="11" t="n">
        <f aca="false">IF(T220=1,X220/(1+Controls!$B$11)^F220,0)</f>
        <v>0</v>
      </c>
      <c r="Z220" s="11" t="n">
        <f aca="false">IF(AND(N220,E220="capacity",LEN(K220)&gt;0),1,0)</f>
        <v>1</v>
      </c>
      <c r="AA220" s="11" t="n">
        <f aca="false">IF(Z220=1,SUMPRODUCT(($K$4:$K$703=K220)*($F$4:$F$703=F220)*($Z$4:$Z$703=1)*($B$4:$B$703&lt;&gt;B220)),0)</f>
        <v>0</v>
      </c>
      <c r="AB220" s="11" t="n">
        <f aca="false">IF(AND(Z220=1,AA220&gt;0),1+SUMPRODUCT(($K$4:$K$703=K220)*($F$4:$F$703=F220)*($Z$4:$Z$703=1)*($P$4:$P$703&gt;P220))+SUMPRODUCT(($K$4:$K$703=K220)*($F$4:$F$703=F220)*($Z$4:$Z$703=1)*($P$4:$P$703=P220)*($C$4:$C$703&lt;C220))+SUMPRODUCT(($K$4:$K$703=K220)*($F$4:$F$703=F220)*($Z$4:$Z$703=1)*($P$4:$P$703=P220)*($C$4:$C$703=C220)*($D$4:$D$703&lt;D220)),0)</f>
        <v>0</v>
      </c>
      <c r="AC220" s="11" t="n">
        <f aca="false">IF(AND(Z220=1,AA220&gt;0,AB220&gt;1),P220,0)</f>
        <v>0</v>
      </c>
    </row>
    <row r="221" customFormat="false" ht="15" hidden="false" customHeight="false" outlineLevel="0" collapsed="false">
      <c r="A221" s="4" t="s">
        <v>443</v>
      </c>
      <c r="B221" s="4" t="s">
        <v>89</v>
      </c>
      <c r="C221" s="4" t="n">
        <v>7</v>
      </c>
      <c r="D221" s="4" t="n">
        <v>218</v>
      </c>
      <c r="E221" s="4" t="s">
        <v>233</v>
      </c>
      <c r="F221" s="4" t="n">
        <v>3</v>
      </c>
      <c r="G221" s="4" t="n">
        <v>2</v>
      </c>
      <c r="H221" s="4" t="n">
        <v>739.78</v>
      </c>
      <c r="I221" s="13" t="b">
        <f aca="false">FALSE()</f>
        <v>0</v>
      </c>
      <c r="K221" s="4" t="s">
        <v>442</v>
      </c>
      <c r="L221" s="4" t="n">
        <v>5.92</v>
      </c>
      <c r="M221" s="11" t="n">
        <f aca="false">IFERROR(MATCH(Controls!$B$3&amp;"|"&amp;B221,'Scenario inputs'!$A$4:$A$213,0),0)</f>
        <v>138</v>
      </c>
      <c r="N221" s="8" t="b">
        <f aca="false">IF(M221=0,FALSE(),F221&lt;Controls!$B$12)</f>
        <v>1</v>
      </c>
      <c r="O221" s="11" t="n">
        <f aca="false">IF(N221,IF(INDEX('Scenario inputs'!$E$4:$E$213,M221)=0,1,INDEX('Scenario inputs'!$F$4:$M$213,M221,MIN(MAX(F221-G221,0),INDEX('Scenario inputs'!$E$4:$E$213,M221)-1)+1)),0)</f>
        <v>0.083333</v>
      </c>
      <c r="P221" s="11" t="n">
        <f aca="false">H221*O221</f>
        <v>61.64808674</v>
      </c>
      <c r="Q221" s="11" t="n">
        <f aca="false">IF(M221=0,"",IF(ISNUMBER(INDEX('Scenario inputs'!$N$4:$N$213,M221)),INDEX('Scenario inputs'!$N$4:$N$213,M221),""))</f>
        <v>30.59</v>
      </c>
      <c r="R221" s="0" t="str">
        <f aca="false">IF(NOT(N221),"",IF(OR(E221="cash",E221="revenue"),E221,IF(E221="avoided_cost",IF(AND(I221,LEN(TRIM(J221))&gt;0),"avoided_cost_realised","avoided_cost_beside"),IF(ISNUMBER(Q221),"capacity_converted","capacity_hours"))))</f>
        <v>capacity_converted</v>
      </c>
      <c r="S221" s="11" t="n">
        <f aca="false">IF(OR(R221="",R221="capacity_hours"),0,IF(R221="capacity_converted",P221*Q221,P221))</f>
        <v>1885.8149733766</v>
      </c>
      <c r="T221" s="11" t="n">
        <f aca="false">IF(OR(R221="cash",R221="revenue",R221="avoided_cost_realised",R221="capacity_converted"),1,0)</f>
        <v>1</v>
      </c>
      <c r="U221" s="11" t="n">
        <f aca="false">IF(AND(N221,R221&lt;&gt;"capacity_hours",LEN(K221)&gt;0),1,0)</f>
        <v>1</v>
      </c>
      <c r="V221" s="11" t="n">
        <f aca="false">IF(U221=1,SUMPRODUCT(($K$4:$K$703=K221)*($F$4:$F$703=F221)*($U$4:$U$703=1)*($B$4:$B$703&lt;&gt;B221)),0)</f>
        <v>0</v>
      </c>
      <c r="W221" s="11" t="n">
        <f aca="false">IF(AND(U221=1,V221&gt;0),1+SUMPRODUCT(($K$4:$K$703=K221)*($F$4:$F$703=F221)*($U$4:$U$703=1)*($S$4:$S$703&gt;S221))+SUMPRODUCT(($K$4:$K$703=K221)*($F$4:$F$703=F221)*($U$4:$U$703=1)*($S$4:$S$703=S221)*($T$4:$T$703&gt;T221))+SUMPRODUCT(($K$4:$K$703=K221)*($F$4:$F$703=F221)*($U$4:$U$703=1)*($S$4:$S$703=S221)*($T$4:$T$703=T221)*($C$4:$C$703&lt;C221))+SUMPRODUCT(($K$4:$K$703=K221)*($F$4:$F$703=F221)*($U$4:$U$703=1)*($S$4:$S$703=S221)*($T$4:$T$703=T221)*($C$4:$C$703=C221)*($D$4:$D$703&lt;D221)),0)</f>
        <v>0</v>
      </c>
      <c r="X221" s="11" t="n">
        <f aca="false">IF(AND(U221=1,V221&gt;0,W221&gt;1),S221,0)</f>
        <v>0</v>
      </c>
      <c r="Y221" s="11" t="n">
        <f aca="false">IF(T221=1,X221/(1+Controls!$B$11)^F221,0)</f>
        <v>0</v>
      </c>
      <c r="Z221" s="11" t="n">
        <f aca="false">IF(AND(N221,E221="capacity",LEN(K221)&gt;0),1,0)</f>
        <v>1</v>
      </c>
      <c r="AA221" s="11" t="n">
        <f aca="false">IF(Z221=1,SUMPRODUCT(($K$4:$K$703=K221)*($F$4:$F$703=F221)*($Z$4:$Z$703=1)*($B$4:$B$703&lt;&gt;B221)),0)</f>
        <v>0</v>
      </c>
      <c r="AB221" s="11" t="n">
        <f aca="false">IF(AND(Z221=1,AA221&gt;0),1+SUMPRODUCT(($K$4:$K$703=K221)*($F$4:$F$703=F221)*($Z$4:$Z$703=1)*($P$4:$P$703&gt;P221))+SUMPRODUCT(($K$4:$K$703=K221)*($F$4:$F$703=F221)*($Z$4:$Z$703=1)*($P$4:$P$703=P221)*($C$4:$C$703&lt;C221))+SUMPRODUCT(($K$4:$K$703=K221)*($F$4:$F$703=F221)*($Z$4:$Z$703=1)*($P$4:$P$703=P221)*($C$4:$C$703=C221)*($D$4:$D$703&lt;D221)),0)</f>
        <v>0</v>
      </c>
      <c r="AC221" s="11" t="n">
        <f aca="false">IF(AND(Z221=1,AA221&gt;0,AB221&gt;1),P221,0)</f>
        <v>0</v>
      </c>
    </row>
    <row r="222" customFormat="false" ht="15" hidden="false" customHeight="false" outlineLevel="0" collapsed="false">
      <c r="A222" s="4" t="s">
        <v>444</v>
      </c>
      <c r="B222" s="4" t="s">
        <v>89</v>
      </c>
      <c r="C222" s="4" t="n">
        <v>7</v>
      </c>
      <c r="D222" s="4" t="n">
        <v>219</v>
      </c>
      <c r="E222" s="4" t="s">
        <v>233</v>
      </c>
      <c r="F222" s="4" t="n">
        <v>4</v>
      </c>
      <c r="G222" s="4" t="n">
        <v>2</v>
      </c>
      <c r="H222" s="4" t="n">
        <v>739.78</v>
      </c>
      <c r="I222" s="13" t="b">
        <f aca="false">FALSE()</f>
        <v>0</v>
      </c>
      <c r="K222" s="4" t="s">
        <v>442</v>
      </c>
      <c r="L222" s="4" t="n">
        <v>12.57</v>
      </c>
      <c r="M222" s="11" t="n">
        <f aca="false">IFERROR(MATCH(Controls!$B$3&amp;"|"&amp;B222,'Scenario inputs'!$A$4:$A$213,0),0)</f>
        <v>138</v>
      </c>
      <c r="N222" s="8" t="b">
        <f aca="false">IF(M222=0,FALSE(),F222&lt;Controls!$B$12)</f>
        <v>1</v>
      </c>
      <c r="O222" s="11" t="n">
        <f aca="false">IF(N222,IF(INDEX('Scenario inputs'!$E$4:$E$213,M222)=0,1,INDEX('Scenario inputs'!$F$4:$M$213,M222,MIN(MAX(F222-G222,0),INDEX('Scenario inputs'!$E$4:$E$213,M222)-1)+1)),0)</f>
        <v>0.166667</v>
      </c>
      <c r="P222" s="11" t="n">
        <f aca="false">H222*O222</f>
        <v>123.29691326</v>
      </c>
      <c r="Q222" s="11" t="n">
        <f aca="false">IF(M222=0,"",IF(ISNUMBER(INDEX('Scenario inputs'!$N$4:$N$213,M222)),INDEX('Scenario inputs'!$N$4:$N$213,M222),""))</f>
        <v>30.59</v>
      </c>
      <c r="R222" s="0" t="str">
        <f aca="false">IF(NOT(N222),"",IF(OR(E222="cash",E222="revenue"),E222,IF(E222="avoided_cost",IF(AND(I222,LEN(TRIM(J222))&gt;0),"avoided_cost_realised","avoided_cost_beside"),IF(ISNUMBER(Q222),"capacity_converted","capacity_hours"))))</f>
        <v>capacity_converted</v>
      </c>
      <c r="S222" s="11" t="n">
        <f aca="false">IF(OR(R222="",R222="capacity_hours"),0,IF(R222="capacity_converted",P222*Q222,P222))</f>
        <v>3771.6525766234</v>
      </c>
      <c r="T222" s="11" t="n">
        <f aca="false">IF(OR(R222="cash",R222="revenue",R222="avoided_cost_realised",R222="capacity_converted"),1,0)</f>
        <v>1</v>
      </c>
      <c r="U222" s="11" t="n">
        <f aca="false">IF(AND(N222,R222&lt;&gt;"capacity_hours",LEN(K222)&gt;0),1,0)</f>
        <v>1</v>
      </c>
      <c r="V222" s="11" t="n">
        <f aca="false">IF(U222=1,SUMPRODUCT(($K$4:$K$703=K222)*($F$4:$F$703=F222)*($U$4:$U$703=1)*($B$4:$B$703&lt;&gt;B222)),0)</f>
        <v>0</v>
      </c>
      <c r="W222" s="11" t="n">
        <f aca="false">IF(AND(U222=1,V222&gt;0),1+SUMPRODUCT(($K$4:$K$703=K222)*($F$4:$F$703=F222)*($U$4:$U$703=1)*($S$4:$S$703&gt;S222))+SUMPRODUCT(($K$4:$K$703=K222)*($F$4:$F$703=F222)*($U$4:$U$703=1)*($S$4:$S$703=S222)*($T$4:$T$703&gt;T222))+SUMPRODUCT(($K$4:$K$703=K222)*($F$4:$F$703=F222)*($U$4:$U$703=1)*($S$4:$S$703=S222)*($T$4:$T$703=T222)*($C$4:$C$703&lt;C222))+SUMPRODUCT(($K$4:$K$703=K222)*($F$4:$F$703=F222)*($U$4:$U$703=1)*($S$4:$S$703=S222)*($T$4:$T$703=T222)*($C$4:$C$703=C222)*($D$4:$D$703&lt;D222)),0)</f>
        <v>0</v>
      </c>
      <c r="X222" s="11" t="n">
        <f aca="false">IF(AND(U222=1,V222&gt;0,W222&gt;1),S222,0)</f>
        <v>0</v>
      </c>
      <c r="Y222" s="11" t="n">
        <f aca="false">IF(T222=1,X222/(1+Controls!$B$11)^F222,0)</f>
        <v>0</v>
      </c>
      <c r="Z222" s="11" t="n">
        <f aca="false">IF(AND(N222,E222="capacity",LEN(K222)&gt;0),1,0)</f>
        <v>1</v>
      </c>
      <c r="AA222" s="11" t="n">
        <f aca="false">IF(Z222=1,SUMPRODUCT(($K$4:$K$703=K222)*($F$4:$F$703=F222)*($Z$4:$Z$703=1)*($B$4:$B$703&lt;&gt;B222)),0)</f>
        <v>0</v>
      </c>
      <c r="AB222" s="11" t="n">
        <f aca="false">IF(AND(Z222=1,AA222&gt;0),1+SUMPRODUCT(($K$4:$K$703=K222)*($F$4:$F$703=F222)*($Z$4:$Z$703=1)*($P$4:$P$703&gt;P222))+SUMPRODUCT(($K$4:$K$703=K222)*($F$4:$F$703=F222)*($Z$4:$Z$703=1)*($P$4:$P$703=P222)*($C$4:$C$703&lt;C222))+SUMPRODUCT(($K$4:$K$703=K222)*($F$4:$F$703=F222)*($Z$4:$Z$703=1)*($P$4:$P$703=P222)*($C$4:$C$703=C222)*($D$4:$D$703&lt;D222)),0)</f>
        <v>0</v>
      </c>
      <c r="AC222" s="11" t="n">
        <f aca="false">IF(AND(Z222=1,AA222&gt;0,AB222&gt;1),P222,0)</f>
        <v>0</v>
      </c>
    </row>
    <row r="223" customFormat="false" ht="15" hidden="false" customHeight="false" outlineLevel="0" collapsed="false">
      <c r="A223" s="4" t="s">
        <v>445</v>
      </c>
      <c r="B223" s="4" t="s">
        <v>89</v>
      </c>
      <c r="C223" s="4" t="n">
        <v>7</v>
      </c>
      <c r="D223" s="4" t="n">
        <v>220</v>
      </c>
      <c r="E223" s="4" t="s">
        <v>233</v>
      </c>
      <c r="F223" s="4" t="n">
        <v>5</v>
      </c>
      <c r="G223" s="4" t="n">
        <v>2</v>
      </c>
      <c r="H223" s="4" t="n">
        <v>739.78</v>
      </c>
      <c r="I223" s="13" t="b">
        <f aca="false">FALSE()</f>
        <v>0</v>
      </c>
      <c r="K223" s="4" t="s">
        <v>442</v>
      </c>
      <c r="L223" s="4" t="n">
        <v>20.74</v>
      </c>
      <c r="M223" s="11" t="n">
        <f aca="false">IFERROR(MATCH(Controls!$B$3&amp;"|"&amp;B223,'Scenario inputs'!$A$4:$A$213,0),0)</f>
        <v>138</v>
      </c>
      <c r="N223" s="8" t="b">
        <f aca="false">IF(M223=0,FALSE(),F223&lt;Controls!$B$12)</f>
        <v>1</v>
      </c>
      <c r="O223" s="11" t="n">
        <f aca="false">IF(N223,IF(INDEX('Scenario inputs'!$E$4:$E$213,M223)=0,1,INDEX('Scenario inputs'!$F$4:$M$213,M223,MIN(MAX(F223-G223,0),INDEX('Scenario inputs'!$E$4:$E$213,M223)-1)+1)),0)</f>
        <v>0.277778</v>
      </c>
      <c r="P223" s="11" t="n">
        <f aca="false">H223*O223</f>
        <v>205.49460884</v>
      </c>
      <c r="Q223" s="11" t="n">
        <f aca="false">IF(M223=0,"",IF(ISNUMBER(INDEX('Scenario inputs'!$N$4:$N$213,M223)),INDEX('Scenario inputs'!$N$4:$N$213,M223),""))</f>
        <v>30.59</v>
      </c>
      <c r="R223" s="0" t="str">
        <f aca="false">IF(NOT(N223),"",IF(OR(E223="cash",E223="revenue"),E223,IF(E223="avoided_cost",IF(AND(I223,LEN(TRIM(J223))&gt;0),"avoided_cost_realised","avoided_cost_beside"),IF(ISNUMBER(Q223),"capacity_converted","capacity_hours"))))</f>
        <v>capacity_converted</v>
      </c>
      <c r="S223" s="11" t="n">
        <f aca="false">IF(OR(R223="",R223="capacity_hours"),0,IF(R223="capacity_converted",P223*Q223,P223))</f>
        <v>6286.0800844156</v>
      </c>
      <c r="T223" s="11" t="n">
        <f aca="false">IF(OR(R223="cash",R223="revenue",R223="avoided_cost_realised",R223="capacity_converted"),1,0)</f>
        <v>1</v>
      </c>
      <c r="U223" s="11" t="n">
        <f aca="false">IF(AND(N223,R223&lt;&gt;"capacity_hours",LEN(K223)&gt;0),1,0)</f>
        <v>1</v>
      </c>
      <c r="V223" s="11" t="n">
        <f aca="false">IF(U223=1,SUMPRODUCT(($K$4:$K$703=K223)*($F$4:$F$703=F223)*($U$4:$U$703=1)*($B$4:$B$703&lt;&gt;B223)),0)</f>
        <v>0</v>
      </c>
      <c r="W223" s="11" t="n">
        <f aca="false">IF(AND(U223=1,V223&gt;0),1+SUMPRODUCT(($K$4:$K$703=K223)*($F$4:$F$703=F223)*($U$4:$U$703=1)*($S$4:$S$703&gt;S223))+SUMPRODUCT(($K$4:$K$703=K223)*($F$4:$F$703=F223)*($U$4:$U$703=1)*($S$4:$S$703=S223)*($T$4:$T$703&gt;T223))+SUMPRODUCT(($K$4:$K$703=K223)*($F$4:$F$703=F223)*($U$4:$U$703=1)*($S$4:$S$703=S223)*($T$4:$T$703=T223)*($C$4:$C$703&lt;C223))+SUMPRODUCT(($K$4:$K$703=K223)*($F$4:$F$703=F223)*($U$4:$U$703=1)*($S$4:$S$703=S223)*($T$4:$T$703=T223)*($C$4:$C$703=C223)*($D$4:$D$703&lt;D223)),0)</f>
        <v>0</v>
      </c>
      <c r="X223" s="11" t="n">
        <f aca="false">IF(AND(U223=1,V223&gt;0,W223&gt;1),S223,0)</f>
        <v>0</v>
      </c>
      <c r="Y223" s="11" t="n">
        <f aca="false">IF(T223=1,X223/(1+Controls!$B$11)^F223,0)</f>
        <v>0</v>
      </c>
      <c r="Z223" s="11" t="n">
        <f aca="false">IF(AND(N223,E223="capacity",LEN(K223)&gt;0),1,0)</f>
        <v>1</v>
      </c>
      <c r="AA223" s="11" t="n">
        <f aca="false">IF(Z223=1,SUMPRODUCT(($K$4:$K$703=K223)*($F$4:$F$703=F223)*($Z$4:$Z$703=1)*($B$4:$B$703&lt;&gt;B223)),0)</f>
        <v>0</v>
      </c>
      <c r="AB223" s="11" t="n">
        <f aca="false">IF(AND(Z223=1,AA223&gt;0),1+SUMPRODUCT(($K$4:$K$703=K223)*($F$4:$F$703=F223)*($Z$4:$Z$703=1)*($P$4:$P$703&gt;P223))+SUMPRODUCT(($K$4:$K$703=K223)*($F$4:$F$703=F223)*($Z$4:$Z$703=1)*($P$4:$P$703=P223)*($C$4:$C$703&lt;C223))+SUMPRODUCT(($K$4:$K$703=K223)*($F$4:$F$703=F223)*($Z$4:$Z$703=1)*($P$4:$P$703=P223)*($C$4:$C$703=C223)*($D$4:$D$703&lt;D223)),0)</f>
        <v>0</v>
      </c>
      <c r="AC223" s="11" t="n">
        <f aca="false">IF(AND(Z223=1,AA223&gt;0,AB223&gt;1),P223,0)</f>
        <v>0</v>
      </c>
    </row>
    <row r="224" customFormat="false" ht="15" hidden="false" customHeight="false" outlineLevel="0" collapsed="false">
      <c r="A224" s="4" t="s">
        <v>446</v>
      </c>
      <c r="B224" s="4" t="s">
        <v>89</v>
      </c>
      <c r="C224" s="4" t="n">
        <v>7</v>
      </c>
      <c r="D224" s="4" t="n">
        <v>221</v>
      </c>
      <c r="E224" s="4" t="s">
        <v>233</v>
      </c>
      <c r="F224" s="4" t="n">
        <v>6</v>
      </c>
      <c r="G224" s="4" t="n">
        <v>2</v>
      </c>
      <c r="H224" s="4" t="n">
        <v>739.78</v>
      </c>
      <c r="I224" s="13" t="b">
        <f aca="false">FALSE()</f>
        <v>0</v>
      </c>
      <c r="K224" s="4" t="s">
        <v>442</v>
      </c>
      <c r="L224" s="4" t="n">
        <v>29.28</v>
      </c>
      <c r="M224" s="11" t="n">
        <f aca="false">IFERROR(MATCH(Controls!$B$3&amp;"|"&amp;B224,'Scenario inputs'!$A$4:$A$213,0),0)</f>
        <v>138</v>
      </c>
      <c r="N224" s="8" t="b">
        <f aca="false">IF(M224=0,FALSE(),F224&lt;Controls!$B$12)</f>
        <v>1</v>
      </c>
      <c r="O224" s="11" t="n">
        <f aca="false">IF(N224,IF(INDEX('Scenario inputs'!$E$4:$E$213,M224)=0,1,INDEX('Scenario inputs'!$F$4:$M$213,M224,MIN(MAX(F224-G224,0),INDEX('Scenario inputs'!$E$4:$E$213,M224)-1)+1)),0)</f>
        <v>0.416667</v>
      </c>
      <c r="P224" s="11" t="n">
        <f aca="false">H224*O224</f>
        <v>308.24191326</v>
      </c>
      <c r="Q224" s="11" t="n">
        <f aca="false">IF(M224=0,"",IF(ISNUMBER(INDEX('Scenario inputs'!$N$4:$N$213,M224)),INDEX('Scenario inputs'!$N$4:$N$213,M224),""))</f>
        <v>30.59</v>
      </c>
      <c r="R224" s="0" t="str">
        <f aca="false">IF(NOT(N224),"",IF(OR(E224="cash",E224="revenue"),E224,IF(E224="avoided_cost",IF(AND(I224,LEN(TRIM(J224))&gt;0),"avoided_cost_realised","avoided_cost_beside"),IF(ISNUMBER(Q224),"capacity_converted","capacity_hours"))))</f>
        <v>capacity_converted</v>
      </c>
      <c r="S224" s="11" t="n">
        <f aca="false">IF(OR(R224="",R224="capacity_hours"),0,IF(R224="capacity_converted",P224*Q224,P224))</f>
        <v>9429.1201266234</v>
      </c>
      <c r="T224" s="11" t="n">
        <f aca="false">IF(OR(R224="cash",R224="revenue",R224="avoided_cost_realised",R224="capacity_converted"),1,0)</f>
        <v>1</v>
      </c>
      <c r="U224" s="11" t="n">
        <f aca="false">IF(AND(N224,R224&lt;&gt;"capacity_hours",LEN(K224)&gt;0),1,0)</f>
        <v>1</v>
      </c>
      <c r="V224" s="11" t="n">
        <f aca="false">IF(U224=1,SUMPRODUCT(($K$4:$K$703=K224)*($F$4:$F$703=F224)*($U$4:$U$703=1)*($B$4:$B$703&lt;&gt;B224)),0)</f>
        <v>0</v>
      </c>
      <c r="W224" s="11" t="n">
        <f aca="false">IF(AND(U224=1,V224&gt;0),1+SUMPRODUCT(($K$4:$K$703=K224)*($F$4:$F$703=F224)*($U$4:$U$703=1)*($S$4:$S$703&gt;S224))+SUMPRODUCT(($K$4:$K$703=K224)*($F$4:$F$703=F224)*($U$4:$U$703=1)*($S$4:$S$703=S224)*($T$4:$T$703&gt;T224))+SUMPRODUCT(($K$4:$K$703=K224)*($F$4:$F$703=F224)*($U$4:$U$703=1)*($S$4:$S$703=S224)*($T$4:$T$703=T224)*($C$4:$C$703&lt;C224))+SUMPRODUCT(($K$4:$K$703=K224)*($F$4:$F$703=F224)*($U$4:$U$703=1)*($S$4:$S$703=S224)*($T$4:$T$703=T224)*($C$4:$C$703=C224)*($D$4:$D$703&lt;D224)),0)</f>
        <v>0</v>
      </c>
      <c r="X224" s="11" t="n">
        <f aca="false">IF(AND(U224=1,V224&gt;0,W224&gt;1),S224,0)</f>
        <v>0</v>
      </c>
      <c r="Y224" s="11" t="n">
        <f aca="false">IF(T224=1,X224/(1+Controls!$B$11)^F224,0)</f>
        <v>0</v>
      </c>
      <c r="Z224" s="11" t="n">
        <f aca="false">IF(AND(N224,E224="capacity",LEN(K224)&gt;0),1,0)</f>
        <v>1</v>
      </c>
      <c r="AA224" s="11" t="n">
        <f aca="false">IF(Z224=1,SUMPRODUCT(($K$4:$K$703=K224)*($F$4:$F$703=F224)*($Z$4:$Z$703=1)*($B$4:$B$703&lt;&gt;B224)),0)</f>
        <v>0</v>
      </c>
      <c r="AB224" s="11" t="n">
        <f aca="false">IF(AND(Z224=1,AA224&gt;0),1+SUMPRODUCT(($K$4:$K$703=K224)*($F$4:$F$703=F224)*($Z$4:$Z$703=1)*($P$4:$P$703&gt;P224))+SUMPRODUCT(($K$4:$K$703=K224)*($F$4:$F$703=F224)*($Z$4:$Z$703=1)*($P$4:$P$703=P224)*($C$4:$C$703&lt;C224))+SUMPRODUCT(($K$4:$K$703=K224)*($F$4:$F$703=F224)*($Z$4:$Z$703=1)*($P$4:$P$703=P224)*($C$4:$C$703=C224)*($D$4:$D$703&lt;D224)),0)</f>
        <v>0</v>
      </c>
      <c r="AC224" s="11" t="n">
        <f aca="false">IF(AND(Z224=1,AA224&gt;0,AB224&gt;1),P224,0)</f>
        <v>0</v>
      </c>
    </row>
    <row r="225" customFormat="false" ht="15" hidden="false" customHeight="false" outlineLevel="0" collapsed="false">
      <c r="A225" s="4" t="s">
        <v>447</v>
      </c>
      <c r="B225" s="4" t="s">
        <v>89</v>
      </c>
      <c r="C225" s="4" t="n">
        <v>7</v>
      </c>
      <c r="D225" s="4" t="n">
        <v>222</v>
      </c>
      <c r="E225" s="4" t="s">
        <v>233</v>
      </c>
      <c r="F225" s="4" t="n">
        <v>7</v>
      </c>
      <c r="G225" s="4" t="n">
        <v>2</v>
      </c>
      <c r="H225" s="4" t="n">
        <v>739.78</v>
      </c>
      <c r="I225" s="13" t="b">
        <f aca="false">FALSE()</f>
        <v>0</v>
      </c>
      <c r="K225" s="4" t="s">
        <v>442</v>
      </c>
      <c r="L225" s="4" t="n">
        <v>42.27</v>
      </c>
      <c r="M225" s="11" t="n">
        <f aca="false">IFERROR(MATCH(Controls!$B$3&amp;"|"&amp;B225,'Scenario inputs'!$A$4:$A$213,0),0)</f>
        <v>138</v>
      </c>
      <c r="N225" s="8" t="b">
        <f aca="false">IF(M225=0,FALSE(),F225&lt;Controls!$B$12)</f>
        <v>1</v>
      </c>
      <c r="O225" s="11" t="n">
        <f aca="false">IF(N225,IF(INDEX('Scenario inputs'!$E$4:$E$213,M225)=0,1,INDEX('Scenario inputs'!$F$4:$M$213,M225,MIN(MAX(F225-G225,0),INDEX('Scenario inputs'!$E$4:$E$213,M225)-1)+1)),0)</f>
        <v>0.583333</v>
      </c>
      <c r="P225" s="11" t="n">
        <f aca="false">H225*O225</f>
        <v>431.53808674</v>
      </c>
      <c r="Q225" s="11" t="n">
        <f aca="false">IF(M225=0,"",IF(ISNUMBER(INDEX('Scenario inputs'!$N$4:$N$213,M225)),INDEX('Scenario inputs'!$N$4:$N$213,M225),""))</f>
        <v>30.59</v>
      </c>
      <c r="R225" s="0" t="str">
        <f aca="false">IF(NOT(N225),"",IF(OR(E225="cash",E225="revenue"),E225,IF(E225="avoided_cost",IF(AND(I225,LEN(TRIM(J225))&gt;0),"avoided_cost_realised","avoided_cost_beside"),IF(ISNUMBER(Q225),"capacity_converted","capacity_hours"))))</f>
        <v>capacity_converted</v>
      </c>
      <c r="S225" s="11" t="n">
        <f aca="false">IF(OR(R225="",R225="capacity_hours"),0,IF(R225="capacity_converted",P225*Q225,P225))</f>
        <v>13200.7500733766</v>
      </c>
      <c r="T225" s="11" t="n">
        <f aca="false">IF(OR(R225="cash",R225="revenue",R225="avoided_cost_realised",R225="capacity_converted"),1,0)</f>
        <v>1</v>
      </c>
      <c r="U225" s="11" t="n">
        <f aca="false">IF(AND(N225,R225&lt;&gt;"capacity_hours",LEN(K225)&gt;0),1,0)</f>
        <v>1</v>
      </c>
      <c r="V225" s="11" t="n">
        <f aca="false">IF(U225=1,SUMPRODUCT(($K$4:$K$703=K225)*($F$4:$F$703=F225)*($U$4:$U$703=1)*($B$4:$B$703&lt;&gt;B225)),0)</f>
        <v>0</v>
      </c>
      <c r="W225" s="11" t="n">
        <f aca="false">IF(AND(U225=1,V225&gt;0),1+SUMPRODUCT(($K$4:$K$703=K225)*($F$4:$F$703=F225)*($U$4:$U$703=1)*($S$4:$S$703&gt;S225))+SUMPRODUCT(($K$4:$K$703=K225)*($F$4:$F$703=F225)*($U$4:$U$703=1)*($S$4:$S$703=S225)*($T$4:$T$703&gt;T225))+SUMPRODUCT(($K$4:$K$703=K225)*($F$4:$F$703=F225)*($U$4:$U$703=1)*($S$4:$S$703=S225)*($T$4:$T$703=T225)*($C$4:$C$703&lt;C225))+SUMPRODUCT(($K$4:$K$703=K225)*($F$4:$F$703=F225)*($U$4:$U$703=1)*($S$4:$S$703=S225)*($T$4:$T$703=T225)*($C$4:$C$703=C225)*($D$4:$D$703&lt;D225)),0)</f>
        <v>0</v>
      </c>
      <c r="X225" s="11" t="n">
        <f aca="false">IF(AND(U225=1,V225&gt;0,W225&gt;1),S225,0)</f>
        <v>0</v>
      </c>
      <c r="Y225" s="11" t="n">
        <f aca="false">IF(T225=1,X225/(1+Controls!$B$11)^F225,0)</f>
        <v>0</v>
      </c>
      <c r="Z225" s="11" t="n">
        <f aca="false">IF(AND(N225,E225="capacity",LEN(K225)&gt;0),1,0)</f>
        <v>1</v>
      </c>
      <c r="AA225" s="11" t="n">
        <f aca="false">IF(Z225=1,SUMPRODUCT(($K$4:$K$703=K225)*($F$4:$F$703=F225)*($Z$4:$Z$703=1)*($B$4:$B$703&lt;&gt;B225)),0)</f>
        <v>0</v>
      </c>
      <c r="AB225" s="11" t="n">
        <f aca="false">IF(AND(Z225=1,AA225&gt;0),1+SUMPRODUCT(($K$4:$K$703=K225)*($F$4:$F$703=F225)*($Z$4:$Z$703=1)*($P$4:$P$703&gt;P225))+SUMPRODUCT(($K$4:$K$703=K225)*($F$4:$F$703=F225)*($Z$4:$Z$703=1)*($P$4:$P$703=P225)*($C$4:$C$703&lt;C225))+SUMPRODUCT(($K$4:$K$703=K225)*($F$4:$F$703=F225)*($Z$4:$Z$703=1)*($P$4:$P$703=P225)*($C$4:$C$703=C225)*($D$4:$D$703&lt;D225)),0)</f>
        <v>0</v>
      </c>
      <c r="AC225" s="11" t="n">
        <f aca="false">IF(AND(Z225=1,AA225&gt;0,AB225&gt;1),P225,0)</f>
        <v>0</v>
      </c>
    </row>
    <row r="226" customFormat="false" ht="15" hidden="false" customHeight="false" outlineLevel="0" collapsed="false">
      <c r="A226" s="4" t="s">
        <v>448</v>
      </c>
      <c r="B226" s="4" t="s">
        <v>89</v>
      </c>
      <c r="C226" s="4" t="n">
        <v>7</v>
      </c>
      <c r="D226" s="4" t="n">
        <v>223</v>
      </c>
      <c r="E226" s="4" t="s">
        <v>233</v>
      </c>
      <c r="F226" s="4" t="n">
        <v>8</v>
      </c>
      <c r="G226" s="4" t="n">
        <v>2</v>
      </c>
      <c r="H226" s="4" t="n">
        <v>739.78</v>
      </c>
      <c r="I226" s="13" t="b">
        <f aca="false">FALSE()</f>
        <v>0</v>
      </c>
      <c r="K226" s="4" t="s">
        <v>442</v>
      </c>
      <c r="L226" s="4" t="n">
        <v>58.07</v>
      </c>
      <c r="M226" s="11" t="n">
        <f aca="false">IFERROR(MATCH(Controls!$B$3&amp;"|"&amp;B226,'Scenario inputs'!$A$4:$A$213,0),0)</f>
        <v>138</v>
      </c>
      <c r="N226" s="8" t="b">
        <f aca="false">IF(M226=0,FALSE(),F226&lt;Controls!$B$12)</f>
        <v>1</v>
      </c>
      <c r="O226" s="11" t="n">
        <f aca="false">IF(N226,IF(INDEX('Scenario inputs'!$E$4:$E$213,M226)=0,1,INDEX('Scenario inputs'!$F$4:$M$213,M226,MIN(MAX(F226-G226,0),INDEX('Scenario inputs'!$E$4:$E$213,M226)-1)+1)),0)</f>
        <v>0.777778</v>
      </c>
      <c r="P226" s="11" t="n">
        <f aca="false">H226*O226</f>
        <v>575.38460884</v>
      </c>
      <c r="Q226" s="11" t="n">
        <f aca="false">IF(M226=0,"",IF(ISNUMBER(INDEX('Scenario inputs'!$N$4:$N$213,M226)),INDEX('Scenario inputs'!$N$4:$N$213,M226),""))</f>
        <v>30.59</v>
      </c>
      <c r="R226" s="0" t="str">
        <f aca="false">IF(NOT(N226),"",IF(OR(E226="cash",E226="revenue"),E226,IF(E226="avoided_cost",IF(AND(I226,LEN(TRIM(J226))&gt;0),"avoided_cost_realised","avoided_cost_beside"),IF(ISNUMBER(Q226),"capacity_converted","capacity_hours"))))</f>
        <v>capacity_converted</v>
      </c>
      <c r="S226" s="11" t="n">
        <f aca="false">IF(OR(R226="",R226="capacity_hours"),0,IF(R226="capacity_converted",P226*Q226,P226))</f>
        <v>17601.0151844156</v>
      </c>
      <c r="T226" s="11" t="n">
        <f aca="false">IF(OR(R226="cash",R226="revenue",R226="avoided_cost_realised",R226="capacity_converted"),1,0)</f>
        <v>1</v>
      </c>
      <c r="U226" s="11" t="n">
        <f aca="false">IF(AND(N226,R226&lt;&gt;"capacity_hours",LEN(K226)&gt;0),1,0)</f>
        <v>1</v>
      </c>
      <c r="V226" s="11" t="n">
        <f aca="false">IF(U226=1,SUMPRODUCT(($K$4:$K$703=K226)*($F$4:$F$703=F226)*($U$4:$U$703=1)*($B$4:$B$703&lt;&gt;B226)),0)</f>
        <v>0</v>
      </c>
      <c r="W226" s="11" t="n">
        <f aca="false">IF(AND(U226=1,V226&gt;0),1+SUMPRODUCT(($K$4:$K$703=K226)*($F$4:$F$703=F226)*($U$4:$U$703=1)*($S$4:$S$703&gt;S226))+SUMPRODUCT(($K$4:$K$703=K226)*($F$4:$F$703=F226)*($U$4:$U$703=1)*($S$4:$S$703=S226)*($T$4:$T$703&gt;T226))+SUMPRODUCT(($K$4:$K$703=K226)*($F$4:$F$703=F226)*($U$4:$U$703=1)*($S$4:$S$703=S226)*($T$4:$T$703=T226)*($C$4:$C$703&lt;C226))+SUMPRODUCT(($K$4:$K$703=K226)*($F$4:$F$703=F226)*($U$4:$U$703=1)*($S$4:$S$703=S226)*($T$4:$T$703=T226)*($C$4:$C$703=C226)*($D$4:$D$703&lt;D226)),0)</f>
        <v>0</v>
      </c>
      <c r="X226" s="11" t="n">
        <f aca="false">IF(AND(U226=1,V226&gt;0,W226&gt;1),S226,0)</f>
        <v>0</v>
      </c>
      <c r="Y226" s="11" t="n">
        <f aca="false">IF(T226=1,X226/(1+Controls!$B$11)^F226,0)</f>
        <v>0</v>
      </c>
      <c r="Z226" s="11" t="n">
        <f aca="false">IF(AND(N226,E226="capacity",LEN(K226)&gt;0),1,0)</f>
        <v>1</v>
      </c>
      <c r="AA226" s="11" t="n">
        <f aca="false">IF(Z226=1,SUMPRODUCT(($K$4:$K$703=K226)*($F$4:$F$703=F226)*($Z$4:$Z$703=1)*($B$4:$B$703&lt;&gt;B226)),0)</f>
        <v>0</v>
      </c>
      <c r="AB226" s="11" t="n">
        <f aca="false">IF(AND(Z226=1,AA226&gt;0),1+SUMPRODUCT(($K$4:$K$703=K226)*($F$4:$F$703=F226)*($Z$4:$Z$703=1)*($P$4:$P$703&gt;P226))+SUMPRODUCT(($K$4:$K$703=K226)*($F$4:$F$703=F226)*($Z$4:$Z$703=1)*($P$4:$P$703=P226)*($C$4:$C$703&lt;C226))+SUMPRODUCT(($K$4:$K$703=K226)*($F$4:$F$703=F226)*($Z$4:$Z$703=1)*($P$4:$P$703=P226)*($C$4:$C$703=C226)*($D$4:$D$703&lt;D226)),0)</f>
        <v>0</v>
      </c>
      <c r="AC226" s="11" t="n">
        <f aca="false">IF(AND(Z226=1,AA226&gt;0,AB226&gt;1),P226,0)</f>
        <v>0</v>
      </c>
    </row>
    <row r="227" customFormat="false" ht="15" hidden="false" customHeight="false" outlineLevel="0" collapsed="false">
      <c r="A227" s="4" t="s">
        <v>449</v>
      </c>
      <c r="B227" s="4" t="s">
        <v>89</v>
      </c>
      <c r="C227" s="4" t="n">
        <v>7</v>
      </c>
      <c r="D227" s="4" t="n">
        <v>224</v>
      </c>
      <c r="E227" s="4" t="s">
        <v>233</v>
      </c>
      <c r="F227" s="4" t="n">
        <v>9</v>
      </c>
      <c r="G227" s="4" t="n">
        <v>2</v>
      </c>
      <c r="H227" s="4" t="n">
        <v>739.78</v>
      </c>
      <c r="I227" s="13" t="b">
        <f aca="false">FALSE()</f>
        <v>0</v>
      </c>
      <c r="K227" s="4" t="s">
        <v>442</v>
      </c>
      <c r="L227" s="4" t="n">
        <v>75.46</v>
      </c>
      <c r="M227" s="11" t="n">
        <f aca="false">IFERROR(MATCH(Controls!$B$3&amp;"|"&amp;B227,'Scenario inputs'!$A$4:$A$213,0),0)</f>
        <v>138</v>
      </c>
      <c r="N227" s="8" t="b">
        <f aca="false">IF(M227=0,FALSE(),F227&lt;Controls!$B$12)</f>
        <v>1</v>
      </c>
      <c r="O227" s="11" t="n">
        <f aca="false">IF(N227,IF(INDEX('Scenario inputs'!$E$4:$E$213,M227)=0,1,INDEX('Scenario inputs'!$F$4:$M$213,M227,MIN(MAX(F227-G227,0),INDEX('Scenario inputs'!$E$4:$E$213,M227)-1)+1)),0)</f>
        <v>1</v>
      </c>
      <c r="P227" s="11" t="n">
        <f aca="false">H227*O227</f>
        <v>739.78</v>
      </c>
      <c r="Q227" s="11" t="n">
        <f aca="false">IF(M227=0,"",IF(ISNUMBER(INDEX('Scenario inputs'!$N$4:$N$213,M227)),INDEX('Scenario inputs'!$N$4:$N$213,M227),""))</f>
        <v>30.59</v>
      </c>
      <c r="R227" s="0" t="str">
        <f aca="false">IF(NOT(N227),"",IF(OR(E227="cash",E227="revenue"),E227,IF(E227="avoided_cost",IF(AND(I227,LEN(TRIM(J227))&gt;0),"avoided_cost_realised","avoided_cost_beside"),IF(ISNUMBER(Q227),"capacity_converted","capacity_hours"))))</f>
        <v>capacity_converted</v>
      </c>
      <c r="S227" s="11" t="n">
        <f aca="false">IF(OR(R227="",R227="capacity_hours"),0,IF(R227="capacity_converted",P227*Q227,P227))</f>
        <v>22629.8702</v>
      </c>
      <c r="T227" s="11" t="n">
        <f aca="false">IF(OR(R227="cash",R227="revenue",R227="avoided_cost_realised",R227="capacity_converted"),1,0)</f>
        <v>1</v>
      </c>
      <c r="U227" s="11" t="n">
        <f aca="false">IF(AND(N227,R227&lt;&gt;"capacity_hours",LEN(K227)&gt;0),1,0)</f>
        <v>1</v>
      </c>
      <c r="V227" s="11" t="n">
        <f aca="false">IF(U227=1,SUMPRODUCT(($K$4:$K$703=K227)*($F$4:$F$703=F227)*($U$4:$U$703=1)*($B$4:$B$703&lt;&gt;B227)),0)</f>
        <v>0</v>
      </c>
      <c r="W227" s="11" t="n">
        <f aca="false">IF(AND(U227=1,V227&gt;0),1+SUMPRODUCT(($K$4:$K$703=K227)*($F$4:$F$703=F227)*($U$4:$U$703=1)*($S$4:$S$703&gt;S227))+SUMPRODUCT(($K$4:$K$703=K227)*($F$4:$F$703=F227)*($U$4:$U$703=1)*($S$4:$S$703=S227)*($T$4:$T$703&gt;T227))+SUMPRODUCT(($K$4:$K$703=K227)*($F$4:$F$703=F227)*($U$4:$U$703=1)*($S$4:$S$703=S227)*($T$4:$T$703=T227)*($C$4:$C$703&lt;C227))+SUMPRODUCT(($K$4:$K$703=K227)*($F$4:$F$703=F227)*($U$4:$U$703=1)*($S$4:$S$703=S227)*($T$4:$T$703=T227)*($C$4:$C$703=C227)*($D$4:$D$703&lt;D227)),0)</f>
        <v>0</v>
      </c>
      <c r="X227" s="11" t="n">
        <f aca="false">IF(AND(U227=1,V227&gt;0,W227&gt;1),S227,0)</f>
        <v>0</v>
      </c>
      <c r="Y227" s="11" t="n">
        <f aca="false">IF(T227=1,X227/(1+Controls!$B$11)^F227,0)</f>
        <v>0</v>
      </c>
      <c r="Z227" s="11" t="n">
        <f aca="false">IF(AND(N227,E227="capacity",LEN(K227)&gt;0),1,0)</f>
        <v>1</v>
      </c>
      <c r="AA227" s="11" t="n">
        <f aca="false">IF(Z227=1,SUMPRODUCT(($K$4:$K$703=K227)*($F$4:$F$703=F227)*($Z$4:$Z$703=1)*($B$4:$B$703&lt;&gt;B227)),0)</f>
        <v>0</v>
      </c>
      <c r="AB227" s="11" t="n">
        <f aca="false">IF(AND(Z227=1,AA227&gt;0),1+SUMPRODUCT(($K$4:$K$703=K227)*($F$4:$F$703=F227)*($Z$4:$Z$703=1)*($P$4:$P$703&gt;P227))+SUMPRODUCT(($K$4:$K$703=K227)*($F$4:$F$703=F227)*($Z$4:$Z$703=1)*($P$4:$P$703=P227)*($C$4:$C$703&lt;C227))+SUMPRODUCT(($K$4:$K$703=K227)*($F$4:$F$703=F227)*($Z$4:$Z$703=1)*($P$4:$P$703=P227)*($C$4:$C$703=C227)*($D$4:$D$703&lt;D227)),0)</f>
        <v>0</v>
      </c>
      <c r="AC227" s="11" t="n">
        <f aca="false">IF(AND(Z227=1,AA227&gt;0,AB227&gt;1),P227,0)</f>
        <v>0</v>
      </c>
    </row>
    <row r="228" customFormat="false" ht="15" hidden="false" customHeight="false" outlineLevel="0" collapsed="false">
      <c r="A228" s="4" t="s">
        <v>450</v>
      </c>
      <c r="B228" s="4" t="s">
        <v>89</v>
      </c>
      <c r="C228" s="4" t="n">
        <v>7</v>
      </c>
      <c r="D228" s="4" t="n">
        <v>225</v>
      </c>
      <c r="E228" s="4" t="s">
        <v>233</v>
      </c>
      <c r="F228" s="4" t="n">
        <v>10</v>
      </c>
      <c r="G228" s="4" t="n">
        <v>2</v>
      </c>
      <c r="H228" s="4" t="n">
        <v>739.78</v>
      </c>
      <c r="I228" s="13" t="b">
        <f aca="false">FALSE()</f>
        <v>0</v>
      </c>
      <c r="K228" s="4" t="s">
        <v>442</v>
      </c>
      <c r="L228" s="4" t="n">
        <v>75.46</v>
      </c>
      <c r="M228" s="11" t="n">
        <f aca="false">IFERROR(MATCH(Controls!$B$3&amp;"|"&amp;B228,'Scenario inputs'!$A$4:$A$213,0),0)</f>
        <v>138</v>
      </c>
      <c r="N228" s="8" t="b">
        <f aca="false">IF(M228=0,FALSE(),F228&lt;Controls!$B$12)</f>
        <v>1</v>
      </c>
      <c r="O228" s="11" t="n">
        <f aca="false">IF(N228,IF(INDEX('Scenario inputs'!$E$4:$E$213,M228)=0,1,INDEX('Scenario inputs'!$F$4:$M$213,M228,MIN(MAX(F228-G228,0),INDEX('Scenario inputs'!$E$4:$E$213,M228)-1)+1)),0)</f>
        <v>1</v>
      </c>
      <c r="P228" s="11" t="n">
        <f aca="false">H228*O228</f>
        <v>739.78</v>
      </c>
      <c r="Q228" s="11" t="n">
        <f aca="false">IF(M228=0,"",IF(ISNUMBER(INDEX('Scenario inputs'!$N$4:$N$213,M228)),INDEX('Scenario inputs'!$N$4:$N$213,M228),""))</f>
        <v>30.59</v>
      </c>
      <c r="R228" s="0" t="str">
        <f aca="false">IF(NOT(N228),"",IF(OR(E228="cash",E228="revenue"),E228,IF(E228="avoided_cost",IF(AND(I228,LEN(TRIM(J228))&gt;0),"avoided_cost_realised","avoided_cost_beside"),IF(ISNUMBER(Q228),"capacity_converted","capacity_hours"))))</f>
        <v>capacity_converted</v>
      </c>
      <c r="S228" s="11" t="n">
        <f aca="false">IF(OR(R228="",R228="capacity_hours"),0,IF(R228="capacity_converted",P228*Q228,P228))</f>
        <v>22629.8702</v>
      </c>
      <c r="T228" s="11" t="n">
        <f aca="false">IF(OR(R228="cash",R228="revenue",R228="avoided_cost_realised",R228="capacity_converted"),1,0)</f>
        <v>1</v>
      </c>
      <c r="U228" s="11" t="n">
        <f aca="false">IF(AND(N228,R228&lt;&gt;"capacity_hours",LEN(K228)&gt;0),1,0)</f>
        <v>1</v>
      </c>
      <c r="V228" s="11" t="n">
        <f aca="false">IF(U228=1,SUMPRODUCT(($K$4:$K$703=K228)*($F$4:$F$703=F228)*($U$4:$U$703=1)*($B$4:$B$703&lt;&gt;B228)),0)</f>
        <v>0</v>
      </c>
      <c r="W228" s="11" t="n">
        <f aca="false">IF(AND(U228=1,V228&gt;0),1+SUMPRODUCT(($K$4:$K$703=K228)*($F$4:$F$703=F228)*($U$4:$U$703=1)*($S$4:$S$703&gt;S228))+SUMPRODUCT(($K$4:$K$703=K228)*($F$4:$F$703=F228)*($U$4:$U$703=1)*($S$4:$S$703=S228)*($T$4:$T$703&gt;T228))+SUMPRODUCT(($K$4:$K$703=K228)*($F$4:$F$703=F228)*($U$4:$U$703=1)*($S$4:$S$703=S228)*($T$4:$T$703=T228)*($C$4:$C$703&lt;C228))+SUMPRODUCT(($K$4:$K$703=K228)*($F$4:$F$703=F228)*($U$4:$U$703=1)*($S$4:$S$703=S228)*($T$4:$T$703=T228)*($C$4:$C$703=C228)*($D$4:$D$703&lt;D228)),0)</f>
        <v>0</v>
      </c>
      <c r="X228" s="11" t="n">
        <f aca="false">IF(AND(U228=1,V228&gt;0,W228&gt;1),S228,0)</f>
        <v>0</v>
      </c>
      <c r="Y228" s="11" t="n">
        <f aca="false">IF(T228=1,X228/(1+Controls!$B$11)^F228,0)</f>
        <v>0</v>
      </c>
      <c r="Z228" s="11" t="n">
        <f aca="false">IF(AND(N228,E228="capacity",LEN(K228)&gt;0),1,0)</f>
        <v>1</v>
      </c>
      <c r="AA228" s="11" t="n">
        <f aca="false">IF(Z228=1,SUMPRODUCT(($K$4:$K$703=K228)*($F$4:$F$703=F228)*($Z$4:$Z$703=1)*($B$4:$B$703&lt;&gt;B228)),0)</f>
        <v>0</v>
      </c>
      <c r="AB228" s="11" t="n">
        <f aca="false">IF(AND(Z228=1,AA228&gt;0),1+SUMPRODUCT(($K$4:$K$703=K228)*($F$4:$F$703=F228)*($Z$4:$Z$703=1)*($P$4:$P$703&gt;P228))+SUMPRODUCT(($K$4:$K$703=K228)*($F$4:$F$703=F228)*($Z$4:$Z$703=1)*($P$4:$P$703=P228)*($C$4:$C$703&lt;C228))+SUMPRODUCT(($K$4:$K$703=K228)*($F$4:$F$703=F228)*($Z$4:$Z$703=1)*($P$4:$P$703=P228)*($C$4:$C$703=C228)*($D$4:$D$703&lt;D228)),0)</f>
        <v>0</v>
      </c>
      <c r="AC228" s="11" t="n">
        <f aca="false">IF(AND(Z228=1,AA228&gt;0,AB228&gt;1),P228,0)</f>
        <v>0</v>
      </c>
    </row>
    <row r="229" customFormat="false" ht="15" hidden="false" customHeight="false" outlineLevel="0" collapsed="false">
      <c r="A229" s="4" t="s">
        <v>451</v>
      </c>
      <c r="B229" s="4" t="s">
        <v>89</v>
      </c>
      <c r="C229" s="4" t="n">
        <v>7</v>
      </c>
      <c r="D229" s="4" t="n">
        <v>226</v>
      </c>
      <c r="E229" s="4" t="s">
        <v>233</v>
      </c>
      <c r="F229" s="4" t="n">
        <v>11</v>
      </c>
      <c r="G229" s="4" t="n">
        <v>2</v>
      </c>
      <c r="H229" s="4" t="n">
        <v>739.78</v>
      </c>
      <c r="I229" s="13" t="b">
        <f aca="false">FALSE()</f>
        <v>0</v>
      </c>
      <c r="K229" s="4" t="s">
        <v>442</v>
      </c>
      <c r="L229" s="4" t="n">
        <v>75.46</v>
      </c>
      <c r="M229" s="11" t="n">
        <f aca="false">IFERROR(MATCH(Controls!$B$3&amp;"|"&amp;B229,'Scenario inputs'!$A$4:$A$213,0),0)</f>
        <v>138</v>
      </c>
      <c r="N229" s="8" t="b">
        <f aca="false">IF(M229=0,FALSE(),F229&lt;Controls!$B$12)</f>
        <v>1</v>
      </c>
      <c r="O229" s="11" t="n">
        <f aca="false">IF(N229,IF(INDEX('Scenario inputs'!$E$4:$E$213,M229)=0,1,INDEX('Scenario inputs'!$F$4:$M$213,M229,MIN(MAX(F229-G229,0),INDEX('Scenario inputs'!$E$4:$E$213,M229)-1)+1)),0)</f>
        <v>1</v>
      </c>
      <c r="P229" s="11" t="n">
        <f aca="false">H229*O229</f>
        <v>739.78</v>
      </c>
      <c r="Q229" s="11" t="n">
        <f aca="false">IF(M229=0,"",IF(ISNUMBER(INDEX('Scenario inputs'!$N$4:$N$213,M229)),INDEX('Scenario inputs'!$N$4:$N$213,M229),""))</f>
        <v>30.59</v>
      </c>
      <c r="R229" s="0" t="str">
        <f aca="false">IF(NOT(N229),"",IF(OR(E229="cash",E229="revenue"),E229,IF(E229="avoided_cost",IF(AND(I229,LEN(TRIM(J229))&gt;0),"avoided_cost_realised","avoided_cost_beside"),IF(ISNUMBER(Q229),"capacity_converted","capacity_hours"))))</f>
        <v>capacity_converted</v>
      </c>
      <c r="S229" s="11" t="n">
        <f aca="false">IF(OR(R229="",R229="capacity_hours"),0,IF(R229="capacity_converted",P229*Q229,P229))</f>
        <v>22629.8702</v>
      </c>
      <c r="T229" s="11" t="n">
        <f aca="false">IF(OR(R229="cash",R229="revenue",R229="avoided_cost_realised",R229="capacity_converted"),1,0)</f>
        <v>1</v>
      </c>
      <c r="U229" s="11" t="n">
        <f aca="false">IF(AND(N229,R229&lt;&gt;"capacity_hours",LEN(K229)&gt;0),1,0)</f>
        <v>1</v>
      </c>
      <c r="V229" s="11" t="n">
        <f aca="false">IF(U229=1,SUMPRODUCT(($K$4:$K$703=K229)*($F$4:$F$703=F229)*($U$4:$U$703=1)*($B$4:$B$703&lt;&gt;B229)),0)</f>
        <v>0</v>
      </c>
      <c r="W229" s="11" t="n">
        <f aca="false">IF(AND(U229=1,V229&gt;0),1+SUMPRODUCT(($K$4:$K$703=K229)*($F$4:$F$703=F229)*($U$4:$U$703=1)*($S$4:$S$703&gt;S229))+SUMPRODUCT(($K$4:$K$703=K229)*($F$4:$F$703=F229)*($U$4:$U$703=1)*($S$4:$S$703=S229)*($T$4:$T$703&gt;T229))+SUMPRODUCT(($K$4:$K$703=K229)*($F$4:$F$703=F229)*($U$4:$U$703=1)*($S$4:$S$703=S229)*($T$4:$T$703=T229)*($C$4:$C$703&lt;C229))+SUMPRODUCT(($K$4:$K$703=K229)*($F$4:$F$703=F229)*($U$4:$U$703=1)*($S$4:$S$703=S229)*($T$4:$T$703=T229)*($C$4:$C$703=C229)*($D$4:$D$703&lt;D229)),0)</f>
        <v>0</v>
      </c>
      <c r="X229" s="11" t="n">
        <f aca="false">IF(AND(U229=1,V229&gt;0,W229&gt;1),S229,0)</f>
        <v>0</v>
      </c>
      <c r="Y229" s="11" t="n">
        <f aca="false">IF(T229=1,X229/(1+Controls!$B$11)^F229,0)</f>
        <v>0</v>
      </c>
      <c r="Z229" s="11" t="n">
        <f aca="false">IF(AND(N229,E229="capacity",LEN(K229)&gt;0),1,0)</f>
        <v>1</v>
      </c>
      <c r="AA229" s="11" t="n">
        <f aca="false">IF(Z229=1,SUMPRODUCT(($K$4:$K$703=K229)*($F$4:$F$703=F229)*($Z$4:$Z$703=1)*($B$4:$B$703&lt;&gt;B229)),0)</f>
        <v>0</v>
      </c>
      <c r="AB229" s="11" t="n">
        <f aca="false">IF(AND(Z229=1,AA229&gt;0),1+SUMPRODUCT(($K$4:$K$703=K229)*($F$4:$F$703=F229)*($Z$4:$Z$703=1)*($P$4:$P$703&gt;P229))+SUMPRODUCT(($K$4:$K$703=K229)*($F$4:$F$703=F229)*($Z$4:$Z$703=1)*($P$4:$P$703=P229)*($C$4:$C$703&lt;C229))+SUMPRODUCT(($K$4:$K$703=K229)*($F$4:$F$703=F229)*($Z$4:$Z$703=1)*($P$4:$P$703=P229)*($C$4:$C$703=C229)*($D$4:$D$703&lt;D229)),0)</f>
        <v>0</v>
      </c>
      <c r="AC229" s="11" t="n">
        <f aca="false">IF(AND(Z229=1,AA229&gt;0,AB229&gt;1),P229,0)</f>
        <v>0</v>
      </c>
    </row>
    <row r="230" customFormat="false" ht="15" hidden="false" customHeight="false" outlineLevel="0" collapsed="false">
      <c r="A230" s="4" t="s">
        <v>452</v>
      </c>
      <c r="B230" s="4" t="s">
        <v>89</v>
      </c>
      <c r="C230" s="4" t="n">
        <v>7</v>
      </c>
      <c r="D230" s="4" t="n">
        <v>227</v>
      </c>
      <c r="E230" s="4" t="s">
        <v>233</v>
      </c>
      <c r="F230" s="4" t="n">
        <v>12</v>
      </c>
      <c r="G230" s="4" t="n">
        <v>2</v>
      </c>
      <c r="H230" s="4" t="n">
        <v>739.78</v>
      </c>
      <c r="I230" s="13" t="b">
        <f aca="false">FALSE()</f>
        <v>0</v>
      </c>
      <c r="K230" s="4" t="s">
        <v>442</v>
      </c>
      <c r="L230" s="4" t="n">
        <v>75.46</v>
      </c>
      <c r="M230" s="11" t="n">
        <f aca="false">IFERROR(MATCH(Controls!$B$3&amp;"|"&amp;B230,'Scenario inputs'!$A$4:$A$213,0),0)</f>
        <v>138</v>
      </c>
      <c r="N230" s="8" t="b">
        <f aca="false">IF(M230=0,FALSE(),F230&lt;Controls!$B$12)</f>
        <v>1</v>
      </c>
      <c r="O230" s="11" t="n">
        <f aca="false">IF(N230,IF(INDEX('Scenario inputs'!$E$4:$E$213,M230)=0,1,INDEX('Scenario inputs'!$F$4:$M$213,M230,MIN(MAX(F230-G230,0),INDEX('Scenario inputs'!$E$4:$E$213,M230)-1)+1)),0)</f>
        <v>1</v>
      </c>
      <c r="P230" s="11" t="n">
        <f aca="false">H230*O230</f>
        <v>739.78</v>
      </c>
      <c r="Q230" s="11" t="n">
        <f aca="false">IF(M230=0,"",IF(ISNUMBER(INDEX('Scenario inputs'!$N$4:$N$213,M230)),INDEX('Scenario inputs'!$N$4:$N$213,M230),""))</f>
        <v>30.59</v>
      </c>
      <c r="R230" s="0" t="str">
        <f aca="false">IF(NOT(N230),"",IF(OR(E230="cash",E230="revenue"),E230,IF(E230="avoided_cost",IF(AND(I230,LEN(TRIM(J230))&gt;0),"avoided_cost_realised","avoided_cost_beside"),IF(ISNUMBER(Q230),"capacity_converted","capacity_hours"))))</f>
        <v>capacity_converted</v>
      </c>
      <c r="S230" s="11" t="n">
        <f aca="false">IF(OR(R230="",R230="capacity_hours"),0,IF(R230="capacity_converted",P230*Q230,P230))</f>
        <v>22629.8702</v>
      </c>
      <c r="T230" s="11" t="n">
        <f aca="false">IF(OR(R230="cash",R230="revenue",R230="avoided_cost_realised",R230="capacity_converted"),1,0)</f>
        <v>1</v>
      </c>
      <c r="U230" s="11" t="n">
        <f aca="false">IF(AND(N230,R230&lt;&gt;"capacity_hours",LEN(K230)&gt;0),1,0)</f>
        <v>1</v>
      </c>
      <c r="V230" s="11" t="n">
        <f aca="false">IF(U230=1,SUMPRODUCT(($K$4:$K$703=K230)*($F$4:$F$703=F230)*($U$4:$U$703=1)*($B$4:$B$703&lt;&gt;B230)),0)</f>
        <v>0</v>
      </c>
      <c r="W230" s="11" t="n">
        <f aca="false">IF(AND(U230=1,V230&gt;0),1+SUMPRODUCT(($K$4:$K$703=K230)*($F$4:$F$703=F230)*($U$4:$U$703=1)*($S$4:$S$703&gt;S230))+SUMPRODUCT(($K$4:$K$703=K230)*($F$4:$F$703=F230)*($U$4:$U$703=1)*($S$4:$S$703=S230)*($T$4:$T$703&gt;T230))+SUMPRODUCT(($K$4:$K$703=K230)*($F$4:$F$703=F230)*($U$4:$U$703=1)*($S$4:$S$703=S230)*($T$4:$T$703=T230)*($C$4:$C$703&lt;C230))+SUMPRODUCT(($K$4:$K$703=K230)*($F$4:$F$703=F230)*($U$4:$U$703=1)*($S$4:$S$703=S230)*($T$4:$T$703=T230)*($C$4:$C$703=C230)*($D$4:$D$703&lt;D230)),0)</f>
        <v>0</v>
      </c>
      <c r="X230" s="11" t="n">
        <f aca="false">IF(AND(U230=1,V230&gt;0,W230&gt;1),S230,0)</f>
        <v>0</v>
      </c>
      <c r="Y230" s="11" t="n">
        <f aca="false">IF(T230=1,X230/(1+Controls!$B$11)^F230,0)</f>
        <v>0</v>
      </c>
      <c r="Z230" s="11" t="n">
        <f aca="false">IF(AND(N230,E230="capacity",LEN(K230)&gt;0),1,0)</f>
        <v>1</v>
      </c>
      <c r="AA230" s="11" t="n">
        <f aca="false">IF(Z230=1,SUMPRODUCT(($K$4:$K$703=K230)*($F$4:$F$703=F230)*($Z$4:$Z$703=1)*($B$4:$B$703&lt;&gt;B230)),0)</f>
        <v>0</v>
      </c>
      <c r="AB230" s="11" t="n">
        <f aca="false">IF(AND(Z230=1,AA230&gt;0),1+SUMPRODUCT(($K$4:$K$703=K230)*($F$4:$F$703=F230)*($Z$4:$Z$703=1)*($P$4:$P$703&gt;P230))+SUMPRODUCT(($K$4:$K$703=K230)*($F$4:$F$703=F230)*($Z$4:$Z$703=1)*($P$4:$P$703=P230)*($C$4:$C$703&lt;C230))+SUMPRODUCT(($K$4:$K$703=K230)*($F$4:$F$703=F230)*($Z$4:$Z$703=1)*($P$4:$P$703=P230)*($C$4:$C$703=C230)*($D$4:$D$703&lt;D230)),0)</f>
        <v>0</v>
      </c>
      <c r="AC230" s="11" t="n">
        <f aca="false">IF(AND(Z230=1,AA230&gt;0,AB230&gt;1),P230,0)</f>
        <v>0</v>
      </c>
    </row>
    <row r="231" customFormat="false" ht="15" hidden="false" customHeight="false" outlineLevel="0" collapsed="false">
      <c r="A231" s="4" t="s">
        <v>453</v>
      </c>
      <c r="B231" s="4" t="s">
        <v>89</v>
      </c>
      <c r="C231" s="4" t="n">
        <v>7</v>
      </c>
      <c r="D231" s="4" t="n">
        <v>228</v>
      </c>
      <c r="E231" s="4" t="s">
        <v>233</v>
      </c>
      <c r="F231" s="4" t="n">
        <v>13</v>
      </c>
      <c r="G231" s="4" t="n">
        <v>2</v>
      </c>
      <c r="H231" s="4" t="n">
        <v>739.78</v>
      </c>
      <c r="I231" s="13" t="b">
        <f aca="false">FALSE()</f>
        <v>0</v>
      </c>
      <c r="K231" s="4" t="s">
        <v>442</v>
      </c>
      <c r="L231" s="4" t="n">
        <v>75.46</v>
      </c>
      <c r="M231" s="11" t="n">
        <f aca="false">IFERROR(MATCH(Controls!$B$3&amp;"|"&amp;B231,'Scenario inputs'!$A$4:$A$213,0),0)</f>
        <v>138</v>
      </c>
      <c r="N231" s="8" t="b">
        <f aca="false">IF(M231=0,FALSE(),F231&lt;Controls!$B$12)</f>
        <v>1</v>
      </c>
      <c r="O231" s="11" t="n">
        <f aca="false">IF(N231,IF(INDEX('Scenario inputs'!$E$4:$E$213,M231)=0,1,INDEX('Scenario inputs'!$F$4:$M$213,M231,MIN(MAX(F231-G231,0),INDEX('Scenario inputs'!$E$4:$E$213,M231)-1)+1)),0)</f>
        <v>1</v>
      </c>
      <c r="P231" s="11" t="n">
        <f aca="false">H231*O231</f>
        <v>739.78</v>
      </c>
      <c r="Q231" s="11" t="n">
        <f aca="false">IF(M231=0,"",IF(ISNUMBER(INDEX('Scenario inputs'!$N$4:$N$213,M231)),INDEX('Scenario inputs'!$N$4:$N$213,M231),""))</f>
        <v>30.59</v>
      </c>
      <c r="R231" s="0" t="str">
        <f aca="false">IF(NOT(N231),"",IF(OR(E231="cash",E231="revenue"),E231,IF(E231="avoided_cost",IF(AND(I231,LEN(TRIM(J231))&gt;0),"avoided_cost_realised","avoided_cost_beside"),IF(ISNUMBER(Q231),"capacity_converted","capacity_hours"))))</f>
        <v>capacity_converted</v>
      </c>
      <c r="S231" s="11" t="n">
        <f aca="false">IF(OR(R231="",R231="capacity_hours"),0,IF(R231="capacity_converted",P231*Q231,P231))</f>
        <v>22629.8702</v>
      </c>
      <c r="T231" s="11" t="n">
        <f aca="false">IF(OR(R231="cash",R231="revenue",R231="avoided_cost_realised",R231="capacity_converted"),1,0)</f>
        <v>1</v>
      </c>
      <c r="U231" s="11" t="n">
        <f aca="false">IF(AND(N231,R231&lt;&gt;"capacity_hours",LEN(K231)&gt;0),1,0)</f>
        <v>1</v>
      </c>
      <c r="V231" s="11" t="n">
        <f aca="false">IF(U231=1,SUMPRODUCT(($K$4:$K$703=K231)*($F$4:$F$703=F231)*($U$4:$U$703=1)*($B$4:$B$703&lt;&gt;B231)),0)</f>
        <v>0</v>
      </c>
      <c r="W231" s="11" t="n">
        <f aca="false">IF(AND(U231=1,V231&gt;0),1+SUMPRODUCT(($K$4:$K$703=K231)*($F$4:$F$703=F231)*($U$4:$U$703=1)*($S$4:$S$703&gt;S231))+SUMPRODUCT(($K$4:$K$703=K231)*($F$4:$F$703=F231)*($U$4:$U$703=1)*($S$4:$S$703=S231)*($T$4:$T$703&gt;T231))+SUMPRODUCT(($K$4:$K$703=K231)*($F$4:$F$703=F231)*($U$4:$U$703=1)*($S$4:$S$703=S231)*($T$4:$T$703=T231)*($C$4:$C$703&lt;C231))+SUMPRODUCT(($K$4:$K$703=K231)*($F$4:$F$703=F231)*($U$4:$U$703=1)*($S$4:$S$703=S231)*($T$4:$T$703=T231)*($C$4:$C$703=C231)*($D$4:$D$703&lt;D231)),0)</f>
        <v>0</v>
      </c>
      <c r="X231" s="11" t="n">
        <f aca="false">IF(AND(U231=1,V231&gt;0,W231&gt;1),S231,0)</f>
        <v>0</v>
      </c>
      <c r="Y231" s="11" t="n">
        <f aca="false">IF(T231=1,X231/(1+Controls!$B$11)^F231,0)</f>
        <v>0</v>
      </c>
      <c r="Z231" s="11" t="n">
        <f aca="false">IF(AND(N231,E231="capacity",LEN(K231)&gt;0),1,0)</f>
        <v>1</v>
      </c>
      <c r="AA231" s="11" t="n">
        <f aca="false">IF(Z231=1,SUMPRODUCT(($K$4:$K$703=K231)*($F$4:$F$703=F231)*($Z$4:$Z$703=1)*($B$4:$B$703&lt;&gt;B231)),0)</f>
        <v>0</v>
      </c>
      <c r="AB231" s="11" t="n">
        <f aca="false">IF(AND(Z231=1,AA231&gt;0),1+SUMPRODUCT(($K$4:$K$703=K231)*($F$4:$F$703=F231)*($Z$4:$Z$703=1)*($P$4:$P$703&gt;P231))+SUMPRODUCT(($K$4:$K$703=K231)*($F$4:$F$703=F231)*($Z$4:$Z$703=1)*($P$4:$P$703=P231)*($C$4:$C$703&lt;C231))+SUMPRODUCT(($K$4:$K$703=K231)*($F$4:$F$703=F231)*($Z$4:$Z$703=1)*($P$4:$P$703=P231)*($C$4:$C$703=C231)*($D$4:$D$703&lt;D231)),0)</f>
        <v>0</v>
      </c>
      <c r="AC231" s="11" t="n">
        <f aca="false">IF(AND(Z231=1,AA231&gt;0,AB231&gt;1),P231,0)</f>
        <v>0</v>
      </c>
    </row>
    <row r="232" customFormat="false" ht="15" hidden="false" customHeight="false" outlineLevel="0" collapsed="false">
      <c r="A232" s="4" t="s">
        <v>454</v>
      </c>
      <c r="B232" s="4" t="s">
        <v>90</v>
      </c>
      <c r="C232" s="4" t="n">
        <v>8</v>
      </c>
      <c r="D232" s="4" t="n">
        <v>229</v>
      </c>
      <c r="E232" s="4" t="s">
        <v>112</v>
      </c>
      <c r="F232" s="4" t="n">
        <v>2</v>
      </c>
      <c r="G232" s="4" t="n">
        <v>2</v>
      </c>
      <c r="H232" s="4" t="n">
        <v>86900</v>
      </c>
      <c r="I232" s="13" t="b">
        <f aca="false">FALSE()</f>
        <v>0</v>
      </c>
      <c r="K232" s="4" t="s">
        <v>455</v>
      </c>
      <c r="L232" s="4" t="n">
        <v>2610.59</v>
      </c>
      <c r="M232" s="11" t="n">
        <f aca="false">IFERROR(MATCH(Controls!$B$3&amp;"|"&amp;B232,'Scenario inputs'!$A$4:$A$213,0),0)</f>
        <v>139</v>
      </c>
      <c r="N232" s="8" t="b">
        <f aca="false">IF(M232=0,FALSE(),F232&lt;Controls!$B$12)</f>
        <v>1</v>
      </c>
      <c r="O232" s="11" t="n">
        <f aca="false">IF(N232,IF(INDEX('Scenario inputs'!$E$4:$E$213,M232)=0,1,INDEX('Scenario inputs'!$F$4:$M$213,M232,MIN(MAX(F232-G232,0),INDEX('Scenario inputs'!$E$4:$E$213,M232)-1)+1)),0)</f>
        <v>0.035714</v>
      </c>
      <c r="P232" s="11" t="n">
        <f aca="false">H232*O232</f>
        <v>3103.5466</v>
      </c>
      <c r="Q232" s="0" t="str">
        <f aca="false">IF(M232=0,"",IF(ISNUMBER(INDEX('Scenario inputs'!$N$4:$N$213,M232)),INDEX('Scenario inputs'!$N$4:$N$213,M232),""))</f>
        <v/>
      </c>
      <c r="R232" s="0" t="str">
        <f aca="false">IF(NOT(N232),"",IF(OR(E232="cash",E232="revenue"),E232,IF(E232="avoided_cost",IF(AND(I232,LEN(TRIM(J232))&gt;0),"avoided_cost_realised","avoided_cost_beside"),IF(ISNUMBER(Q232),"capacity_converted","capacity_hours"))))</f>
        <v>cash</v>
      </c>
      <c r="S232" s="11" t="n">
        <f aca="false">IF(OR(R232="",R232="capacity_hours"),0,IF(R232="capacity_converted",P232*Q232,P232))</f>
        <v>3103.5466</v>
      </c>
      <c r="T232" s="11" t="n">
        <f aca="false">IF(OR(R232="cash",R232="revenue",R232="avoided_cost_realised",R232="capacity_converted"),1,0)</f>
        <v>1</v>
      </c>
      <c r="U232" s="11" t="n">
        <f aca="false">IF(AND(N232,R232&lt;&gt;"capacity_hours",LEN(K232)&gt;0),1,0)</f>
        <v>1</v>
      </c>
      <c r="V232" s="11" t="n">
        <f aca="false">IF(U232=1,SUMPRODUCT(($K$4:$K$703=K232)*($F$4:$F$703=F232)*($U$4:$U$703=1)*($B$4:$B$703&lt;&gt;B232)),0)</f>
        <v>0</v>
      </c>
      <c r="W232" s="11" t="n">
        <f aca="false">IF(AND(U232=1,V232&gt;0),1+SUMPRODUCT(($K$4:$K$703=K232)*($F$4:$F$703=F232)*($U$4:$U$703=1)*($S$4:$S$703&gt;S232))+SUMPRODUCT(($K$4:$K$703=K232)*($F$4:$F$703=F232)*($U$4:$U$703=1)*($S$4:$S$703=S232)*($T$4:$T$703&gt;T232))+SUMPRODUCT(($K$4:$K$703=K232)*($F$4:$F$703=F232)*($U$4:$U$703=1)*($S$4:$S$703=S232)*($T$4:$T$703=T232)*($C$4:$C$703&lt;C232))+SUMPRODUCT(($K$4:$K$703=K232)*($F$4:$F$703=F232)*($U$4:$U$703=1)*($S$4:$S$703=S232)*($T$4:$T$703=T232)*($C$4:$C$703=C232)*($D$4:$D$703&lt;D232)),0)</f>
        <v>0</v>
      </c>
      <c r="X232" s="11" t="n">
        <f aca="false">IF(AND(U232=1,V232&gt;0,W232&gt;1),S232,0)</f>
        <v>0</v>
      </c>
      <c r="Y232" s="11" t="n">
        <f aca="false">IF(T232=1,X232/(1+Controls!$B$11)^F232,0)</f>
        <v>0</v>
      </c>
      <c r="Z232" s="11" t="n">
        <f aca="false">IF(AND(N232,E232="capacity",LEN(K232)&gt;0),1,0)</f>
        <v>0</v>
      </c>
      <c r="AA232" s="11" t="n">
        <f aca="false">IF(Z232=1,SUMPRODUCT(($K$4:$K$703=K232)*($F$4:$F$703=F232)*($Z$4:$Z$703=1)*($B$4:$B$703&lt;&gt;B232)),0)</f>
        <v>0</v>
      </c>
      <c r="AB232" s="11" t="n">
        <f aca="false">IF(AND(Z232=1,AA232&gt;0),1+SUMPRODUCT(($K$4:$K$703=K232)*($F$4:$F$703=F232)*($Z$4:$Z$703=1)*($P$4:$P$703&gt;P232))+SUMPRODUCT(($K$4:$K$703=K232)*($F$4:$F$703=F232)*($Z$4:$Z$703=1)*($P$4:$P$703=P232)*($C$4:$C$703&lt;C232))+SUMPRODUCT(($K$4:$K$703=K232)*($F$4:$F$703=F232)*($Z$4:$Z$703=1)*($P$4:$P$703=P232)*($C$4:$C$703=C232)*($D$4:$D$703&lt;D232)),0)</f>
        <v>0</v>
      </c>
      <c r="AC232" s="11" t="n">
        <f aca="false">IF(AND(Z232=1,AA232&gt;0,AB232&gt;1),P232,0)</f>
        <v>0</v>
      </c>
    </row>
    <row r="233" customFormat="false" ht="15" hidden="false" customHeight="false" outlineLevel="0" collapsed="false">
      <c r="A233" s="4" t="s">
        <v>456</v>
      </c>
      <c r="B233" s="4" t="s">
        <v>90</v>
      </c>
      <c r="C233" s="4" t="n">
        <v>8</v>
      </c>
      <c r="D233" s="4" t="n">
        <v>230</v>
      </c>
      <c r="E233" s="4" t="s">
        <v>112</v>
      </c>
      <c r="F233" s="4" t="n">
        <v>3</v>
      </c>
      <c r="G233" s="4" t="n">
        <v>2</v>
      </c>
      <c r="H233" s="4" t="n">
        <v>86900</v>
      </c>
      <c r="I233" s="13" t="b">
        <f aca="false">FALSE()</f>
        <v>0</v>
      </c>
      <c r="K233" s="4" t="s">
        <v>455</v>
      </c>
      <c r="L233" s="4" t="n">
        <v>7438.53</v>
      </c>
      <c r="M233" s="11" t="n">
        <f aca="false">IFERROR(MATCH(Controls!$B$3&amp;"|"&amp;B233,'Scenario inputs'!$A$4:$A$213,0),0)</f>
        <v>139</v>
      </c>
      <c r="N233" s="8" t="b">
        <f aca="false">IF(M233=0,FALSE(),F233&lt;Controls!$B$12)</f>
        <v>1</v>
      </c>
      <c r="O233" s="11" t="n">
        <f aca="false">IF(N233,IF(INDEX('Scenario inputs'!$E$4:$E$213,M233)=0,1,INDEX('Scenario inputs'!$F$4:$M$213,M233,MIN(MAX(F233-G233,0),INDEX('Scenario inputs'!$E$4:$E$213,M233)-1)+1)),0)</f>
        <v>0.107143</v>
      </c>
      <c r="P233" s="11" t="n">
        <f aca="false">H233*O233</f>
        <v>9310.7267</v>
      </c>
      <c r="Q233" s="0" t="str">
        <f aca="false">IF(M233=0,"",IF(ISNUMBER(INDEX('Scenario inputs'!$N$4:$N$213,M233)),INDEX('Scenario inputs'!$N$4:$N$213,M233),""))</f>
        <v/>
      </c>
      <c r="R233" s="0" t="str">
        <f aca="false">IF(NOT(N233),"",IF(OR(E233="cash",E233="revenue"),E233,IF(E233="avoided_cost",IF(AND(I233,LEN(TRIM(J233))&gt;0),"avoided_cost_realised","avoided_cost_beside"),IF(ISNUMBER(Q233),"capacity_converted","capacity_hours"))))</f>
        <v>cash</v>
      </c>
      <c r="S233" s="11" t="n">
        <f aca="false">IF(OR(R233="",R233="capacity_hours"),0,IF(R233="capacity_converted",P233*Q233,P233))</f>
        <v>9310.7267</v>
      </c>
      <c r="T233" s="11" t="n">
        <f aca="false">IF(OR(R233="cash",R233="revenue",R233="avoided_cost_realised",R233="capacity_converted"),1,0)</f>
        <v>1</v>
      </c>
      <c r="U233" s="11" t="n">
        <f aca="false">IF(AND(N233,R233&lt;&gt;"capacity_hours",LEN(K233)&gt;0),1,0)</f>
        <v>1</v>
      </c>
      <c r="V233" s="11" t="n">
        <f aca="false">IF(U233=1,SUMPRODUCT(($K$4:$K$703=K233)*($F$4:$F$703=F233)*($U$4:$U$703=1)*($B$4:$B$703&lt;&gt;B233)),0)</f>
        <v>0</v>
      </c>
      <c r="W233" s="11" t="n">
        <f aca="false">IF(AND(U233=1,V233&gt;0),1+SUMPRODUCT(($K$4:$K$703=K233)*($F$4:$F$703=F233)*($U$4:$U$703=1)*($S$4:$S$703&gt;S233))+SUMPRODUCT(($K$4:$K$703=K233)*($F$4:$F$703=F233)*($U$4:$U$703=1)*($S$4:$S$703=S233)*($T$4:$T$703&gt;T233))+SUMPRODUCT(($K$4:$K$703=K233)*($F$4:$F$703=F233)*($U$4:$U$703=1)*($S$4:$S$703=S233)*($T$4:$T$703=T233)*($C$4:$C$703&lt;C233))+SUMPRODUCT(($K$4:$K$703=K233)*($F$4:$F$703=F233)*($U$4:$U$703=1)*($S$4:$S$703=S233)*($T$4:$T$703=T233)*($C$4:$C$703=C233)*($D$4:$D$703&lt;D233)),0)</f>
        <v>0</v>
      </c>
      <c r="X233" s="11" t="n">
        <f aca="false">IF(AND(U233=1,V233&gt;0,W233&gt;1),S233,0)</f>
        <v>0</v>
      </c>
      <c r="Y233" s="11" t="n">
        <f aca="false">IF(T233=1,X233/(1+Controls!$B$11)^F233,0)</f>
        <v>0</v>
      </c>
      <c r="Z233" s="11" t="n">
        <f aca="false">IF(AND(N233,E233="capacity",LEN(K233)&gt;0),1,0)</f>
        <v>0</v>
      </c>
      <c r="AA233" s="11" t="n">
        <f aca="false">IF(Z233=1,SUMPRODUCT(($K$4:$K$703=K233)*($F$4:$F$703=F233)*($Z$4:$Z$703=1)*($B$4:$B$703&lt;&gt;B233)),0)</f>
        <v>0</v>
      </c>
      <c r="AB233" s="11" t="n">
        <f aca="false">IF(AND(Z233=1,AA233&gt;0),1+SUMPRODUCT(($K$4:$K$703=K233)*($F$4:$F$703=F233)*($Z$4:$Z$703=1)*($P$4:$P$703&gt;P233))+SUMPRODUCT(($K$4:$K$703=K233)*($F$4:$F$703=F233)*($Z$4:$Z$703=1)*($P$4:$P$703=P233)*($C$4:$C$703&lt;C233))+SUMPRODUCT(($K$4:$K$703=K233)*($F$4:$F$703=F233)*($Z$4:$Z$703=1)*($P$4:$P$703=P233)*($C$4:$C$703=C233)*($D$4:$D$703&lt;D233)),0)</f>
        <v>0</v>
      </c>
      <c r="AC233" s="11" t="n">
        <f aca="false">IF(AND(Z233=1,AA233&gt;0,AB233&gt;1),P233,0)</f>
        <v>0</v>
      </c>
    </row>
    <row r="234" customFormat="false" ht="15" hidden="false" customHeight="false" outlineLevel="0" collapsed="false">
      <c r="A234" s="4" t="s">
        <v>457</v>
      </c>
      <c r="B234" s="4" t="s">
        <v>90</v>
      </c>
      <c r="C234" s="4" t="n">
        <v>8</v>
      </c>
      <c r="D234" s="4" t="n">
        <v>231</v>
      </c>
      <c r="E234" s="4" t="s">
        <v>112</v>
      </c>
      <c r="F234" s="4" t="n">
        <v>4</v>
      </c>
      <c r="G234" s="4" t="n">
        <v>2</v>
      </c>
      <c r="H234" s="4" t="n">
        <v>86900</v>
      </c>
      <c r="I234" s="13" t="b">
        <f aca="false">FALSE()</f>
        <v>0</v>
      </c>
      <c r="K234" s="4" t="s">
        <v>455</v>
      </c>
      <c r="L234" s="4" t="n">
        <v>15488.5</v>
      </c>
      <c r="M234" s="11" t="n">
        <f aca="false">IFERROR(MATCH(Controls!$B$3&amp;"|"&amp;B234,'Scenario inputs'!$A$4:$A$213,0),0)</f>
        <v>139</v>
      </c>
      <c r="N234" s="8" t="b">
        <f aca="false">IF(M234=0,FALSE(),F234&lt;Controls!$B$12)</f>
        <v>1</v>
      </c>
      <c r="O234" s="11" t="n">
        <f aca="false">IF(N234,IF(INDEX('Scenario inputs'!$E$4:$E$213,M234)=0,1,INDEX('Scenario inputs'!$F$4:$M$213,M234,MIN(MAX(F234-G234,0),INDEX('Scenario inputs'!$E$4:$E$213,M234)-1)+1)),0)</f>
        <v>0.214286</v>
      </c>
      <c r="P234" s="11" t="n">
        <f aca="false">H234*O234</f>
        <v>18621.4534</v>
      </c>
      <c r="Q234" s="0" t="str">
        <f aca="false">IF(M234=0,"",IF(ISNUMBER(INDEX('Scenario inputs'!$N$4:$N$213,M234)),INDEX('Scenario inputs'!$N$4:$N$213,M234),""))</f>
        <v/>
      </c>
      <c r="R234" s="0" t="str">
        <f aca="false">IF(NOT(N234),"",IF(OR(E234="cash",E234="revenue"),E234,IF(E234="avoided_cost",IF(AND(I234,LEN(TRIM(J234))&gt;0),"avoided_cost_realised","avoided_cost_beside"),IF(ISNUMBER(Q234),"capacity_converted","capacity_hours"))))</f>
        <v>cash</v>
      </c>
      <c r="S234" s="11" t="n">
        <f aca="false">IF(OR(R234="",R234="capacity_hours"),0,IF(R234="capacity_converted",P234*Q234,P234))</f>
        <v>18621.4534</v>
      </c>
      <c r="T234" s="11" t="n">
        <f aca="false">IF(OR(R234="cash",R234="revenue",R234="avoided_cost_realised",R234="capacity_converted"),1,0)</f>
        <v>1</v>
      </c>
      <c r="U234" s="11" t="n">
        <f aca="false">IF(AND(N234,R234&lt;&gt;"capacity_hours",LEN(K234)&gt;0),1,0)</f>
        <v>1</v>
      </c>
      <c r="V234" s="11" t="n">
        <f aca="false">IF(U234=1,SUMPRODUCT(($K$4:$K$703=K234)*($F$4:$F$703=F234)*($U$4:$U$703=1)*($B$4:$B$703&lt;&gt;B234)),0)</f>
        <v>0</v>
      </c>
      <c r="W234" s="11" t="n">
        <f aca="false">IF(AND(U234=1,V234&gt;0),1+SUMPRODUCT(($K$4:$K$703=K234)*($F$4:$F$703=F234)*($U$4:$U$703=1)*($S$4:$S$703&gt;S234))+SUMPRODUCT(($K$4:$K$703=K234)*($F$4:$F$703=F234)*($U$4:$U$703=1)*($S$4:$S$703=S234)*($T$4:$T$703&gt;T234))+SUMPRODUCT(($K$4:$K$703=K234)*($F$4:$F$703=F234)*($U$4:$U$703=1)*($S$4:$S$703=S234)*($T$4:$T$703=T234)*($C$4:$C$703&lt;C234))+SUMPRODUCT(($K$4:$K$703=K234)*($F$4:$F$703=F234)*($U$4:$U$703=1)*($S$4:$S$703=S234)*($T$4:$T$703=T234)*($C$4:$C$703=C234)*($D$4:$D$703&lt;D234)),0)</f>
        <v>0</v>
      </c>
      <c r="X234" s="11" t="n">
        <f aca="false">IF(AND(U234=1,V234&gt;0,W234&gt;1),S234,0)</f>
        <v>0</v>
      </c>
      <c r="Y234" s="11" t="n">
        <f aca="false">IF(T234=1,X234/(1+Controls!$B$11)^F234,0)</f>
        <v>0</v>
      </c>
      <c r="Z234" s="11" t="n">
        <f aca="false">IF(AND(N234,E234="capacity",LEN(K234)&gt;0),1,0)</f>
        <v>0</v>
      </c>
      <c r="AA234" s="11" t="n">
        <f aca="false">IF(Z234=1,SUMPRODUCT(($K$4:$K$703=K234)*($F$4:$F$703=F234)*($Z$4:$Z$703=1)*($B$4:$B$703&lt;&gt;B234)),0)</f>
        <v>0</v>
      </c>
      <c r="AB234" s="11" t="n">
        <f aca="false">IF(AND(Z234=1,AA234&gt;0),1+SUMPRODUCT(($K$4:$K$703=K234)*($F$4:$F$703=F234)*($Z$4:$Z$703=1)*($P$4:$P$703&gt;P234))+SUMPRODUCT(($K$4:$K$703=K234)*($F$4:$F$703=F234)*($Z$4:$Z$703=1)*($P$4:$P$703=P234)*($C$4:$C$703&lt;C234))+SUMPRODUCT(($K$4:$K$703=K234)*($F$4:$F$703=F234)*($Z$4:$Z$703=1)*($P$4:$P$703=P234)*($C$4:$C$703=C234)*($D$4:$D$703&lt;D234)),0)</f>
        <v>0</v>
      </c>
      <c r="AC234" s="11" t="n">
        <f aca="false">IF(AND(Z234=1,AA234&gt;0,AB234&gt;1),P234,0)</f>
        <v>0</v>
      </c>
    </row>
    <row r="235" customFormat="false" ht="15" hidden="false" customHeight="false" outlineLevel="0" collapsed="false">
      <c r="A235" s="4" t="s">
        <v>458</v>
      </c>
      <c r="B235" s="4" t="s">
        <v>90</v>
      </c>
      <c r="C235" s="4" t="n">
        <v>8</v>
      </c>
      <c r="D235" s="4" t="n">
        <v>232</v>
      </c>
      <c r="E235" s="4" t="s">
        <v>112</v>
      </c>
      <c r="F235" s="4" t="n">
        <v>5</v>
      </c>
      <c r="G235" s="4" t="n">
        <v>2</v>
      </c>
      <c r="H235" s="4" t="n">
        <v>86900</v>
      </c>
      <c r="I235" s="13" t="b">
        <f aca="false">FALSE()</f>
        <v>0</v>
      </c>
      <c r="K235" s="4" t="s">
        <v>455</v>
      </c>
      <c r="L235" s="4" t="n">
        <v>27155.75</v>
      </c>
      <c r="M235" s="11" t="n">
        <f aca="false">IFERROR(MATCH(Controls!$B$3&amp;"|"&amp;B235,'Scenario inputs'!$A$4:$A$213,0),0)</f>
        <v>139</v>
      </c>
      <c r="N235" s="8" t="b">
        <f aca="false">IF(M235=0,FALSE(),F235&lt;Controls!$B$12)</f>
        <v>1</v>
      </c>
      <c r="O235" s="11" t="n">
        <f aca="false">IF(N235,IF(INDEX('Scenario inputs'!$E$4:$E$213,M235)=0,1,INDEX('Scenario inputs'!$F$4:$M$213,M235,MIN(MAX(F235-G235,0),INDEX('Scenario inputs'!$E$4:$E$213,M235)-1)+1)),0)</f>
        <v>0.357143</v>
      </c>
      <c r="P235" s="11" t="n">
        <f aca="false">H235*O235</f>
        <v>31035.7267</v>
      </c>
      <c r="Q235" s="0" t="str">
        <f aca="false">IF(M235=0,"",IF(ISNUMBER(INDEX('Scenario inputs'!$N$4:$N$213,M235)),INDEX('Scenario inputs'!$N$4:$N$213,M235),""))</f>
        <v/>
      </c>
      <c r="R235" s="0" t="str">
        <f aca="false">IF(NOT(N235),"",IF(OR(E235="cash",E235="revenue"),E235,IF(E235="avoided_cost",IF(AND(I235,LEN(TRIM(J235))&gt;0),"avoided_cost_realised","avoided_cost_beside"),IF(ISNUMBER(Q235),"capacity_converted","capacity_hours"))))</f>
        <v>cash</v>
      </c>
      <c r="S235" s="11" t="n">
        <f aca="false">IF(OR(R235="",R235="capacity_hours"),0,IF(R235="capacity_converted",P235*Q235,P235))</f>
        <v>31035.7267</v>
      </c>
      <c r="T235" s="11" t="n">
        <f aca="false">IF(OR(R235="cash",R235="revenue",R235="avoided_cost_realised",R235="capacity_converted"),1,0)</f>
        <v>1</v>
      </c>
      <c r="U235" s="11" t="n">
        <f aca="false">IF(AND(N235,R235&lt;&gt;"capacity_hours",LEN(K235)&gt;0),1,0)</f>
        <v>1</v>
      </c>
      <c r="V235" s="11" t="n">
        <f aca="false">IF(U235=1,SUMPRODUCT(($K$4:$K$703=K235)*($F$4:$F$703=F235)*($U$4:$U$703=1)*($B$4:$B$703&lt;&gt;B235)),0)</f>
        <v>0</v>
      </c>
      <c r="W235" s="11" t="n">
        <f aca="false">IF(AND(U235=1,V235&gt;0),1+SUMPRODUCT(($K$4:$K$703=K235)*($F$4:$F$703=F235)*($U$4:$U$703=1)*($S$4:$S$703&gt;S235))+SUMPRODUCT(($K$4:$K$703=K235)*($F$4:$F$703=F235)*($U$4:$U$703=1)*($S$4:$S$703=S235)*($T$4:$T$703&gt;T235))+SUMPRODUCT(($K$4:$K$703=K235)*($F$4:$F$703=F235)*($U$4:$U$703=1)*($S$4:$S$703=S235)*($T$4:$T$703=T235)*($C$4:$C$703&lt;C235))+SUMPRODUCT(($K$4:$K$703=K235)*($F$4:$F$703=F235)*($U$4:$U$703=1)*($S$4:$S$703=S235)*($T$4:$T$703=T235)*($C$4:$C$703=C235)*($D$4:$D$703&lt;D235)),0)</f>
        <v>0</v>
      </c>
      <c r="X235" s="11" t="n">
        <f aca="false">IF(AND(U235=1,V235&gt;0,W235&gt;1),S235,0)</f>
        <v>0</v>
      </c>
      <c r="Y235" s="11" t="n">
        <f aca="false">IF(T235=1,X235/(1+Controls!$B$11)^F235,0)</f>
        <v>0</v>
      </c>
      <c r="Z235" s="11" t="n">
        <f aca="false">IF(AND(N235,E235="capacity",LEN(K235)&gt;0),1,0)</f>
        <v>0</v>
      </c>
      <c r="AA235" s="11" t="n">
        <f aca="false">IF(Z235=1,SUMPRODUCT(($K$4:$K$703=K235)*($F$4:$F$703=F235)*($Z$4:$Z$703=1)*($B$4:$B$703&lt;&gt;B235)),0)</f>
        <v>0</v>
      </c>
      <c r="AB235" s="11" t="n">
        <f aca="false">IF(AND(Z235=1,AA235&gt;0),1+SUMPRODUCT(($K$4:$K$703=K235)*($F$4:$F$703=F235)*($Z$4:$Z$703=1)*($P$4:$P$703&gt;P235))+SUMPRODUCT(($K$4:$K$703=K235)*($F$4:$F$703=F235)*($Z$4:$Z$703=1)*($P$4:$P$703=P235)*($C$4:$C$703&lt;C235))+SUMPRODUCT(($K$4:$K$703=K235)*($F$4:$F$703=F235)*($Z$4:$Z$703=1)*($P$4:$P$703=P235)*($C$4:$C$703=C235)*($D$4:$D$703&lt;D235)),0)</f>
        <v>0</v>
      </c>
      <c r="AC235" s="11" t="n">
        <f aca="false">IF(AND(Z235=1,AA235&gt;0,AB235&gt;1),P235,0)</f>
        <v>0</v>
      </c>
    </row>
    <row r="236" customFormat="false" ht="15" hidden="false" customHeight="false" outlineLevel="0" collapsed="false">
      <c r="A236" s="4" t="s">
        <v>459</v>
      </c>
      <c r="B236" s="4" t="s">
        <v>90</v>
      </c>
      <c r="C236" s="4" t="n">
        <v>8</v>
      </c>
      <c r="D236" s="4" t="n">
        <v>233</v>
      </c>
      <c r="E236" s="4" t="s">
        <v>112</v>
      </c>
      <c r="F236" s="4" t="n">
        <v>6</v>
      </c>
      <c r="G236" s="4" t="n">
        <v>2</v>
      </c>
      <c r="H236" s="4" t="n">
        <v>86900</v>
      </c>
      <c r="I236" s="13" t="b">
        <f aca="false">FALSE()</f>
        <v>0</v>
      </c>
      <c r="K236" s="4" t="s">
        <v>455</v>
      </c>
      <c r="L236" s="4" t="n">
        <v>39106.95</v>
      </c>
      <c r="M236" s="11" t="n">
        <f aca="false">IFERROR(MATCH(Controls!$B$3&amp;"|"&amp;B236,'Scenario inputs'!$A$4:$A$213,0),0)</f>
        <v>139</v>
      </c>
      <c r="N236" s="8" t="b">
        <f aca="false">IF(M236=0,FALSE(),F236&lt;Controls!$B$12)</f>
        <v>1</v>
      </c>
      <c r="O236" s="11" t="n">
        <f aca="false">IF(N236,IF(INDEX('Scenario inputs'!$E$4:$E$213,M236)=0,1,INDEX('Scenario inputs'!$F$4:$M$213,M236,MIN(MAX(F236-G236,0),INDEX('Scenario inputs'!$E$4:$E$213,M236)-1)+1)),0)</f>
        <v>0.535714</v>
      </c>
      <c r="P236" s="11" t="n">
        <f aca="false">H236*O236</f>
        <v>46553.5466</v>
      </c>
      <c r="Q236" s="0" t="str">
        <f aca="false">IF(M236=0,"",IF(ISNUMBER(INDEX('Scenario inputs'!$N$4:$N$213,M236)),INDEX('Scenario inputs'!$N$4:$N$213,M236),""))</f>
        <v/>
      </c>
      <c r="R236" s="0" t="str">
        <f aca="false">IF(NOT(N236),"",IF(OR(E236="cash",E236="revenue"),E236,IF(E236="avoided_cost",IF(AND(I236,LEN(TRIM(J236))&gt;0),"avoided_cost_realised","avoided_cost_beside"),IF(ISNUMBER(Q236),"capacity_converted","capacity_hours"))))</f>
        <v>cash</v>
      </c>
      <c r="S236" s="11" t="n">
        <f aca="false">IF(OR(R236="",R236="capacity_hours"),0,IF(R236="capacity_converted",P236*Q236,P236))</f>
        <v>46553.5466</v>
      </c>
      <c r="T236" s="11" t="n">
        <f aca="false">IF(OR(R236="cash",R236="revenue",R236="avoided_cost_realised",R236="capacity_converted"),1,0)</f>
        <v>1</v>
      </c>
      <c r="U236" s="11" t="n">
        <f aca="false">IF(AND(N236,R236&lt;&gt;"capacity_hours",LEN(K236)&gt;0),1,0)</f>
        <v>1</v>
      </c>
      <c r="V236" s="11" t="n">
        <f aca="false">IF(U236=1,SUMPRODUCT(($K$4:$K$703=K236)*($F$4:$F$703=F236)*($U$4:$U$703=1)*($B$4:$B$703&lt;&gt;B236)),0)</f>
        <v>0</v>
      </c>
      <c r="W236" s="11" t="n">
        <f aca="false">IF(AND(U236=1,V236&gt;0),1+SUMPRODUCT(($K$4:$K$703=K236)*($F$4:$F$703=F236)*($U$4:$U$703=1)*($S$4:$S$703&gt;S236))+SUMPRODUCT(($K$4:$K$703=K236)*($F$4:$F$703=F236)*($U$4:$U$703=1)*($S$4:$S$703=S236)*($T$4:$T$703&gt;T236))+SUMPRODUCT(($K$4:$K$703=K236)*($F$4:$F$703=F236)*($U$4:$U$703=1)*($S$4:$S$703=S236)*($T$4:$T$703=T236)*($C$4:$C$703&lt;C236))+SUMPRODUCT(($K$4:$K$703=K236)*($F$4:$F$703=F236)*($U$4:$U$703=1)*($S$4:$S$703=S236)*($T$4:$T$703=T236)*($C$4:$C$703=C236)*($D$4:$D$703&lt;D236)),0)</f>
        <v>0</v>
      </c>
      <c r="X236" s="11" t="n">
        <f aca="false">IF(AND(U236=1,V236&gt;0,W236&gt;1),S236,0)</f>
        <v>0</v>
      </c>
      <c r="Y236" s="11" t="n">
        <f aca="false">IF(T236=1,X236/(1+Controls!$B$11)^F236,0)</f>
        <v>0</v>
      </c>
      <c r="Z236" s="11" t="n">
        <f aca="false">IF(AND(N236,E236="capacity",LEN(K236)&gt;0),1,0)</f>
        <v>0</v>
      </c>
      <c r="AA236" s="11" t="n">
        <f aca="false">IF(Z236=1,SUMPRODUCT(($K$4:$K$703=K236)*($F$4:$F$703=F236)*($Z$4:$Z$703=1)*($B$4:$B$703&lt;&gt;B236)),0)</f>
        <v>0</v>
      </c>
      <c r="AB236" s="11" t="n">
        <f aca="false">IF(AND(Z236=1,AA236&gt;0),1+SUMPRODUCT(($K$4:$K$703=K236)*($F$4:$F$703=F236)*($Z$4:$Z$703=1)*($P$4:$P$703&gt;P236))+SUMPRODUCT(($K$4:$K$703=K236)*($F$4:$F$703=F236)*($Z$4:$Z$703=1)*($P$4:$P$703=P236)*($C$4:$C$703&lt;C236))+SUMPRODUCT(($K$4:$K$703=K236)*($F$4:$F$703=F236)*($Z$4:$Z$703=1)*($P$4:$P$703=P236)*($C$4:$C$703=C236)*($D$4:$D$703&lt;D236)),0)</f>
        <v>0</v>
      </c>
      <c r="AC236" s="11" t="n">
        <f aca="false">IF(AND(Z236=1,AA236&gt;0,AB236&gt;1),P236,0)</f>
        <v>0</v>
      </c>
    </row>
    <row r="237" customFormat="false" ht="15" hidden="false" customHeight="false" outlineLevel="0" collapsed="false">
      <c r="A237" s="4" t="s">
        <v>460</v>
      </c>
      <c r="B237" s="4" t="s">
        <v>90</v>
      </c>
      <c r="C237" s="4" t="n">
        <v>8</v>
      </c>
      <c r="D237" s="4" t="n">
        <v>234</v>
      </c>
      <c r="E237" s="4" t="s">
        <v>112</v>
      </c>
      <c r="F237" s="4" t="n">
        <v>7</v>
      </c>
      <c r="G237" s="4" t="n">
        <v>2</v>
      </c>
      <c r="H237" s="4" t="n">
        <v>86900</v>
      </c>
      <c r="I237" s="13" t="b">
        <f aca="false">FALSE()</f>
        <v>0</v>
      </c>
      <c r="K237" s="4" t="s">
        <v>455</v>
      </c>
      <c r="L237" s="4" t="n">
        <v>52140.86</v>
      </c>
      <c r="M237" s="11" t="n">
        <f aca="false">IFERROR(MATCH(Controls!$B$3&amp;"|"&amp;B237,'Scenario inputs'!$A$4:$A$213,0),0)</f>
        <v>139</v>
      </c>
      <c r="N237" s="8" t="b">
        <f aca="false">IF(M237=0,FALSE(),F237&lt;Controls!$B$12)</f>
        <v>1</v>
      </c>
      <c r="O237" s="11" t="n">
        <f aca="false">IF(N237,IF(INDEX('Scenario inputs'!$E$4:$E$213,M237)=0,1,INDEX('Scenario inputs'!$F$4:$M$213,M237,MIN(MAX(F237-G237,0),INDEX('Scenario inputs'!$E$4:$E$213,M237)-1)+1)),0)</f>
        <v>0.75</v>
      </c>
      <c r="P237" s="11" t="n">
        <f aca="false">H237*O237</f>
        <v>65175</v>
      </c>
      <c r="Q237" s="0" t="str">
        <f aca="false">IF(M237=0,"",IF(ISNUMBER(INDEX('Scenario inputs'!$N$4:$N$213,M237)),INDEX('Scenario inputs'!$N$4:$N$213,M237),""))</f>
        <v/>
      </c>
      <c r="R237" s="0" t="str">
        <f aca="false">IF(NOT(N237),"",IF(OR(E237="cash",E237="revenue"),E237,IF(E237="avoided_cost",IF(AND(I237,LEN(TRIM(J237))&gt;0),"avoided_cost_realised","avoided_cost_beside"),IF(ISNUMBER(Q237),"capacity_converted","capacity_hours"))))</f>
        <v>cash</v>
      </c>
      <c r="S237" s="11" t="n">
        <f aca="false">IF(OR(R237="",R237="capacity_hours"),0,IF(R237="capacity_converted",P237*Q237,P237))</f>
        <v>65175</v>
      </c>
      <c r="T237" s="11" t="n">
        <f aca="false">IF(OR(R237="cash",R237="revenue",R237="avoided_cost_realised",R237="capacity_converted"),1,0)</f>
        <v>1</v>
      </c>
      <c r="U237" s="11" t="n">
        <f aca="false">IF(AND(N237,R237&lt;&gt;"capacity_hours",LEN(K237)&gt;0),1,0)</f>
        <v>1</v>
      </c>
      <c r="V237" s="11" t="n">
        <f aca="false">IF(U237=1,SUMPRODUCT(($K$4:$K$703=K237)*($F$4:$F$703=F237)*($U$4:$U$703=1)*($B$4:$B$703&lt;&gt;B237)),0)</f>
        <v>0</v>
      </c>
      <c r="W237" s="11" t="n">
        <f aca="false">IF(AND(U237=1,V237&gt;0),1+SUMPRODUCT(($K$4:$K$703=K237)*($F$4:$F$703=F237)*($U$4:$U$703=1)*($S$4:$S$703&gt;S237))+SUMPRODUCT(($K$4:$K$703=K237)*($F$4:$F$703=F237)*($U$4:$U$703=1)*($S$4:$S$703=S237)*($T$4:$T$703&gt;T237))+SUMPRODUCT(($K$4:$K$703=K237)*($F$4:$F$703=F237)*($U$4:$U$703=1)*($S$4:$S$703=S237)*($T$4:$T$703=T237)*($C$4:$C$703&lt;C237))+SUMPRODUCT(($K$4:$K$703=K237)*($F$4:$F$703=F237)*($U$4:$U$703=1)*($S$4:$S$703=S237)*($T$4:$T$703=T237)*($C$4:$C$703=C237)*($D$4:$D$703&lt;D237)),0)</f>
        <v>0</v>
      </c>
      <c r="X237" s="11" t="n">
        <f aca="false">IF(AND(U237=1,V237&gt;0,W237&gt;1),S237,0)</f>
        <v>0</v>
      </c>
      <c r="Y237" s="11" t="n">
        <f aca="false">IF(T237=1,X237/(1+Controls!$B$11)^F237,0)</f>
        <v>0</v>
      </c>
      <c r="Z237" s="11" t="n">
        <f aca="false">IF(AND(N237,E237="capacity",LEN(K237)&gt;0),1,0)</f>
        <v>0</v>
      </c>
      <c r="AA237" s="11" t="n">
        <f aca="false">IF(Z237=1,SUMPRODUCT(($K$4:$K$703=K237)*($F$4:$F$703=F237)*($Z$4:$Z$703=1)*($B$4:$B$703&lt;&gt;B237)),0)</f>
        <v>0</v>
      </c>
      <c r="AB237" s="11" t="n">
        <f aca="false">IF(AND(Z237=1,AA237&gt;0),1+SUMPRODUCT(($K$4:$K$703=K237)*($F$4:$F$703=F237)*($Z$4:$Z$703=1)*($P$4:$P$703&gt;P237))+SUMPRODUCT(($K$4:$K$703=K237)*($F$4:$F$703=F237)*($Z$4:$Z$703=1)*($P$4:$P$703=P237)*($C$4:$C$703&lt;C237))+SUMPRODUCT(($K$4:$K$703=K237)*($F$4:$F$703=F237)*($Z$4:$Z$703=1)*($P$4:$P$703=P237)*($C$4:$C$703=C237)*($D$4:$D$703&lt;D237)),0)</f>
        <v>0</v>
      </c>
      <c r="AC237" s="11" t="n">
        <f aca="false">IF(AND(Z237=1,AA237&gt;0,AB237&gt;1),P237,0)</f>
        <v>0</v>
      </c>
    </row>
    <row r="238" customFormat="false" ht="15" hidden="false" customHeight="false" outlineLevel="0" collapsed="false">
      <c r="A238" s="4" t="s">
        <v>461</v>
      </c>
      <c r="B238" s="4" t="s">
        <v>90</v>
      </c>
      <c r="C238" s="4" t="n">
        <v>8</v>
      </c>
      <c r="D238" s="4" t="n">
        <v>235</v>
      </c>
      <c r="E238" s="4" t="s">
        <v>112</v>
      </c>
      <c r="F238" s="4" t="n">
        <v>8</v>
      </c>
      <c r="G238" s="4" t="n">
        <v>2</v>
      </c>
      <c r="H238" s="4" t="n">
        <v>86900</v>
      </c>
      <c r="I238" s="13" t="b">
        <f aca="false">FALSE()</f>
        <v>0</v>
      </c>
      <c r="K238" s="4" t="s">
        <v>455</v>
      </c>
      <c r="L238" s="4" t="n">
        <v>66676.61</v>
      </c>
      <c r="M238" s="11" t="n">
        <f aca="false">IFERROR(MATCH(Controls!$B$3&amp;"|"&amp;B238,'Scenario inputs'!$A$4:$A$213,0),0)</f>
        <v>139</v>
      </c>
      <c r="N238" s="8" t="b">
        <f aca="false">IF(M238=0,FALSE(),F238&lt;Controls!$B$12)</f>
        <v>1</v>
      </c>
      <c r="O238" s="11" t="n">
        <f aca="false">IF(N238,IF(INDEX('Scenario inputs'!$E$4:$E$213,M238)=0,1,INDEX('Scenario inputs'!$F$4:$M$213,M238,MIN(MAX(F238-G238,0),INDEX('Scenario inputs'!$E$4:$E$213,M238)-1)+1)),0)</f>
        <v>1</v>
      </c>
      <c r="P238" s="11" t="n">
        <f aca="false">H238*O238</f>
        <v>86900</v>
      </c>
      <c r="Q238" s="0" t="str">
        <f aca="false">IF(M238=0,"",IF(ISNUMBER(INDEX('Scenario inputs'!$N$4:$N$213,M238)),INDEX('Scenario inputs'!$N$4:$N$213,M238),""))</f>
        <v/>
      </c>
      <c r="R238" s="0" t="str">
        <f aca="false">IF(NOT(N238),"",IF(OR(E238="cash",E238="revenue"),E238,IF(E238="avoided_cost",IF(AND(I238,LEN(TRIM(J238))&gt;0),"avoided_cost_realised","avoided_cost_beside"),IF(ISNUMBER(Q238),"capacity_converted","capacity_hours"))))</f>
        <v>cash</v>
      </c>
      <c r="S238" s="11" t="n">
        <f aca="false">IF(OR(R238="",R238="capacity_hours"),0,IF(R238="capacity_converted",P238*Q238,P238))</f>
        <v>86900</v>
      </c>
      <c r="T238" s="11" t="n">
        <f aca="false">IF(OR(R238="cash",R238="revenue",R238="avoided_cost_realised",R238="capacity_converted"),1,0)</f>
        <v>1</v>
      </c>
      <c r="U238" s="11" t="n">
        <f aca="false">IF(AND(N238,R238&lt;&gt;"capacity_hours",LEN(K238)&gt;0),1,0)</f>
        <v>1</v>
      </c>
      <c r="V238" s="11" t="n">
        <f aca="false">IF(U238=1,SUMPRODUCT(($K$4:$K$703=K238)*($F$4:$F$703=F238)*($U$4:$U$703=1)*($B$4:$B$703&lt;&gt;B238)),0)</f>
        <v>0</v>
      </c>
      <c r="W238" s="11" t="n">
        <f aca="false">IF(AND(U238=1,V238&gt;0),1+SUMPRODUCT(($K$4:$K$703=K238)*($F$4:$F$703=F238)*($U$4:$U$703=1)*($S$4:$S$703&gt;S238))+SUMPRODUCT(($K$4:$K$703=K238)*($F$4:$F$703=F238)*($U$4:$U$703=1)*($S$4:$S$703=S238)*($T$4:$T$703&gt;T238))+SUMPRODUCT(($K$4:$K$703=K238)*($F$4:$F$703=F238)*($U$4:$U$703=1)*($S$4:$S$703=S238)*($T$4:$T$703=T238)*($C$4:$C$703&lt;C238))+SUMPRODUCT(($K$4:$K$703=K238)*($F$4:$F$703=F238)*($U$4:$U$703=1)*($S$4:$S$703=S238)*($T$4:$T$703=T238)*($C$4:$C$703=C238)*($D$4:$D$703&lt;D238)),0)</f>
        <v>0</v>
      </c>
      <c r="X238" s="11" t="n">
        <f aca="false">IF(AND(U238=1,V238&gt;0,W238&gt;1),S238,0)</f>
        <v>0</v>
      </c>
      <c r="Y238" s="11" t="n">
        <f aca="false">IF(T238=1,X238/(1+Controls!$B$11)^F238,0)</f>
        <v>0</v>
      </c>
      <c r="Z238" s="11" t="n">
        <f aca="false">IF(AND(N238,E238="capacity",LEN(K238)&gt;0),1,0)</f>
        <v>0</v>
      </c>
      <c r="AA238" s="11" t="n">
        <f aca="false">IF(Z238=1,SUMPRODUCT(($K$4:$K$703=K238)*($F$4:$F$703=F238)*($Z$4:$Z$703=1)*($B$4:$B$703&lt;&gt;B238)),0)</f>
        <v>0</v>
      </c>
      <c r="AB238" s="11" t="n">
        <f aca="false">IF(AND(Z238=1,AA238&gt;0),1+SUMPRODUCT(($K$4:$K$703=K238)*($F$4:$F$703=F238)*($Z$4:$Z$703=1)*($P$4:$P$703&gt;P238))+SUMPRODUCT(($K$4:$K$703=K238)*($F$4:$F$703=F238)*($Z$4:$Z$703=1)*($P$4:$P$703=P238)*($C$4:$C$703&lt;C238))+SUMPRODUCT(($K$4:$K$703=K238)*($F$4:$F$703=F238)*($Z$4:$Z$703=1)*($P$4:$P$703=P238)*($C$4:$C$703=C238)*($D$4:$D$703&lt;D238)),0)</f>
        <v>0</v>
      </c>
      <c r="AC238" s="11" t="n">
        <f aca="false">IF(AND(Z238=1,AA238&gt;0,AB238&gt;1),P238,0)</f>
        <v>0</v>
      </c>
    </row>
    <row r="239" customFormat="false" ht="15" hidden="false" customHeight="false" outlineLevel="0" collapsed="false">
      <c r="A239" s="4" t="s">
        <v>462</v>
      </c>
      <c r="B239" s="4" t="s">
        <v>90</v>
      </c>
      <c r="C239" s="4" t="n">
        <v>8</v>
      </c>
      <c r="D239" s="4" t="n">
        <v>236</v>
      </c>
      <c r="E239" s="4" t="s">
        <v>112</v>
      </c>
      <c r="F239" s="4" t="n">
        <v>9</v>
      </c>
      <c r="G239" s="4" t="n">
        <v>2</v>
      </c>
      <c r="H239" s="4" t="n">
        <v>86900</v>
      </c>
      <c r="I239" s="13" t="b">
        <f aca="false">FALSE()</f>
        <v>0</v>
      </c>
      <c r="K239" s="4" t="s">
        <v>455</v>
      </c>
      <c r="L239" s="4" t="n">
        <v>4649.15</v>
      </c>
      <c r="M239" s="11" t="n">
        <f aca="false">IFERROR(MATCH(Controls!$B$3&amp;"|"&amp;B239,'Scenario inputs'!$A$4:$A$213,0),0)</f>
        <v>139</v>
      </c>
      <c r="N239" s="8" t="b">
        <f aca="false">IF(M239=0,FALSE(),F239&lt;Controls!$B$12)</f>
        <v>1</v>
      </c>
      <c r="O239" s="11" t="n">
        <f aca="false">IF(N239,IF(INDEX('Scenario inputs'!$E$4:$E$213,M239)=0,1,INDEX('Scenario inputs'!$F$4:$M$213,M239,MIN(MAX(F239-G239,0),INDEX('Scenario inputs'!$E$4:$E$213,M239)-1)+1)),0)</f>
        <v>1</v>
      </c>
      <c r="P239" s="11" t="n">
        <f aca="false">H239*O239</f>
        <v>86900</v>
      </c>
      <c r="Q239" s="0" t="str">
        <f aca="false">IF(M239=0,"",IF(ISNUMBER(INDEX('Scenario inputs'!$N$4:$N$213,M239)),INDEX('Scenario inputs'!$N$4:$N$213,M239),""))</f>
        <v/>
      </c>
      <c r="R239" s="0" t="str">
        <f aca="false">IF(NOT(N239),"",IF(OR(E239="cash",E239="revenue"),E239,IF(E239="avoided_cost",IF(AND(I239,LEN(TRIM(J239))&gt;0),"avoided_cost_realised","avoided_cost_beside"),IF(ISNUMBER(Q239),"capacity_converted","capacity_hours"))))</f>
        <v>cash</v>
      </c>
      <c r="S239" s="11" t="n">
        <f aca="false">IF(OR(R239="",R239="capacity_hours"),0,IF(R239="capacity_converted",P239*Q239,P239))</f>
        <v>86900</v>
      </c>
      <c r="T239" s="11" t="n">
        <f aca="false">IF(OR(R239="cash",R239="revenue",R239="avoided_cost_realised",R239="capacity_converted"),1,0)</f>
        <v>1</v>
      </c>
      <c r="U239" s="11" t="n">
        <f aca="false">IF(AND(N239,R239&lt;&gt;"capacity_hours",LEN(K239)&gt;0),1,0)</f>
        <v>1</v>
      </c>
      <c r="V239" s="11" t="n">
        <f aca="false">IF(U239=1,SUMPRODUCT(($K$4:$K$703=K239)*($F$4:$F$703=F239)*($U$4:$U$703=1)*($B$4:$B$703&lt;&gt;B239)),0)</f>
        <v>0</v>
      </c>
      <c r="W239" s="11" t="n">
        <f aca="false">IF(AND(U239=1,V239&gt;0),1+SUMPRODUCT(($K$4:$K$703=K239)*($F$4:$F$703=F239)*($U$4:$U$703=1)*($S$4:$S$703&gt;S239))+SUMPRODUCT(($K$4:$K$703=K239)*($F$4:$F$703=F239)*($U$4:$U$703=1)*($S$4:$S$703=S239)*($T$4:$T$703&gt;T239))+SUMPRODUCT(($K$4:$K$703=K239)*($F$4:$F$703=F239)*($U$4:$U$703=1)*($S$4:$S$703=S239)*($T$4:$T$703=T239)*($C$4:$C$703&lt;C239))+SUMPRODUCT(($K$4:$K$703=K239)*($F$4:$F$703=F239)*($U$4:$U$703=1)*($S$4:$S$703=S239)*($T$4:$T$703=T239)*($C$4:$C$703=C239)*($D$4:$D$703&lt;D239)),0)</f>
        <v>0</v>
      </c>
      <c r="X239" s="11" t="n">
        <f aca="false">IF(AND(U239=1,V239&gt;0,W239&gt;1),S239,0)</f>
        <v>0</v>
      </c>
      <c r="Y239" s="11" t="n">
        <f aca="false">IF(T239=1,X239/(1+Controls!$B$11)^F239,0)</f>
        <v>0</v>
      </c>
      <c r="Z239" s="11" t="n">
        <f aca="false">IF(AND(N239,E239="capacity",LEN(K239)&gt;0),1,0)</f>
        <v>0</v>
      </c>
      <c r="AA239" s="11" t="n">
        <f aca="false">IF(Z239=1,SUMPRODUCT(($K$4:$K$703=K239)*($F$4:$F$703=F239)*($Z$4:$Z$703=1)*($B$4:$B$703&lt;&gt;B239)),0)</f>
        <v>0</v>
      </c>
      <c r="AB239" s="11" t="n">
        <f aca="false">IF(AND(Z239=1,AA239&gt;0),1+SUMPRODUCT(($K$4:$K$703=K239)*($F$4:$F$703=F239)*($Z$4:$Z$703=1)*($P$4:$P$703&gt;P239))+SUMPRODUCT(($K$4:$K$703=K239)*($F$4:$F$703=F239)*($Z$4:$Z$703=1)*($P$4:$P$703=P239)*($C$4:$C$703&lt;C239))+SUMPRODUCT(($K$4:$K$703=K239)*($F$4:$F$703=F239)*($Z$4:$Z$703=1)*($P$4:$P$703=P239)*($C$4:$C$703=C239)*($D$4:$D$703&lt;D239)),0)</f>
        <v>0</v>
      </c>
      <c r="AC239" s="11" t="n">
        <f aca="false">IF(AND(Z239=1,AA239&gt;0,AB239&gt;1),P239,0)</f>
        <v>0</v>
      </c>
    </row>
    <row r="240" customFormat="false" ht="15" hidden="false" customHeight="false" outlineLevel="0" collapsed="false">
      <c r="A240" s="4" t="s">
        <v>463</v>
      </c>
      <c r="B240" s="4" t="s">
        <v>90</v>
      </c>
      <c r="C240" s="4" t="n">
        <v>8</v>
      </c>
      <c r="D240" s="4" t="n">
        <v>237</v>
      </c>
      <c r="E240" s="4" t="s">
        <v>112</v>
      </c>
      <c r="F240" s="4" t="n">
        <v>10</v>
      </c>
      <c r="G240" s="4" t="n">
        <v>2</v>
      </c>
      <c r="H240" s="4" t="n">
        <v>86900</v>
      </c>
      <c r="I240" s="13" t="b">
        <f aca="false">FALSE()</f>
        <v>0</v>
      </c>
      <c r="K240" s="4" t="s">
        <v>455</v>
      </c>
      <c r="L240" s="4" t="n">
        <v>4649.15</v>
      </c>
      <c r="M240" s="11" t="n">
        <f aca="false">IFERROR(MATCH(Controls!$B$3&amp;"|"&amp;B240,'Scenario inputs'!$A$4:$A$213,0),0)</f>
        <v>139</v>
      </c>
      <c r="N240" s="8" t="b">
        <f aca="false">IF(M240=0,FALSE(),F240&lt;Controls!$B$12)</f>
        <v>1</v>
      </c>
      <c r="O240" s="11" t="n">
        <f aca="false">IF(N240,IF(INDEX('Scenario inputs'!$E$4:$E$213,M240)=0,1,INDEX('Scenario inputs'!$F$4:$M$213,M240,MIN(MAX(F240-G240,0),INDEX('Scenario inputs'!$E$4:$E$213,M240)-1)+1)),0)</f>
        <v>1</v>
      </c>
      <c r="P240" s="11" t="n">
        <f aca="false">H240*O240</f>
        <v>86900</v>
      </c>
      <c r="Q240" s="0" t="str">
        <f aca="false">IF(M240=0,"",IF(ISNUMBER(INDEX('Scenario inputs'!$N$4:$N$213,M240)),INDEX('Scenario inputs'!$N$4:$N$213,M240),""))</f>
        <v/>
      </c>
      <c r="R240" s="0" t="str">
        <f aca="false">IF(NOT(N240),"",IF(OR(E240="cash",E240="revenue"),E240,IF(E240="avoided_cost",IF(AND(I240,LEN(TRIM(J240))&gt;0),"avoided_cost_realised","avoided_cost_beside"),IF(ISNUMBER(Q240),"capacity_converted","capacity_hours"))))</f>
        <v>cash</v>
      </c>
      <c r="S240" s="11" t="n">
        <f aca="false">IF(OR(R240="",R240="capacity_hours"),0,IF(R240="capacity_converted",P240*Q240,P240))</f>
        <v>86900</v>
      </c>
      <c r="T240" s="11" t="n">
        <f aca="false">IF(OR(R240="cash",R240="revenue",R240="avoided_cost_realised",R240="capacity_converted"),1,0)</f>
        <v>1</v>
      </c>
      <c r="U240" s="11" t="n">
        <f aca="false">IF(AND(N240,R240&lt;&gt;"capacity_hours",LEN(K240)&gt;0),1,0)</f>
        <v>1</v>
      </c>
      <c r="V240" s="11" t="n">
        <f aca="false">IF(U240=1,SUMPRODUCT(($K$4:$K$703=K240)*($F$4:$F$703=F240)*($U$4:$U$703=1)*($B$4:$B$703&lt;&gt;B240)),0)</f>
        <v>0</v>
      </c>
      <c r="W240" s="11" t="n">
        <f aca="false">IF(AND(U240=1,V240&gt;0),1+SUMPRODUCT(($K$4:$K$703=K240)*($F$4:$F$703=F240)*($U$4:$U$703=1)*($S$4:$S$703&gt;S240))+SUMPRODUCT(($K$4:$K$703=K240)*($F$4:$F$703=F240)*($U$4:$U$703=1)*($S$4:$S$703=S240)*($T$4:$T$703&gt;T240))+SUMPRODUCT(($K$4:$K$703=K240)*($F$4:$F$703=F240)*($U$4:$U$703=1)*($S$4:$S$703=S240)*($T$4:$T$703=T240)*($C$4:$C$703&lt;C240))+SUMPRODUCT(($K$4:$K$703=K240)*($F$4:$F$703=F240)*($U$4:$U$703=1)*($S$4:$S$703=S240)*($T$4:$T$703=T240)*($C$4:$C$703=C240)*($D$4:$D$703&lt;D240)),0)</f>
        <v>0</v>
      </c>
      <c r="X240" s="11" t="n">
        <f aca="false">IF(AND(U240=1,V240&gt;0,W240&gt;1),S240,0)</f>
        <v>0</v>
      </c>
      <c r="Y240" s="11" t="n">
        <f aca="false">IF(T240=1,X240/(1+Controls!$B$11)^F240,0)</f>
        <v>0</v>
      </c>
      <c r="Z240" s="11" t="n">
        <f aca="false">IF(AND(N240,E240="capacity",LEN(K240)&gt;0),1,0)</f>
        <v>0</v>
      </c>
      <c r="AA240" s="11" t="n">
        <f aca="false">IF(Z240=1,SUMPRODUCT(($K$4:$K$703=K240)*($F$4:$F$703=F240)*($Z$4:$Z$703=1)*($B$4:$B$703&lt;&gt;B240)),0)</f>
        <v>0</v>
      </c>
      <c r="AB240" s="11" t="n">
        <f aca="false">IF(AND(Z240=1,AA240&gt;0),1+SUMPRODUCT(($K$4:$K$703=K240)*($F$4:$F$703=F240)*($Z$4:$Z$703=1)*($P$4:$P$703&gt;P240))+SUMPRODUCT(($K$4:$K$703=K240)*($F$4:$F$703=F240)*($Z$4:$Z$703=1)*($P$4:$P$703=P240)*($C$4:$C$703&lt;C240))+SUMPRODUCT(($K$4:$K$703=K240)*($F$4:$F$703=F240)*($Z$4:$Z$703=1)*($P$4:$P$703=P240)*($C$4:$C$703=C240)*($D$4:$D$703&lt;D240)),0)</f>
        <v>0</v>
      </c>
      <c r="AC240" s="11" t="n">
        <f aca="false">IF(AND(Z240=1,AA240&gt;0,AB240&gt;1),P240,0)</f>
        <v>0</v>
      </c>
    </row>
    <row r="241" customFormat="false" ht="15" hidden="false" customHeight="false" outlineLevel="0" collapsed="false">
      <c r="A241" s="4" t="s">
        <v>464</v>
      </c>
      <c r="B241" s="4" t="s">
        <v>90</v>
      </c>
      <c r="C241" s="4" t="n">
        <v>8</v>
      </c>
      <c r="D241" s="4" t="n">
        <v>238</v>
      </c>
      <c r="E241" s="4" t="s">
        <v>112</v>
      </c>
      <c r="F241" s="4" t="n">
        <v>11</v>
      </c>
      <c r="G241" s="4" t="n">
        <v>2</v>
      </c>
      <c r="H241" s="4" t="n">
        <v>86900</v>
      </c>
      <c r="I241" s="13" t="b">
        <f aca="false">FALSE()</f>
        <v>0</v>
      </c>
      <c r="K241" s="4" t="s">
        <v>455</v>
      </c>
      <c r="L241" s="4" t="n">
        <v>4649.15</v>
      </c>
      <c r="M241" s="11" t="n">
        <f aca="false">IFERROR(MATCH(Controls!$B$3&amp;"|"&amp;B241,'Scenario inputs'!$A$4:$A$213,0),0)</f>
        <v>139</v>
      </c>
      <c r="N241" s="8" t="b">
        <f aca="false">IF(M241=0,FALSE(),F241&lt;Controls!$B$12)</f>
        <v>1</v>
      </c>
      <c r="O241" s="11" t="n">
        <f aca="false">IF(N241,IF(INDEX('Scenario inputs'!$E$4:$E$213,M241)=0,1,INDEX('Scenario inputs'!$F$4:$M$213,M241,MIN(MAX(F241-G241,0),INDEX('Scenario inputs'!$E$4:$E$213,M241)-1)+1)),0)</f>
        <v>1</v>
      </c>
      <c r="P241" s="11" t="n">
        <f aca="false">H241*O241</f>
        <v>86900</v>
      </c>
      <c r="Q241" s="0" t="str">
        <f aca="false">IF(M241=0,"",IF(ISNUMBER(INDEX('Scenario inputs'!$N$4:$N$213,M241)),INDEX('Scenario inputs'!$N$4:$N$213,M241),""))</f>
        <v/>
      </c>
      <c r="R241" s="0" t="str">
        <f aca="false">IF(NOT(N241),"",IF(OR(E241="cash",E241="revenue"),E241,IF(E241="avoided_cost",IF(AND(I241,LEN(TRIM(J241))&gt;0),"avoided_cost_realised","avoided_cost_beside"),IF(ISNUMBER(Q241),"capacity_converted","capacity_hours"))))</f>
        <v>cash</v>
      </c>
      <c r="S241" s="11" t="n">
        <f aca="false">IF(OR(R241="",R241="capacity_hours"),0,IF(R241="capacity_converted",P241*Q241,P241))</f>
        <v>86900</v>
      </c>
      <c r="T241" s="11" t="n">
        <f aca="false">IF(OR(R241="cash",R241="revenue",R241="avoided_cost_realised",R241="capacity_converted"),1,0)</f>
        <v>1</v>
      </c>
      <c r="U241" s="11" t="n">
        <f aca="false">IF(AND(N241,R241&lt;&gt;"capacity_hours",LEN(K241)&gt;0),1,0)</f>
        <v>1</v>
      </c>
      <c r="V241" s="11" t="n">
        <f aca="false">IF(U241=1,SUMPRODUCT(($K$4:$K$703=K241)*($F$4:$F$703=F241)*($U$4:$U$703=1)*($B$4:$B$703&lt;&gt;B241)),0)</f>
        <v>0</v>
      </c>
      <c r="W241" s="11" t="n">
        <f aca="false">IF(AND(U241=1,V241&gt;0),1+SUMPRODUCT(($K$4:$K$703=K241)*($F$4:$F$703=F241)*($U$4:$U$703=1)*($S$4:$S$703&gt;S241))+SUMPRODUCT(($K$4:$K$703=K241)*($F$4:$F$703=F241)*($U$4:$U$703=1)*($S$4:$S$703=S241)*($T$4:$T$703&gt;T241))+SUMPRODUCT(($K$4:$K$703=K241)*($F$4:$F$703=F241)*($U$4:$U$703=1)*($S$4:$S$703=S241)*($T$4:$T$703=T241)*($C$4:$C$703&lt;C241))+SUMPRODUCT(($K$4:$K$703=K241)*($F$4:$F$703=F241)*($U$4:$U$703=1)*($S$4:$S$703=S241)*($T$4:$T$703=T241)*($C$4:$C$703=C241)*($D$4:$D$703&lt;D241)),0)</f>
        <v>0</v>
      </c>
      <c r="X241" s="11" t="n">
        <f aca="false">IF(AND(U241=1,V241&gt;0,W241&gt;1),S241,0)</f>
        <v>0</v>
      </c>
      <c r="Y241" s="11" t="n">
        <f aca="false">IF(T241=1,X241/(1+Controls!$B$11)^F241,0)</f>
        <v>0</v>
      </c>
      <c r="Z241" s="11" t="n">
        <f aca="false">IF(AND(N241,E241="capacity",LEN(K241)&gt;0),1,0)</f>
        <v>0</v>
      </c>
      <c r="AA241" s="11" t="n">
        <f aca="false">IF(Z241=1,SUMPRODUCT(($K$4:$K$703=K241)*($F$4:$F$703=F241)*($Z$4:$Z$703=1)*($B$4:$B$703&lt;&gt;B241)),0)</f>
        <v>0</v>
      </c>
      <c r="AB241" s="11" t="n">
        <f aca="false">IF(AND(Z241=1,AA241&gt;0),1+SUMPRODUCT(($K$4:$K$703=K241)*($F$4:$F$703=F241)*($Z$4:$Z$703=1)*($P$4:$P$703&gt;P241))+SUMPRODUCT(($K$4:$K$703=K241)*($F$4:$F$703=F241)*($Z$4:$Z$703=1)*($P$4:$P$703=P241)*($C$4:$C$703&lt;C241))+SUMPRODUCT(($K$4:$K$703=K241)*($F$4:$F$703=F241)*($Z$4:$Z$703=1)*($P$4:$P$703=P241)*($C$4:$C$703=C241)*($D$4:$D$703&lt;D241)),0)</f>
        <v>0</v>
      </c>
      <c r="AC241" s="11" t="n">
        <f aca="false">IF(AND(Z241=1,AA241&gt;0,AB241&gt;1),P241,0)</f>
        <v>0</v>
      </c>
    </row>
    <row r="242" customFormat="false" ht="15" hidden="false" customHeight="false" outlineLevel="0" collapsed="false">
      <c r="A242" s="4" t="s">
        <v>465</v>
      </c>
      <c r="B242" s="4" t="s">
        <v>90</v>
      </c>
      <c r="C242" s="4" t="n">
        <v>8</v>
      </c>
      <c r="D242" s="4" t="n">
        <v>239</v>
      </c>
      <c r="E242" s="4" t="s">
        <v>112</v>
      </c>
      <c r="F242" s="4" t="n">
        <v>12</v>
      </c>
      <c r="G242" s="4" t="n">
        <v>2</v>
      </c>
      <c r="H242" s="4" t="n">
        <v>86900</v>
      </c>
      <c r="I242" s="13" t="b">
        <f aca="false">FALSE()</f>
        <v>0</v>
      </c>
      <c r="K242" s="4" t="s">
        <v>455</v>
      </c>
      <c r="L242" s="4" t="n">
        <v>4649.15</v>
      </c>
      <c r="M242" s="11" t="n">
        <f aca="false">IFERROR(MATCH(Controls!$B$3&amp;"|"&amp;B242,'Scenario inputs'!$A$4:$A$213,0),0)</f>
        <v>139</v>
      </c>
      <c r="N242" s="8" t="b">
        <f aca="false">IF(M242=0,FALSE(),F242&lt;Controls!$B$12)</f>
        <v>1</v>
      </c>
      <c r="O242" s="11" t="n">
        <f aca="false">IF(N242,IF(INDEX('Scenario inputs'!$E$4:$E$213,M242)=0,1,INDEX('Scenario inputs'!$F$4:$M$213,M242,MIN(MAX(F242-G242,0),INDEX('Scenario inputs'!$E$4:$E$213,M242)-1)+1)),0)</f>
        <v>1</v>
      </c>
      <c r="P242" s="11" t="n">
        <f aca="false">H242*O242</f>
        <v>86900</v>
      </c>
      <c r="Q242" s="0" t="str">
        <f aca="false">IF(M242=0,"",IF(ISNUMBER(INDEX('Scenario inputs'!$N$4:$N$213,M242)),INDEX('Scenario inputs'!$N$4:$N$213,M242),""))</f>
        <v/>
      </c>
      <c r="R242" s="0" t="str">
        <f aca="false">IF(NOT(N242),"",IF(OR(E242="cash",E242="revenue"),E242,IF(E242="avoided_cost",IF(AND(I242,LEN(TRIM(J242))&gt;0),"avoided_cost_realised","avoided_cost_beside"),IF(ISNUMBER(Q242),"capacity_converted","capacity_hours"))))</f>
        <v>cash</v>
      </c>
      <c r="S242" s="11" t="n">
        <f aca="false">IF(OR(R242="",R242="capacity_hours"),0,IF(R242="capacity_converted",P242*Q242,P242))</f>
        <v>86900</v>
      </c>
      <c r="T242" s="11" t="n">
        <f aca="false">IF(OR(R242="cash",R242="revenue",R242="avoided_cost_realised",R242="capacity_converted"),1,0)</f>
        <v>1</v>
      </c>
      <c r="U242" s="11" t="n">
        <f aca="false">IF(AND(N242,R242&lt;&gt;"capacity_hours",LEN(K242)&gt;0),1,0)</f>
        <v>1</v>
      </c>
      <c r="V242" s="11" t="n">
        <f aca="false">IF(U242=1,SUMPRODUCT(($K$4:$K$703=K242)*($F$4:$F$703=F242)*($U$4:$U$703=1)*($B$4:$B$703&lt;&gt;B242)),0)</f>
        <v>0</v>
      </c>
      <c r="W242" s="11" t="n">
        <f aca="false">IF(AND(U242=1,V242&gt;0),1+SUMPRODUCT(($K$4:$K$703=K242)*($F$4:$F$703=F242)*($U$4:$U$703=1)*($S$4:$S$703&gt;S242))+SUMPRODUCT(($K$4:$K$703=K242)*($F$4:$F$703=F242)*($U$4:$U$703=1)*($S$4:$S$703=S242)*($T$4:$T$703&gt;T242))+SUMPRODUCT(($K$4:$K$703=K242)*($F$4:$F$703=F242)*($U$4:$U$703=1)*($S$4:$S$703=S242)*($T$4:$T$703=T242)*($C$4:$C$703&lt;C242))+SUMPRODUCT(($K$4:$K$703=K242)*($F$4:$F$703=F242)*($U$4:$U$703=1)*($S$4:$S$703=S242)*($T$4:$T$703=T242)*($C$4:$C$703=C242)*($D$4:$D$703&lt;D242)),0)</f>
        <v>0</v>
      </c>
      <c r="X242" s="11" t="n">
        <f aca="false">IF(AND(U242=1,V242&gt;0,W242&gt;1),S242,0)</f>
        <v>0</v>
      </c>
      <c r="Y242" s="11" t="n">
        <f aca="false">IF(T242=1,X242/(1+Controls!$B$11)^F242,0)</f>
        <v>0</v>
      </c>
      <c r="Z242" s="11" t="n">
        <f aca="false">IF(AND(N242,E242="capacity",LEN(K242)&gt;0),1,0)</f>
        <v>0</v>
      </c>
      <c r="AA242" s="11" t="n">
        <f aca="false">IF(Z242=1,SUMPRODUCT(($K$4:$K$703=K242)*($F$4:$F$703=F242)*($Z$4:$Z$703=1)*($B$4:$B$703&lt;&gt;B242)),0)</f>
        <v>0</v>
      </c>
      <c r="AB242" s="11" t="n">
        <f aca="false">IF(AND(Z242=1,AA242&gt;0),1+SUMPRODUCT(($K$4:$K$703=K242)*($F$4:$F$703=F242)*($Z$4:$Z$703=1)*($P$4:$P$703&gt;P242))+SUMPRODUCT(($K$4:$K$703=K242)*($F$4:$F$703=F242)*($Z$4:$Z$703=1)*($P$4:$P$703=P242)*($C$4:$C$703&lt;C242))+SUMPRODUCT(($K$4:$K$703=K242)*($F$4:$F$703=F242)*($Z$4:$Z$703=1)*($P$4:$P$703=P242)*($C$4:$C$703=C242)*($D$4:$D$703&lt;D242)),0)</f>
        <v>0</v>
      </c>
      <c r="AC242" s="11" t="n">
        <f aca="false">IF(AND(Z242=1,AA242&gt;0,AB242&gt;1),P242,0)</f>
        <v>0</v>
      </c>
    </row>
    <row r="243" customFormat="false" ht="15" hidden="false" customHeight="false" outlineLevel="0" collapsed="false">
      <c r="A243" s="4" t="s">
        <v>466</v>
      </c>
      <c r="B243" s="4" t="s">
        <v>90</v>
      </c>
      <c r="C243" s="4" t="n">
        <v>8</v>
      </c>
      <c r="D243" s="4" t="n">
        <v>240</v>
      </c>
      <c r="E243" s="4" t="s">
        <v>112</v>
      </c>
      <c r="F243" s="4" t="n">
        <v>13</v>
      </c>
      <c r="G243" s="4" t="n">
        <v>2</v>
      </c>
      <c r="H243" s="4" t="n">
        <v>86900</v>
      </c>
      <c r="I243" s="13" t="b">
        <f aca="false">FALSE()</f>
        <v>0</v>
      </c>
      <c r="K243" s="4" t="s">
        <v>455</v>
      </c>
      <c r="L243" s="4" t="n">
        <v>4649.15</v>
      </c>
      <c r="M243" s="11" t="n">
        <f aca="false">IFERROR(MATCH(Controls!$B$3&amp;"|"&amp;B243,'Scenario inputs'!$A$4:$A$213,0),0)</f>
        <v>139</v>
      </c>
      <c r="N243" s="8" t="b">
        <f aca="false">IF(M243=0,FALSE(),F243&lt;Controls!$B$12)</f>
        <v>1</v>
      </c>
      <c r="O243" s="11" t="n">
        <f aca="false">IF(N243,IF(INDEX('Scenario inputs'!$E$4:$E$213,M243)=0,1,INDEX('Scenario inputs'!$F$4:$M$213,M243,MIN(MAX(F243-G243,0),INDEX('Scenario inputs'!$E$4:$E$213,M243)-1)+1)),0)</f>
        <v>1</v>
      </c>
      <c r="P243" s="11" t="n">
        <f aca="false">H243*O243</f>
        <v>86900</v>
      </c>
      <c r="Q243" s="0" t="str">
        <f aca="false">IF(M243=0,"",IF(ISNUMBER(INDEX('Scenario inputs'!$N$4:$N$213,M243)),INDEX('Scenario inputs'!$N$4:$N$213,M243),""))</f>
        <v/>
      </c>
      <c r="R243" s="0" t="str">
        <f aca="false">IF(NOT(N243),"",IF(OR(E243="cash",E243="revenue"),E243,IF(E243="avoided_cost",IF(AND(I243,LEN(TRIM(J243))&gt;0),"avoided_cost_realised","avoided_cost_beside"),IF(ISNUMBER(Q243),"capacity_converted","capacity_hours"))))</f>
        <v>cash</v>
      </c>
      <c r="S243" s="11" t="n">
        <f aca="false">IF(OR(R243="",R243="capacity_hours"),0,IF(R243="capacity_converted",P243*Q243,P243))</f>
        <v>86900</v>
      </c>
      <c r="T243" s="11" t="n">
        <f aca="false">IF(OR(R243="cash",R243="revenue",R243="avoided_cost_realised",R243="capacity_converted"),1,0)</f>
        <v>1</v>
      </c>
      <c r="U243" s="11" t="n">
        <f aca="false">IF(AND(N243,R243&lt;&gt;"capacity_hours",LEN(K243)&gt;0),1,0)</f>
        <v>1</v>
      </c>
      <c r="V243" s="11" t="n">
        <f aca="false">IF(U243=1,SUMPRODUCT(($K$4:$K$703=K243)*($F$4:$F$703=F243)*($U$4:$U$703=1)*($B$4:$B$703&lt;&gt;B243)),0)</f>
        <v>0</v>
      </c>
      <c r="W243" s="11" t="n">
        <f aca="false">IF(AND(U243=1,V243&gt;0),1+SUMPRODUCT(($K$4:$K$703=K243)*($F$4:$F$703=F243)*($U$4:$U$703=1)*($S$4:$S$703&gt;S243))+SUMPRODUCT(($K$4:$K$703=K243)*($F$4:$F$703=F243)*($U$4:$U$703=1)*($S$4:$S$703=S243)*($T$4:$T$703&gt;T243))+SUMPRODUCT(($K$4:$K$703=K243)*($F$4:$F$703=F243)*($U$4:$U$703=1)*($S$4:$S$703=S243)*($T$4:$T$703=T243)*($C$4:$C$703&lt;C243))+SUMPRODUCT(($K$4:$K$703=K243)*($F$4:$F$703=F243)*($U$4:$U$703=1)*($S$4:$S$703=S243)*($T$4:$T$703=T243)*($C$4:$C$703=C243)*($D$4:$D$703&lt;D243)),0)</f>
        <v>0</v>
      </c>
      <c r="X243" s="11" t="n">
        <f aca="false">IF(AND(U243=1,V243&gt;0,W243&gt;1),S243,0)</f>
        <v>0</v>
      </c>
      <c r="Y243" s="11" t="n">
        <f aca="false">IF(T243=1,X243/(1+Controls!$B$11)^F243,0)</f>
        <v>0</v>
      </c>
      <c r="Z243" s="11" t="n">
        <f aca="false">IF(AND(N243,E243="capacity",LEN(K243)&gt;0),1,0)</f>
        <v>0</v>
      </c>
      <c r="AA243" s="11" t="n">
        <f aca="false">IF(Z243=1,SUMPRODUCT(($K$4:$K$703=K243)*($F$4:$F$703=F243)*($Z$4:$Z$703=1)*($B$4:$B$703&lt;&gt;B243)),0)</f>
        <v>0</v>
      </c>
      <c r="AB243" s="11" t="n">
        <f aca="false">IF(AND(Z243=1,AA243&gt;0),1+SUMPRODUCT(($K$4:$K$703=K243)*($F$4:$F$703=F243)*($Z$4:$Z$703=1)*($P$4:$P$703&gt;P243))+SUMPRODUCT(($K$4:$K$703=K243)*($F$4:$F$703=F243)*($Z$4:$Z$703=1)*($P$4:$P$703=P243)*($C$4:$C$703&lt;C243))+SUMPRODUCT(($K$4:$K$703=K243)*($F$4:$F$703=F243)*($Z$4:$Z$703=1)*($P$4:$P$703=P243)*($C$4:$C$703=C243)*($D$4:$D$703&lt;D243)),0)</f>
        <v>0</v>
      </c>
      <c r="AC243" s="11" t="n">
        <f aca="false">IF(AND(Z243=1,AA243&gt;0,AB243&gt;1),P243,0)</f>
        <v>0</v>
      </c>
    </row>
    <row r="244" customFormat="false" ht="15" hidden="false" customHeight="false" outlineLevel="0" collapsed="false">
      <c r="A244" s="4" t="s">
        <v>467</v>
      </c>
      <c r="B244" s="4" t="s">
        <v>90</v>
      </c>
      <c r="C244" s="4" t="n">
        <v>8</v>
      </c>
      <c r="D244" s="4" t="n">
        <v>241</v>
      </c>
      <c r="E244" s="4" t="s">
        <v>113</v>
      </c>
      <c r="F244" s="4" t="n">
        <v>3</v>
      </c>
      <c r="G244" s="4" t="n">
        <v>3</v>
      </c>
      <c r="H244" s="4" t="n">
        <v>57950</v>
      </c>
      <c r="I244" s="13" t="b">
        <f aca="false">FALSE()</f>
        <v>0</v>
      </c>
      <c r="K244" s="4" t="s">
        <v>468</v>
      </c>
      <c r="L244" s="4" t="n">
        <v>100.09</v>
      </c>
      <c r="M244" s="11" t="n">
        <f aca="false">IFERROR(MATCH(Controls!$B$3&amp;"|"&amp;B244,'Scenario inputs'!$A$4:$A$213,0),0)</f>
        <v>139</v>
      </c>
      <c r="N244" s="8" t="b">
        <f aca="false">IF(M244=0,FALSE(),F244&lt;Controls!$B$12)</f>
        <v>1</v>
      </c>
      <c r="O244" s="11" t="n">
        <f aca="false">IF(N244,IF(INDEX('Scenario inputs'!$E$4:$E$213,M244)=0,1,INDEX('Scenario inputs'!$F$4:$M$213,M244,MIN(MAX(F244-G244,0),INDEX('Scenario inputs'!$E$4:$E$213,M244)-1)+1)),0)</f>
        <v>0.035714</v>
      </c>
      <c r="P244" s="11" t="n">
        <f aca="false">H244*O244</f>
        <v>2069.6263</v>
      </c>
      <c r="Q244" s="0" t="str">
        <f aca="false">IF(M244=0,"",IF(ISNUMBER(INDEX('Scenario inputs'!$N$4:$N$213,M244)),INDEX('Scenario inputs'!$N$4:$N$213,M244),""))</f>
        <v/>
      </c>
      <c r="R244" s="0" t="str">
        <f aca="false">IF(NOT(N244),"",IF(OR(E244="cash",E244="revenue"),E244,IF(E244="avoided_cost",IF(AND(I244,LEN(TRIM(J244))&gt;0),"avoided_cost_realised","avoided_cost_beside"),IF(ISNUMBER(Q244),"capacity_converted","capacity_hours"))))</f>
        <v>revenue</v>
      </c>
      <c r="S244" s="11" t="n">
        <f aca="false">IF(OR(R244="",R244="capacity_hours"),0,IF(R244="capacity_converted",P244*Q244,P244))</f>
        <v>2069.6263</v>
      </c>
      <c r="T244" s="11" t="n">
        <f aca="false">IF(OR(R244="cash",R244="revenue",R244="avoided_cost_realised",R244="capacity_converted"),1,0)</f>
        <v>1</v>
      </c>
      <c r="U244" s="11" t="n">
        <f aca="false">IF(AND(N244,R244&lt;&gt;"capacity_hours",LEN(K244)&gt;0),1,0)</f>
        <v>1</v>
      </c>
      <c r="V244" s="11" t="n">
        <f aca="false">IF(U244=1,SUMPRODUCT(($K$4:$K$703=K244)*($F$4:$F$703=F244)*($U$4:$U$703=1)*($B$4:$B$703&lt;&gt;B244)),0)</f>
        <v>0</v>
      </c>
      <c r="W244" s="11" t="n">
        <f aca="false">IF(AND(U244=1,V244&gt;0),1+SUMPRODUCT(($K$4:$K$703=K244)*($F$4:$F$703=F244)*($U$4:$U$703=1)*($S$4:$S$703&gt;S244))+SUMPRODUCT(($K$4:$K$703=K244)*($F$4:$F$703=F244)*($U$4:$U$703=1)*($S$4:$S$703=S244)*($T$4:$T$703&gt;T244))+SUMPRODUCT(($K$4:$K$703=K244)*($F$4:$F$703=F244)*($U$4:$U$703=1)*($S$4:$S$703=S244)*($T$4:$T$703=T244)*($C$4:$C$703&lt;C244))+SUMPRODUCT(($K$4:$K$703=K244)*($F$4:$F$703=F244)*($U$4:$U$703=1)*($S$4:$S$703=S244)*($T$4:$T$703=T244)*($C$4:$C$703=C244)*($D$4:$D$703&lt;D244)),0)</f>
        <v>0</v>
      </c>
      <c r="X244" s="11" t="n">
        <f aca="false">IF(AND(U244=1,V244&gt;0,W244&gt;1),S244,0)</f>
        <v>0</v>
      </c>
      <c r="Y244" s="11" t="n">
        <f aca="false">IF(T244=1,X244/(1+Controls!$B$11)^F244,0)</f>
        <v>0</v>
      </c>
      <c r="Z244" s="11" t="n">
        <f aca="false">IF(AND(N244,E244="capacity",LEN(K244)&gt;0),1,0)</f>
        <v>0</v>
      </c>
      <c r="AA244" s="11" t="n">
        <f aca="false">IF(Z244=1,SUMPRODUCT(($K$4:$K$703=K244)*($F$4:$F$703=F244)*($Z$4:$Z$703=1)*($B$4:$B$703&lt;&gt;B244)),0)</f>
        <v>0</v>
      </c>
      <c r="AB244" s="11" t="n">
        <f aca="false">IF(AND(Z244=1,AA244&gt;0),1+SUMPRODUCT(($K$4:$K$703=K244)*($F$4:$F$703=F244)*($Z$4:$Z$703=1)*($P$4:$P$703&gt;P244))+SUMPRODUCT(($K$4:$K$703=K244)*($F$4:$F$703=F244)*($Z$4:$Z$703=1)*($P$4:$P$703=P244)*($C$4:$C$703&lt;C244))+SUMPRODUCT(($K$4:$K$703=K244)*($F$4:$F$703=F244)*($Z$4:$Z$703=1)*($P$4:$P$703=P244)*($C$4:$C$703=C244)*($D$4:$D$703&lt;D244)),0)</f>
        <v>0</v>
      </c>
      <c r="AC244" s="11" t="n">
        <f aca="false">IF(AND(Z244=1,AA244&gt;0,AB244&gt;1),P244,0)</f>
        <v>0</v>
      </c>
    </row>
    <row r="245" customFormat="false" ht="15" hidden="false" customHeight="false" outlineLevel="0" collapsed="false">
      <c r="A245" s="4" t="s">
        <v>469</v>
      </c>
      <c r="B245" s="4" t="s">
        <v>90</v>
      </c>
      <c r="C245" s="4" t="n">
        <v>8</v>
      </c>
      <c r="D245" s="4" t="n">
        <v>242</v>
      </c>
      <c r="E245" s="4" t="s">
        <v>113</v>
      </c>
      <c r="F245" s="4" t="n">
        <v>4</v>
      </c>
      <c r="G245" s="4" t="n">
        <v>3</v>
      </c>
      <c r="H245" s="4" t="n">
        <v>57950</v>
      </c>
      <c r="I245" s="13" t="b">
        <f aca="false">FALSE()</f>
        <v>0</v>
      </c>
      <c r="K245" s="4" t="s">
        <v>468</v>
      </c>
      <c r="L245" s="4" t="n">
        <v>312.54</v>
      </c>
      <c r="M245" s="11" t="n">
        <f aca="false">IFERROR(MATCH(Controls!$B$3&amp;"|"&amp;B245,'Scenario inputs'!$A$4:$A$213,0),0)</f>
        <v>139</v>
      </c>
      <c r="N245" s="8" t="b">
        <f aca="false">IF(M245=0,FALSE(),F245&lt;Controls!$B$12)</f>
        <v>1</v>
      </c>
      <c r="O245" s="11" t="n">
        <f aca="false">IF(N245,IF(INDEX('Scenario inputs'!$E$4:$E$213,M245)=0,1,INDEX('Scenario inputs'!$F$4:$M$213,M245,MIN(MAX(F245-G245,0),INDEX('Scenario inputs'!$E$4:$E$213,M245)-1)+1)),0)</f>
        <v>0.107143</v>
      </c>
      <c r="P245" s="11" t="n">
        <f aca="false">H245*O245</f>
        <v>6208.93685</v>
      </c>
      <c r="Q245" s="0" t="str">
        <f aca="false">IF(M245=0,"",IF(ISNUMBER(INDEX('Scenario inputs'!$N$4:$N$213,M245)),INDEX('Scenario inputs'!$N$4:$N$213,M245),""))</f>
        <v/>
      </c>
      <c r="R245" s="0" t="str">
        <f aca="false">IF(NOT(N245),"",IF(OR(E245="cash",E245="revenue"),E245,IF(E245="avoided_cost",IF(AND(I245,LEN(TRIM(J245))&gt;0),"avoided_cost_realised","avoided_cost_beside"),IF(ISNUMBER(Q245),"capacity_converted","capacity_hours"))))</f>
        <v>revenue</v>
      </c>
      <c r="S245" s="11" t="n">
        <f aca="false">IF(OR(R245="",R245="capacity_hours"),0,IF(R245="capacity_converted",P245*Q245,P245))</f>
        <v>6208.93685</v>
      </c>
      <c r="T245" s="11" t="n">
        <f aca="false">IF(OR(R245="cash",R245="revenue",R245="avoided_cost_realised",R245="capacity_converted"),1,0)</f>
        <v>1</v>
      </c>
      <c r="U245" s="11" t="n">
        <f aca="false">IF(AND(N245,R245&lt;&gt;"capacity_hours",LEN(K245)&gt;0),1,0)</f>
        <v>1</v>
      </c>
      <c r="V245" s="11" t="n">
        <f aca="false">IF(U245=1,SUMPRODUCT(($K$4:$K$703=K245)*($F$4:$F$703=F245)*($U$4:$U$703=1)*($B$4:$B$703&lt;&gt;B245)),0)</f>
        <v>0</v>
      </c>
      <c r="W245" s="11" t="n">
        <f aca="false">IF(AND(U245=1,V245&gt;0),1+SUMPRODUCT(($K$4:$K$703=K245)*($F$4:$F$703=F245)*($U$4:$U$703=1)*($S$4:$S$703&gt;S245))+SUMPRODUCT(($K$4:$K$703=K245)*($F$4:$F$703=F245)*($U$4:$U$703=1)*($S$4:$S$703=S245)*($T$4:$T$703&gt;T245))+SUMPRODUCT(($K$4:$K$703=K245)*($F$4:$F$703=F245)*($U$4:$U$703=1)*($S$4:$S$703=S245)*($T$4:$T$703=T245)*($C$4:$C$703&lt;C245))+SUMPRODUCT(($K$4:$K$703=K245)*($F$4:$F$703=F245)*($U$4:$U$703=1)*($S$4:$S$703=S245)*($T$4:$T$703=T245)*($C$4:$C$703=C245)*($D$4:$D$703&lt;D245)),0)</f>
        <v>0</v>
      </c>
      <c r="X245" s="11" t="n">
        <f aca="false">IF(AND(U245=1,V245&gt;0,W245&gt;1),S245,0)</f>
        <v>0</v>
      </c>
      <c r="Y245" s="11" t="n">
        <f aca="false">IF(T245=1,X245/(1+Controls!$B$11)^F245,0)</f>
        <v>0</v>
      </c>
      <c r="Z245" s="11" t="n">
        <f aca="false">IF(AND(N245,E245="capacity",LEN(K245)&gt;0),1,0)</f>
        <v>0</v>
      </c>
      <c r="AA245" s="11" t="n">
        <f aca="false">IF(Z245=1,SUMPRODUCT(($K$4:$K$703=K245)*($F$4:$F$703=F245)*($Z$4:$Z$703=1)*($B$4:$B$703&lt;&gt;B245)),0)</f>
        <v>0</v>
      </c>
      <c r="AB245" s="11" t="n">
        <f aca="false">IF(AND(Z245=1,AA245&gt;0),1+SUMPRODUCT(($K$4:$K$703=K245)*($F$4:$F$703=F245)*($Z$4:$Z$703=1)*($P$4:$P$703&gt;P245))+SUMPRODUCT(($K$4:$K$703=K245)*($F$4:$F$703=F245)*($Z$4:$Z$703=1)*($P$4:$P$703=P245)*($C$4:$C$703&lt;C245))+SUMPRODUCT(($K$4:$K$703=K245)*($F$4:$F$703=F245)*($Z$4:$Z$703=1)*($P$4:$P$703=P245)*($C$4:$C$703=C245)*($D$4:$D$703&lt;D245)),0)</f>
        <v>0</v>
      </c>
      <c r="AC245" s="11" t="n">
        <f aca="false">IF(AND(Z245=1,AA245&gt;0,AB245&gt;1),P245,0)</f>
        <v>0</v>
      </c>
    </row>
    <row r="246" customFormat="false" ht="15" hidden="false" customHeight="false" outlineLevel="0" collapsed="false">
      <c r="A246" s="4" t="s">
        <v>470</v>
      </c>
      <c r="B246" s="4" t="s">
        <v>90</v>
      </c>
      <c r="C246" s="4" t="n">
        <v>8</v>
      </c>
      <c r="D246" s="4" t="n">
        <v>243</v>
      </c>
      <c r="E246" s="4" t="s">
        <v>113</v>
      </c>
      <c r="F246" s="4" t="n">
        <v>5</v>
      </c>
      <c r="G246" s="4" t="n">
        <v>3</v>
      </c>
      <c r="H246" s="4" t="n">
        <v>57950</v>
      </c>
      <c r="I246" s="13" t="b">
        <f aca="false">FALSE()</f>
        <v>0</v>
      </c>
      <c r="K246" s="4" t="s">
        <v>468</v>
      </c>
      <c r="L246" s="4" t="n">
        <v>588.31</v>
      </c>
      <c r="M246" s="11" t="n">
        <f aca="false">IFERROR(MATCH(Controls!$B$3&amp;"|"&amp;B246,'Scenario inputs'!$A$4:$A$213,0),0)</f>
        <v>139</v>
      </c>
      <c r="N246" s="8" t="b">
        <f aca="false">IF(M246=0,FALSE(),F246&lt;Controls!$B$12)</f>
        <v>1</v>
      </c>
      <c r="O246" s="11" t="n">
        <f aca="false">IF(N246,IF(INDEX('Scenario inputs'!$E$4:$E$213,M246)=0,1,INDEX('Scenario inputs'!$F$4:$M$213,M246,MIN(MAX(F246-G246,0),INDEX('Scenario inputs'!$E$4:$E$213,M246)-1)+1)),0)</f>
        <v>0.214286</v>
      </c>
      <c r="P246" s="11" t="n">
        <f aca="false">H246*O246</f>
        <v>12417.8737</v>
      </c>
      <c r="Q246" s="0" t="str">
        <f aca="false">IF(M246=0,"",IF(ISNUMBER(INDEX('Scenario inputs'!$N$4:$N$213,M246)),INDEX('Scenario inputs'!$N$4:$N$213,M246),""))</f>
        <v/>
      </c>
      <c r="R246" s="0" t="str">
        <f aca="false">IF(NOT(N246),"",IF(OR(E246="cash",E246="revenue"),E246,IF(E246="avoided_cost",IF(AND(I246,LEN(TRIM(J246))&gt;0),"avoided_cost_realised","avoided_cost_beside"),IF(ISNUMBER(Q246),"capacity_converted","capacity_hours"))))</f>
        <v>revenue</v>
      </c>
      <c r="S246" s="11" t="n">
        <f aca="false">IF(OR(R246="",R246="capacity_hours"),0,IF(R246="capacity_converted",P246*Q246,P246))</f>
        <v>12417.8737</v>
      </c>
      <c r="T246" s="11" t="n">
        <f aca="false">IF(OR(R246="cash",R246="revenue",R246="avoided_cost_realised",R246="capacity_converted"),1,0)</f>
        <v>1</v>
      </c>
      <c r="U246" s="11" t="n">
        <f aca="false">IF(AND(N246,R246&lt;&gt;"capacity_hours",LEN(K246)&gt;0),1,0)</f>
        <v>1</v>
      </c>
      <c r="V246" s="11" t="n">
        <f aca="false">IF(U246=1,SUMPRODUCT(($K$4:$K$703=K246)*($F$4:$F$703=F246)*($U$4:$U$703=1)*($B$4:$B$703&lt;&gt;B246)),0)</f>
        <v>0</v>
      </c>
      <c r="W246" s="11" t="n">
        <f aca="false">IF(AND(U246=1,V246&gt;0),1+SUMPRODUCT(($K$4:$K$703=K246)*($F$4:$F$703=F246)*($U$4:$U$703=1)*($S$4:$S$703&gt;S246))+SUMPRODUCT(($K$4:$K$703=K246)*($F$4:$F$703=F246)*($U$4:$U$703=1)*($S$4:$S$703=S246)*($T$4:$T$703&gt;T246))+SUMPRODUCT(($K$4:$K$703=K246)*($F$4:$F$703=F246)*($U$4:$U$703=1)*($S$4:$S$703=S246)*($T$4:$T$703=T246)*($C$4:$C$703&lt;C246))+SUMPRODUCT(($K$4:$K$703=K246)*($F$4:$F$703=F246)*($U$4:$U$703=1)*($S$4:$S$703=S246)*($T$4:$T$703=T246)*($C$4:$C$703=C246)*($D$4:$D$703&lt;D246)),0)</f>
        <v>0</v>
      </c>
      <c r="X246" s="11" t="n">
        <f aca="false">IF(AND(U246=1,V246&gt;0,W246&gt;1),S246,0)</f>
        <v>0</v>
      </c>
      <c r="Y246" s="11" t="n">
        <f aca="false">IF(T246=1,X246/(1+Controls!$B$11)^F246,0)</f>
        <v>0</v>
      </c>
      <c r="Z246" s="11" t="n">
        <f aca="false">IF(AND(N246,E246="capacity",LEN(K246)&gt;0),1,0)</f>
        <v>0</v>
      </c>
      <c r="AA246" s="11" t="n">
        <f aca="false">IF(Z246=1,SUMPRODUCT(($K$4:$K$703=K246)*($F$4:$F$703=F246)*($Z$4:$Z$703=1)*($B$4:$B$703&lt;&gt;B246)),0)</f>
        <v>0</v>
      </c>
      <c r="AB246" s="11" t="n">
        <f aca="false">IF(AND(Z246=1,AA246&gt;0),1+SUMPRODUCT(($K$4:$K$703=K246)*($F$4:$F$703=F246)*($Z$4:$Z$703=1)*($P$4:$P$703&gt;P246))+SUMPRODUCT(($K$4:$K$703=K246)*($F$4:$F$703=F246)*($Z$4:$Z$703=1)*($P$4:$P$703=P246)*($C$4:$C$703&lt;C246))+SUMPRODUCT(($K$4:$K$703=K246)*($F$4:$F$703=F246)*($Z$4:$Z$703=1)*($P$4:$P$703=P246)*($C$4:$C$703=C246)*($D$4:$D$703&lt;D246)),0)</f>
        <v>0</v>
      </c>
      <c r="AC246" s="11" t="n">
        <f aca="false">IF(AND(Z246=1,AA246&gt;0,AB246&gt;1),P246,0)</f>
        <v>0</v>
      </c>
    </row>
    <row r="247" customFormat="false" ht="15" hidden="false" customHeight="false" outlineLevel="0" collapsed="false">
      <c r="A247" s="4" t="s">
        <v>471</v>
      </c>
      <c r="B247" s="4" t="s">
        <v>90</v>
      </c>
      <c r="C247" s="4" t="n">
        <v>8</v>
      </c>
      <c r="D247" s="4" t="n">
        <v>244</v>
      </c>
      <c r="E247" s="4" t="s">
        <v>113</v>
      </c>
      <c r="F247" s="4" t="n">
        <v>6</v>
      </c>
      <c r="G247" s="4" t="n">
        <v>3</v>
      </c>
      <c r="H247" s="4" t="n">
        <v>57950</v>
      </c>
      <c r="I247" s="13" t="b">
        <f aca="false">FALSE()</f>
        <v>0</v>
      </c>
      <c r="K247" s="4" t="s">
        <v>468</v>
      </c>
      <c r="L247" s="4" t="n">
        <v>1052.01</v>
      </c>
      <c r="M247" s="11" t="n">
        <f aca="false">IFERROR(MATCH(Controls!$B$3&amp;"|"&amp;B247,'Scenario inputs'!$A$4:$A$213,0),0)</f>
        <v>139</v>
      </c>
      <c r="N247" s="8" t="b">
        <f aca="false">IF(M247=0,FALSE(),F247&lt;Controls!$B$12)</f>
        <v>1</v>
      </c>
      <c r="O247" s="11" t="n">
        <f aca="false">IF(N247,IF(INDEX('Scenario inputs'!$E$4:$E$213,M247)=0,1,INDEX('Scenario inputs'!$F$4:$M$213,M247,MIN(MAX(F247-G247,0),INDEX('Scenario inputs'!$E$4:$E$213,M247)-1)+1)),0)</f>
        <v>0.357143</v>
      </c>
      <c r="P247" s="11" t="n">
        <f aca="false">H247*O247</f>
        <v>20696.43685</v>
      </c>
      <c r="Q247" s="0" t="str">
        <f aca="false">IF(M247=0,"",IF(ISNUMBER(INDEX('Scenario inputs'!$N$4:$N$213,M247)),INDEX('Scenario inputs'!$N$4:$N$213,M247),""))</f>
        <v/>
      </c>
      <c r="R247" s="0" t="str">
        <f aca="false">IF(NOT(N247),"",IF(OR(E247="cash",E247="revenue"),E247,IF(E247="avoided_cost",IF(AND(I247,LEN(TRIM(J247))&gt;0),"avoided_cost_realised","avoided_cost_beside"),IF(ISNUMBER(Q247),"capacity_converted","capacity_hours"))))</f>
        <v>revenue</v>
      </c>
      <c r="S247" s="11" t="n">
        <f aca="false">IF(OR(R247="",R247="capacity_hours"),0,IF(R247="capacity_converted",P247*Q247,P247))</f>
        <v>20696.43685</v>
      </c>
      <c r="T247" s="11" t="n">
        <f aca="false">IF(OR(R247="cash",R247="revenue",R247="avoided_cost_realised",R247="capacity_converted"),1,0)</f>
        <v>1</v>
      </c>
      <c r="U247" s="11" t="n">
        <f aca="false">IF(AND(N247,R247&lt;&gt;"capacity_hours",LEN(K247)&gt;0),1,0)</f>
        <v>1</v>
      </c>
      <c r="V247" s="11" t="n">
        <f aca="false">IF(U247=1,SUMPRODUCT(($K$4:$K$703=K247)*($F$4:$F$703=F247)*($U$4:$U$703=1)*($B$4:$B$703&lt;&gt;B247)),0)</f>
        <v>0</v>
      </c>
      <c r="W247" s="11" t="n">
        <f aca="false">IF(AND(U247=1,V247&gt;0),1+SUMPRODUCT(($K$4:$K$703=K247)*($F$4:$F$703=F247)*($U$4:$U$703=1)*($S$4:$S$703&gt;S247))+SUMPRODUCT(($K$4:$K$703=K247)*($F$4:$F$703=F247)*($U$4:$U$703=1)*($S$4:$S$703=S247)*($T$4:$T$703&gt;T247))+SUMPRODUCT(($K$4:$K$703=K247)*($F$4:$F$703=F247)*($U$4:$U$703=1)*($S$4:$S$703=S247)*($T$4:$T$703=T247)*($C$4:$C$703&lt;C247))+SUMPRODUCT(($K$4:$K$703=K247)*($F$4:$F$703=F247)*($U$4:$U$703=1)*($S$4:$S$703=S247)*($T$4:$T$703=T247)*($C$4:$C$703=C247)*($D$4:$D$703&lt;D247)),0)</f>
        <v>0</v>
      </c>
      <c r="X247" s="11" t="n">
        <f aca="false">IF(AND(U247=1,V247&gt;0,W247&gt;1),S247,0)</f>
        <v>0</v>
      </c>
      <c r="Y247" s="11" t="n">
        <f aca="false">IF(T247=1,X247/(1+Controls!$B$11)^F247,0)</f>
        <v>0</v>
      </c>
      <c r="Z247" s="11" t="n">
        <f aca="false">IF(AND(N247,E247="capacity",LEN(K247)&gt;0),1,0)</f>
        <v>0</v>
      </c>
      <c r="AA247" s="11" t="n">
        <f aca="false">IF(Z247=1,SUMPRODUCT(($K$4:$K$703=K247)*($F$4:$F$703=F247)*($Z$4:$Z$703=1)*($B$4:$B$703&lt;&gt;B247)),0)</f>
        <v>0</v>
      </c>
      <c r="AB247" s="11" t="n">
        <f aca="false">IF(AND(Z247=1,AA247&gt;0),1+SUMPRODUCT(($K$4:$K$703=K247)*($F$4:$F$703=F247)*($Z$4:$Z$703=1)*($P$4:$P$703&gt;P247))+SUMPRODUCT(($K$4:$K$703=K247)*($F$4:$F$703=F247)*($Z$4:$Z$703=1)*($P$4:$P$703=P247)*($C$4:$C$703&lt;C247))+SUMPRODUCT(($K$4:$K$703=K247)*($F$4:$F$703=F247)*($Z$4:$Z$703=1)*($P$4:$P$703=P247)*($C$4:$C$703=C247)*($D$4:$D$703&lt;D247)),0)</f>
        <v>0</v>
      </c>
      <c r="AC247" s="11" t="n">
        <f aca="false">IF(AND(Z247=1,AA247&gt;0,AB247&gt;1),P247,0)</f>
        <v>0</v>
      </c>
    </row>
    <row r="248" customFormat="false" ht="15" hidden="false" customHeight="false" outlineLevel="0" collapsed="false">
      <c r="A248" s="4" t="s">
        <v>472</v>
      </c>
      <c r="B248" s="4" t="s">
        <v>90</v>
      </c>
      <c r="C248" s="4" t="n">
        <v>8</v>
      </c>
      <c r="D248" s="4" t="n">
        <v>245</v>
      </c>
      <c r="E248" s="4" t="s">
        <v>113</v>
      </c>
      <c r="F248" s="4" t="n">
        <v>7</v>
      </c>
      <c r="G248" s="4" t="n">
        <v>3</v>
      </c>
      <c r="H248" s="4" t="n">
        <v>57950</v>
      </c>
      <c r="I248" s="13" t="b">
        <f aca="false">FALSE()</f>
        <v>0</v>
      </c>
      <c r="K248" s="4" t="s">
        <v>468</v>
      </c>
      <c r="L248" s="4" t="n">
        <v>1547.37</v>
      </c>
      <c r="M248" s="11" t="n">
        <f aca="false">IFERROR(MATCH(Controls!$B$3&amp;"|"&amp;B248,'Scenario inputs'!$A$4:$A$213,0),0)</f>
        <v>139</v>
      </c>
      <c r="N248" s="8" t="b">
        <f aca="false">IF(M248=0,FALSE(),F248&lt;Controls!$B$12)</f>
        <v>1</v>
      </c>
      <c r="O248" s="11" t="n">
        <f aca="false">IF(N248,IF(INDEX('Scenario inputs'!$E$4:$E$213,M248)=0,1,INDEX('Scenario inputs'!$F$4:$M$213,M248,MIN(MAX(F248-G248,0),INDEX('Scenario inputs'!$E$4:$E$213,M248)-1)+1)),0)</f>
        <v>0.535714</v>
      </c>
      <c r="P248" s="11" t="n">
        <f aca="false">H248*O248</f>
        <v>31044.6263</v>
      </c>
      <c r="Q248" s="0" t="str">
        <f aca="false">IF(M248=0,"",IF(ISNUMBER(INDEX('Scenario inputs'!$N$4:$N$213,M248)),INDEX('Scenario inputs'!$N$4:$N$213,M248),""))</f>
        <v/>
      </c>
      <c r="R248" s="0" t="str">
        <f aca="false">IF(NOT(N248),"",IF(OR(E248="cash",E248="revenue"),E248,IF(E248="avoided_cost",IF(AND(I248,LEN(TRIM(J248))&gt;0),"avoided_cost_realised","avoided_cost_beside"),IF(ISNUMBER(Q248),"capacity_converted","capacity_hours"))))</f>
        <v>revenue</v>
      </c>
      <c r="S248" s="11" t="n">
        <f aca="false">IF(OR(R248="",R248="capacity_hours"),0,IF(R248="capacity_converted",P248*Q248,P248))</f>
        <v>31044.6263</v>
      </c>
      <c r="T248" s="11" t="n">
        <f aca="false">IF(OR(R248="cash",R248="revenue",R248="avoided_cost_realised",R248="capacity_converted"),1,0)</f>
        <v>1</v>
      </c>
      <c r="U248" s="11" t="n">
        <f aca="false">IF(AND(N248,R248&lt;&gt;"capacity_hours",LEN(K248)&gt;0),1,0)</f>
        <v>1</v>
      </c>
      <c r="V248" s="11" t="n">
        <f aca="false">IF(U248=1,SUMPRODUCT(($K$4:$K$703=K248)*($F$4:$F$703=F248)*($U$4:$U$703=1)*($B$4:$B$703&lt;&gt;B248)),0)</f>
        <v>0</v>
      </c>
      <c r="W248" s="11" t="n">
        <f aca="false">IF(AND(U248=1,V248&gt;0),1+SUMPRODUCT(($K$4:$K$703=K248)*($F$4:$F$703=F248)*($U$4:$U$703=1)*($S$4:$S$703&gt;S248))+SUMPRODUCT(($K$4:$K$703=K248)*($F$4:$F$703=F248)*($U$4:$U$703=1)*($S$4:$S$703=S248)*($T$4:$T$703&gt;T248))+SUMPRODUCT(($K$4:$K$703=K248)*($F$4:$F$703=F248)*($U$4:$U$703=1)*($S$4:$S$703=S248)*($T$4:$T$703=T248)*($C$4:$C$703&lt;C248))+SUMPRODUCT(($K$4:$K$703=K248)*($F$4:$F$703=F248)*($U$4:$U$703=1)*($S$4:$S$703=S248)*($T$4:$T$703=T248)*($C$4:$C$703=C248)*($D$4:$D$703&lt;D248)),0)</f>
        <v>0</v>
      </c>
      <c r="X248" s="11" t="n">
        <f aca="false">IF(AND(U248=1,V248&gt;0,W248&gt;1),S248,0)</f>
        <v>0</v>
      </c>
      <c r="Y248" s="11" t="n">
        <f aca="false">IF(T248=1,X248/(1+Controls!$B$11)^F248,0)</f>
        <v>0</v>
      </c>
      <c r="Z248" s="11" t="n">
        <f aca="false">IF(AND(N248,E248="capacity",LEN(K248)&gt;0),1,0)</f>
        <v>0</v>
      </c>
      <c r="AA248" s="11" t="n">
        <f aca="false">IF(Z248=1,SUMPRODUCT(($K$4:$K$703=K248)*($F$4:$F$703=F248)*($Z$4:$Z$703=1)*($B$4:$B$703&lt;&gt;B248)),0)</f>
        <v>0</v>
      </c>
      <c r="AB248" s="11" t="n">
        <f aca="false">IF(AND(Z248=1,AA248&gt;0),1+SUMPRODUCT(($K$4:$K$703=K248)*($F$4:$F$703=F248)*($Z$4:$Z$703=1)*($P$4:$P$703&gt;P248))+SUMPRODUCT(($K$4:$K$703=K248)*($F$4:$F$703=F248)*($Z$4:$Z$703=1)*($P$4:$P$703=P248)*($C$4:$C$703&lt;C248))+SUMPRODUCT(($K$4:$K$703=K248)*($F$4:$F$703=F248)*($Z$4:$Z$703=1)*($P$4:$P$703=P248)*($C$4:$C$703=C248)*($D$4:$D$703&lt;D248)),0)</f>
        <v>0</v>
      </c>
      <c r="AC248" s="11" t="n">
        <f aca="false">IF(AND(Z248=1,AA248&gt;0,AB248&gt;1),P248,0)</f>
        <v>0</v>
      </c>
    </row>
    <row r="249" customFormat="false" ht="15" hidden="false" customHeight="false" outlineLevel="0" collapsed="false">
      <c r="A249" s="4" t="s">
        <v>473</v>
      </c>
      <c r="B249" s="4" t="s">
        <v>90</v>
      </c>
      <c r="C249" s="4" t="n">
        <v>8</v>
      </c>
      <c r="D249" s="4" t="n">
        <v>246</v>
      </c>
      <c r="E249" s="4" t="s">
        <v>113</v>
      </c>
      <c r="F249" s="4" t="n">
        <v>8</v>
      </c>
      <c r="G249" s="4" t="n">
        <v>3</v>
      </c>
      <c r="H249" s="4" t="n">
        <v>57950</v>
      </c>
      <c r="I249" s="13" t="b">
        <f aca="false">FALSE()</f>
        <v>0</v>
      </c>
      <c r="K249" s="4" t="s">
        <v>468</v>
      </c>
      <c r="L249" s="4" t="n">
        <v>2080.53</v>
      </c>
      <c r="M249" s="11" t="n">
        <f aca="false">IFERROR(MATCH(Controls!$B$3&amp;"|"&amp;B249,'Scenario inputs'!$A$4:$A$213,0),0)</f>
        <v>139</v>
      </c>
      <c r="N249" s="8" t="b">
        <f aca="false">IF(M249=0,FALSE(),F249&lt;Controls!$B$12)</f>
        <v>1</v>
      </c>
      <c r="O249" s="11" t="n">
        <f aca="false">IF(N249,IF(INDEX('Scenario inputs'!$E$4:$E$213,M249)=0,1,INDEX('Scenario inputs'!$F$4:$M$213,M249,MIN(MAX(F249-G249,0),INDEX('Scenario inputs'!$E$4:$E$213,M249)-1)+1)),0)</f>
        <v>0.75</v>
      </c>
      <c r="P249" s="11" t="n">
        <f aca="false">H249*O249</f>
        <v>43462.5</v>
      </c>
      <c r="Q249" s="0" t="str">
        <f aca="false">IF(M249=0,"",IF(ISNUMBER(INDEX('Scenario inputs'!$N$4:$N$213,M249)),INDEX('Scenario inputs'!$N$4:$N$213,M249),""))</f>
        <v/>
      </c>
      <c r="R249" s="0" t="str">
        <f aca="false">IF(NOT(N249),"",IF(OR(E249="cash",E249="revenue"),E249,IF(E249="avoided_cost",IF(AND(I249,LEN(TRIM(J249))&gt;0),"avoided_cost_realised","avoided_cost_beside"),IF(ISNUMBER(Q249),"capacity_converted","capacity_hours"))))</f>
        <v>revenue</v>
      </c>
      <c r="S249" s="11" t="n">
        <f aca="false">IF(OR(R249="",R249="capacity_hours"),0,IF(R249="capacity_converted",P249*Q249,P249))</f>
        <v>43462.5</v>
      </c>
      <c r="T249" s="11" t="n">
        <f aca="false">IF(OR(R249="cash",R249="revenue",R249="avoided_cost_realised",R249="capacity_converted"),1,0)</f>
        <v>1</v>
      </c>
      <c r="U249" s="11" t="n">
        <f aca="false">IF(AND(N249,R249&lt;&gt;"capacity_hours",LEN(K249)&gt;0),1,0)</f>
        <v>1</v>
      </c>
      <c r="V249" s="11" t="n">
        <f aca="false">IF(U249=1,SUMPRODUCT(($K$4:$K$703=K249)*($F$4:$F$703=F249)*($U$4:$U$703=1)*($B$4:$B$703&lt;&gt;B249)),0)</f>
        <v>0</v>
      </c>
      <c r="W249" s="11" t="n">
        <f aca="false">IF(AND(U249=1,V249&gt;0),1+SUMPRODUCT(($K$4:$K$703=K249)*($F$4:$F$703=F249)*($U$4:$U$703=1)*($S$4:$S$703&gt;S249))+SUMPRODUCT(($K$4:$K$703=K249)*($F$4:$F$703=F249)*($U$4:$U$703=1)*($S$4:$S$703=S249)*($T$4:$T$703&gt;T249))+SUMPRODUCT(($K$4:$K$703=K249)*($F$4:$F$703=F249)*($U$4:$U$703=1)*($S$4:$S$703=S249)*($T$4:$T$703=T249)*($C$4:$C$703&lt;C249))+SUMPRODUCT(($K$4:$K$703=K249)*($F$4:$F$703=F249)*($U$4:$U$703=1)*($S$4:$S$703=S249)*($T$4:$T$703=T249)*($C$4:$C$703=C249)*($D$4:$D$703&lt;D249)),0)</f>
        <v>0</v>
      </c>
      <c r="X249" s="11" t="n">
        <f aca="false">IF(AND(U249=1,V249&gt;0,W249&gt;1),S249,0)</f>
        <v>0</v>
      </c>
      <c r="Y249" s="11" t="n">
        <f aca="false">IF(T249=1,X249/(1+Controls!$B$11)^F249,0)</f>
        <v>0</v>
      </c>
      <c r="Z249" s="11" t="n">
        <f aca="false">IF(AND(N249,E249="capacity",LEN(K249)&gt;0),1,0)</f>
        <v>0</v>
      </c>
      <c r="AA249" s="11" t="n">
        <f aca="false">IF(Z249=1,SUMPRODUCT(($K$4:$K$703=K249)*($F$4:$F$703=F249)*($Z$4:$Z$703=1)*($B$4:$B$703&lt;&gt;B249)),0)</f>
        <v>0</v>
      </c>
      <c r="AB249" s="11" t="n">
        <f aca="false">IF(AND(Z249=1,AA249&gt;0),1+SUMPRODUCT(($K$4:$K$703=K249)*($F$4:$F$703=F249)*($Z$4:$Z$703=1)*($P$4:$P$703&gt;P249))+SUMPRODUCT(($K$4:$K$703=K249)*($F$4:$F$703=F249)*($Z$4:$Z$703=1)*($P$4:$P$703=P249)*($C$4:$C$703&lt;C249))+SUMPRODUCT(($K$4:$K$703=K249)*($F$4:$F$703=F249)*($Z$4:$Z$703=1)*($P$4:$P$703=P249)*($C$4:$C$703=C249)*($D$4:$D$703&lt;D249)),0)</f>
        <v>0</v>
      </c>
      <c r="AC249" s="11" t="n">
        <f aca="false">IF(AND(Z249=1,AA249&gt;0,AB249&gt;1),P249,0)</f>
        <v>0</v>
      </c>
    </row>
    <row r="250" customFormat="false" ht="15" hidden="false" customHeight="false" outlineLevel="0" collapsed="false">
      <c r="A250" s="4" t="s">
        <v>474</v>
      </c>
      <c r="B250" s="4" t="s">
        <v>90</v>
      </c>
      <c r="C250" s="4" t="n">
        <v>8</v>
      </c>
      <c r="D250" s="4" t="n">
        <v>247</v>
      </c>
      <c r="E250" s="4" t="s">
        <v>113</v>
      </c>
      <c r="F250" s="4" t="n">
        <v>9</v>
      </c>
      <c r="G250" s="4" t="n">
        <v>3</v>
      </c>
      <c r="H250" s="4" t="n">
        <v>57950</v>
      </c>
      <c r="I250" s="13" t="b">
        <f aca="false">FALSE()</f>
        <v>0</v>
      </c>
      <c r="K250" s="4" t="s">
        <v>468</v>
      </c>
      <c r="L250" s="4" t="n">
        <v>3813.11</v>
      </c>
      <c r="M250" s="11" t="n">
        <f aca="false">IFERROR(MATCH(Controls!$B$3&amp;"|"&amp;B250,'Scenario inputs'!$A$4:$A$213,0),0)</f>
        <v>139</v>
      </c>
      <c r="N250" s="8" t="b">
        <f aca="false">IF(M250=0,FALSE(),F250&lt;Controls!$B$12)</f>
        <v>1</v>
      </c>
      <c r="O250" s="11" t="n">
        <f aca="false">IF(N250,IF(INDEX('Scenario inputs'!$E$4:$E$213,M250)=0,1,INDEX('Scenario inputs'!$F$4:$M$213,M250,MIN(MAX(F250-G250,0),INDEX('Scenario inputs'!$E$4:$E$213,M250)-1)+1)),0)</f>
        <v>1</v>
      </c>
      <c r="P250" s="11" t="n">
        <f aca="false">H250*O250</f>
        <v>57950</v>
      </c>
      <c r="Q250" s="0" t="str">
        <f aca="false">IF(M250=0,"",IF(ISNUMBER(INDEX('Scenario inputs'!$N$4:$N$213,M250)),INDEX('Scenario inputs'!$N$4:$N$213,M250),""))</f>
        <v/>
      </c>
      <c r="R250" s="0" t="str">
        <f aca="false">IF(NOT(N250),"",IF(OR(E250="cash",E250="revenue"),E250,IF(E250="avoided_cost",IF(AND(I250,LEN(TRIM(J250))&gt;0),"avoided_cost_realised","avoided_cost_beside"),IF(ISNUMBER(Q250),"capacity_converted","capacity_hours"))))</f>
        <v>revenue</v>
      </c>
      <c r="S250" s="11" t="n">
        <f aca="false">IF(OR(R250="",R250="capacity_hours"),0,IF(R250="capacity_converted",P250*Q250,P250))</f>
        <v>57950</v>
      </c>
      <c r="T250" s="11" t="n">
        <f aca="false">IF(OR(R250="cash",R250="revenue",R250="avoided_cost_realised",R250="capacity_converted"),1,0)</f>
        <v>1</v>
      </c>
      <c r="U250" s="11" t="n">
        <f aca="false">IF(AND(N250,R250&lt;&gt;"capacity_hours",LEN(K250)&gt;0),1,0)</f>
        <v>1</v>
      </c>
      <c r="V250" s="11" t="n">
        <f aca="false">IF(U250=1,SUMPRODUCT(($K$4:$K$703=K250)*($F$4:$F$703=F250)*($U$4:$U$703=1)*($B$4:$B$703&lt;&gt;B250)),0)</f>
        <v>0</v>
      </c>
      <c r="W250" s="11" t="n">
        <f aca="false">IF(AND(U250=1,V250&gt;0),1+SUMPRODUCT(($K$4:$K$703=K250)*($F$4:$F$703=F250)*($U$4:$U$703=1)*($S$4:$S$703&gt;S250))+SUMPRODUCT(($K$4:$K$703=K250)*($F$4:$F$703=F250)*($U$4:$U$703=1)*($S$4:$S$703=S250)*($T$4:$T$703&gt;T250))+SUMPRODUCT(($K$4:$K$703=K250)*($F$4:$F$703=F250)*($U$4:$U$703=1)*($S$4:$S$703=S250)*($T$4:$T$703=T250)*($C$4:$C$703&lt;C250))+SUMPRODUCT(($K$4:$K$703=K250)*($F$4:$F$703=F250)*($U$4:$U$703=1)*($S$4:$S$703=S250)*($T$4:$T$703=T250)*($C$4:$C$703=C250)*($D$4:$D$703&lt;D250)),0)</f>
        <v>0</v>
      </c>
      <c r="X250" s="11" t="n">
        <f aca="false">IF(AND(U250=1,V250&gt;0,W250&gt;1),S250,0)</f>
        <v>0</v>
      </c>
      <c r="Y250" s="11" t="n">
        <f aca="false">IF(T250=1,X250/(1+Controls!$B$11)^F250,0)</f>
        <v>0</v>
      </c>
      <c r="Z250" s="11" t="n">
        <f aca="false">IF(AND(N250,E250="capacity",LEN(K250)&gt;0),1,0)</f>
        <v>0</v>
      </c>
      <c r="AA250" s="11" t="n">
        <f aca="false">IF(Z250=1,SUMPRODUCT(($K$4:$K$703=K250)*($F$4:$F$703=F250)*($Z$4:$Z$703=1)*($B$4:$B$703&lt;&gt;B250)),0)</f>
        <v>0</v>
      </c>
      <c r="AB250" s="11" t="n">
        <f aca="false">IF(AND(Z250=1,AA250&gt;0),1+SUMPRODUCT(($K$4:$K$703=K250)*($F$4:$F$703=F250)*($Z$4:$Z$703=1)*($P$4:$P$703&gt;P250))+SUMPRODUCT(($K$4:$K$703=K250)*($F$4:$F$703=F250)*($Z$4:$Z$703=1)*($P$4:$P$703=P250)*($C$4:$C$703&lt;C250))+SUMPRODUCT(($K$4:$K$703=K250)*($F$4:$F$703=F250)*($Z$4:$Z$703=1)*($P$4:$P$703=P250)*($C$4:$C$703=C250)*($D$4:$D$703&lt;D250)),0)</f>
        <v>0</v>
      </c>
      <c r="AC250" s="11" t="n">
        <f aca="false">IF(AND(Z250=1,AA250&gt;0,AB250&gt;1),P250,0)</f>
        <v>0</v>
      </c>
    </row>
    <row r="251" customFormat="false" ht="15" hidden="false" customHeight="false" outlineLevel="0" collapsed="false">
      <c r="A251" s="4" t="s">
        <v>475</v>
      </c>
      <c r="B251" s="4" t="s">
        <v>90</v>
      </c>
      <c r="C251" s="4" t="n">
        <v>8</v>
      </c>
      <c r="D251" s="4" t="n">
        <v>248</v>
      </c>
      <c r="E251" s="4" t="s">
        <v>113</v>
      </c>
      <c r="F251" s="4" t="n">
        <v>10</v>
      </c>
      <c r="G251" s="4" t="n">
        <v>3</v>
      </c>
      <c r="H251" s="4" t="n">
        <v>57950</v>
      </c>
      <c r="I251" s="13" t="b">
        <f aca="false">FALSE()</f>
        <v>0</v>
      </c>
      <c r="K251" s="4" t="s">
        <v>468</v>
      </c>
      <c r="L251" s="4" t="n">
        <v>3813.11</v>
      </c>
      <c r="M251" s="11" t="n">
        <f aca="false">IFERROR(MATCH(Controls!$B$3&amp;"|"&amp;B251,'Scenario inputs'!$A$4:$A$213,0),0)</f>
        <v>139</v>
      </c>
      <c r="N251" s="8" t="b">
        <f aca="false">IF(M251=0,FALSE(),F251&lt;Controls!$B$12)</f>
        <v>1</v>
      </c>
      <c r="O251" s="11" t="n">
        <f aca="false">IF(N251,IF(INDEX('Scenario inputs'!$E$4:$E$213,M251)=0,1,INDEX('Scenario inputs'!$F$4:$M$213,M251,MIN(MAX(F251-G251,0),INDEX('Scenario inputs'!$E$4:$E$213,M251)-1)+1)),0)</f>
        <v>1</v>
      </c>
      <c r="P251" s="11" t="n">
        <f aca="false">H251*O251</f>
        <v>57950</v>
      </c>
      <c r="Q251" s="0" t="str">
        <f aca="false">IF(M251=0,"",IF(ISNUMBER(INDEX('Scenario inputs'!$N$4:$N$213,M251)),INDEX('Scenario inputs'!$N$4:$N$213,M251),""))</f>
        <v/>
      </c>
      <c r="R251" s="0" t="str">
        <f aca="false">IF(NOT(N251),"",IF(OR(E251="cash",E251="revenue"),E251,IF(E251="avoided_cost",IF(AND(I251,LEN(TRIM(J251))&gt;0),"avoided_cost_realised","avoided_cost_beside"),IF(ISNUMBER(Q251),"capacity_converted","capacity_hours"))))</f>
        <v>revenue</v>
      </c>
      <c r="S251" s="11" t="n">
        <f aca="false">IF(OR(R251="",R251="capacity_hours"),0,IF(R251="capacity_converted",P251*Q251,P251))</f>
        <v>57950</v>
      </c>
      <c r="T251" s="11" t="n">
        <f aca="false">IF(OR(R251="cash",R251="revenue",R251="avoided_cost_realised",R251="capacity_converted"),1,0)</f>
        <v>1</v>
      </c>
      <c r="U251" s="11" t="n">
        <f aca="false">IF(AND(N251,R251&lt;&gt;"capacity_hours",LEN(K251)&gt;0),1,0)</f>
        <v>1</v>
      </c>
      <c r="V251" s="11" t="n">
        <f aca="false">IF(U251=1,SUMPRODUCT(($K$4:$K$703=K251)*($F$4:$F$703=F251)*($U$4:$U$703=1)*($B$4:$B$703&lt;&gt;B251)),0)</f>
        <v>0</v>
      </c>
      <c r="W251" s="11" t="n">
        <f aca="false">IF(AND(U251=1,V251&gt;0),1+SUMPRODUCT(($K$4:$K$703=K251)*($F$4:$F$703=F251)*($U$4:$U$703=1)*($S$4:$S$703&gt;S251))+SUMPRODUCT(($K$4:$K$703=K251)*($F$4:$F$703=F251)*($U$4:$U$703=1)*($S$4:$S$703=S251)*($T$4:$T$703&gt;T251))+SUMPRODUCT(($K$4:$K$703=K251)*($F$4:$F$703=F251)*($U$4:$U$703=1)*($S$4:$S$703=S251)*($T$4:$T$703=T251)*($C$4:$C$703&lt;C251))+SUMPRODUCT(($K$4:$K$703=K251)*($F$4:$F$703=F251)*($U$4:$U$703=1)*($S$4:$S$703=S251)*($T$4:$T$703=T251)*($C$4:$C$703=C251)*($D$4:$D$703&lt;D251)),0)</f>
        <v>0</v>
      </c>
      <c r="X251" s="11" t="n">
        <f aca="false">IF(AND(U251=1,V251&gt;0,W251&gt;1),S251,0)</f>
        <v>0</v>
      </c>
      <c r="Y251" s="11" t="n">
        <f aca="false">IF(T251=1,X251/(1+Controls!$B$11)^F251,0)</f>
        <v>0</v>
      </c>
      <c r="Z251" s="11" t="n">
        <f aca="false">IF(AND(N251,E251="capacity",LEN(K251)&gt;0),1,0)</f>
        <v>0</v>
      </c>
      <c r="AA251" s="11" t="n">
        <f aca="false">IF(Z251=1,SUMPRODUCT(($K$4:$K$703=K251)*($F$4:$F$703=F251)*($Z$4:$Z$703=1)*($B$4:$B$703&lt;&gt;B251)),0)</f>
        <v>0</v>
      </c>
      <c r="AB251" s="11" t="n">
        <f aca="false">IF(AND(Z251=1,AA251&gt;0),1+SUMPRODUCT(($K$4:$K$703=K251)*($F$4:$F$703=F251)*($Z$4:$Z$703=1)*($P$4:$P$703&gt;P251))+SUMPRODUCT(($K$4:$K$703=K251)*($F$4:$F$703=F251)*($Z$4:$Z$703=1)*($P$4:$P$703=P251)*($C$4:$C$703&lt;C251))+SUMPRODUCT(($K$4:$K$703=K251)*($F$4:$F$703=F251)*($Z$4:$Z$703=1)*($P$4:$P$703=P251)*($C$4:$C$703=C251)*($D$4:$D$703&lt;D251)),0)</f>
        <v>0</v>
      </c>
      <c r="AC251" s="11" t="n">
        <f aca="false">IF(AND(Z251=1,AA251&gt;0,AB251&gt;1),P251,0)</f>
        <v>0</v>
      </c>
    </row>
    <row r="252" customFormat="false" ht="15" hidden="false" customHeight="false" outlineLevel="0" collapsed="false">
      <c r="A252" s="4" t="s">
        <v>476</v>
      </c>
      <c r="B252" s="4" t="s">
        <v>90</v>
      </c>
      <c r="C252" s="4" t="n">
        <v>8</v>
      </c>
      <c r="D252" s="4" t="n">
        <v>249</v>
      </c>
      <c r="E252" s="4" t="s">
        <v>113</v>
      </c>
      <c r="F252" s="4" t="n">
        <v>11</v>
      </c>
      <c r="G252" s="4" t="n">
        <v>3</v>
      </c>
      <c r="H252" s="4" t="n">
        <v>57950</v>
      </c>
      <c r="I252" s="13" t="b">
        <f aca="false">FALSE()</f>
        <v>0</v>
      </c>
      <c r="K252" s="4" t="s">
        <v>468</v>
      </c>
      <c r="L252" s="4" t="n">
        <v>3813.11</v>
      </c>
      <c r="M252" s="11" t="n">
        <f aca="false">IFERROR(MATCH(Controls!$B$3&amp;"|"&amp;B252,'Scenario inputs'!$A$4:$A$213,0),0)</f>
        <v>139</v>
      </c>
      <c r="N252" s="8" t="b">
        <f aca="false">IF(M252=0,FALSE(),F252&lt;Controls!$B$12)</f>
        <v>1</v>
      </c>
      <c r="O252" s="11" t="n">
        <f aca="false">IF(N252,IF(INDEX('Scenario inputs'!$E$4:$E$213,M252)=0,1,INDEX('Scenario inputs'!$F$4:$M$213,M252,MIN(MAX(F252-G252,0),INDEX('Scenario inputs'!$E$4:$E$213,M252)-1)+1)),0)</f>
        <v>1</v>
      </c>
      <c r="P252" s="11" t="n">
        <f aca="false">H252*O252</f>
        <v>57950</v>
      </c>
      <c r="Q252" s="0" t="str">
        <f aca="false">IF(M252=0,"",IF(ISNUMBER(INDEX('Scenario inputs'!$N$4:$N$213,M252)),INDEX('Scenario inputs'!$N$4:$N$213,M252),""))</f>
        <v/>
      </c>
      <c r="R252" s="0" t="str">
        <f aca="false">IF(NOT(N252),"",IF(OR(E252="cash",E252="revenue"),E252,IF(E252="avoided_cost",IF(AND(I252,LEN(TRIM(J252))&gt;0),"avoided_cost_realised","avoided_cost_beside"),IF(ISNUMBER(Q252),"capacity_converted","capacity_hours"))))</f>
        <v>revenue</v>
      </c>
      <c r="S252" s="11" t="n">
        <f aca="false">IF(OR(R252="",R252="capacity_hours"),0,IF(R252="capacity_converted",P252*Q252,P252))</f>
        <v>57950</v>
      </c>
      <c r="T252" s="11" t="n">
        <f aca="false">IF(OR(R252="cash",R252="revenue",R252="avoided_cost_realised",R252="capacity_converted"),1,0)</f>
        <v>1</v>
      </c>
      <c r="U252" s="11" t="n">
        <f aca="false">IF(AND(N252,R252&lt;&gt;"capacity_hours",LEN(K252)&gt;0),1,0)</f>
        <v>1</v>
      </c>
      <c r="V252" s="11" t="n">
        <f aca="false">IF(U252=1,SUMPRODUCT(($K$4:$K$703=K252)*($F$4:$F$703=F252)*($U$4:$U$703=1)*($B$4:$B$703&lt;&gt;B252)),0)</f>
        <v>0</v>
      </c>
      <c r="W252" s="11" t="n">
        <f aca="false">IF(AND(U252=1,V252&gt;0),1+SUMPRODUCT(($K$4:$K$703=K252)*($F$4:$F$703=F252)*($U$4:$U$703=1)*($S$4:$S$703&gt;S252))+SUMPRODUCT(($K$4:$K$703=K252)*($F$4:$F$703=F252)*($U$4:$U$703=1)*($S$4:$S$703=S252)*($T$4:$T$703&gt;T252))+SUMPRODUCT(($K$4:$K$703=K252)*($F$4:$F$703=F252)*($U$4:$U$703=1)*($S$4:$S$703=S252)*($T$4:$T$703=T252)*($C$4:$C$703&lt;C252))+SUMPRODUCT(($K$4:$K$703=K252)*($F$4:$F$703=F252)*($U$4:$U$703=1)*($S$4:$S$703=S252)*($T$4:$T$703=T252)*($C$4:$C$703=C252)*($D$4:$D$703&lt;D252)),0)</f>
        <v>0</v>
      </c>
      <c r="X252" s="11" t="n">
        <f aca="false">IF(AND(U252=1,V252&gt;0,W252&gt;1),S252,0)</f>
        <v>0</v>
      </c>
      <c r="Y252" s="11" t="n">
        <f aca="false">IF(T252=1,X252/(1+Controls!$B$11)^F252,0)</f>
        <v>0</v>
      </c>
      <c r="Z252" s="11" t="n">
        <f aca="false">IF(AND(N252,E252="capacity",LEN(K252)&gt;0),1,0)</f>
        <v>0</v>
      </c>
      <c r="AA252" s="11" t="n">
        <f aca="false">IF(Z252=1,SUMPRODUCT(($K$4:$K$703=K252)*($F$4:$F$703=F252)*($Z$4:$Z$703=1)*($B$4:$B$703&lt;&gt;B252)),0)</f>
        <v>0</v>
      </c>
      <c r="AB252" s="11" t="n">
        <f aca="false">IF(AND(Z252=1,AA252&gt;0),1+SUMPRODUCT(($K$4:$K$703=K252)*($F$4:$F$703=F252)*($Z$4:$Z$703=1)*($P$4:$P$703&gt;P252))+SUMPRODUCT(($K$4:$K$703=K252)*($F$4:$F$703=F252)*($Z$4:$Z$703=1)*($P$4:$P$703=P252)*($C$4:$C$703&lt;C252))+SUMPRODUCT(($K$4:$K$703=K252)*($F$4:$F$703=F252)*($Z$4:$Z$703=1)*($P$4:$P$703=P252)*($C$4:$C$703=C252)*($D$4:$D$703&lt;D252)),0)</f>
        <v>0</v>
      </c>
      <c r="AC252" s="11" t="n">
        <f aca="false">IF(AND(Z252=1,AA252&gt;0,AB252&gt;1),P252,0)</f>
        <v>0</v>
      </c>
    </row>
    <row r="253" customFormat="false" ht="15" hidden="false" customHeight="false" outlineLevel="0" collapsed="false">
      <c r="A253" s="4" t="s">
        <v>477</v>
      </c>
      <c r="B253" s="4" t="s">
        <v>90</v>
      </c>
      <c r="C253" s="4" t="n">
        <v>8</v>
      </c>
      <c r="D253" s="4" t="n">
        <v>250</v>
      </c>
      <c r="E253" s="4" t="s">
        <v>113</v>
      </c>
      <c r="F253" s="4" t="n">
        <v>12</v>
      </c>
      <c r="G253" s="4" t="n">
        <v>3</v>
      </c>
      <c r="H253" s="4" t="n">
        <v>57950</v>
      </c>
      <c r="I253" s="13" t="b">
        <f aca="false">FALSE()</f>
        <v>0</v>
      </c>
      <c r="K253" s="4" t="s">
        <v>468</v>
      </c>
      <c r="L253" s="4" t="n">
        <v>3813.11</v>
      </c>
      <c r="M253" s="11" t="n">
        <f aca="false">IFERROR(MATCH(Controls!$B$3&amp;"|"&amp;B253,'Scenario inputs'!$A$4:$A$213,0),0)</f>
        <v>139</v>
      </c>
      <c r="N253" s="8" t="b">
        <f aca="false">IF(M253=0,FALSE(),F253&lt;Controls!$B$12)</f>
        <v>1</v>
      </c>
      <c r="O253" s="11" t="n">
        <f aca="false">IF(N253,IF(INDEX('Scenario inputs'!$E$4:$E$213,M253)=0,1,INDEX('Scenario inputs'!$F$4:$M$213,M253,MIN(MAX(F253-G253,0),INDEX('Scenario inputs'!$E$4:$E$213,M253)-1)+1)),0)</f>
        <v>1</v>
      </c>
      <c r="P253" s="11" t="n">
        <f aca="false">H253*O253</f>
        <v>57950</v>
      </c>
      <c r="Q253" s="0" t="str">
        <f aca="false">IF(M253=0,"",IF(ISNUMBER(INDEX('Scenario inputs'!$N$4:$N$213,M253)),INDEX('Scenario inputs'!$N$4:$N$213,M253),""))</f>
        <v/>
      </c>
      <c r="R253" s="0" t="str">
        <f aca="false">IF(NOT(N253),"",IF(OR(E253="cash",E253="revenue"),E253,IF(E253="avoided_cost",IF(AND(I253,LEN(TRIM(J253))&gt;0),"avoided_cost_realised","avoided_cost_beside"),IF(ISNUMBER(Q253),"capacity_converted","capacity_hours"))))</f>
        <v>revenue</v>
      </c>
      <c r="S253" s="11" t="n">
        <f aca="false">IF(OR(R253="",R253="capacity_hours"),0,IF(R253="capacity_converted",P253*Q253,P253))</f>
        <v>57950</v>
      </c>
      <c r="T253" s="11" t="n">
        <f aca="false">IF(OR(R253="cash",R253="revenue",R253="avoided_cost_realised",R253="capacity_converted"),1,0)</f>
        <v>1</v>
      </c>
      <c r="U253" s="11" t="n">
        <f aca="false">IF(AND(N253,R253&lt;&gt;"capacity_hours",LEN(K253)&gt;0),1,0)</f>
        <v>1</v>
      </c>
      <c r="V253" s="11" t="n">
        <f aca="false">IF(U253=1,SUMPRODUCT(($K$4:$K$703=K253)*($F$4:$F$703=F253)*($U$4:$U$703=1)*($B$4:$B$703&lt;&gt;B253)),0)</f>
        <v>0</v>
      </c>
      <c r="W253" s="11" t="n">
        <f aca="false">IF(AND(U253=1,V253&gt;0),1+SUMPRODUCT(($K$4:$K$703=K253)*($F$4:$F$703=F253)*($U$4:$U$703=1)*($S$4:$S$703&gt;S253))+SUMPRODUCT(($K$4:$K$703=K253)*($F$4:$F$703=F253)*($U$4:$U$703=1)*($S$4:$S$703=S253)*($T$4:$T$703&gt;T253))+SUMPRODUCT(($K$4:$K$703=K253)*($F$4:$F$703=F253)*($U$4:$U$703=1)*($S$4:$S$703=S253)*($T$4:$T$703=T253)*($C$4:$C$703&lt;C253))+SUMPRODUCT(($K$4:$K$703=K253)*($F$4:$F$703=F253)*($U$4:$U$703=1)*($S$4:$S$703=S253)*($T$4:$T$703=T253)*($C$4:$C$703=C253)*($D$4:$D$703&lt;D253)),0)</f>
        <v>0</v>
      </c>
      <c r="X253" s="11" t="n">
        <f aca="false">IF(AND(U253=1,V253&gt;0,W253&gt;1),S253,0)</f>
        <v>0</v>
      </c>
      <c r="Y253" s="11" t="n">
        <f aca="false">IF(T253=1,X253/(1+Controls!$B$11)^F253,0)</f>
        <v>0</v>
      </c>
      <c r="Z253" s="11" t="n">
        <f aca="false">IF(AND(N253,E253="capacity",LEN(K253)&gt;0),1,0)</f>
        <v>0</v>
      </c>
      <c r="AA253" s="11" t="n">
        <f aca="false">IF(Z253=1,SUMPRODUCT(($K$4:$K$703=K253)*($F$4:$F$703=F253)*($Z$4:$Z$703=1)*($B$4:$B$703&lt;&gt;B253)),0)</f>
        <v>0</v>
      </c>
      <c r="AB253" s="11" t="n">
        <f aca="false">IF(AND(Z253=1,AA253&gt;0),1+SUMPRODUCT(($K$4:$K$703=K253)*($F$4:$F$703=F253)*($Z$4:$Z$703=1)*($P$4:$P$703&gt;P253))+SUMPRODUCT(($K$4:$K$703=K253)*($F$4:$F$703=F253)*($Z$4:$Z$703=1)*($P$4:$P$703=P253)*($C$4:$C$703&lt;C253))+SUMPRODUCT(($K$4:$K$703=K253)*($F$4:$F$703=F253)*($Z$4:$Z$703=1)*($P$4:$P$703=P253)*($C$4:$C$703=C253)*($D$4:$D$703&lt;D253)),0)</f>
        <v>0</v>
      </c>
      <c r="AC253" s="11" t="n">
        <f aca="false">IF(AND(Z253=1,AA253&gt;0,AB253&gt;1),P253,0)</f>
        <v>0</v>
      </c>
    </row>
    <row r="254" customFormat="false" ht="15" hidden="false" customHeight="false" outlineLevel="0" collapsed="false">
      <c r="A254" s="4" t="s">
        <v>478</v>
      </c>
      <c r="B254" s="4" t="s">
        <v>90</v>
      </c>
      <c r="C254" s="4" t="n">
        <v>8</v>
      </c>
      <c r="D254" s="4" t="n">
        <v>251</v>
      </c>
      <c r="E254" s="4" t="s">
        <v>113</v>
      </c>
      <c r="F254" s="4" t="n">
        <v>13</v>
      </c>
      <c r="G254" s="4" t="n">
        <v>3</v>
      </c>
      <c r="H254" s="4" t="n">
        <v>57950</v>
      </c>
      <c r="I254" s="13" t="b">
        <f aca="false">FALSE()</f>
        <v>0</v>
      </c>
      <c r="K254" s="4" t="s">
        <v>468</v>
      </c>
      <c r="L254" s="4" t="n">
        <v>3813.11</v>
      </c>
      <c r="M254" s="11" t="n">
        <f aca="false">IFERROR(MATCH(Controls!$B$3&amp;"|"&amp;B254,'Scenario inputs'!$A$4:$A$213,0),0)</f>
        <v>139</v>
      </c>
      <c r="N254" s="8" t="b">
        <f aca="false">IF(M254=0,FALSE(),F254&lt;Controls!$B$12)</f>
        <v>1</v>
      </c>
      <c r="O254" s="11" t="n">
        <f aca="false">IF(N254,IF(INDEX('Scenario inputs'!$E$4:$E$213,M254)=0,1,INDEX('Scenario inputs'!$F$4:$M$213,M254,MIN(MAX(F254-G254,0),INDEX('Scenario inputs'!$E$4:$E$213,M254)-1)+1)),0)</f>
        <v>1</v>
      </c>
      <c r="P254" s="11" t="n">
        <f aca="false">H254*O254</f>
        <v>57950</v>
      </c>
      <c r="Q254" s="0" t="str">
        <f aca="false">IF(M254=0,"",IF(ISNUMBER(INDEX('Scenario inputs'!$N$4:$N$213,M254)),INDEX('Scenario inputs'!$N$4:$N$213,M254),""))</f>
        <v/>
      </c>
      <c r="R254" s="0" t="str">
        <f aca="false">IF(NOT(N254),"",IF(OR(E254="cash",E254="revenue"),E254,IF(E254="avoided_cost",IF(AND(I254,LEN(TRIM(J254))&gt;0),"avoided_cost_realised","avoided_cost_beside"),IF(ISNUMBER(Q254),"capacity_converted","capacity_hours"))))</f>
        <v>revenue</v>
      </c>
      <c r="S254" s="11" t="n">
        <f aca="false">IF(OR(R254="",R254="capacity_hours"),0,IF(R254="capacity_converted",P254*Q254,P254))</f>
        <v>57950</v>
      </c>
      <c r="T254" s="11" t="n">
        <f aca="false">IF(OR(R254="cash",R254="revenue",R254="avoided_cost_realised",R254="capacity_converted"),1,0)</f>
        <v>1</v>
      </c>
      <c r="U254" s="11" t="n">
        <f aca="false">IF(AND(N254,R254&lt;&gt;"capacity_hours",LEN(K254)&gt;0),1,0)</f>
        <v>1</v>
      </c>
      <c r="V254" s="11" t="n">
        <f aca="false">IF(U254=1,SUMPRODUCT(($K$4:$K$703=K254)*($F$4:$F$703=F254)*($U$4:$U$703=1)*($B$4:$B$703&lt;&gt;B254)),0)</f>
        <v>0</v>
      </c>
      <c r="W254" s="11" t="n">
        <f aca="false">IF(AND(U254=1,V254&gt;0),1+SUMPRODUCT(($K$4:$K$703=K254)*($F$4:$F$703=F254)*($U$4:$U$703=1)*($S$4:$S$703&gt;S254))+SUMPRODUCT(($K$4:$K$703=K254)*($F$4:$F$703=F254)*($U$4:$U$703=1)*($S$4:$S$703=S254)*($T$4:$T$703&gt;T254))+SUMPRODUCT(($K$4:$K$703=K254)*($F$4:$F$703=F254)*($U$4:$U$703=1)*($S$4:$S$703=S254)*($T$4:$T$703=T254)*($C$4:$C$703&lt;C254))+SUMPRODUCT(($K$4:$K$703=K254)*($F$4:$F$703=F254)*($U$4:$U$703=1)*($S$4:$S$703=S254)*($T$4:$T$703=T254)*($C$4:$C$703=C254)*($D$4:$D$703&lt;D254)),0)</f>
        <v>0</v>
      </c>
      <c r="X254" s="11" t="n">
        <f aca="false">IF(AND(U254=1,V254&gt;0,W254&gt;1),S254,0)</f>
        <v>0</v>
      </c>
      <c r="Y254" s="11" t="n">
        <f aca="false">IF(T254=1,X254/(1+Controls!$B$11)^F254,0)</f>
        <v>0</v>
      </c>
      <c r="Z254" s="11" t="n">
        <f aca="false">IF(AND(N254,E254="capacity",LEN(K254)&gt;0),1,0)</f>
        <v>0</v>
      </c>
      <c r="AA254" s="11" t="n">
        <f aca="false">IF(Z254=1,SUMPRODUCT(($K$4:$K$703=K254)*($F$4:$F$703=F254)*($Z$4:$Z$703=1)*($B$4:$B$703&lt;&gt;B254)),0)</f>
        <v>0</v>
      </c>
      <c r="AB254" s="11" t="n">
        <f aca="false">IF(AND(Z254=1,AA254&gt;0),1+SUMPRODUCT(($K$4:$K$703=K254)*($F$4:$F$703=F254)*($Z$4:$Z$703=1)*($P$4:$P$703&gt;P254))+SUMPRODUCT(($K$4:$K$703=K254)*($F$4:$F$703=F254)*($Z$4:$Z$703=1)*($P$4:$P$703=P254)*($C$4:$C$703&lt;C254))+SUMPRODUCT(($K$4:$K$703=K254)*($F$4:$F$703=F254)*($Z$4:$Z$703=1)*($P$4:$P$703=P254)*($C$4:$C$703=C254)*($D$4:$D$703&lt;D254)),0)</f>
        <v>0</v>
      </c>
      <c r="AC254" s="11" t="n">
        <f aca="false">IF(AND(Z254=1,AA254&gt;0,AB254&gt;1),P254,0)</f>
        <v>0</v>
      </c>
    </row>
    <row r="255" customFormat="false" ht="15" hidden="false" customHeight="false" outlineLevel="0" collapsed="false">
      <c r="A255" s="4" t="s">
        <v>479</v>
      </c>
      <c r="B255" s="4" t="s">
        <v>90</v>
      </c>
      <c r="C255" s="4" t="n">
        <v>8</v>
      </c>
      <c r="D255" s="4" t="n">
        <v>252</v>
      </c>
      <c r="E255" s="4" t="s">
        <v>113</v>
      </c>
      <c r="F255" s="4" t="n">
        <v>14</v>
      </c>
      <c r="G255" s="4" t="n">
        <v>3</v>
      </c>
      <c r="H255" s="4" t="n">
        <v>57950</v>
      </c>
      <c r="I255" s="13" t="b">
        <f aca="false">FALSE()</f>
        <v>0</v>
      </c>
      <c r="K255" s="4" t="s">
        <v>468</v>
      </c>
      <c r="L255" s="4" t="n">
        <v>3813.11</v>
      </c>
      <c r="M255" s="11" t="n">
        <f aca="false">IFERROR(MATCH(Controls!$B$3&amp;"|"&amp;B255,'Scenario inputs'!$A$4:$A$213,0),0)</f>
        <v>139</v>
      </c>
      <c r="N255" s="8" t="b">
        <f aca="false">IF(M255=0,FALSE(),F255&lt;Controls!$B$12)</f>
        <v>1</v>
      </c>
      <c r="O255" s="11" t="n">
        <f aca="false">IF(N255,IF(INDEX('Scenario inputs'!$E$4:$E$213,M255)=0,1,INDEX('Scenario inputs'!$F$4:$M$213,M255,MIN(MAX(F255-G255,0),INDEX('Scenario inputs'!$E$4:$E$213,M255)-1)+1)),0)</f>
        <v>1</v>
      </c>
      <c r="P255" s="11" t="n">
        <f aca="false">H255*O255</f>
        <v>57950</v>
      </c>
      <c r="Q255" s="0" t="str">
        <f aca="false">IF(M255=0,"",IF(ISNUMBER(INDEX('Scenario inputs'!$N$4:$N$213,M255)),INDEX('Scenario inputs'!$N$4:$N$213,M255),""))</f>
        <v/>
      </c>
      <c r="R255" s="0" t="str">
        <f aca="false">IF(NOT(N255),"",IF(OR(E255="cash",E255="revenue"),E255,IF(E255="avoided_cost",IF(AND(I255,LEN(TRIM(J255))&gt;0),"avoided_cost_realised","avoided_cost_beside"),IF(ISNUMBER(Q255),"capacity_converted","capacity_hours"))))</f>
        <v>revenue</v>
      </c>
      <c r="S255" s="11" t="n">
        <f aca="false">IF(OR(R255="",R255="capacity_hours"),0,IF(R255="capacity_converted",P255*Q255,P255))</f>
        <v>57950</v>
      </c>
      <c r="T255" s="11" t="n">
        <f aca="false">IF(OR(R255="cash",R255="revenue",R255="avoided_cost_realised",R255="capacity_converted"),1,0)</f>
        <v>1</v>
      </c>
      <c r="U255" s="11" t="n">
        <f aca="false">IF(AND(N255,R255&lt;&gt;"capacity_hours",LEN(K255)&gt;0),1,0)</f>
        <v>1</v>
      </c>
      <c r="V255" s="11" t="n">
        <f aca="false">IF(U255=1,SUMPRODUCT(($K$4:$K$703=K255)*($F$4:$F$703=F255)*($U$4:$U$703=1)*($B$4:$B$703&lt;&gt;B255)),0)</f>
        <v>0</v>
      </c>
      <c r="W255" s="11" t="n">
        <f aca="false">IF(AND(U255=1,V255&gt;0),1+SUMPRODUCT(($K$4:$K$703=K255)*($F$4:$F$703=F255)*($U$4:$U$703=1)*($S$4:$S$703&gt;S255))+SUMPRODUCT(($K$4:$K$703=K255)*($F$4:$F$703=F255)*($U$4:$U$703=1)*($S$4:$S$703=S255)*($T$4:$T$703&gt;T255))+SUMPRODUCT(($K$4:$K$703=K255)*($F$4:$F$703=F255)*($U$4:$U$703=1)*($S$4:$S$703=S255)*($T$4:$T$703=T255)*($C$4:$C$703&lt;C255))+SUMPRODUCT(($K$4:$K$703=K255)*($F$4:$F$703=F255)*($U$4:$U$703=1)*($S$4:$S$703=S255)*($T$4:$T$703=T255)*($C$4:$C$703=C255)*($D$4:$D$703&lt;D255)),0)</f>
        <v>0</v>
      </c>
      <c r="X255" s="11" t="n">
        <f aca="false">IF(AND(U255=1,V255&gt;0,W255&gt;1),S255,0)</f>
        <v>0</v>
      </c>
      <c r="Y255" s="11" t="n">
        <f aca="false">IF(T255=1,X255/(1+Controls!$B$11)^F255,0)</f>
        <v>0</v>
      </c>
      <c r="Z255" s="11" t="n">
        <f aca="false">IF(AND(N255,E255="capacity",LEN(K255)&gt;0),1,0)</f>
        <v>0</v>
      </c>
      <c r="AA255" s="11" t="n">
        <f aca="false">IF(Z255=1,SUMPRODUCT(($K$4:$K$703=K255)*($F$4:$F$703=F255)*($Z$4:$Z$703=1)*($B$4:$B$703&lt;&gt;B255)),0)</f>
        <v>0</v>
      </c>
      <c r="AB255" s="11" t="n">
        <f aca="false">IF(AND(Z255=1,AA255&gt;0),1+SUMPRODUCT(($K$4:$K$703=K255)*($F$4:$F$703=F255)*($Z$4:$Z$703=1)*($P$4:$P$703&gt;P255))+SUMPRODUCT(($K$4:$K$703=K255)*($F$4:$F$703=F255)*($Z$4:$Z$703=1)*($P$4:$P$703=P255)*($C$4:$C$703&lt;C255))+SUMPRODUCT(($K$4:$K$703=K255)*($F$4:$F$703=F255)*($Z$4:$Z$703=1)*($P$4:$P$703=P255)*($C$4:$C$703=C255)*($D$4:$D$703&lt;D255)),0)</f>
        <v>0</v>
      </c>
      <c r="AC255" s="11" t="n">
        <f aca="false">IF(AND(Z255=1,AA255&gt;0,AB255&gt;1),P255,0)</f>
        <v>0</v>
      </c>
    </row>
    <row r="256" customFormat="false" ht="15" hidden="false" customHeight="false" outlineLevel="0" collapsed="false">
      <c r="A256" s="4" t="s">
        <v>480</v>
      </c>
      <c r="B256" s="4" t="s">
        <v>90</v>
      </c>
      <c r="C256" s="4" t="n">
        <v>8</v>
      </c>
      <c r="D256" s="4" t="n">
        <v>253</v>
      </c>
      <c r="E256" s="4" t="s">
        <v>233</v>
      </c>
      <c r="F256" s="4" t="n">
        <v>3</v>
      </c>
      <c r="G256" s="4" t="n">
        <v>3</v>
      </c>
      <c r="H256" s="4" t="n">
        <v>818.56</v>
      </c>
      <c r="I256" s="13" t="b">
        <f aca="false">FALSE()</f>
        <v>0</v>
      </c>
      <c r="K256" s="4" t="s">
        <v>481</v>
      </c>
      <c r="L256" s="4" t="n">
        <v>4.89</v>
      </c>
      <c r="M256" s="11" t="n">
        <f aca="false">IFERROR(MATCH(Controls!$B$3&amp;"|"&amp;B256,'Scenario inputs'!$A$4:$A$213,0),0)</f>
        <v>139</v>
      </c>
      <c r="N256" s="8" t="b">
        <f aca="false">IF(M256=0,FALSE(),F256&lt;Controls!$B$12)</f>
        <v>1</v>
      </c>
      <c r="O256" s="11" t="n">
        <f aca="false">IF(N256,IF(INDEX('Scenario inputs'!$E$4:$E$213,M256)=0,1,INDEX('Scenario inputs'!$F$4:$M$213,M256,MIN(MAX(F256-G256,0),INDEX('Scenario inputs'!$E$4:$E$213,M256)-1)+1)),0)</f>
        <v>0.035714</v>
      </c>
      <c r="P256" s="11" t="n">
        <f aca="false">H256*O256</f>
        <v>29.23405184</v>
      </c>
      <c r="Q256" s="0" t="str">
        <f aca="false">IF(M256=0,"",IF(ISNUMBER(INDEX('Scenario inputs'!$N$4:$N$213,M256)),INDEX('Scenario inputs'!$N$4:$N$213,M256),""))</f>
        <v/>
      </c>
      <c r="R256" s="0" t="str">
        <f aca="false">IF(NOT(N256),"",IF(OR(E256="cash",E256="revenue"),E256,IF(E256="avoided_cost",IF(AND(I256,LEN(TRIM(J256))&gt;0),"avoided_cost_realised","avoided_cost_beside"),IF(ISNUMBER(Q256),"capacity_converted","capacity_hours"))))</f>
        <v>capacity_hours</v>
      </c>
      <c r="S256" s="11" t="n">
        <f aca="false">IF(OR(R256="",R256="capacity_hours"),0,IF(R256="capacity_converted",P256*Q256,P256))</f>
        <v>0</v>
      </c>
      <c r="T256" s="11" t="n">
        <f aca="false">IF(OR(R256="cash",R256="revenue",R256="avoided_cost_realised",R256="capacity_converted"),1,0)</f>
        <v>0</v>
      </c>
      <c r="U256" s="11" t="n">
        <f aca="false">IF(AND(N256,R256&lt;&gt;"capacity_hours",LEN(K256)&gt;0),1,0)</f>
        <v>0</v>
      </c>
      <c r="V256" s="11" t="n">
        <f aca="false">IF(U256=1,SUMPRODUCT(($K$4:$K$703=K256)*($F$4:$F$703=F256)*($U$4:$U$703=1)*($B$4:$B$703&lt;&gt;B256)),0)</f>
        <v>0</v>
      </c>
      <c r="W256" s="11" t="n">
        <f aca="false">IF(AND(U256=1,V256&gt;0),1+SUMPRODUCT(($K$4:$K$703=K256)*($F$4:$F$703=F256)*($U$4:$U$703=1)*($S$4:$S$703&gt;S256))+SUMPRODUCT(($K$4:$K$703=K256)*($F$4:$F$703=F256)*($U$4:$U$703=1)*($S$4:$S$703=S256)*($T$4:$T$703&gt;T256))+SUMPRODUCT(($K$4:$K$703=K256)*($F$4:$F$703=F256)*($U$4:$U$703=1)*($S$4:$S$703=S256)*($T$4:$T$703=T256)*($C$4:$C$703&lt;C256))+SUMPRODUCT(($K$4:$K$703=K256)*($F$4:$F$703=F256)*($U$4:$U$703=1)*($S$4:$S$703=S256)*($T$4:$T$703=T256)*($C$4:$C$703=C256)*($D$4:$D$703&lt;D256)),0)</f>
        <v>0</v>
      </c>
      <c r="X256" s="11" t="n">
        <f aca="false">IF(AND(U256=1,V256&gt;0,W256&gt;1),S256,0)</f>
        <v>0</v>
      </c>
      <c r="Y256" s="11" t="n">
        <f aca="false">IF(T256=1,X256/(1+Controls!$B$11)^F256,0)</f>
        <v>0</v>
      </c>
      <c r="Z256" s="11" t="n">
        <f aca="false">IF(AND(N256,E256="capacity",LEN(K256)&gt;0),1,0)</f>
        <v>1</v>
      </c>
      <c r="AA256" s="11" t="n">
        <f aca="false">IF(Z256=1,SUMPRODUCT(($K$4:$K$703=K256)*($F$4:$F$703=F256)*($Z$4:$Z$703=1)*($B$4:$B$703&lt;&gt;B256)),0)</f>
        <v>0</v>
      </c>
      <c r="AB256" s="11" t="n">
        <f aca="false">IF(AND(Z256=1,AA256&gt;0),1+SUMPRODUCT(($K$4:$K$703=K256)*($F$4:$F$703=F256)*($Z$4:$Z$703=1)*($P$4:$P$703&gt;P256))+SUMPRODUCT(($K$4:$K$703=K256)*($F$4:$F$703=F256)*($Z$4:$Z$703=1)*($P$4:$P$703=P256)*($C$4:$C$703&lt;C256))+SUMPRODUCT(($K$4:$K$703=K256)*($F$4:$F$703=F256)*($Z$4:$Z$703=1)*($P$4:$P$703=P256)*($C$4:$C$703=C256)*($D$4:$D$703&lt;D256)),0)</f>
        <v>0</v>
      </c>
      <c r="AC256" s="11" t="n">
        <f aca="false">IF(AND(Z256=1,AA256&gt;0,AB256&gt;1),P256,0)</f>
        <v>0</v>
      </c>
    </row>
    <row r="257" customFormat="false" ht="15" hidden="false" customHeight="false" outlineLevel="0" collapsed="false">
      <c r="A257" s="4" t="s">
        <v>482</v>
      </c>
      <c r="B257" s="4" t="s">
        <v>90</v>
      </c>
      <c r="C257" s="4" t="n">
        <v>8</v>
      </c>
      <c r="D257" s="4" t="n">
        <v>254</v>
      </c>
      <c r="E257" s="4" t="s">
        <v>233</v>
      </c>
      <c r="F257" s="4" t="n">
        <v>4</v>
      </c>
      <c r="G257" s="4" t="n">
        <v>3</v>
      </c>
      <c r="H257" s="4" t="n">
        <v>818.56</v>
      </c>
      <c r="I257" s="13" t="b">
        <f aca="false">FALSE()</f>
        <v>0</v>
      </c>
      <c r="K257" s="4" t="s">
        <v>481</v>
      </c>
      <c r="L257" s="4" t="n">
        <v>14.98</v>
      </c>
      <c r="M257" s="11" t="n">
        <f aca="false">IFERROR(MATCH(Controls!$B$3&amp;"|"&amp;B257,'Scenario inputs'!$A$4:$A$213,0),0)</f>
        <v>139</v>
      </c>
      <c r="N257" s="8" t="b">
        <f aca="false">IF(M257=0,FALSE(),F257&lt;Controls!$B$12)</f>
        <v>1</v>
      </c>
      <c r="O257" s="11" t="n">
        <f aca="false">IF(N257,IF(INDEX('Scenario inputs'!$E$4:$E$213,M257)=0,1,INDEX('Scenario inputs'!$F$4:$M$213,M257,MIN(MAX(F257-G257,0),INDEX('Scenario inputs'!$E$4:$E$213,M257)-1)+1)),0)</f>
        <v>0.107143</v>
      </c>
      <c r="P257" s="11" t="n">
        <f aca="false">H257*O257</f>
        <v>87.70297408</v>
      </c>
      <c r="Q257" s="0" t="str">
        <f aca="false">IF(M257=0,"",IF(ISNUMBER(INDEX('Scenario inputs'!$N$4:$N$213,M257)),INDEX('Scenario inputs'!$N$4:$N$213,M257),""))</f>
        <v/>
      </c>
      <c r="R257" s="0" t="str">
        <f aca="false">IF(NOT(N257),"",IF(OR(E257="cash",E257="revenue"),E257,IF(E257="avoided_cost",IF(AND(I257,LEN(TRIM(J257))&gt;0),"avoided_cost_realised","avoided_cost_beside"),IF(ISNUMBER(Q257),"capacity_converted","capacity_hours"))))</f>
        <v>capacity_hours</v>
      </c>
      <c r="S257" s="11" t="n">
        <f aca="false">IF(OR(R257="",R257="capacity_hours"),0,IF(R257="capacity_converted",P257*Q257,P257))</f>
        <v>0</v>
      </c>
      <c r="T257" s="11" t="n">
        <f aca="false">IF(OR(R257="cash",R257="revenue",R257="avoided_cost_realised",R257="capacity_converted"),1,0)</f>
        <v>0</v>
      </c>
      <c r="U257" s="11" t="n">
        <f aca="false">IF(AND(N257,R257&lt;&gt;"capacity_hours",LEN(K257)&gt;0),1,0)</f>
        <v>0</v>
      </c>
      <c r="V257" s="11" t="n">
        <f aca="false">IF(U257=1,SUMPRODUCT(($K$4:$K$703=K257)*($F$4:$F$703=F257)*($U$4:$U$703=1)*($B$4:$B$703&lt;&gt;B257)),0)</f>
        <v>0</v>
      </c>
      <c r="W257" s="11" t="n">
        <f aca="false">IF(AND(U257=1,V257&gt;0),1+SUMPRODUCT(($K$4:$K$703=K257)*($F$4:$F$703=F257)*($U$4:$U$703=1)*($S$4:$S$703&gt;S257))+SUMPRODUCT(($K$4:$K$703=K257)*($F$4:$F$703=F257)*($U$4:$U$703=1)*($S$4:$S$703=S257)*($T$4:$T$703&gt;T257))+SUMPRODUCT(($K$4:$K$703=K257)*($F$4:$F$703=F257)*($U$4:$U$703=1)*($S$4:$S$703=S257)*($T$4:$T$703=T257)*($C$4:$C$703&lt;C257))+SUMPRODUCT(($K$4:$K$703=K257)*($F$4:$F$703=F257)*($U$4:$U$703=1)*($S$4:$S$703=S257)*($T$4:$T$703=T257)*($C$4:$C$703=C257)*($D$4:$D$703&lt;D257)),0)</f>
        <v>0</v>
      </c>
      <c r="X257" s="11" t="n">
        <f aca="false">IF(AND(U257=1,V257&gt;0,W257&gt;1),S257,0)</f>
        <v>0</v>
      </c>
      <c r="Y257" s="11" t="n">
        <f aca="false">IF(T257=1,X257/(1+Controls!$B$11)^F257,0)</f>
        <v>0</v>
      </c>
      <c r="Z257" s="11" t="n">
        <f aca="false">IF(AND(N257,E257="capacity",LEN(K257)&gt;0),1,0)</f>
        <v>1</v>
      </c>
      <c r="AA257" s="11" t="n">
        <f aca="false">IF(Z257=1,SUMPRODUCT(($K$4:$K$703=K257)*($F$4:$F$703=F257)*($Z$4:$Z$703=1)*($B$4:$B$703&lt;&gt;B257)),0)</f>
        <v>0</v>
      </c>
      <c r="AB257" s="11" t="n">
        <f aca="false">IF(AND(Z257=1,AA257&gt;0),1+SUMPRODUCT(($K$4:$K$703=K257)*($F$4:$F$703=F257)*($Z$4:$Z$703=1)*($P$4:$P$703&gt;P257))+SUMPRODUCT(($K$4:$K$703=K257)*($F$4:$F$703=F257)*($Z$4:$Z$703=1)*($P$4:$P$703=P257)*($C$4:$C$703&lt;C257))+SUMPRODUCT(($K$4:$K$703=K257)*($F$4:$F$703=F257)*($Z$4:$Z$703=1)*($P$4:$P$703=P257)*($C$4:$C$703=C257)*($D$4:$D$703&lt;D257)),0)</f>
        <v>0</v>
      </c>
      <c r="AC257" s="11" t="n">
        <f aca="false">IF(AND(Z257=1,AA257&gt;0,AB257&gt;1),P257,0)</f>
        <v>0</v>
      </c>
    </row>
    <row r="258" customFormat="false" ht="15" hidden="false" customHeight="false" outlineLevel="0" collapsed="false">
      <c r="A258" s="4" t="s">
        <v>483</v>
      </c>
      <c r="B258" s="4" t="s">
        <v>90</v>
      </c>
      <c r="C258" s="4" t="n">
        <v>8</v>
      </c>
      <c r="D258" s="4" t="n">
        <v>255</v>
      </c>
      <c r="E258" s="4" t="s">
        <v>233</v>
      </c>
      <c r="F258" s="4" t="n">
        <v>5</v>
      </c>
      <c r="G258" s="4" t="n">
        <v>3</v>
      </c>
      <c r="H258" s="4" t="n">
        <v>818.56</v>
      </c>
      <c r="I258" s="13" t="b">
        <f aca="false">FALSE()</f>
        <v>0</v>
      </c>
      <c r="K258" s="4" t="s">
        <v>481</v>
      </c>
      <c r="L258" s="4" t="n">
        <v>31.16</v>
      </c>
      <c r="M258" s="11" t="n">
        <f aca="false">IFERROR(MATCH(Controls!$B$3&amp;"|"&amp;B258,'Scenario inputs'!$A$4:$A$213,0),0)</f>
        <v>139</v>
      </c>
      <c r="N258" s="8" t="b">
        <f aca="false">IF(M258=0,FALSE(),F258&lt;Controls!$B$12)</f>
        <v>1</v>
      </c>
      <c r="O258" s="11" t="n">
        <f aca="false">IF(N258,IF(INDEX('Scenario inputs'!$E$4:$E$213,M258)=0,1,INDEX('Scenario inputs'!$F$4:$M$213,M258,MIN(MAX(F258-G258,0),INDEX('Scenario inputs'!$E$4:$E$213,M258)-1)+1)),0)</f>
        <v>0.214286</v>
      </c>
      <c r="P258" s="11" t="n">
        <f aca="false">H258*O258</f>
        <v>175.40594816</v>
      </c>
      <c r="Q258" s="0" t="str">
        <f aca="false">IF(M258=0,"",IF(ISNUMBER(INDEX('Scenario inputs'!$N$4:$N$213,M258)),INDEX('Scenario inputs'!$N$4:$N$213,M258),""))</f>
        <v/>
      </c>
      <c r="R258" s="0" t="str">
        <f aca="false">IF(NOT(N258),"",IF(OR(E258="cash",E258="revenue"),E258,IF(E258="avoided_cost",IF(AND(I258,LEN(TRIM(J258))&gt;0),"avoided_cost_realised","avoided_cost_beside"),IF(ISNUMBER(Q258),"capacity_converted","capacity_hours"))))</f>
        <v>capacity_hours</v>
      </c>
      <c r="S258" s="11" t="n">
        <f aca="false">IF(OR(R258="",R258="capacity_hours"),0,IF(R258="capacity_converted",P258*Q258,P258))</f>
        <v>0</v>
      </c>
      <c r="T258" s="11" t="n">
        <f aca="false">IF(OR(R258="cash",R258="revenue",R258="avoided_cost_realised",R258="capacity_converted"),1,0)</f>
        <v>0</v>
      </c>
      <c r="U258" s="11" t="n">
        <f aca="false">IF(AND(N258,R258&lt;&gt;"capacity_hours",LEN(K258)&gt;0),1,0)</f>
        <v>0</v>
      </c>
      <c r="V258" s="11" t="n">
        <f aca="false">IF(U258=1,SUMPRODUCT(($K$4:$K$703=K258)*($F$4:$F$703=F258)*($U$4:$U$703=1)*($B$4:$B$703&lt;&gt;B258)),0)</f>
        <v>0</v>
      </c>
      <c r="W258" s="11" t="n">
        <f aca="false">IF(AND(U258=1,V258&gt;0),1+SUMPRODUCT(($K$4:$K$703=K258)*($F$4:$F$703=F258)*($U$4:$U$703=1)*($S$4:$S$703&gt;S258))+SUMPRODUCT(($K$4:$K$703=K258)*($F$4:$F$703=F258)*($U$4:$U$703=1)*($S$4:$S$703=S258)*($T$4:$T$703&gt;T258))+SUMPRODUCT(($K$4:$K$703=K258)*($F$4:$F$703=F258)*($U$4:$U$703=1)*($S$4:$S$703=S258)*($T$4:$T$703=T258)*($C$4:$C$703&lt;C258))+SUMPRODUCT(($K$4:$K$703=K258)*($F$4:$F$703=F258)*($U$4:$U$703=1)*($S$4:$S$703=S258)*($T$4:$T$703=T258)*($C$4:$C$703=C258)*($D$4:$D$703&lt;D258)),0)</f>
        <v>0</v>
      </c>
      <c r="X258" s="11" t="n">
        <f aca="false">IF(AND(U258=1,V258&gt;0,W258&gt;1),S258,0)</f>
        <v>0</v>
      </c>
      <c r="Y258" s="11" t="n">
        <f aca="false">IF(T258=1,X258/(1+Controls!$B$11)^F258,0)</f>
        <v>0</v>
      </c>
      <c r="Z258" s="11" t="n">
        <f aca="false">IF(AND(N258,E258="capacity",LEN(K258)&gt;0),1,0)</f>
        <v>1</v>
      </c>
      <c r="AA258" s="11" t="n">
        <f aca="false">IF(Z258=1,SUMPRODUCT(($K$4:$K$703=K258)*($F$4:$F$703=F258)*($Z$4:$Z$703=1)*($B$4:$B$703&lt;&gt;B258)),0)</f>
        <v>0</v>
      </c>
      <c r="AB258" s="11" t="n">
        <f aca="false">IF(AND(Z258=1,AA258&gt;0),1+SUMPRODUCT(($K$4:$K$703=K258)*($F$4:$F$703=F258)*($Z$4:$Z$703=1)*($P$4:$P$703&gt;P258))+SUMPRODUCT(($K$4:$K$703=K258)*($F$4:$F$703=F258)*($Z$4:$Z$703=1)*($P$4:$P$703=P258)*($C$4:$C$703&lt;C258))+SUMPRODUCT(($K$4:$K$703=K258)*($F$4:$F$703=F258)*($Z$4:$Z$703=1)*($P$4:$P$703=P258)*($C$4:$C$703=C258)*($D$4:$D$703&lt;D258)),0)</f>
        <v>0</v>
      </c>
      <c r="AC258" s="11" t="n">
        <f aca="false">IF(AND(Z258=1,AA258&gt;0,AB258&gt;1),P258,0)</f>
        <v>0</v>
      </c>
    </row>
    <row r="259" customFormat="false" ht="15" hidden="false" customHeight="false" outlineLevel="0" collapsed="false">
      <c r="A259" s="4" t="s">
        <v>484</v>
      </c>
      <c r="B259" s="4" t="s">
        <v>90</v>
      </c>
      <c r="C259" s="4" t="n">
        <v>8</v>
      </c>
      <c r="D259" s="4" t="n">
        <v>256</v>
      </c>
      <c r="E259" s="4" t="s">
        <v>233</v>
      </c>
      <c r="F259" s="4" t="n">
        <v>6</v>
      </c>
      <c r="G259" s="4" t="n">
        <v>3</v>
      </c>
      <c r="H259" s="4" t="n">
        <v>818.56</v>
      </c>
      <c r="I259" s="13" t="b">
        <f aca="false">FALSE()</f>
        <v>0</v>
      </c>
      <c r="K259" s="4" t="s">
        <v>481</v>
      </c>
      <c r="L259" s="4" t="n">
        <v>50.93</v>
      </c>
      <c r="M259" s="11" t="n">
        <f aca="false">IFERROR(MATCH(Controls!$B$3&amp;"|"&amp;B259,'Scenario inputs'!$A$4:$A$213,0),0)</f>
        <v>139</v>
      </c>
      <c r="N259" s="8" t="b">
        <f aca="false">IF(M259=0,FALSE(),F259&lt;Controls!$B$12)</f>
        <v>1</v>
      </c>
      <c r="O259" s="11" t="n">
        <f aca="false">IF(N259,IF(INDEX('Scenario inputs'!$E$4:$E$213,M259)=0,1,INDEX('Scenario inputs'!$F$4:$M$213,M259,MIN(MAX(F259-G259,0),INDEX('Scenario inputs'!$E$4:$E$213,M259)-1)+1)),0)</f>
        <v>0.357143</v>
      </c>
      <c r="P259" s="11" t="n">
        <f aca="false">H259*O259</f>
        <v>292.34297408</v>
      </c>
      <c r="Q259" s="0" t="str">
        <f aca="false">IF(M259=0,"",IF(ISNUMBER(INDEX('Scenario inputs'!$N$4:$N$213,M259)),INDEX('Scenario inputs'!$N$4:$N$213,M259),""))</f>
        <v/>
      </c>
      <c r="R259" s="0" t="str">
        <f aca="false">IF(NOT(N259),"",IF(OR(E259="cash",E259="revenue"),E259,IF(E259="avoided_cost",IF(AND(I259,LEN(TRIM(J259))&gt;0),"avoided_cost_realised","avoided_cost_beside"),IF(ISNUMBER(Q259),"capacity_converted","capacity_hours"))))</f>
        <v>capacity_hours</v>
      </c>
      <c r="S259" s="11" t="n">
        <f aca="false">IF(OR(R259="",R259="capacity_hours"),0,IF(R259="capacity_converted",P259*Q259,P259))</f>
        <v>0</v>
      </c>
      <c r="T259" s="11" t="n">
        <f aca="false">IF(OR(R259="cash",R259="revenue",R259="avoided_cost_realised",R259="capacity_converted"),1,0)</f>
        <v>0</v>
      </c>
      <c r="U259" s="11" t="n">
        <f aca="false">IF(AND(N259,R259&lt;&gt;"capacity_hours",LEN(K259)&gt;0),1,0)</f>
        <v>0</v>
      </c>
      <c r="V259" s="11" t="n">
        <f aca="false">IF(U259=1,SUMPRODUCT(($K$4:$K$703=K259)*($F$4:$F$703=F259)*($U$4:$U$703=1)*($B$4:$B$703&lt;&gt;B259)),0)</f>
        <v>0</v>
      </c>
      <c r="W259" s="11" t="n">
        <f aca="false">IF(AND(U259=1,V259&gt;0),1+SUMPRODUCT(($K$4:$K$703=K259)*($F$4:$F$703=F259)*($U$4:$U$703=1)*($S$4:$S$703&gt;S259))+SUMPRODUCT(($K$4:$K$703=K259)*($F$4:$F$703=F259)*($U$4:$U$703=1)*($S$4:$S$703=S259)*($T$4:$T$703&gt;T259))+SUMPRODUCT(($K$4:$K$703=K259)*($F$4:$F$703=F259)*($U$4:$U$703=1)*($S$4:$S$703=S259)*($T$4:$T$703=T259)*($C$4:$C$703&lt;C259))+SUMPRODUCT(($K$4:$K$703=K259)*($F$4:$F$703=F259)*($U$4:$U$703=1)*($S$4:$S$703=S259)*($T$4:$T$703=T259)*($C$4:$C$703=C259)*($D$4:$D$703&lt;D259)),0)</f>
        <v>0</v>
      </c>
      <c r="X259" s="11" t="n">
        <f aca="false">IF(AND(U259=1,V259&gt;0,W259&gt;1),S259,0)</f>
        <v>0</v>
      </c>
      <c r="Y259" s="11" t="n">
        <f aca="false">IF(T259=1,X259/(1+Controls!$B$11)^F259,0)</f>
        <v>0</v>
      </c>
      <c r="Z259" s="11" t="n">
        <f aca="false">IF(AND(N259,E259="capacity",LEN(K259)&gt;0),1,0)</f>
        <v>1</v>
      </c>
      <c r="AA259" s="11" t="n">
        <f aca="false">IF(Z259=1,SUMPRODUCT(($K$4:$K$703=K259)*($F$4:$F$703=F259)*($Z$4:$Z$703=1)*($B$4:$B$703&lt;&gt;B259)),0)</f>
        <v>0</v>
      </c>
      <c r="AB259" s="11" t="n">
        <f aca="false">IF(AND(Z259=1,AA259&gt;0),1+SUMPRODUCT(($K$4:$K$703=K259)*($F$4:$F$703=F259)*($Z$4:$Z$703=1)*($P$4:$P$703&gt;P259))+SUMPRODUCT(($K$4:$K$703=K259)*($F$4:$F$703=F259)*($Z$4:$Z$703=1)*($P$4:$P$703=P259)*($C$4:$C$703&lt;C259))+SUMPRODUCT(($K$4:$K$703=K259)*($F$4:$F$703=F259)*($Z$4:$Z$703=1)*($P$4:$P$703=P259)*($C$4:$C$703=C259)*($D$4:$D$703&lt;D259)),0)</f>
        <v>0</v>
      </c>
      <c r="AC259" s="11" t="n">
        <f aca="false">IF(AND(Z259=1,AA259&gt;0,AB259&gt;1),P259,0)</f>
        <v>0</v>
      </c>
    </row>
    <row r="260" customFormat="false" ht="15" hidden="false" customHeight="false" outlineLevel="0" collapsed="false">
      <c r="A260" s="4" t="s">
        <v>485</v>
      </c>
      <c r="B260" s="4" t="s">
        <v>90</v>
      </c>
      <c r="C260" s="4" t="n">
        <v>8</v>
      </c>
      <c r="D260" s="4" t="n">
        <v>257</v>
      </c>
      <c r="E260" s="4" t="s">
        <v>233</v>
      </c>
      <c r="F260" s="4" t="n">
        <v>7</v>
      </c>
      <c r="G260" s="4" t="n">
        <v>3</v>
      </c>
      <c r="H260" s="4" t="n">
        <v>818.56</v>
      </c>
      <c r="I260" s="13" t="b">
        <f aca="false">FALSE()</f>
        <v>0</v>
      </c>
      <c r="K260" s="4" t="s">
        <v>481</v>
      </c>
      <c r="L260" s="4" t="n">
        <v>75.65</v>
      </c>
      <c r="M260" s="11" t="n">
        <f aca="false">IFERROR(MATCH(Controls!$B$3&amp;"|"&amp;B260,'Scenario inputs'!$A$4:$A$213,0),0)</f>
        <v>139</v>
      </c>
      <c r="N260" s="8" t="b">
        <f aca="false">IF(M260=0,FALSE(),F260&lt;Controls!$B$12)</f>
        <v>1</v>
      </c>
      <c r="O260" s="11" t="n">
        <f aca="false">IF(N260,IF(INDEX('Scenario inputs'!$E$4:$E$213,M260)=0,1,INDEX('Scenario inputs'!$F$4:$M$213,M260,MIN(MAX(F260-G260,0),INDEX('Scenario inputs'!$E$4:$E$213,M260)-1)+1)),0)</f>
        <v>0.535714</v>
      </c>
      <c r="P260" s="11" t="n">
        <f aca="false">H260*O260</f>
        <v>438.51405184</v>
      </c>
      <c r="Q260" s="0" t="str">
        <f aca="false">IF(M260=0,"",IF(ISNUMBER(INDEX('Scenario inputs'!$N$4:$N$213,M260)),INDEX('Scenario inputs'!$N$4:$N$213,M260),""))</f>
        <v/>
      </c>
      <c r="R260" s="0" t="str">
        <f aca="false">IF(NOT(N260),"",IF(OR(E260="cash",E260="revenue"),E260,IF(E260="avoided_cost",IF(AND(I260,LEN(TRIM(J260))&gt;0),"avoided_cost_realised","avoided_cost_beside"),IF(ISNUMBER(Q260),"capacity_converted","capacity_hours"))))</f>
        <v>capacity_hours</v>
      </c>
      <c r="S260" s="11" t="n">
        <f aca="false">IF(OR(R260="",R260="capacity_hours"),0,IF(R260="capacity_converted",P260*Q260,P260))</f>
        <v>0</v>
      </c>
      <c r="T260" s="11" t="n">
        <f aca="false">IF(OR(R260="cash",R260="revenue",R260="avoided_cost_realised",R260="capacity_converted"),1,0)</f>
        <v>0</v>
      </c>
      <c r="U260" s="11" t="n">
        <f aca="false">IF(AND(N260,R260&lt;&gt;"capacity_hours",LEN(K260)&gt;0),1,0)</f>
        <v>0</v>
      </c>
      <c r="V260" s="11" t="n">
        <f aca="false">IF(U260=1,SUMPRODUCT(($K$4:$K$703=K260)*($F$4:$F$703=F260)*($U$4:$U$703=1)*($B$4:$B$703&lt;&gt;B260)),0)</f>
        <v>0</v>
      </c>
      <c r="W260" s="11" t="n">
        <f aca="false">IF(AND(U260=1,V260&gt;0),1+SUMPRODUCT(($K$4:$K$703=K260)*($F$4:$F$703=F260)*($U$4:$U$703=1)*($S$4:$S$703&gt;S260))+SUMPRODUCT(($K$4:$K$703=K260)*($F$4:$F$703=F260)*($U$4:$U$703=1)*($S$4:$S$703=S260)*($T$4:$T$703&gt;T260))+SUMPRODUCT(($K$4:$K$703=K260)*($F$4:$F$703=F260)*($U$4:$U$703=1)*($S$4:$S$703=S260)*($T$4:$T$703=T260)*($C$4:$C$703&lt;C260))+SUMPRODUCT(($K$4:$K$703=K260)*($F$4:$F$703=F260)*($U$4:$U$703=1)*($S$4:$S$703=S260)*($T$4:$T$703=T260)*($C$4:$C$703=C260)*($D$4:$D$703&lt;D260)),0)</f>
        <v>0</v>
      </c>
      <c r="X260" s="11" t="n">
        <f aca="false">IF(AND(U260=1,V260&gt;0,W260&gt;1),S260,0)</f>
        <v>0</v>
      </c>
      <c r="Y260" s="11" t="n">
        <f aca="false">IF(T260=1,X260/(1+Controls!$B$11)^F260,0)</f>
        <v>0</v>
      </c>
      <c r="Z260" s="11" t="n">
        <f aca="false">IF(AND(N260,E260="capacity",LEN(K260)&gt;0),1,0)</f>
        <v>1</v>
      </c>
      <c r="AA260" s="11" t="n">
        <f aca="false">IF(Z260=1,SUMPRODUCT(($K$4:$K$703=K260)*($F$4:$F$703=F260)*($Z$4:$Z$703=1)*($B$4:$B$703&lt;&gt;B260)),0)</f>
        <v>0</v>
      </c>
      <c r="AB260" s="11" t="n">
        <f aca="false">IF(AND(Z260=1,AA260&gt;0),1+SUMPRODUCT(($K$4:$K$703=K260)*($F$4:$F$703=F260)*($Z$4:$Z$703=1)*($P$4:$P$703&gt;P260))+SUMPRODUCT(($K$4:$K$703=K260)*($F$4:$F$703=F260)*($Z$4:$Z$703=1)*($P$4:$P$703=P260)*($C$4:$C$703&lt;C260))+SUMPRODUCT(($K$4:$K$703=K260)*($F$4:$F$703=F260)*($Z$4:$Z$703=1)*($P$4:$P$703=P260)*($C$4:$C$703=C260)*($D$4:$D$703&lt;D260)),0)</f>
        <v>0</v>
      </c>
      <c r="AC260" s="11" t="n">
        <f aca="false">IF(AND(Z260=1,AA260&gt;0,AB260&gt;1),P260,0)</f>
        <v>0</v>
      </c>
    </row>
    <row r="261" customFormat="false" ht="15" hidden="false" customHeight="false" outlineLevel="0" collapsed="false">
      <c r="A261" s="4" t="s">
        <v>486</v>
      </c>
      <c r="B261" s="4" t="s">
        <v>90</v>
      </c>
      <c r="C261" s="4" t="n">
        <v>8</v>
      </c>
      <c r="D261" s="4" t="n">
        <v>258</v>
      </c>
      <c r="E261" s="4" t="s">
        <v>233</v>
      </c>
      <c r="F261" s="4" t="n">
        <v>8</v>
      </c>
      <c r="G261" s="4" t="n">
        <v>3</v>
      </c>
      <c r="H261" s="4" t="n">
        <v>818.56</v>
      </c>
      <c r="I261" s="13" t="b">
        <f aca="false">FALSE()</f>
        <v>0</v>
      </c>
      <c r="K261" s="4" t="s">
        <v>481</v>
      </c>
      <c r="L261" s="4" t="n">
        <v>101.71</v>
      </c>
      <c r="M261" s="11" t="n">
        <f aca="false">IFERROR(MATCH(Controls!$B$3&amp;"|"&amp;B261,'Scenario inputs'!$A$4:$A$213,0),0)</f>
        <v>139</v>
      </c>
      <c r="N261" s="8" t="b">
        <f aca="false">IF(M261=0,FALSE(),F261&lt;Controls!$B$12)</f>
        <v>1</v>
      </c>
      <c r="O261" s="11" t="n">
        <f aca="false">IF(N261,IF(INDEX('Scenario inputs'!$E$4:$E$213,M261)=0,1,INDEX('Scenario inputs'!$F$4:$M$213,M261,MIN(MAX(F261-G261,0),INDEX('Scenario inputs'!$E$4:$E$213,M261)-1)+1)),0)</f>
        <v>0.75</v>
      </c>
      <c r="P261" s="11" t="n">
        <f aca="false">H261*O261</f>
        <v>613.92</v>
      </c>
      <c r="Q261" s="0" t="str">
        <f aca="false">IF(M261=0,"",IF(ISNUMBER(INDEX('Scenario inputs'!$N$4:$N$213,M261)),INDEX('Scenario inputs'!$N$4:$N$213,M261),""))</f>
        <v/>
      </c>
      <c r="R261" s="0" t="str">
        <f aca="false">IF(NOT(N261),"",IF(OR(E261="cash",E261="revenue"),E261,IF(E261="avoided_cost",IF(AND(I261,LEN(TRIM(J261))&gt;0),"avoided_cost_realised","avoided_cost_beside"),IF(ISNUMBER(Q261),"capacity_converted","capacity_hours"))))</f>
        <v>capacity_hours</v>
      </c>
      <c r="S261" s="11" t="n">
        <f aca="false">IF(OR(R261="",R261="capacity_hours"),0,IF(R261="capacity_converted",P261*Q261,P261))</f>
        <v>0</v>
      </c>
      <c r="T261" s="11" t="n">
        <f aca="false">IF(OR(R261="cash",R261="revenue",R261="avoided_cost_realised",R261="capacity_converted"),1,0)</f>
        <v>0</v>
      </c>
      <c r="U261" s="11" t="n">
        <f aca="false">IF(AND(N261,R261&lt;&gt;"capacity_hours",LEN(K261)&gt;0),1,0)</f>
        <v>0</v>
      </c>
      <c r="V261" s="11" t="n">
        <f aca="false">IF(U261=1,SUMPRODUCT(($K$4:$K$703=K261)*($F$4:$F$703=F261)*($U$4:$U$703=1)*($B$4:$B$703&lt;&gt;B261)),0)</f>
        <v>0</v>
      </c>
      <c r="W261" s="11" t="n">
        <f aca="false">IF(AND(U261=1,V261&gt;0),1+SUMPRODUCT(($K$4:$K$703=K261)*($F$4:$F$703=F261)*($U$4:$U$703=1)*($S$4:$S$703&gt;S261))+SUMPRODUCT(($K$4:$K$703=K261)*($F$4:$F$703=F261)*($U$4:$U$703=1)*($S$4:$S$703=S261)*($T$4:$T$703&gt;T261))+SUMPRODUCT(($K$4:$K$703=K261)*($F$4:$F$703=F261)*($U$4:$U$703=1)*($S$4:$S$703=S261)*($T$4:$T$703=T261)*($C$4:$C$703&lt;C261))+SUMPRODUCT(($K$4:$K$703=K261)*($F$4:$F$703=F261)*($U$4:$U$703=1)*($S$4:$S$703=S261)*($T$4:$T$703=T261)*($C$4:$C$703=C261)*($D$4:$D$703&lt;D261)),0)</f>
        <v>0</v>
      </c>
      <c r="X261" s="11" t="n">
        <f aca="false">IF(AND(U261=1,V261&gt;0,W261&gt;1),S261,0)</f>
        <v>0</v>
      </c>
      <c r="Y261" s="11" t="n">
        <f aca="false">IF(T261=1,X261/(1+Controls!$B$11)^F261,0)</f>
        <v>0</v>
      </c>
      <c r="Z261" s="11" t="n">
        <f aca="false">IF(AND(N261,E261="capacity",LEN(K261)&gt;0),1,0)</f>
        <v>1</v>
      </c>
      <c r="AA261" s="11" t="n">
        <f aca="false">IF(Z261=1,SUMPRODUCT(($K$4:$K$703=K261)*($F$4:$F$703=F261)*($Z$4:$Z$703=1)*($B$4:$B$703&lt;&gt;B261)),0)</f>
        <v>0</v>
      </c>
      <c r="AB261" s="11" t="n">
        <f aca="false">IF(AND(Z261=1,AA261&gt;0),1+SUMPRODUCT(($K$4:$K$703=K261)*($F$4:$F$703=F261)*($Z$4:$Z$703=1)*($P$4:$P$703&gt;P261))+SUMPRODUCT(($K$4:$K$703=K261)*($F$4:$F$703=F261)*($Z$4:$Z$703=1)*($P$4:$P$703=P261)*($C$4:$C$703&lt;C261))+SUMPRODUCT(($K$4:$K$703=K261)*($F$4:$F$703=F261)*($Z$4:$Z$703=1)*($P$4:$P$703=P261)*($C$4:$C$703=C261)*($D$4:$D$703&lt;D261)),0)</f>
        <v>0</v>
      </c>
      <c r="AC261" s="11" t="n">
        <f aca="false">IF(AND(Z261=1,AA261&gt;0,AB261&gt;1),P261,0)</f>
        <v>0</v>
      </c>
    </row>
    <row r="262" customFormat="false" ht="15" hidden="false" customHeight="false" outlineLevel="0" collapsed="false">
      <c r="A262" s="4" t="s">
        <v>487</v>
      </c>
      <c r="B262" s="4" t="s">
        <v>90</v>
      </c>
      <c r="C262" s="4" t="n">
        <v>8</v>
      </c>
      <c r="D262" s="4" t="n">
        <v>259</v>
      </c>
      <c r="E262" s="4" t="s">
        <v>233</v>
      </c>
      <c r="F262" s="4" t="n">
        <v>9</v>
      </c>
      <c r="G262" s="4" t="n">
        <v>3</v>
      </c>
      <c r="H262" s="4" t="n">
        <v>818.56</v>
      </c>
      <c r="I262" s="13" t="b">
        <f aca="false">FALSE()</f>
        <v>0</v>
      </c>
      <c r="K262" s="4" t="s">
        <v>481</v>
      </c>
      <c r="L262" s="4" t="n">
        <v>176.97</v>
      </c>
      <c r="M262" s="11" t="n">
        <f aca="false">IFERROR(MATCH(Controls!$B$3&amp;"|"&amp;B262,'Scenario inputs'!$A$4:$A$213,0),0)</f>
        <v>139</v>
      </c>
      <c r="N262" s="8" t="b">
        <f aca="false">IF(M262=0,FALSE(),F262&lt;Controls!$B$12)</f>
        <v>1</v>
      </c>
      <c r="O262" s="11" t="n">
        <f aca="false">IF(N262,IF(INDEX('Scenario inputs'!$E$4:$E$213,M262)=0,1,INDEX('Scenario inputs'!$F$4:$M$213,M262,MIN(MAX(F262-G262,0),INDEX('Scenario inputs'!$E$4:$E$213,M262)-1)+1)),0)</f>
        <v>1</v>
      </c>
      <c r="P262" s="11" t="n">
        <f aca="false">H262*O262</f>
        <v>818.56</v>
      </c>
      <c r="Q262" s="0" t="str">
        <f aca="false">IF(M262=0,"",IF(ISNUMBER(INDEX('Scenario inputs'!$N$4:$N$213,M262)),INDEX('Scenario inputs'!$N$4:$N$213,M262),""))</f>
        <v/>
      </c>
      <c r="R262" s="0" t="str">
        <f aca="false">IF(NOT(N262),"",IF(OR(E262="cash",E262="revenue"),E262,IF(E262="avoided_cost",IF(AND(I262,LEN(TRIM(J262))&gt;0),"avoided_cost_realised","avoided_cost_beside"),IF(ISNUMBER(Q262),"capacity_converted","capacity_hours"))))</f>
        <v>capacity_hours</v>
      </c>
      <c r="S262" s="11" t="n">
        <f aca="false">IF(OR(R262="",R262="capacity_hours"),0,IF(R262="capacity_converted",P262*Q262,P262))</f>
        <v>0</v>
      </c>
      <c r="T262" s="11" t="n">
        <f aca="false">IF(OR(R262="cash",R262="revenue",R262="avoided_cost_realised",R262="capacity_converted"),1,0)</f>
        <v>0</v>
      </c>
      <c r="U262" s="11" t="n">
        <f aca="false">IF(AND(N262,R262&lt;&gt;"capacity_hours",LEN(K262)&gt;0),1,0)</f>
        <v>0</v>
      </c>
      <c r="V262" s="11" t="n">
        <f aca="false">IF(U262=1,SUMPRODUCT(($K$4:$K$703=K262)*($F$4:$F$703=F262)*($U$4:$U$703=1)*($B$4:$B$703&lt;&gt;B262)),0)</f>
        <v>0</v>
      </c>
      <c r="W262" s="11" t="n">
        <f aca="false">IF(AND(U262=1,V262&gt;0),1+SUMPRODUCT(($K$4:$K$703=K262)*($F$4:$F$703=F262)*($U$4:$U$703=1)*($S$4:$S$703&gt;S262))+SUMPRODUCT(($K$4:$K$703=K262)*($F$4:$F$703=F262)*($U$4:$U$703=1)*($S$4:$S$703=S262)*($T$4:$T$703&gt;T262))+SUMPRODUCT(($K$4:$K$703=K262)*($F$4:$F$703=F262)*($U$4:$U$703=1)*($S$4:$S$703=S262)*($T$4:$T$703=T262)*($C$4:$C$703&lt;C262))+SUMPRODUCT(($K$4:$K$703=K262)*($F$4:$F$703=F262)*($U$4:$U$703=1)*($S$4:$S$703=S262)*($T$4:$T$703=T262)*($C$4:$C$703=C262)*($D$4:$D$703&lt;D262)),0)</f>
        <v>0</v>
      </c>
      <c r="X262" s="11" t="n">
        <f aca="false">IF(AND(U262=1,V262&gt;0,W262&gt;1),S262,0)</f>
        <v>0</v>
      </c>
      <c r="Y262" s="11" t="n">
        <f aca="false">IF(T262=1,X262/(1+Controls!$B$11)^F262,0)</f>
        <v>0</v>
      </c>
      <c r="Z262" s="11" t="n">
        <f aca="false">IF(AND(N262,E262="capacity",LEN(K262)&gt;0),1,0)</f>
        <v>1</v>
      </c>
      <c r="AA262" s="11" t="n">
        <f aca="false">IF(Z262=1,SUMPRODUCT(($K$4:$K$703=K262)*($F$4:$F$703=F262)*($Z$4:$Z$703=1)*($B$4:$B$703&lt;&gt;B262)),0)</f>
        <v>0</v>
      </c>
      <c r="AB262" s="11" t="n">
        <f aca="false">IF(AND(Z262=1,AA262&gt;0),1+SUMPRODUCT(($K$4:$K$703=K262)*($F$4:$F$703=F262)*($Z$4:$Z$703=1)*($P$4:$P$703&gt;P262))+SUMPRODUCT(($K$4:$K$703=K262)*($F$4:$F$703=F262)*($Z$4:$Z$703=1)*($P$4:$P$703=P262)*($C$4:$C$703&lt;C262))+SUMPRODUCT(($K$4:$K$703=K262)*($F$4:$F$703=F262)*($Z$4:$Z$703=1)*($P$4:$P$703=P262)*($C$4:$C$703=C262)*($D$4:$D$703&lt;D262)),0)</f>
        <v>0</v>
      </c>
      <c r="AC262" s="11" t="n">
        <f aca="false">IF(AND(Z262=1,AA262&gt;0,AB262&gt;1),P262,0)</f>
        <v>0</v>
      </c>
    </row>
    <row r="263" customFormat="false" ht="15" hidden="false" customHeight="false" outlineLevel="0" collapsed="false">
      <c r="A263" s="4" t="s">
        <v>488</v>
      </c>
      <c r="B263" s="4" t="s">
        <v>90</v>
      </c>
      <c r="C263" s="4" t="n">
        <v>8</v>
      </c>
      <c r="D263" s="4" t="n">
        <v>260</v>
      </c>
      <c r="E263" s="4" t="s">
        <v>233</v>
      </c>
      <c r="F263" s="4" t="n">
        <v>10</v>
      </c>
      <c r="G263" s="4" t="n">
        <v>3</v>
      </c>
      <c r="H263" s="4" t="n">
        <v>818.56</v>
      </c>
      <c r="I263" s="13" t="b">
        <f aca="false">FALSE()</f>
        <v>0</v>
      </c>
      <c r="K263" s="4" t="s">
        <v>481</v>
      </c>
      <c r="L263" s="4" t="n">
        <v>176.97</v>
      </c>
      <c r="M263" s="11" t="n">
        <f aca="false">IFERROR(MATCH(Controls!$B$3&amp;"|"&amp;B263,'Scenario inputs'!$A$4:$A$213,0),0)</f>
        <v>139</v>
      </c>
      <c r="N263" s="8" t="b">
        <f aca="false">IF(M263=0,FALSE(),F263&lt;Controls!$B$12)</f>
        <v>1</v>
      </c>
      <c r="O263" s="11" t="n">
        <f aca="false">IF(N263,IF(INDEX('Scenario inputs'!$E$4:$E$213,M263)=0,1,INDEX('Scenario inputs'!$F$4:$M$213,M263,MIN(MAX(F263-G263,0),INDEX('Scenario inputs'!$E$4:$E$213,M263)-1)+1)),0)</f>
        <v>1</v>
      </c>
      <c r="P263" s="11" t="n">
        <f aca="false">H263*O263</f>
        <v>818.56</v>
      </c>
      <c r="Q263" s="0" t="str">
        <f aca="false">IF(M263=0,"",IF(ISNUMBER(INDEX('Scenario inputs'!$N$4:$N$213,M263)),INDEX('Scenario inputs'!$N$4:$N$213,M263),""))</f>
        <v/>
      </c>
      <c r="R263" s="0" t="str">
        <f aca="false">IF(NOT(N263),"",IF(OR(E263="cash",E263="revenue"),E263,IF(E263="avoided_cost",IF(AND(I263,LEN(TRIM(J263))&gt;0),"avoided_cost_realised","avoided_cost_beside"),IF(ISNUMBER(Q263),"capacity_converted","capacity_hours"))))</f>
        <v>capacity_hours</v>
      </c>
      <c r="S263" s="11" t="n">
        <f aca="false">IF(OR(R263="",R263="capacity_hours"),0,IF(R263="capacity_converted",P263*Q263,P263))</f>
        <v>0</v>
      </c>
      <c r="T263" s="11" t="n">
        <f aca="false">IF(OR(R263="cash",R263="revenue",R263="avoided_cost_realised",R263="capacity_converted"),1,0)</f>
        <v>0</v>
      </c>
      <c r="U263" s="11" t="n">
        <f aca="false">IF(AND(N263,R263&lt;&gt;"capacity_hours",LEN(K263)&gt;0),1,0)</f>
        <v>0</v>
      </c>
      <c r="V263" s="11" t="n">
        <f aca="false">IF(U263=1,SUMPRODUCT(($K$4:$K$703=K263)*($F$4:$F$703=F263)*($U$4:$U$703=1)*($B$4:$B$703&lt;&gt;B263)),0)</f>
        <v>0</v>
      </c>
      <c r="W263" s="11" t="n">
        <f aca="false">IF(AND(U263=1,V263&gt;0),1+SUMPRODUCT(($K$4:$K$703=K263)*($F$4:$F$703=F263)*($U$4:$U$703=1)*($S$4:$S$703&gt;S263))+SUMPRODUCT(($K$4:$K$703=K263)*($F$4:$F$703=F263)*($U$4:$U$703=1)*($S$4:$S$703=S263)*($T$4:$T$703&gt;T263))+SUMPRODUCT(($K$4:$K$703=K263)*($F$4:$F$703=F263)*($U$4:$U$703=1)*($S$4:$S$703=S263)*($T$4:$T$703=T263)*($C$4:$C$703&lt;C263))+SUMPRODUCT(($K$4:$K$703=K263)*($F$4:$F$703=F263)*($U$4:$U$703=1)*($S$4:$S$703=S263)*($T$4:$T$703=T263)*($C$4:$C$703=C263)*($D$4:$D$703&lt;D263)),0)</f>
        <v>0</v>
      </c>
      <c r="X263" s="11" t="n">
        <f aca="false">IF(AND(U263=1,V263&gt;0,W263&gt;1),S263,0)</f>
        <v>0</v>
      </c>
      <c r="Y263" s="11" t="n">
        <f aca="false">IF(T263=1,X263/(1+Controls!$B$11)^F263,0)</f>
        <v>0</v>
      </c>
      <c r="Z263" s="11" t="n">
        <f aca="false">IF(AND(N263,E263="capacity",LEN(K263)&gt;0),1,0)</f>
        <v>1</v>
      </c>
      <c r="AA263" s="11" t="n">
        <f aca="false">IF(Z263=1,SUMPRODUCT(($K$4:$K$703=K263)*($F$4:$F$703=F263)*($Z$4:$Z$703=1)*($B$4:$B$703&lt;&gt;B263)),0)</f>
        <v>0</v>
      </c>
      <c r="AB263" s="11" t="n">
        <f aca="false">IF(AND(Z263=1,AA263&gt;0),1+SUMPRODUCT(($K$4:$K$703=K263)*($F$4:$F$703=F263)*($Z$4:$Z$703=1)*($P$4:$P$703&gt;P263))+SUMPRODUCT(($K$4:$K$703=K263)*($F$4:$F$703=F263)*($Z$4:$Z$703=1)*($P$4:$P$703=P263)*($C$4:$C$703&lt;C263))+SUMPRODUCT(($K$4:$K$703=K263)*($F$4:$F$703=F263)*($Z$4:$Z$703=1)*($P$4:$P$703=P263)*($C$4:$C$703=C263)*($D$4:$D$703&lt;D263)),0)</f>
        <v>0</v>
      </c>
      <c r="AC263" s="11" t="n">
        <f aca="false">IF(AND(Z263=1,AA263&gt;0,AB263&gt;1),P263,0)</f>
        <v>0</v>
      </c>
    </row>
    <row r="264" customFormat="false" ht="15" hidden="false" customHeight="false" outlineLevel="0" collapsed="false">
      <c r="A264" s="4" t="s">
        <v>489</v>
      </c>
      <c r="B264" s="4" t="s">
        <v>90</v>
      </c>
      <c r="C264" s="4" t="n">
        <v>8</v>
      </c>
      <c r="D264" s="4" t="n">
        <v>261</v>
      </c>
      <c r="E264" s="4" t="s">
        <v>233</v>
      </c>
      <c r="F264" s="4" t="n">
        <v>11</v>
      </c>
      <c r="G264" s="4" t="n">
        <v>3</v>
      </c>
      <c r="H264" s="4" t="n">
        <v>818.56</v>
      </c>
      <c r="I264" s="13" t="b">
        <f aca="false">FALSE()</f>
        <v>0</v>
      </c>
      <c r="K264" s="4" t="s">
        <v>481</v>
      </c>
      <c r="L264" s="4" t="n">
        <v>176.97</v>
      </c>
      <c r="M264" s="11" t="n">
        <f aca="false">IFERROR(MATCH(Controls!$B$3&amp;"|"&amp;B264,'Scenario inputs'!$A$4:$A$213,0),0)</f>
        <v>139</v>
      </c>
      <c r="N264" s="8" t="b">
        <f aca="false">IF(M264=0,FALSE(),F264&lt;Controls!$B$12)</f>
        <v>1</v>
      </c>
      <c r="O264" s="11" t="n">
        <f aca="false">IF(N264,IF(INDEX('Scenario inputs'!$E$4:$E$213,M264)=0,1,INDEX('Scenario inputs'!$F$4:$M$213,M264,MIN(MAX(F264-G264,0),INDEX('Scenario inputs'!$E$4:$E$213,M264)-1)+1)),0)</f>
        <v>1</v>
      </c>
      <c r="P264" s="11" t="n">
        <f aca="false">H264*O264</f>
        <v>818.56</v>
      </c>
      <c r="Q264" s="0" t="str">
        <f aca="false">IF(M264=0,"",IF(ISNUMBER(INDEX('Scenario inputs'!$N$4:$N$213,M264)),INDEX('Scenario inputs'!$N$4:$N$213,M264),""))</f>
        <v/>
      </c>
      <c r="R264" s="0" t="str">
        <f aca="false">IF(NOT(N264),"",IF(OR(E264="cash",E264="revenue"),E264,IF(E264="avoided_cost",IF(AND(I264,LEN(TRIM(J264))&gt;0),"avoided_cost_realised","avoided_cost_beside"),IF(ISNUMBER(Q264),"capacity_converted","capacity_hours"))))</f>
        <v>capacity_hours</v>
      </c>
      <c r="S264" s="11" t="n">
        <f aca="false">IF(OR(R264="",R264="capacity_hours"),0,IF(R264="capacity_converted",P264*Q264,P264))</f>
        <v>0</v>
      </c>
      <c r="T264" s="11" t="n">
        <f aca="false">IF(OR(R264="cash",R264="revenue",R264="avoided_cost_realised",R264="capacity_converted"),1,0)</f>
        <v>0</v>
      </c>
      <c r="U264" s="11" t="n">
        <f aca="false">IF(AND(N264,R264&lt;&gt;"capacity_hours",LEN(K264)&gt;0),1,0)</f>
        <v>0</v>
      </c>
      <c r="V264" s="11" t="n">
        <f aca="false">IF(U264=1,SUMPRODUCT(($K$4:$K$703=K264)*($F$4:$F$703=F264)*($U$4:$U$703=1)*($B$4:$B$703&lt;&gt;B264)),0)</f>
        <v>0</v>
      </c>
      <c r="W264" s="11" t="n">
        <f aca="false">IF(AND(U264=1,V264&gt;0),1+SUMPRODUCT(($K$4:$K$703=K264)*($F$4:$F$703=F264)*($U$4:$U$703=1)*($S$4:$S$703&gt;S264))+SUMPRODUCT(($K$4:$K$703=K264)*($F$4:$F$703=F264)*($U$4:$U$703=1)*($S$4:$S$703=S264)*($T$4:$T$703&gt;T264))+SUMPRODUCT(($K$4:$K$703=K264)*($F$4:$F$703=F264)*($U$4:$U$703=1)*($S$4:$S$703=S264)*($T$4:$T$703=T264)*($C$4:$C$703&lt;C264))+SUMPRODUCT(($K$4:$K$703=K264)*($F$4:$F$703=F264)*($U$4:$U$703=1)*($S$4:$S$703=S264)*($T$4:$T$703=T264)*($C$4:$C$703=C264)*($D$4:$D$703&lt;D264)),0)</f>
        <v>0</v>
      </c>
      <c r="X264" s="11" t="n">
        <f aca="false">IF(AND(U264=1,V264&gt;0,W264&gt;1),S264,0)</f>
        <v>0</v>
      </c>
      <c r="Y264" s="11" t="n">
        <f aca="false">IF(T264=1,X264/(1+Controls!$B$11)^F264,0)</f>
        <v>0</v>
      </c>
      <c r="Z264" s="11" t="n">
        <f aca="false">IF(AND(N264,E264="capacity",LEN(K264)&gt;0),1,0)</f>
        <v>1</v>
      </c>
      <c r="AA264" s="11" t="n">
        <f aca="false">IF(Z264=1,SUMPRODUCT(($K$4:$K$703=K264)*($F$4:$F$703=F264)*($Z$4:$Z$703=1)*($B$4:$B$703&lt;&gt;B264)),0)</f>
        <v>0</v>
      </c>
      <c r="AB264" s="11" t="n">
        <f aca="false">IF(AND(Z264=1,AA264&gt;0),1+SUMPRODUCT(($K$4:$K$703=K264)*($F$4:$F$703=F264)*($Z$4:$Z$703=1)*($P$4:$P$703&gt;P264))+SUMPRODUCT(($K$4:$K$703=K264)*($F$4:$F$703=F264)*($Z$4:$Z$703=1)*($P$4:$P$703=P264)*($C$4:$C$703&lt;C264))+SUMPRODUCT(($K$4:$K$703=K264)*($F$4:$F$703=F264)*($Z$4:$Z$703=1)*($P$4:$P$703=P264)*($C$4:$C$703=C264)*($D$4:$D$703&lt;D264)),0)</f>
        <v>0</v>
      </c>
      <c r="AC264" s="11" t="n">
        <f aca="false">IF(AND(Z264=1,AA264&gt;0,AB264&gt;1),P264,0)</f>
        <v>0</v>
      </c>
    </row>
    <row r="265" customFormat="false" ht="15" hidden="false" customHeight="false" outlineLevel="0" collapsed="false">
      <c r="A265" s="4" t="s">
        <v>490</v>
      </c>
      <c r="B265" s="4" t="s">
        <v>90</v>
      </c>
      <c r="C265" s="4" t="n">
        <v>8</v>
      </c>
      <c r="D265" s="4" t="n">
        <v>262</v>
      </c>
      <c r="E265" s="4" t="s">
        <v>233</v>
      </c>
      <c r="F265" s="4" t="n">
        <v>12</v>
      </c>
      <c r="G265" s="4" t="n">
        <v>3</v>
      </c>
      <c r="H265" s="4" t="n">
        <v>818.56</v>
      </c>
      <c r="I265" s="13" t="b">
        <f aca="false">FALSE()</f>
        <v>0</v>
      </c>
      <c r="K265" s="4" t="s">
        <v>481</v>
      </c>
      <c r="L265" s="4" t="n">
        <v>176.97</v>
      </c>
      <c r="M265" s="11" t="n">
        <f aca="false">IFERROR(MATCH(Controls!$B$3&amp;"|"&amp;B265,'Scenario inputs'!$A$4:$A$213,0),0)</f>
        <v>139</v>
      </c>
      <c r="N265" s="8" t="b">
        <f aca="false">IF(M265=0,FALSE(),F265&lt;Controls!$B$12)</f>
        <v>1</v>
      </c>
      <c r="O265" s="11" t="n">
        <f aca="false">IF(N265,IF(INDEX('Scenario inputs'!$E$4:$E$213,M265)=0,1,INDEX('Scenario inputs'!$F$4:$M$213,M265,MIN(MAX(F265-G265,0),INDEX('Scenario inputs'!$E$4:$E$213,M265)-1)+1)),0)</f>
        <v>1</v>
      </c>
      <c r="P265" s="11" t="n">
        <f aca="false">H265*O265</f>
        <v>818.56</v>
      </c>
      <c r="Q265" s="0" t="str">
        <f aca="false">IF(M265=0,"",IF(ISNUMBER(INDEX('Scenario inputs'!$N$4:$N$213,M265)),INDEX('Scenario inputs'!$N$4:$N$213,M265),""))</f>
        <v/>
      </c>
      <c r="R265" s="0" t="str">
        <f aca="false">IF(NOT(N265),"",IF(OR(E265="cash",E265="revenue"),E265,IF(E265="avoided_cost",IF(AND(I265,LEN(TRIM(J265))&gt;0),"avoided_cost_realised","avoided_cost_beside"),IF(ISNUMBER(Q265),"capacity_converted","capacity_hours"))))</f>
        <v>capacity_hours</v>
      </c>
      <c r="S265" s="11" t="n">
        <f aca="false">IF(OR(R265="",R265="capacity_hours"),0,IF(R265="capacity_converted",P265*Q265,P265))</f>
        <v>0</v>
      </c>
      <c r="T265" s="11" t="n">
        <f aca="false">IF(OR(R265="cash",R265="revenue",R265="avoided_cost_realised",R265="capacity_converted"),1,0)</f>
        <v>0</v>
      </c>
      <c r="U265" s="11" t="n">
        <f aca="false">IF(AND(N265,R265&lt;&gt;"capacity_hours",LEN(K265)&gt;0),1,0)</f>
        <v>0</v>
      </c>
      <c r="V265" s="11" t="n">
        <f aca="false">IF(U265=1,SUMPRODUCT(($K$4:$K$703=K265)*($F$4:$F$703=F265)*($U$4:$U$703=1)*($B$4:$B$703&lt;&gt;B265)),0)</f>
        <v>0</v>
      </c>
      <c r="W265" s="11" t="n">
        <f aca="false">IF(AND(U265=1,V265&gt;0),1+SUMPRODUCT(($K$4:$K$703=K265)*($F$4:$F$703=F265)*($U$4:$U$703=1)*($S$4:$S$703&gt;S265))+SUMPRODUCT(($K$4:$K$703=K265)*($F$4:$F$703=F265)*($U$4:$U$703=1)*($S$4:$S$703=S265)*($T$4:$T$703&gt;T265))+SUMPRODUCT(($K$4:$K$703=K265)*($F$4:$F$703=F265)*($U$4:$U$703=1)*($S$4:$S$703=S265)*($T$4:$T$703=T265)*($C$4:$C$703&lt;C265))+SUMPRODUCT(($K$4:$K$703=K265)*($F$4:$F$703=F265)*($U$4:$U$703=1)*($S$4:$S$703=S265)*($T$4:$T$703=T265)*($C$4:$C$703=C265)*($D$4:$D$703&lt;D265)),0)</f>
        <v>0</v>
      </c>
      <c r="X265" s="11" t="n">
        <f aca="false">IF(AND(U265=1,V265&gt;0,W265&gt;1),S265,0)</f>
        <v>0</v>
      </c>
      <c r="Y265" s="11" t="n">
        <f aca="false">IF(T265=1,X265/(1+Controls!$B$11)^F265,0)</f>
        <v>0</v>
      </c>
      <c r="Z265" s="11" t="n">
        <f aca="false">IF(AND(N265,E265="capacity",LEN(K265)&gt;0),1,0)</f>
        <v>1</v>
      </c>
      <c r="AA265" s="11" t="n">
        <f aca="false">IF(Z265=1,SUMPRODUCT(($K$4:$K$703=K265)*($F$4:$F$703=F265)*($Z$4:$Z$703=1)*($B$4:$B$703&lt;&gt;B265)),0)</f>
        <v>0</v>
      </c>
      <c r="AB265" s="11" t="n">
        <f aca="false">IF(AND(Z265=1,AA265&gt;0),1+SUMPRODUCT(($K$4:$K$703=K265)*($F$4:$F$703=F265)*($Z$4:$Z$703=1)*($P$4:$P$703&gt;P265))+SUMPRODUCT(($K$4:$K$703=K265)*($F$4:$F$703=F265)*($Z$4:$Z$703=1)*($P$4:$P$703=P265)*($C$4:$C$703&lt;C265))+SUMPRODUCT(($K$4:$K$703=K265)*($F$4:$F$703=F265)*($Z$4:$Z$703=1)*($P$4:$P$703=P265)*($C$4:$C$703=C265)*($D$4:$D$703&lt;D265)),0)</f>
        <v>0</v>
      </c>
      <c r="AC265" s="11" t="n">
        <f aca="false">IF(AND(Z265=1,AA265&gt;0,AB265&gt;1),P265,0)</f>
        <v>0</v>
      </c>
    </row>
    <row r="266" customFormat="false" ht="15" hidden="false" customHeight="false" outlineLevel="0" collapsed="false">
      <c r="A266" s="4" t="s">
        <v>491</v>
      </c>
      <c r="B266" s="4" t="s">
        <v>90</v>
      </c>
      <c r="C266" s="4" t="n">
        <v>8</v>
      </c>
      <c r="D266" s="4" t="n">
        <v>263</v>
      </c>
      <c r="E266" s="4" t="s">
        <v>233</v>
      </c>
      <c r="F266" s="4" t="n">
        <v>13</v>
      </c>
      <c r="G266" s="4" t="n">
        <v>3</v>
      </c>
      <c r="H266" s="4" t="n">
        <v>818.56</v>
      </c>
      <c r="I266" s="13" t="b">
        <f aca="false">FALSE()</f>
        <v>0</v>
      </c>
      <c r="K266" s="4" t="s">
        <v>481</v>
      </c>
      <c r="L266" s="4" t="n">
        <v>176.97</v>
      </c>
      <c r="M266" s="11" t="n">
        <f aca="false">IFERROR(MATCH(Controls!$B$3&amp;"|"&amp;B266,'Scenario inputs'!$A$4:$A$213,0),0)</f>
        <v>139</v>
      </c>
      <c r="N266" s="8" t="b">
        <f aca="false">IF(M266=0,FALSE(),F266&lt;Controls!$B$12)</f>
        <v>1</v>
      </c>
      <c r="O266" s="11" t="n">
        <f aca="false">IF(N266,IF(INDEX('Scenario inputs'!$E$4:$E$213,M266)=0,1,INDEX('Scenario inputs'!$F$4:$M$213,M266,MIN(MAX(F266-G266,0),INDEX('Scenario inputs'!$E$4:$E$213,M266)-1)+1)),0)</f>
        <v>1</v>
      </c>
      <c r="P266" s="11" t="n">
        <f aca="false">H266*O266</f>
        <v>818.56</v>
      </c>
      <c r="Q266" s="0" t="str">
        <f aca="false">IF(M266=0,"",IF(ISNUMBER(INDEX('Scenario inputs'!$N$4:$N$213,M266)),INDEX('Scenario inputs'!$N$4:$N$213,M266),""))</f>
        <v/>
      </c>
      <c r="R266" s="0" t="str">
        <f aca="false">IF(NOT(N266),"",IF(OR(E266="cash",E266="revenue"),E266,IF(E266="avoided_cost",IF(AND(I266,LEN(TRIM(J266))&gt;0),"avoided_cost_realised","avoided_cost_beside"),IF(ISNUMBER(Q266),"capacity_converted","capacity_hours"))))</f>
        <v>capacity_hours</v>
      </c>
      <c r="S266" s="11" t="n">
        <f aca="false">IF(OR(R266="",R266="capacity_hours"),0,IF(R266="capacity_converted",P266*Q266,P266))</f>
        <v>0</v>
      </c>
      <c r="T266" s="11" t="n">
        <f aca="false">IF(OR(R266="cash",R266="revenue",R266="avoided_cost_realised",R266="capacity_converted"),1,0)</f>
        <v>0</v>
      </c>
      <c r="U266" s="11" t="n">
        <f aca="false">IF(AND(N266,R266&lt;&gt;"capacity_hours",LEN(K266)&gt;0),1,0)</f>
        <v>0</v>
      </c>
      <c r="V266" s="11" t="n">
        <f aca="false">IF(U266=1,SUMPRODUCT(($K$4:$K$703=K266)*($F$4:$F$703=F266)*($U$4:$U$703=1)*($B$4:$B$703&lt;&gt;B266)),0)</f>
        <v>0</v>
      </c>
      <c r="W266" s="11" t="n">
        <f aca="false">IF(AND(U266=1,V266&gt;0),1+SUMPRODUCT(($K$4:$K$703=K266)*($F$4:$F$703=F266)*($U$4:$U$703=1)*($S$4:$S$703&gt;S266))+SUMPRODUCT(($K$4:$K$703=K266)*($F$4:$F$703=F266)*($U$4:$U$703=1)*($S$4:$S$703=S266)*($T$4:$T$703&gt;T266))+SUMPRODUCT(($K$4:$K$703=K266)*($F$4:$F$703=F266)*($U$4:$U$703=1)*($S$4:$S$703=S266)*($T$4:$T$703=T266)*($C$4:$C$703&lt;C266))+SUMPRODUCT(($K$4:$K$703=K266)*($F$4:$F$703=F266)*($U$4:$U$703=1)*($S$4:$S$703=S266)*($T$4:$T$703=T266)*($C$4:$C$703=C266)*($D$4:$D$703&lt;D266)),0)</f>
        <v>0</v>
      </c>
      <c r="X266" s="11" t="n">
        <f aca="false">IF(AND(U266=1,V266&gt;0,W266&gt;1),S266,0)</f>
        <v>0</v>
      </c>
      <c r="Y266" s="11" t="n">
        <f aca="false">IF(T266=1,X266/(1+Controls!$B$11)^F266,0)</f>
        <v>0</v>
      </c>
      <c r="Z266" s="11" t="n">
        <f aca="false">IF(AND(N266,E266="capacity",LEN(K266)&gt;0),1,0)</f>
        <v>1</v>
      </c>
      <c r="AA266" s="11" t="n">
        <f aca="false">IF(Z266=1,SUMPRODUCT(($K$4:$K$703=K266)*($F$4:$F$703=F266)*($Z$4:$Z$703=1)*($B$4:$B$703&lt;&gt;B266)),0)</f>
        <v>0</v>
      </c>
      <c r="AB266" s="11" t="n">
        <f aca="false">IF(AND(Z266=1,AA266&gt;0),1+SUMPRODUCT(($K$4:$K$703=K266)*($F$4:$F$703=F266)*($Z$4:$Z$703=1)*($P$4:$P$703&gt;P266))+SUMPRODUCT(($K$4:$K$703=K266)*($F$4:$F$703=F266)*($Z$4:$Z$703=1)*($P$4:$P$703=P266)*($C$4:$C$703&lt;C266))+SUMPRODUCT(($K$4:$K$703=K266)*($F$4:$F$703=F266)*($Z$4:$Z$703=1)*($P$4:$P$703=P266)*($C$4:$C$703=C266)*($D$4:$D$703&lt;D266)),0)</f>
        <v>0</v>
      </c>
      <c r="AC266" s="11" t="n">
        <f aca="false">IF(AND(Z266=1,AA266&gt;0,AB266&gt;1),P266,0)</f>
        <v>0</v>
      </c>
    </row>
    <row r="267" customFormat="false" ht="15" hidden="false" customHeight="false" outlineLevel="0" collapsed="false">
      <c r="A267" s="4" t="s">
        <v>492</v>
      </c>
      <c r="B267" s="4" t="s">
        <v>90</v>
      </c>
      <c r="C267" s="4" t="n">
        <v>8</v>
      </c>
      <c r="D267" s="4" t="n">
        <v>264</v>
      </c>
      <c r="E267" s="4" t="s">
        <v>233</v>
      </c>
      <c r="F267" s="4" t="n">
        <v>14</v>
      </c>
      <c r="G267" s="4" t="n">
        <v>3</v>
      </c>
      <c r="H267" s="4" t="n">
        <v>818.56</v>
      </c>
      <c r="I267" s="13" t="b">
        <f aca="false">FALSE()</f>
        <v>0</v>
      </c>
      <c r="K267" s="4" t="s">
        <v>481</v>
      </c>
      <c r="L267" s="4" t="n">
        <v>176.97</v>
      </c>
      <c r="M267" s="11" t="n">
        <f aca="false">IFERROR(MATCH(Controls!$B$3&amp;"|"&amp;B267,'Scenario inputs'!$A$4:$A$213,0),0)</f>
        <v>139</v>
      </c>
      <c r="N267" s="8" t="b">
        <f aca="false">IF(M267=0,FALSE(),F267&lt;Controls!$B$12)</f>
        <v>1</v>
      </c>
      <c r="O267" s="11" t="n">
        <f aca="false">IF(N267,IF(INDEX('Scenario inputs'!$E$4:$E$213,M267)=0,1,INDEX('Scenario inputs'!$F$4:$M$213,M267,MIN(MAX(F267-G267,0),INDEX('Scenario inputs'!$E$4:$E$213,M267)-1)+1)),0)</f>
        <v>1</v>
      </c>
      <c r="P267" s="11" t="n">
        <f aca="false">H267*O267</f>
        <v>818.56</v>
      </c>
      <c r="Q267" s="0" t="str">
        <f aca="false">IF(M267=0,"",IF(ISNUMBER(INDEX('Scenario inputs'!$N$4:$N$213,M267)),INDEX('Scenario inputs'!$N$4:$N$213,M267),""))</f>
        <v/>
      </c>
      <c r="R267" s="0" t="str">
        <f aca="false">IF(NOT(N267),"",IF(OR(E267="cash",E267="revenue"),E267,IF(E267="avoided_cost",IF(AND(I267,LEN(TRIM(J267))&gt;0),"avoided_cost_realised","avoided_cost_beside"),IF(ISNUMBER(Q267),"capacity_converted","capacity_hours"))))</f>
        <v>capacity_hours</v>
      </c>
      <c r="S267" s="11" t="n">
        <f aca="false">IF(OR(R267="",R267="capacity_hours"),0,IF(R267="capacity_converted",P267*Q267,P267))</f>
        <v>0</v>
      </c>
      <c r="T267" s="11" t="n">
        <f aca="false">IF(OR(R267="cash",R267="revenue",R267="avoided_cost_realised",R267="capacity_converted"),1,0)</f>
        <v>0</v>
      </c>
      <c r="U267" s="11" t="n">
        <f aca="false">IF(AND(N267,R267&lt;&gt;"capacity_hours",LEN(K267)&gt;0),1,0)</f>
        <v>0</v>
      </c>
      <c r="V267" s="11" t="n">
        <f aca="false">IF(U267=1,SUMPRODUCT(($K$4:$K$703=K267)*($F$4:$F$703=F267)*($U$4:$U$703=1)*($B$4:$B$703&lt;&gt;B267)),0)</f>
        <v>0</v>
      </c>
      <c r="W267" s="11" t="n">
        <f aca="false">IF(AND(U267=1,V267&gt;0),1+SUMPRODUCT(($K$4:$K$703=K267)*($F$4:$F$703=F267)*($U$4:$U$703=1)*($S$4:$S$703&gt;S267))+SUMPRODUCT(($K$4:$K$703=K267)*($F$4:$F$703=F267)*($U$4:$U$703=1)*($S$4:$S$703=S267)*($T$4:$T$703&gt;T267))+SUMPRODUCT(($K$4:$K$703=K267)*($F$4:$F$703=F267)*($U$4:$U$703=1)*($S$4:$S$703=S267)*($T$4:$T$703=T267)*($C$4:$C$703&lt;C267))+SUMPRODUCT(($K$4:$K$703=K267)*($F$4:$F$703=F267)*($U$4:$U$703=1)*($S$4:$S$703=S267)*($T$4:$T$703=T267)*($C$4:$C$703=C267)*($D$4:$D$703&lt;D267)),0)</f>
        <v>0</v>
      </c>
      <c r="X267" s="11" t="n">
        <f aca="false">IF(AND(U267=1,V267&gt;0,W267&gt;1),S267,0)</f>
        <v>0</v>
      </c>
      <c r="Y267" s="11" t="n">
        <f aca="false">IF(T267=1,X267/(1+Controls!$B$11)^F267,0)</f>
        <v>0</v>
      </c>
      <c r="Z267" s="11" t="n">
        <f aca="false">IF(AND(N267,E267="capacity",LEN(K267)&gt;0),1,0)</f>
        <v>1</v>
      </c>
      <c r="AA267" s="11" t="n">
        <f aca="false">IF(Z267=1,SUMPRODUCT(($K$4:$K$703=K267)*($F$4:$F$703=F267)*($Z$4:$Z$703=1)*($B$4:$B$703&lt;&gt;B267)),0)</f>
        <v>0</v>
      </c>
      <c r="AB267" s="11" t="n">
        <f aca="false">IF(AND(Z267=1,AA267&gt;0),1+SUMPRODUCT(($K$4:$K$703=K267)*($F$4:$F$703=F267)*($Z$4:$Z$703=1)*($P$4:$P$703&gt;P267))+SUMPRODUCT(($K$4:$K$703=K267)*($F$4:$F$703=F267)*($Z$4:$Z$703=1)*($P$4:$P$703=P267)*($C$4:$C$703&lt;C267))+SUMPRODUCT(($K$4:$K$703=K267)*($F$4:$F$703=F267)*($Z$4:$Z$703=1)*($P$4:$P$703=P267)*($C$4:$C$703=C267)*($D$4:$D$703&lt;D267)),0)</f>
        <v>0</v>
      </c>
      <c r="AC267" s="11" t="n">
        <f aca="false">IF(AND(Z267=1,AA267&gt;0,AB267&gt;1),P267,0)</f>
        <v>0</v>
      </c>
    </row>
    <row r="268" customFormat="false" ht="15" hidden="false" customHeight="false" outlineLevel="0" collapsed="false">
      <c r="A268" s="4" t="s">
        <v>493</v>
      </c>
      <c r="B268" s="4" t="s">
        <v>91</v>
      </c>
      <c r="C268" s="4" t="n">
        <v>9</v>
      </c>
      <c r="D268" s="4" t="n">
        <v>265</v>
      </c>
      <c r="E268" s="4" t="s">
        <v>233</v>
      </c>
      <c r="F268" s="4" t="n">
        <v>3</v>
      </c>
      <c r="G268" s="4" t="n">
        <v>3</v>
      </c>
      <c r="H268" s="4" t="n">
        <v>365.06</v>
      </c>
      <c r="I268" s="13" t="b">
        <f aca="false">FALSE()</f>
        <v>0</v>
      </c>
      <c r="K268" s="4" t="s">
        <v>494</v>
      </c>
      <c r="L268" s="4" t="n">
        <v>1.81</v>
      </c>
      <c r="M268" s="11" t="n">
        <f aca="false">IFERROR(MATCH(Controls!$B$3&amp;"|"&amp;B268,'Scenario inputs'!$A$4:$A$213,0),0)</f>
        <v>140</v>
      </c>
      <c r="N268" s="8" t="b">
        <f aca="false">IF(M268=0,FALSE(),F268&lt;Controls!$B$12)</f>
        <v>1</v>
      </c>
      <c r="O268" s="11" t="n">
        <f aca="false">IF(N268,IF(INDEX('Scenario inputs'!$E$4:$E$213,M268)=0,1,INDEX('Scenario inputs'!$F$4:$M$213,M268,MIN(MAX(F268-G268,0),INDEX('Scenario inputs'!$E$4:$E$213,M268)-1)+1)),0)</f>
        <v>0.035714</v>
      </c>
      <c r="P268" s="11" t="n">
        <f aca="false">H268*O268</f>
        <v>13.03775284</v>
      </c>
      <c r="Q268" s="0" t="str">
        <f aca="false">IF(M268=0,"",IF(ISNUMBER(INDEX('Scenario inputs'!$N$4:$N$213,M268)),INDEX('Scenario inputs'!$N$4:$N$213,M268),""))</f>
        <v/>
      </c>
      <c r="R268" s="0" t="str">
        <f aca="false">IF(NOT(N268),"",IF(OR(E268="cash",E268="revenue"),E268,IF(E268="avoided_cost",IF(AND(I268,LEN(TRIM(J268))&gt;0),"avoided_cost_realised","avoided_cost_beside"),IF(ISNUMBER(Q268),"capacity_converted","capacity_hours"))))</f>
        <v>capacity_hours</v>
      </c>
      <c r="S268" s="11" t="n">
        <f aca="false">IF(OR(R268="",R268="capacity_hours"),0,IF(R268="capacity_converted",P268*Q268,P268))</f>
        <v>0</v>
      </c>
      <c r="T268" s="11" t="n">
        <f aca="false">IF(OR(R268="cash",R268="revenue",R268="avoided_cost_realised",R268="capacity_converted"),1,0)</f>
        <v>0</v>
      </c>
      <c r="U268" s="11" t="n">
        <f aca="false">IF(AND(N268,R268&lt;&gt;"capacity_hours",LEN(K268)&gt;0),1,0)</f>
        <v>0</v>
      </c>
      <c r="V268" s="11" t="n">
        <f aca="false">IF(U268=1,SUMPRODUCT(($K$4:$K$703=K268)*($F$4:$F$703=F268)*($U$4:$U$703=1)*($B$4:$B$703&lt;&gt;B268)),0)</f>
        <v>0</v>
      </c>
      <c r="W268" s="11" t="n">
        <f aca="false">IF(AND(U268=1,V268&gt;0),1+SUMPRODUCT(($K$4:$K$703=K268)*($F$4:$F$703=F268)*($U$4:$U$703=1)*($S$4:$S$703&gt;S268))+SUMPRODUCT(($K$4:$K$703=K268)*($F$4:$F$703=F268)*($U$4:$U$703=1)*($S$4:$S$703=S268)*($T$4:$T$703&gt;T268))+SUMPRODUCT(($K$4:$K$703=K268)*($F$4:$F$703=F268)*($U$4:$U$703=1)*($S$4:$S$703=S268)*($T$4:$T$703=T268)*($C$4:$C$703&lt;C268))+SUMPRODUCT(($K$4:$K$703=K268)*($F$4:$F$703=F268)*($U$4:$U$703=1)*($S$4:$S$703=S268)*($T$4:$T$703=T268)*($C$4:$C$703=C268)*($D$4:$D$703&lt;D268)),0)</f>
        <v>0</v>
      </c>
      <c r="X268" s="11" t="n">
        <f aca="false">IF(AND(U268=1,V268&gt;0,W268&gt;1),S268,0)</f>
        <v>0</v>
      </c>
      <c r="Y268" s="11" t="n">
        <f aca="false">IF(T268=1,X268/(1+Controls!$B$11)^F268,0)</f>
        <v>0</v>
      </c>
      <c r="Z268" s="11" t="n">
        <f aca="false">IF(AND(N268,E268="capacity",LEN(K268)&gt;0),1,0)</f>
        <v>1</v>
      </c>
      <c r="AA268" s="11" t="n">
        <f aca="false">IF(Z268=1,SUMPRODUCT(($K$4:$K$703=K268)*($F$4:$F$703=F268)*($Z$4:$Z$703=1)*($B$4:$B$703&lt;&gt;B268)),0)</f>
        <v>0</v>
      </c>
      <c r="AB268" s="11" t="n">
        <f aca="false">IF(AND(Z268=1,AA268&gt;0),1+SUMPRODUCT(($K$4:$K$703=K268)*($F$4:$F$703=F268)*($Z$4:$Z$703=1)*($P$4:$P$703&gt;P268))+SUMPRODUCT(($K$4:$K$703=K268)*($F$4:$F$703=F268)*($Z$4:$Z$703=1)*($P$4:$P$703=P268)*($C$4:$C$703&lt;C268))+SUMPRODUCT(($K$4:$K$703=K268)*($F$4:$F$703=F268)*($Z$4:$Z$703=1)*($P$4:$P$703=P268)*($C$4:$C$703=C268)*($D$4:$D$703&lt;D268)),0)</f>
        <v>0</v>
      </c>
      <c r="AC268" s="11" t="n">
        <f aca="false">IF(AND(Z268=1,AA268&gt;0,AB268&gt;1),P268,0)</f>
        <v>0</v>
      </c>
    </row>
    <row r="269" customFormat="false" ht="15" hidden="false" customHeight="false" outlineLevel="0" collapsed="false">
      <c r="A269" s="4" t="s">
        <v>495</v>
      </c>
      <c r="B269" s="4" t="s">
        <v>91</v>
      </c>
      <c r="C269" s="4" t="n">
        <v>9</v>
      </c>
      <c r="D269" s="4" t="n">
        <v>266</v>
      </c>
      <c r="E269" s="4" t="s">
        <v>233</v>
      </c>
      <c r="F269" s="4" t="n">
        <v>4</v>
      </c>
      <c r="G269" s="4" t="n">
        <v>3</v>
      </c>
      <c r="H269" s="4" t="n">
        <v>365.06</v>
      </c>
      <c r="I269" s="13" t="b">
        <f aca="false">FALSE()</f>
        <v>0</v>
      </c>
      <c r="K269" s="4" t="s">
        <v>494</v>
      </c>
      <c r="L269" s="4" t="n">
        <v>5.32</v>
      </c>
      <c r="M269" s="11" t="n">
        <f aca="false">IFERROR(MATCH(Controls!$B$3&amp;"|"&amp;B269,'Scenario inputs'!$A$4:$A$213,0),0)</f>
        <v>140</v>
      </c>
      <c r="N269" s="8" t="b">
        <f aca="false">IF(M269=0,FALSE(),F269&lt;Controls!$B$12)</f>
        <v>1</v>
      </c>
      <c r="O269" s="11" t="n">
        <f aca="false">IF(N269,IF(INDEX('Scenario inputs'!$E$4:$E$213,M269)=0,1,INDEX('Scenario inputs'!$F$4:$M$213,M269,MIN(MAX(F269-G269,0),INDEX('Scenario inputs'!$E$4:$E$213,M269)-1)+1)),0)</f>
        <v>0.107143</v>
      </c>
      <c r="P269" s="11" t="n">
        <f aca="false">H269*O269</f>
        <v>39.11362358</v>
      </c>
      <c r="Q269" s="0" t="str">
        <f aca="false">IF(M269=0,"",IF(ISNUMBER(INDEX('Scenario inputs'!$N$4:$N$213,M269)),INDEX('Scenario inputs'!$N$4:$N$213,M269),""))</f>
        <v/>
      </c>
      <c r="R269" s="0" t="str">
        <f aca="false">IF(NOT(N269),"",IF(OR(E269="cash",E269="revenue"),E269,IF(E269="avoided_cost",IF(AND(I269,LEN(TRIM(J269))&gt;0),"avoided_cost_realised","avoided_cost_beside"),IF(ISNUMBER(Q269),"capacity_converted","capacity_hours"))))</f>
        <v>capacity_hours</v>
      </c>
      <c r="S269" s="11" t="n">
        <f aca="false">IF(OR(R269="",R269="capacity_hours"),0,IF(R269="capacity_converted",P269*Q269,P269))</f>
        <v>0</v>
      </c>
      <c r="T269" s="11" t="n">
        <f aca="false">IF(OR(R269="cash",R269="revenue",R269="avoided_cost_realised",R269="capacity_converted"),1,0)</f>
        <v>0</v>
      </c>
      <c r="U269" s="11" t="n">
        <f aca="false">IF(AND(N269,R269&lt;&gt;"capacity_hours",LEN(K269)&gt;0),1,0)</f>
        <v>0</v>
      </c>
      <c r="V269" s="11" t="n">
        <f aca="false">IF(U269=1,SUMPRODUCT(($K$4:$K$703=K269)*($F$4:$F$703=F269)*($U$4:$U$703=1)*($B$4:$B$703&lt;&gt;B269)),0)</f>
        <v>0</v>
      </c>
      <c r="W269" s="11" t="n">
        <f aca="false">IF(AND(U269=1,V269&gt;0),1+SUMPRODUCT(($K$4:$K$703=K269)*($F$4:$F$703=F269)*($U$4:$U$703=1)*($S$4:$S$703&gt;S269))+SUMPRODUCT(($K$4:$K$703=K269)*($F$4:$F$703=F269)*($U$4:$U$703=1)*($S$4:$S$703=S269)*($T$4:$T$703&gt;T269))+SUMPRODUCT(($K$4:$K$703=K269)*($F$4:$F$703=F269)*($U$4:$U$703=1)*($S$4:$S$703=S269)*($T$4:$T$703=T269)*($C$4:$C$703&lt;C269))+SUMPRODUCT(($K$4:$K$703=K269)*($F$4:$F$703=F269)*($U$4:$U$703=1)*($S$4:$S$703=S269)*($T$4:$T$703=T269)*($C$4:$C$703=C269)*($D$4:$D$703&lt;D269)),0)</f>
        <v>0</v>
      </c>
      <c r="X269" s="11" t="n">
        <f aca="false">IF(AND(U269=1,V269&gt;0,W269&gt;1),S269,0)</f>
        <v>0</v>
      </c>
      <c r="Y269" s="11" t="n">
        <f aca="false">IF(T269=1,X269/(1+Controls!$B$11)^F269,0)</f>
        <v>0</v>
      </c>
      <c r="Z269" s="11" t="n">
        <f aca="false">IF(AND(N269,E269="capacity",LEN(K269)&gt;0),1,0)</f>
        <v>1</v>
      </c>
      <c r="AA269" s="11" t="n">
        <f aca="false">IF(Z269=1,SUMPRODUCT(($K$4:$K$703=K269)*($F$4:$F$703=F269)*($Z$4:$Z$703=1)*($B$4:$B$703&lt;&gt;B269)),0)</f>
        <v>0</v>
      </c>
      <c r="AB269" s="11" t="n">
        <f aca="false">IF(AND(Z269=1,AA269&gt;0),1+SUMPRODUCT(($K$4:$K$703=K269)*($F$4:$F$703=F269)*($Z$4:$Z$703=1)*($P$4:$P$703&gt;P269))+SUMPRODUCT(($K$4:$K$703=K269)*($F$4:$F$703=F269)*($Z$4:$Z$703=1)*($P$4:$P$703=P269)*($C$4:$C$703&lt;C269))+SUMPRODUCT(($K$4:$K$703=K269)*($F$4:$F$703=F269)*($Z$4:$Z$703=1)*($P$4:$P$703=P269)*($C$4:$C$703=C269)*($D$4:$D$703&lt;D269)),0)</f>
        <v>0</v>
      </c>
      <c r="AC269" s="11" t="n">
        <f aca="false">IF(AND(Z269=1,AA269&gt;0,AB269&gt;1),P269,0)</f>
        <v>0</v>
      </c>
    </row>
    <row r="270" customFormat="false" ht="15" hidden="false" customHeight="false" outlineLevel="0" collapsed="false">
      <c r="A270" s="4" t="s">
        <v>496</v>
      </c>
      <c r="B270" s="4" t="s">
        <v>91</v>
      </c>
      <c r="C270" s="4" t="n">
        <v>9</v>
      </c>
      <c r="D270" s="4" t="n">
        <v>267</v>
      </c>
      <c r="E270" s="4" t="s">
        <v>233</v>
      </c>
      <c r="F270" s="4" t="n">
        <v>5</v>
      </c>
      <c r="G270" s="4" t="n">
        <v>3</v>
      </c>
      <c r="H270" s="4" t="n">
        <v>365.06</v>
      </c>
      <c r="I270" s="13" t="b">
        <f aca="false">FALSE()</f>
        <v>0</v>
      </c>
      <c r="K270" s="4" t="s">
        <v>494</v>
      </c>
      <c r="L270" s="4" t="n">
        <v>10.86</v>
      </c>
      <c r="M270" s="11" t="n">
        <f aca="false">IFERROR(MATCH(Controls!$B$3&amp;"|"&amp;B270,'Scenario inputs'!$A$4:$A$213,0),0)</f>
        <v>140</v>
      </c>
      <c r="N270" s="8" t="b">
        <f aca="false">IF(M270=0,FALSE(),F270&lt;Controls!$B$12)</f>
        <v>1</v>
      </c>
      <c r="O270" s="11" t="n">
        <f aca="false">IF(N270,IF(INDEX('Scenario inputs'!$E$4:$E$213,M270)=0,1,INDEX('Scenario inputs'!$F$4:$M$213,M270,MIN(MAX(F270-G270,0),INDEX('Scenario inputs'!$E$4:$E$213,M270)-1)+1)),0)</f>
        <v>0.214286</v>
      </c>
      <c r="P270" s="11" t="n">
        <f aca="false">H270*O270</f>
        <v>78.22724716</v>
      </c>
      <c r="Q270" s="0" t="str">
        <f aca="false">IF(M270=0,"",IF(ISNUMBER(INDEX('Scenario inputs'!$N$4:$N$213,M270)),INDEX('Scenario inputs'!$N$4:$N$213,M270),""))</f>
        <v/>
      </c>
      <c r="R270" s="0" t="str">
        <f aca="false">IF(NOT(N270),"",IF(OR(E270="cash",E270="revenue"),E270,IF(E270="avoided_cost",IF(AND(I270,LEN(TRIM(J270))&gt;0),"avoided_cost_realised","avoided_cost_beside"),IF(ISNUMBER(Q270),"capacity_converted","capacity_hours"))))</f>
        <v>capacity_hours</v>
      </c>
      <c r="S270" s="11" t="n">
        <f aca="false">IF(OR(R270="",R270="capacity_hours"),0,IF(R270="capacity_converted",P270*Q270,P270))</f>
        <v>0</v>
      </c>
      <c r="T270" s="11" t="n">
        <f aca="false">IF(OR(R270="cash",R270="revenue",R270="avoided_cost_realised",R270="capacity_converted"),1,0)</f>
        <v>0</v>
      </c>
      <c r="U270" s="11" t="n">
        <f aca="false">IF(AND(N270,R270&lt;&gt;"capacity_hours",LEN(K270)&gt;0),1,0)</f>
        <v>0</v>
      </c>
      <c r="V270" s="11" t="n">
        <f aca="false">IF(U270=1,SUMPRODUCT(($K$4:$K$703=K270)*($F$4:$F$703=F270)*($U$4:$U$703=1)*($B$4:$B$703&lt;&gt;B270)),0)</f>
        <v>0</v>
      </c>
      <c r="W270" s="11" t="n">
        <f aca="false">IF(AND(U270=1,V270&gt;0),1+SUMPRODUCT(($K$4:$K$703=K270)*($F$4:$F$703=F270)*($U$4:$U$703=1)*($S$4:$S$703&gt;S270))+SUMPRODUCT(($K$4:$K$703=K270)*($F$4:$F$703=F270)*($U$4:$U$703=1)*($S$4:$S$703=S270)*($T$4:$T$703&gt;T270))+SUMPRODUCT(($K$4:$K$703=K270)*($F$4:$F$703=F270)*($U$4:$U$703=1)*($S$4:$S$703=S270)*($T$4:$T$703=T270)*($C$4:$C$703&lt;C270))+SUMPRODUCT(($K$4:$K$703=K270)*($F$4:$F$703=F270)*($U$4:$U$703=1)*($S$4:$S$703=S270)*($T$4:$T$703=T270)*($C$4:$C$703=C270)*($D$4:$D$703&lt;D270)),0)</f>
        <v>0</v>
      </c>
      <c r="X270" s="11" t="n">
        <f aca="false">IF(AND(U270=1,V270&gt;0,W270&gt;1),S270,0)</f>
        <v>0</v>
      </c>
      <c r="Y270" s="11" t="n">
        <f aca="false">IF(T270=1,X270/(1+Controls!$B$11)^F270,0)</f>
        <v>0</v>
      </c>
      <c r="Z270" s="11" t="n">
        <f aca="false">IF(AND(N270,E270="capacity",LEN(K270)&gt;0),1,0)</f>
        <v>1</v>
      </c>
      <c r="AA270" s="11" t="n">
        <f aca="false">IF(Z270=1,SUMPRODUCT(($K$4:$K$703=K270)*($F$4:$F$703=F270)*($Z$4:$Z$703=1)*($B$4:$B$703&lt;&gt;B270)),0)</f>
        <v>0</v>
      </c>
      <c r="AB270" s="11" t="n">
        <f aca="false">IF(AND(Z270=1,AA270&gt;0),1+SUMPRODUCT(($K$4:$K$703=K270)*($F$4:$F$703=F270)*($Z$4:$Z$703=1)*($P$4:$P$703&gt;P270))+SUMPRODUCT(($K$4:$K$703=K270)*($F$4:$F$703=F270)*($Z$4:$Z$703=1)*($P$4:$P$703=P270)*($C$4:$C$703&lt;C270))+SUMPRODUCT(($K$4:$K$703=K270)*($F$4:$F$703=F270)*($Z$4:$Z$703=1)*($P$4:$P$703=P270)*($C$4:$C$703=C270)*($D$4:$D$703&lt;D270)),0)</f>
        <v>0</v>
      </c>
      <c r="AC270" s="11" t="n">
        <f aca="false">IF(AND(Z270=1,AA270&gt;0,AB270&gt;1),P270,0)</f>
        <v>0</v>
      </c>
    </row>
    <row r="271" customFormat="false" ht="15" hidden="false" customHeight="false" outlineLevel="0" collapsed="false">
      <c r="A271" s="4" t="s">
        <v>497</v>
      </c>
      <c r="B271" s="4" t="s">
        <v>91</v>
      </c>
      <c r="C271" s="4" t="n">
        <v>9</v>
      </c>
      <c r="D271" s="4" t="n">
        <v>268</v>
      </c>
      <c r="E271" s="4" t="s">
        <v>233</v>
      </c>
      <c r="F271" s="4" t="n">
        <v>6</v>
      </c>
      <c r="G271" s="4" t="n">
        <v>3</v>
      </c>
      <c r="H271" s="4" t="n">
        <v>365.06</v>
      </c>
      <c r="I271" s="13" t="b">
        <f aca="false">FALSE()</f>
        <v>0</v>
      </c>
      <c r="K271" s="4" t="s">
        <v>494</v>
      </c>
      <c r="L271" s="4" t="n">
        <v>18.27</v>
      </c>
      <c r="M271" s="11" t="n">
        <f aca="false">IFERROR(MATCH(Controls!$B$3&amp;"|"&amp;B271,'Scenario inputs'!$A$4:$A$213,0),0)</f>
        <v>140</v>
      </c>
      <c r="N271" s="8" t="b">
        <f aca="false">IF(M271=0,FALSE(),F271&lt;Controls!$B$12)</f>
        <v>1</v>
      </c>
      <c r="O271" s="11" t="n">
        <f aca="false">IF(N271,IF(INDEX('Scenario inputs'!$E$4:$E$213,M271)=0,1,INDEX('Scenario inputs'!$F$4:$M$213,M271,MIN(MAX(F271-G271,0),INDEX('Scenario inputs'!$E$4:$E$213,M271)-1)+1)),0)</f>
        <v>0.357143</v>
      </c>
      <c r="P271" s="11" t="n">
        <f aca="false">H271*O271</f>
        <v>130.37862358</v>
      </c>
      <c r="Q271" s="0" t="str">
        <f aca="false">IF(M271=0,"",IF(ISNUMBER(INDEX('Scenario inputs'!$N$4:$N$213,M271)),INDEX('Scenario inputs'!$N$4:$N$213,M271),""))</f>
        <v/>
      </c>
      <c r="R271" s="0" t="str">
        <f aca="false">IF(NOT(N271),"",IF(OR(E271="cash",E271="revenue"),E271,IF(E271="avoided_cost",IF(AND(I271,LEN(TRIM(J271))&gt;0),"avoided_cost_realised","avoided_cost_beside"),IF(ISNUMBER(Q271),"capacity_converted","capacity_hours"))))</f>
        <v>capacity_hours</v>
      </c>
      <c r="S271" s="11" t="n">
        <f aca="false">IF(OR(R271="",R271="capacity_hours"),0,IF(R271="capacity_converted",P271*Q271,P271))</f>
        <v>0</v>
      </c>
      <c r="T271" s="11" t="n">
        <f aca="false">IF(OR(R271="cash",R271="revenue",R271="avoided_cost_realised",R271="capacity_converted"),1,0)</f>
        <v>0</v>
      </c>
      <c r="U271" s="11" t="n">
        <f aca="false">IF(AND(N271,R271&lt;&gt;"capacity_hours",LEN(K271)&gt;0),1,0)</f>
        <v>0</v>
      </c>
      <c r="V271" s="11" t="n">
        <f aca="false">IF(U271=1,SUMPRODUCT(($K$4:$K$703=K271)*($F$4:$F$703=F271)*($U$4:$U$703=1)*($B$4:$B$703&lt;&gt;B271)),0)</f>
        <v>0</v>
      </c>
      <c r="W271" s="11" t="n">
        <f aca="false">IF(AND(U271=1,V271&gt;0),1+SUMPRODUCT(($K$4:$K$703=K271)*($F$4:$F$703=F271)*($U$4:$U$703=1)*($S$4:$S$703&gt;S271))+SUMPRODUCT(($K$4:$K$703=K271)*($F$4:$F$703=F271)*($U$4:$U$703=1)*($S$4:$S$703=S271)*($T$4:$T$703&gt;T271))+SUMPRODUCT(($K$4:$K$703=K271)*($F$4:$F$703=F271)*($U$4:$U$703=1)*($S$4:$S$703=S271)*($T$4:$T$703=T271)*($C$4:$C$703&lt;C271))+SUMPRODUCT(($K$4:$K$703=K271)*($F$4:$F$703=F271)*($U$4:$U$703=1)*($S$4:$S$703=S271)*($T$4:$T$703=T271)*($C$4:$C$703=C271)*($D$4:$D$703&lt;D271)),0)</f>
        <v>0</v>
      </c>
      <c r="X271" s="11" t="n">
        <f aca="false">IF(AND(U271=1,V271&gt;0,W271&gt;1),S271,0)</f>
        <v>0</v>
      </c>
      <c r="Y271" s="11" t="n">
        <f aca="false">IF(T271=1,X271/(1+Controls!$B$11)^F271,0)</f>
        <v>0</v>
      </c>
      <c r="Z271" s="11" t="n">
        <f aca="false">IF(AND(N271,E271="capacity",LEN(K271)&gt;0),1,0)</f>
        <v>1</v>
      </c>
      <c r="AA271" s="11" t="n">
        <f aca="false">IF(Z271=1,SUMPRODUCT(($K$4:$K$703=K271)*($F$4:$F$703=F271)*($Z$4:$Z$703=1)*($B$4:$B$703&lt;&gt;B271)),0)</f>
        <v>0</v>
      </c>
      <c r="AB271" s="11" t="n">
        <f aca="false">IF(AND(Z271=1,AA271&gt;0),1+SUMPRODUCT(($K$4:$K$703=K271)*($F$4:$F$703=F271)*($Z$4:$Z$703=1)*($P$4:$P$703&gt;P271))+SUMPRODUCT(($K$4:$K$703=K271)*($F$4:$F$703=F271)*($Z$4:$Z$703=1)*($P$4:$P$703=P271)*($C$4:$C$703&lt;C271))+SUMPRODUCT(($K$4:$K$703=K271)*($F$4:$F$703=F271)*($Z$4:$Z$703=1)*($P$4:$P$703=P271)*($C$4:$C$703=C271)*($D$4:$D$703&lt;D271)),0)</f>
        <v>0</v>
      </c>
      <c r="AC271" s="11" t="n">
        <f aca="false">IF(AND(Z271=1,AA271&gt;0,AB271&gt;1),P271,0)</f>
        <v>0</v>
      </c>
    </row>
    <row r="272" customFormat="false" ht="15" hidden="false" customHeight="false" outlineLevel="0" collapsed="false">
      <c r="A272" s="4" t="s">
        <v>498</v>
      </c>
      <c r="B272" s="4" t="s">
        <v>91</v>
      </c>
      <c r="C272" s="4" t="n">
        <v>9</v>
      </c>
      <c r="D272" s="4" t="n">
        <v>269</v>
      </c>
      <c r="E272" s="4" t="s">
        <v>233</v>
      </c>
      <c r="F272" s="4" t="n">
        <v>7</v>
      </c>
      <c r="G272" s="4" t="n">
        <v>3</v>
      </c>
      <c r="H272" s="4" t="n">
        <v>365.06</v>
      </c>
      <c r="I272" s="13" t="b">
        <f aca="false">FALSE()</f>
        <v>0</v>
      </c>
      <c r="K272" s="4" t="s">
        <v>494</v>
      </c>
      <c r="L272" s="4" t="n">
        <v>27.69</v>
      </c>
      <c r="M272" s="11" t="n">
        <f aca="false">IFERROR(MATCH(Controls!$B$3&amp;"|"&amp;B272,'Scenario inputs'!$A$4:$A$213,0),0)</f>
        <v>140</v>
      </c>
      <c r="N272" s="8" t="b">
        <f aca="false">IF(M272=0,FALSE(),F272&lt;Controls!$B$12)</f>
        <v>1</v>
      </c>
      <c r="O272" s="11" t="n">
        <f aca="false">IF(N272,IF(INDEX('Scenario inputs'!$E$4:$E$213,M272)=0,1,INDEX('Scenario inputs'!$F$4:$M$213,M272,MIN(MAX(F272-G272,0),INDEX('Scenario inputs'!$E$4:$E$213,M272)-1)+1)),0)</f>
        <v>0.535714</v>
      </c>
      <c r="P272" s="11" t="n">
        <f aca="false">H272*O272</f>
        <v>195.56775284</v>
      </c>
      <c r="Q272" s="0" t="str">
        <f aca="false">IF(M272=0,"",IF(ISNUMBER(INDEX('Scenario inputs'!$N$4:$N$213,M272)),INDEX('Scenario inputs'!$N$4:$N$213,M272),""))</f>
        <v/>
      </c>
      <c r="R272" s="0" t="str">
        <f aca="false">IF(NOT(N272),"",IF(OR(E272="cash",E272="revenue"),E272,IF(E272="avoided_cost",IF(AND(I272,LEN(TRIM(J272))&gt;0),"avoided_cost_realised","avoided_cost_beside"),IF(ISNUMBER(Q272),"capacity_converted","capacity_hours"))))</f>
        <v>capacity_hours</v>
      </c>
      <c r="S272" s="11" t="n">
        <f aca="false">IF(OR(R272="",R272="capacity_hours"),0,IF(R272="capacity_converted",P272*Q272,P272))</f>
        <v>0</v>
      </c>
      <c r="T272" s="11" t="n">
        <f aca="false">IF(OR(R272="cash",R272="revenue",R272="avoided_cost_realised",R272="capacity_converted"),1,0)</f>
        <v>0</v>
      </c>
      <c r="U272" s="11" t="n">
        <f aca="false">IF(AND(N272,R272&lt;&gt;"capacity_hours",LEN(K272)&gt;0),1,0)</f>
        <v>0</v>
      </c>
      <c r="V272" s="11" t="n">
        <f aca="false">IF(U272=1,SUMPRODUCT(($K$4:$K$703=K272)*($F$4:$F$703=F272)*($U$4:$U$703=1)*($B$4:$B$703&lt;&gt;B272)),0)</f>
        <v>0</v>
      </c>
      <c r="W272" s="11" t="n">
        <f aca="false">IF(AND(U272=1,V272&gt;0),1+SUMPRODUCT(($K$4:$K$703=K272)*($F$4:$F$703=F272)*($U$4:$U$703=1)*($S$4:$S$703&gt;S272))+SUMPRODUCT(($K$4:$K$703=K272)*($F$4:$F$703=F272)*($U$4:$U$703=1)*($S$4:$S$703=S272)*($T$4:$T$703&gt;T272))+SUMPRODUCT(($K$4:$K$703=K272)*($F$4:$F$703=F272)*($U$4:$U$703=1)*($S$4:$S$703=S272)*($T$4:$T$703=T272)*($C$4:$C$703&lt;C272))+SUMPRODUCT(($K$4:$K$703=K272)*($F$4:$F$703=F272)*($U$4:$U$703=1)*($S$4:$S$703=S272)*($T$4:$T$703=T272)*($C$4:$C$703=C272)*($D$4:$D$703&lt;D272)),0)</f>
        <v>0</v>
      </c>
      <c r="X272" s="11" t="n">
        <f aca="false">IF(AND(U272=1,V272&gt;0,W272&gt;1),S272,0)</f>
        <v>0</v>
      </c>
      <c r="Y272" s="11" t="n">
        <f aca="false">IF(T272=1,X272/(1+Controls!$B$11)^F272,0)</f>
        <v>0</v>
      </c>
      <c r="Z272" s="11" t="n">
        <f aca="false">IF(AND(N272,E272="capacity",LEN(K272)&gt;0),1,0)</f>
        <v>1</v>
      </c>
      <c r="AA272" s="11" t="n">
        <f aca="false">IF(Z272=1,SUMPRODUCT(($K$4:$K$703=K272)*($F$4:$F$703=F272)*($Z$4:$Z$703=1)*($B$4:$B$703&lt;&gt;B272)),0)</f>
        <v>0</v>
      </c>
      <c r="AB272" s="11" t="n">
        <f aca="false">IF(AND(Z272=1,AA272&gt;0),1+SUMPRODUCT(($K$4:$K$703=K272)*($F$4:$F$703=F272)*($Z$4:$Z$703=1)*($P$4:$P$703&gt;P272))+SUMPRODUCT(($K$4:$K$703=K272)*($F$4:$F$703=F272)*($Z$4:$Z$703=1)*($P$4:$P$703=P272)*($C$4:$C$703&lt;C272))+SUMPRODUCT(($K$4:$K$703=K272)*($F$4:$F$703=F272)*($Z$4:$Z$703=1)*($P$4:$P$703=P272)*($C$4:$C$703=C272)*($D$4:$D$703&lt;D272)),0)</f>
        <v>0</v>
      </c>
      <c r="AC272" s="11" t="n">
        <f aca="false">IF(AND(Z272=1,AA272&gt;0,AB272&gt;1),P272,0)</f>
        <v>0</v>
      </c>
    </row>
    <row r="273" customFormat="false" ht="15" hidden="false" customHeight="false" outlineLevel="0" collapsed="false">
      <c r="A273" s="4" t="s">
        <v>499</v>
      </c>
      <c r="B273" s="4" t="s">
        <v>91</v>
      </c>
      <c r="C273" s="4" t="n">
        <v>9</v>
      </c>
      <c r="D273" s="4" t="n">
        <v>270</v>
      </c>
      <c r="E273" s="4" t="s">
        <v>233</v>
      </c>
      <c r="F273" s="4" t="n">
        <v>8</v>
      </c>
      <c r="G273" s="4" t="n">
        <v>3</v>
      </c>
      <c r="H273" s="4" t="n">
        <v>365.06</v>
      </c>
      <c r="I273" s="13" t="b">
        <f aca="false">FALSE()</f>
        <v>0</v>
      </c>
      <c r="K273" s="4" t="s">
        <v>494</v>
      </c>
      <c r="L273" s="4" t="n">
        <v>39.53</v>
      </c>
      <c r="M273" s="11" t="n">
        <f aca="false">IFERROR(MATCH(Controls!$B$3&amp;"|"&amp;B273,'Scenario inputs'!$A$4:$A$213,0),0)</f>
        <v>140</v>
      </c>
      <c r="N273" s="8" t="b">
        <f aca="false">IF(M273=0,FALSE(),F273&lt;Controls!$B$12)</f>
        <v>1</v>
      </c>
      <c r="O273" s="11" t="n">
        <f aca="false">IF(N273,IF(INDEX('Scenario inputs'!$E$4:$E$213,M273)=0,1,INDEX('Scenario inputs'!$F$4:$M$213,M273,MIN(MAX(F273-G273,0),INDEX('Scenario inputs'!$E$4:$E$213,M273)-1)+1)),0)</f>
        <v>0.75</v>
      </c>
      <c r="P273" s="11" t="n">
        <f aca="false">H273*O273</f>
        <v>273.795</v>
      </c>
      <c r="Q273" s="0" t="str">
        <f aca="false">IF(M273=0,"",IF(ISNUMBER(INDEX('Scenario inputs'!$N$4:$N$213,M273)),INDEX('Scenario inputs'!$N$4:$N$213,M273),""))</f>
        <v/>
      </c>
      <c r="R273" s="0" t="str">
        <f aca="false">IF(NOT(N273),"",IF(OR(E273="cash",E273="revenue"),E273,IF(E273="avoided_cost",IF(AND(I273,LEN(TRIM(J273))&gt;0),"avoided_cost_realised","avoided_cost_beside"),IF(ISNUMBER(Q273),"capacity_converted","capacity_hours"))))</f>
        <v>capacity_hours</v>
      </c>
      <c r="S273" s="11" t="n">
        <f aca="false">IF(OR(R273="",R273="capacity_hours"),0,IF(R273="capacity_converted",P273*Q273,P273))</f>
        <v>0</v>
      </c>
      <c r="T273" s="11" t="n">
        <f aca="false">IF(OR(R273="cash",R273="revenue",R273="avoided_cost_realised",R273="capacity_converted"),1,0)</f>
        <v>0</v>
      </c>
      <c r="U273" s="11" t="n">
        <f aca="false">IF(AND(N273,R273&lt;&gt;"capacity_hours",LEN(K273)&gt;0),1,0)</f>
        <v>0</v>
      </c>
      <c r="V273" s="11" t="n">
        <f aca="false">IF(U273=1,SUMPRODUCT(($K$4:$K$703=K273)*($F$4:$F$703=F273)*($U$4:$U$703=1)*($B$4:$B$703&lt;&gt;B273)),0)</f>
        <v>0</v>
      </c>
      <c r="W273" s="11" t="n">
        <f aca="false">IF(AND(U273=1,V273&gt;0),1+SUMPRODUCT(($K$4:$K$703=K273)*($F$4:$F$703=F273)*($U$4:$U$703=1)*($S$4:$S$703&gt;S273))+SUMPRODUCT(($K$4:$K$703=K273)*($F$4:$F$703=F273)*($U$4:$U$703=1)*($S$4:$S$703=S273)*($T$4:$T$703&gt;T273))+SUMPRODUCT(($K$4:$K$703=K273)*($F$4:$F$703=F273)*($U$4:$U$703=1)*($S$4:$S$703=S273)*($T$4:$T$703=T273)*($C$4:$C$703&lt;C273))+SUMPRODUCT(($K$4:$K$703=K273)*($F$4:$F$703=F273)*($U$4:$U$703=1)*($S$4:$S$703=S273)*($T$4:$T$703=T273)*($C$4:$C$703=C273)*($D$4:$D$703&lt;D273)),0)</f>
        <v>0</v>
      </c>
      <c r="X273" s="11" t="n">
        <f aca="false">IF(AND(U273=1,V273&gt;0,W273&gt;1),S273,0)</f>
        <v>0</v>
      </c>
      <c r="Y273" s="11" t="n">
        <f aca="false">IF(T273=1,X273/(1+Controls!$B$11)^F273,0)</f>
        <v>0</v>
      </c>
      <c r="Z273" s="11" t="n">
        <f aca="false">IF(AND(N273,E273="capacity",LEN(K273)&gt;0),1,0)</f>
        <v>1</v>
      </c>
      <c r="AA273" s="11" t="n">
        <f aca="false">IF(Z273=1,SUMPRODUCT(($K$4:$K$703=K273)*($F$4:$F$703=F273)*($Z$4:$Z$703=1)*($B$4:$B$703&lt;&gt;B273)),0)</f>
        <v>0</v>
      </c>
      <c r="AB273" s="11" t="n">
        <f aca="false">IF(AND(Z273=1,AA273&gt;0),1+SUMPRODUCT(($K$4:$K$703=K273)*($F$4:$F$703=F273)*($Z$4:$Z$703=1)*($P$4:$P$703&gt;P273))+SUMPRODUCT(($K$4:$K$703=K273)*($F$4:$F$703=F273)*($Z$4:$Z$703=1)*($P$4:$P$703=P273)*($C$4:$C$703&lt;C273))+SUMPRODUCT(($K$4:$K$703=K273)*($F$4:$F$703=F273)*($Z$4:$Z$703=1)*($P$4:$P$703=P273)*($C$4:$C$703=C273)*($D$4:$D$703&lt;D273)),0)</f>
        <v>0</v>
      </c>
      <c r="AC273" s="11" t="n">
        <f aca="false">IF(AND(Z273=1,AA273&gt;0,AB273&gt;1),P273,0)</f>
        <v>0</v>
      </c>
    </row>
    <row r="274" customFormat="false" ht="15" hidden="false" customHeight="false" outlineLevel="0" collapsed="false">
      <c r="A274" s="4" t="s">
        <v>500</v>
      </c>
      <c r="B274" s="4" t="s">
        <v>91</v>
      </c>
      <c r="C274" s="4" t="n">
        <v>9</v>
      </c>
      <c r="D274" s="4" t="n">
        <v>271</v>
      </c>
      <c r="E274" s="4" t="s">
        <v>233</v>
      </c>
      <c r="F274" s="4" t="n">
        <v>9</v>
      </c>
      <c r="G274" s="4" t="n">
        <v>3</v>
      </c>
      <c r="H274" s="4" t="n">
        <v>365.06</v>
      </c>
      <c r="I274" s="13" t="b">
        <f aca="false">FALSE()</f>
        <v>0</v>
      </c>
      <c r="K274" s="4" t="s">
        <v>494</v>
      </c>
      <c r="L274" s="4" t="n">
        <v>60.2</v>
      </c>
      <c r="M274" s="11" t="n">
        <f aca="false">IFERROR(MATCH(Controls!$B$3&amp;"|"&amp;B274,'Scenario inputs'!$A$4:$A$213,0),0)</f>
        <v>140</v>
      </c>
      <c r="N274" s="8" t="b">
        <f aca="false">IF(M274=0,FALSE(),F274&lt;Controls!$B$12)</f>
        <v>1</v>
      </c>
      <c r="O274" s="11" t="n">
        <f aca="false">IF(N274,IF(INDEX('Scenario inputs'!$E$4:$E$213,M274)=0,1,INDEX('Scenario inputs'!$F$4:$M$213,M274,MIN(MAX(F274-G274,0),INDEX('Scenario inputs'!$E$4:$E$213,M274)-1)+1)),0)</f>
        <v>1</v>
      </c>
      <c r="P274" s="11" t="n">
        <f aca="false">H274*O274</f>
        <v>365.06</v>
      </c>
      <c r="Q274" s="0" t="str">
        <f aca="false">IF(M274=0,"",IF(ISNUMBER(INDEX('Scenario inputs'!$N$4:$N$213,M274)),INDEX('Scenario inputs'!$N$4:$N$213,M274),""))</f>
        <v/>
      </c>
      <c r="R274" s="0" t="str">
        <f aca="false">IF(NOT(N274),"",IF(OR(E274="cash",E274="revenue"),E274,IF(E274="avoided_cost",IF(AND(I274,LEN(TRIM(J274))&gt;0),"avoided_cost_realised","avoided_cost_beside"),IF(ISNUMBER(Q274),"capacity_converted","capacity_hours"))))</f>
        <v>capacity_hours</v>
      </c>
      <c r="S274" s="11" t="n">
        <f aca="false">IF(OR(R274="",R274="capacity_hours"),0,IF(R274="capacity_converted",P274*Q274,P274))</f>
        <v>0</v>
      </c>
      <c r="T274" s="11" t="n">
        <f aca="false">IF(OR(R274="cash",R274="revenue",R274="avoided_cost_realised",R274="capacity_converted"),1,0)</f>
        <v>0</v>
      </c>
      <c r="U274" s="11" t="n">
        <f aca="false">IF(AND(N274,R274&lt;&gt;"capacity_hours",LEN(K274)&gt;0),1,0)</f>
        <v>0</v>
      </c>
      <c r="V274" s="11" t="n">
        <f aca="false">IF(U274=1,SUMPRODUCT(($K$4:$K$703=K274)*($F$4:$F$703=F274)*($U$4:$U$703=1)*($B$4:$B$703&lt;&gt;B274)),0)</f>
        <v>0</v>
      </c>
      <c r="W274" s="11" t="n">
        <f aca="false">IF(AND(U274=1,V274&gt;0),1+SUMPRODUCT(($K$4:$K$703=K274)*($F$4:$F$703=F274)*($U$4:$U$703=1)*($S$4:$S$703&gt;S274))+SUMPRODUCT(($K$4:$K$703=K274)*($F$4:$F$703=F274)*($U$4:$U$703=1)*($S$4:$S$703=S274)*($T$4:$T$703&gt;T274))+SUMPRODUCT(($K$4:$K$703=K274)*($F$4:$F$703=F274)*($U$4:$U$703=1)*($S$4:$S$703=S274)*($T$4:$T$703=T274)*($C$4:$C$703&lt;C274))+SUMPRODUCT(($K$4:$K$703=K274)*($F$4:$F$703=F274)*($U$4:$U$703=1)*($S$4:$S$703=S274)*($T$4:$T$703=T274)*($C$4:$C$703=C274)*($D$4:$D$703&lt;D274)),0)</f>
        <v>0</v>
      </c>
      <c r="X274" s="11" t="n">
        <f aca="false">IF(AND(U274=1,V274&gt;0,W274&gt;1),S274,0)</f>
        <v>0</v>
      </c>
      <c r="Y274" s="11" t="n">
        <f aca="false">IF(T274=1,X274/(1+Controls!$B$11)^F274,0)</f>
        <v>0</v>
      </c>
      <c r="Z274" s="11" t="n">
        <f aca="false">IF(AND(N274,E274="capacity",LEN(K274)&gt;0),1,0)</f>
        <v>1</v>
      </c>
      <c r="AA274" s="11" t="n">
        <f aca="false">IF(Z274=1,SUMPRODUCT(($K$4:$K$703=K274)*($F$4:$F$703=F274)*($Z$4:$Z$703=1)*($B$4:$B$703&lt;&gt;B274)),0)</f>
        <v>0</v>
      </c>
      <c r="AB274" s="11" t="n">
        <f aca="false">IF(AND(Z274=1,AA274&gt;0),1+SUMPRODUCT(($K$4:$K$703=K274)*($F$4:$F$703=F274)*($Z$4:$Z$703=1)*($P$4:$P$703&gt;P274))+SUMPRODUCT(($K$4:$K$703=K274)*($F$4:$F$703=F274)*($Z$4:$Z$703=1)*($P$4:$P$703=P274)*($C$4:$C$703&lt;C274))+SUMPRODUCT(($K$4:$K$703=K274)*($F$4:$F$703=F274)*($Z$4:$Z$703=1)*($P$4:$P$703=P274)*($C$4:$C$703=C274)*($D$4:$D$703&lt;D274)),0)</f>
        <v>0</v>
      </c>
      <c r="AC274" s="11" t="n">
        <f aca="false">IF(AND(Z274=1,AA274&gt;0,AB274&gt;1),P274,0)</f>
        <v>0</v>
      </c>
    </row>
    <row r="275" customFormat="false" ht="15" hidden="false" customHeight="false" outlineLevel="0" collapsed="false">
      <c r="A275" s="4" t="s">
        <v>501</v>
      </c>
      <c r="B275" s="4" t="s">
        <v>91</v>
      </c>
      <c r="C275" s="4" t="n">
        <v>9</v>
      </c>
      <c r="D275" s="4" t="n">
        <v>272</v>
      </c>
      <c r="E275" s="4" t="s">
        <v>233</v>
      </c>
      <c r="F275" s="4" t="n">
        <v>10</v>
      </c>
      <c r="G275" s="4" t="n">
        <v>3</v>
      </c>
      <c r="H275" s="4" t="n">
        <v>365.06</v>
      </c>
      <c r="I275" s="13" t="b">
        <f aca="false">FALSE()</f>
        <v>0</v>
      </c>
      <c r="K275" s="4" t="s">
        <v>494</v>
      </c>
      <c r="L275" s="4" t="n">
        <v>60.2</v>
      </c>
      <c r="M275" s="11" t="n">
        <f aca="false">IFERROR(MATCH(Controls!$B$3&amp;"|"&amp;B275,'Scenario inputs'!$A$4:$A$213,0),0)</f>
        <v>140</v>
      </c>
      <c r="N275" s="8" t="b">
        <f aca="false">IF(M275=0,FALSE(),F275&lt;Controls!$B$12)</f>
        <v>1</v>
      </c>
      <c r="O275" s="11" t="n">
        <f aca="false">IF(N275,IF(INDEX('Scenario inputs'!$E$4:$E$213,M275)=0,1,INDEX('Scenario inputs'!$F$4:$M$213,M275,MIN(MAX(F275-G275,0),INDEX('Scenario inputs'!$E$4:$E$213,M275)-1)+1)),0)</f>
        <v>1</v>
      </c>
      <c r="P275" s="11" t="n">
        <f aca="false">H275*O275</f>
        <v>365.06</v>
      </c>
      <c r="Q275" s="0" t="str">
        <f aca="false">IF(M275=0,"",IF(ISNUMBER(INDEX('Scenario inputs'!$N$4:$N$213,M275)),INDEX('Scenario inputs'!$N$4:$N$213,M275),""))</f>
        <v/>
      </c>
      <c r="R275" s="0" t="str">
        <f aca="false">IF(NOT(N275),"",IF(OR(E275="cash",E275="revenue"),E275,IF(E275="avoided_cost",IF(AND(I275,LEN(TRIM(J275))&gt;0),"avoided_cost_realised","avoided_cost_beside"),IF(ISNUMBER(Q275),"capacity_converted","capacity_hours"))))</f>
        <v>capacity_hours</v>
      </c>
      <c r="S275" s="11" t="n">
        <f aca="false">IF(OR(R275="",R275="capacity_hours"),0,IF(R275="capacity_converted",P275*Q275,P275))</f>
        <v>0</v>
      </c>
      <c r="T275" s="11" t="n">
        <f aca="false">IF(OR(R275="cash",R275="revenue",R275="avoided_cost_realised",R275="capacity_converted"),1,0)</f>
        <v>0</v>
      </c>
      <c r="U275" s="11" t="n">
        <f aca="false">IF(AND(N275,R275&lt;&gt;"capacity_hours",LEN(K275)&gt;0),1,0)</f>
        <v>0</v>
      </c>
      <c r="V275" s="11" t="n">
        <f aca="false">IF(U275=1,SUMPRODUCT(($K$4:$K$703=K275)*($F$4:$F$703=F275)*($U$4:$U$703=1)*($B$4:$B$703&lt;&gt;B275)),0)</f>
        <v>0</v>
      </c>
      <c r="W275" s="11" t="n">
        <f aca="false">IF(AND(U275=1,V275&gt;0),1+SUMPRODUCT(($K$4:$K$703=K275)*($F$4:$F$703=F275)*($U$4:$U$703=1)*($S$4:$S$703&gt;S275))+SUMPRODUCT(($K$4:$K$703=K275)*($F$4:$F$703=F275)*($U$4:$U$703=1)*($S$4:$S$703=S275)*($T$4:$T$703&gt;T275))+SUMPRODUCT(($K$4:$K$703=K275)*($F$4:$F$703=F275)*($U$4:$U$703=1)*($S$4:$S$703=S275)*($T$4:$T$703=T275)*($C$4:$C$703&lt;C275))+SUMPRODUCT(($K$4:$K$703=K275)*($F$4:$F$703=F275)*($U$4:$U$703=1)*($S$4:$S$703=S275)*($T$4:$T$703=T275)*($C$4:$C$703=C275)*($D$4:$D$703&lt;D275)),0)</f>
        <v>0</v>
      </c>
      <c r="X275" s="11" t="n">
        <f aca="false">IF(AND(U275=1,V275&gt;0,W275&gt;1),S275,0)</f>
        <v>0</v>
      </c>
      <c r="Y275" s="11" t="n">
        <f aca="false">IF(T275=1,X275/(1+Controls!$B$11)^F275,0)</f>
        <v>0</v>
      </c>
      <c r="Z275" s="11" t="n">
        <f aca="false">IF(AND(N275,E275="capacity",LEN(K275)&gt;0),1,0)</f>
        <v>1</v>
      </c>
      <c r="AA275" s="11" t="n">
        <f aca="false">IF(Z275=1,SUMPRODUCT(($K$4:$K$703=K275)*($F$4:$F$703=F275)*($Z$4:$Z$703=1)*($B$4:$B$703&lt;&gt;B275)),0)</f>
        <v>0</v>
      </c>
      <c r="AB275" s="11" t="n">
        <f aca="false">IF(AND(Z275=1,AA275&gt;0),1+SUMPRODUCT(($K$4:$K$703=K275)*($F$4:$F$703=F275)*($Z$4:$Z$703=1)*($P$4:$P$703&gt;P275))+SUMPRODUCT(($K$4:$K$703=K275)*($F$4:$F$703=F275)*($Z$4:$Z$703=1)*($P$4:$P$703=P275)*($C$4:$C$703&lt;C275))+SUMPRODUCT(($K$4:$K$703=K275)*($F$4:$F$703=F275)*($Z$4:$Z$703=1)*($P$4:$P$703=P275)*($C$4:$C$703=C275)*($D$4:$D$703&lt;D275)),0)</f>
        <v>0</v>
      </c>
      <c r="AC275" s="11" t="n">
        <f aca="false">IF(AND(Z275=1,AA275&gt;0,AB275&gt;1),P275,0)</f>
        <v>0</v>
      </c>
    </row>
    <row r="276" customFormat="false" ht="15" hidden="false" customHeight="false" outlineLevel="0" collapsed="false">
      <c r="A276" s="4" t="s">
        <v>502</v>
      </c>
      <c r="B276" s="4" t="s">
        <v>91</v>
      </c>
      <c r="C276" s="4" t="n">
        <v>9</v>
      </c>
      <c r="D276" s="4" t="n">
        <v>273</v>
      </c>
      <c r="E276" s="4" t="s">
        <v>233</v>
      </c>
      <c r="F276" s="4" t="n">
        <v>11</v>
      </c>
      <c r="G276" s="4" t="n">
        <v>3</v>
      </c>
      <c r="H276" s="4" t="n">
        <v>365.06</v>
      </c>
      <c r="I276" s="13" t="b">
        <f aca="false">FALSE()</f>
        <v>0</v>
      </c>
      <c r="K276" s="4" t="s">
        <v>494</v>
      </c>
      <c r="L276" s="4" t="n">
        <v>60.2</v>
      </c>
      <c r="M276" s="11" t="n">
        <f aca="false">IFERROR(MATCH(Controls!$B$3&amp;"|"&amp;B276,'Scenario inputs'!$A$4:$A$213,0),0)</f>
        <v>140</v>
      </c>
      <c r="N276" s="8" t="b">
        <f aca="false">IF(M276=0,FALSE(),F276&lt;Controls!$B$12)</f>
        <v>1</v>
      </c>
      <c r="O276" s="11" t="n">
        <f aca="false">IF(N276,IF(INDEX('Scenario inputs'!$E$4:$E$213,M276)=0,1,INDEX('Scenario inputs'!$F$4:$M$213,M276,MIN(MAX(F276-G276,0),INDEX('Scenario inputs'!$E$4:$E$213,M276)-1)+1)),0)</f>
        <v>1</v>
      </c>
      <c r="P276" s="11" t="n">
        <f aca="false">H276*O276</f>
        <v>365.06</v>
      </c>
      <c r="Q276" s="0" t="str">
        <f aca="false">IF(M276=0,"",IF(ISNUMBER(INDEX('Scenario inputs'!$N$4:$N$213,M276)),INDEX('Scenario inputs'!$N$4:$N$213,M276),""))</f>
        <v/>
      </c>
      <c r="R276" s="0" t="str">
        <f aca="false">IF(NOT(N276),"",IF(OR(E276="cash",E276="revenue"),E276,IF(E276="avoided_cost",IF(AND(I276,LEN(TRIM(J276))&gt;0),"avoided_cost_realised","avoided_cost_beside"),IF(ISNUMBER(Q276),"capacity_converted","capacity_hours"))))</f>
        <v>capacity_hours</v>
      </c>
      <c r="S276" s="11" t="n">
        <f aca="false">IF(OR(R276="",R276="capacity_hours"),0,IF(R276="capacity_converted",P276*Q276,P276))</f>
        <v>0</v>
      </c>
      <c r="T276" s="11" t="n">
        <f aca="false">IF(OR(R276="cash",R276="revenue",R276="avoided_cost_realised",R276="capacity_converted"),1,0)</f>
        <v>0</v>
      </c>
      <c r="U276" s="11" t="n">
        <f aca="false">IF(AND(N276,R276&lt;&gt;"capacity_hours",LEN(K276)&gt;0),1,0)</f>
        <v>0</v>
      </c>
      <c r="V276" s="11" t="n">
        <f aca="false">IF(U276=1,SUMPRODUCT(($K$4:$K$703=K276)*($F$4:$F$703=F276)*($U$4:$U$703=1)*($B$4:$B$703&lt;&gt;B276)),0)</f>
        <v>0</v>
      </c>
      <c r="W276" s="11" t="n">
        <f aca="false">IF(AND(U276=1,V276&gt;0),1+SUMPRODUCT(($K$4:$K$703=K276)*($F$4:$F$703=F276)*($U$4:$U$703=1)*($S$4:$S$703&gt;S276))+SUMPRODUCT(($K$4:$K$703=K276)*($F$4:$F$703=F276)*($U$4:$U$703=1)*($S$4:$S$703=S276)*($T$4:$T$703&gt;T276))+SUMPRODUCT(($K$4:$K$703=K276)*($F$4:$F$703=F276)*($U$4:$U$703=1)*($S$4:$S$703=S276)*($T$4:$T$703=T276)*($C$4:$C$703&lt;C276))+SUMPRODUCT(($K$4:$K$703=K276)*($F$4:$F$703=F276)*($U$4:$U$703=1)*($S$4:$S$703=S276)*($T$4:$T$703=T276)*($C$4:$C$703=C276)*($D$4:$D$703&lt;D276)),0)</f>
        <v>0</v>
      </c>
      <c r="X276" s="11" t="n">
        <f aca="false">IF(AND(U276=1,V276&gt;0,W276&gt;1),S276,0)</f>
        <v>0</v>
      </c>
      <c r="Y276" s="11" t="n">
        <f aca="false">IF(T276=1,X276/(1+Controls!$B$11)^F276,0)</f>
        <v>0</v>
      </c>
      <c r="Z276" s="11" t="n">
        <f aca="false">IF(AND(N276,E276="capacity",LEN(K276)&gt;0),1,0)</f>
        <v>1</v>
      </c>
      <c r="AA276" s="11" t="n">
        <f aca="false">IF(Z276=1,SUMPRODUCT(($K$4:$K$703=K276)*($F$4:$F$703=F276)*($Z$4:$Z$703=1)*($B$4:$B$703&lt;&gt;B276)),0)</f>
        <v>0</v>
      </c>
      <c r="AB276" s="11" t="n">
        <f aca="false">IF(AND(Z276=1,AA276&gt;0),1+SUMPRODUCT(($K$4:$K$703=K276)*($F$4:$F$703=F276)*($Z$4:$Z$703=1)*($P$4:$P$703&gt;P276))+SUMPRODUCT(($K$4:$K$703=K276)*($F$4:$F$703=F276)*($Z$4:$Z$703=1)*($P$4:$P$703=P276)*($C$4:$C$703&lt;C276))+SUMPRODUCT(($K$4:$K$703=K276)*($F$4:$F$703=F276)*($Z$4:$Z$703=1)*($P$4:$P$703=P276)*($C$4:$C$703=C276)*($D$4:$D$703&lt;D276)),0)</f>
        <v>0</v>
      </c>
      <c r="AC276" s="11" t="n">
        <f aca="false">IF(AND(Z276=1,AA276&gt;0,AB276&gt;1),P276,0)</f>
        <v>0</v>
      </c>
    </row>
    <row r="277" customFormat="false" ht="15" hidden="false" customHeight="false" outlineLevel="0" collapsed="false">
      <c r="A277" s="4" t="s">
        <v>503</v>
      </c>
      <c r="B277" s="4" t="s">
        <v>91</v>
      </c>
      <c r="C277" s="4" t="n">
        <v>9</v>
      </c>
      <c r="D277" s="4" t="n">
        <v>274</v>
      </c>
      <c r="E277" s="4" t="s">
        <v>233</v>
      </c>
      <c r="F277" s="4" t="n">
        <v>12</v>
      </c>
      <c r="G277" s="4" t="n">
        <v>3</v>
      </c>
      <c r="H277" s="4" t="n">
        <v>365.06</v>
      </c>
      <c r="I277" s="13" t="b">
        <f aca="false">FALSE()</f>
        <v>0</v>
      </c>
      <c r="K277" s="4" t="s">
        <v>494</v>
      </c>
      <c r="L277" s="4" t="n">
        <v>60.2</v>
      </c>
      <c r="M277" s="11" t="n">
        <f aca="false">IFERROR(MATCH(Controls!$B$3&amp;"|"&amp;B277,'Scenario inputs'!$A$4:$A$213,0),0)</f>
        <v>140</v>
      </c>
      <c r="N277" s="8" t="b">
        <f aca="false">IF(M277=0,FALSE(),F277&lt;Controls!$B$12)</f>
        <v>1</v>
      </c>
      <c r="O277" s="11" t="n">
        <f aca="false">IF(N277,IF(INDEX('Scenario inputs'!$E$4:$E$213,M277)=0,1,INDEX('Scenario inputs'!$F$4:$M$213,M277,MIN(MAX(F277-G277,0),INDEX('Scenario inputs'!$E$4:$E$213,M277)-1)+1)),0)</f>
        <v>1</v>
      </c>
      <c r="P277" s="11" t="n">
        <f aca="false">H277*O277</f>
        <v>365.06</v>
      </c>
      <c r="Q277" s="0" t="str">
        <f aca="false">IF(M277=0,"",IF(ISNUMBER(INDEX('Scenario inputs'!$N$4:$N$213,M277)),INDEX('Scenario inputs'!$N$4:$N$213,M277),""))</f>
        <v/>
      </c>
      <c r="R277" s="0" t="str">
        <f aca="false">IF(NOT(N277),"",IF(OR(E277="cash",E277="revenue"),E277,IF(E277="avoided_cost",IF(AND(I277,LEN(TRIM(J277))&gt;0),"avoided_cost_realised","avoided_cost_beside"),IF(ISNUMBER(Q277),"capacity_converted","capacity_hours"))))</f>
        <v>capacity_hours</v>
      </c>
      <c r="S277" s="11" t="n">
        <f aca="false">IF(OR(R277="",R277="capacity_hours"),0,IF(R277="capacity_converted",P277*Q277,P277))</f>
        <v>0</v>
      </c>
      <c r="T277" s="11" t="n">
        <f aca="false">IF(OR(R277="cash",R277="revenue",R277="avoided_cost_realised",R277="capacity_converted"),1,0)</f>
        <v>0</v>
      </c>
      <c r="U277" s="11" t="n">
        <f aca="false">IF(AND(N277,R277&lt;&gt;"capacity_hours",LEN(K277)&gt;0),1,0)</f>
        <v>0</v>
      </c>
      <c r="V277" s="11" t="n">
        <f aca="false">IF(U277=1,SUMPRODUCT(($K$4:$K$703=K277)*($F$4:$F$703=F277)*($U$4:$U$703=1)*($B$4:$B$703&lt;&gt;B277)),0)</f>
        <v>0</v>
      </c>
      <c r="W277" s="11" t="n">
        <f aca="false">IF(AND(U277=1,V277&gt;0),1+SUMPRODUCT(($K$4:$K$703=K277)*($F$4:$F$703=F277)*($U$4:$U$703=1)*($S$4:$S$703&gt;S277))+SUMPRODUCT(($K$4:$K$703=K277)*($F$4:$F$703=F277)*($U$4:$U$703=1)*($S$4:$S$703=S277)*($T$4:$T$703&gt;T277))+SUMPRODUCT(($K$4:$K$703=K277)*($F$4:$F$703=F277)*($U$4:$U$703=1)*($S$4:$S$703=S277)*($T$4:$T$703=T277)*($C$4:$C$703&lt;C277))+SUMPRODUCT(($K$4:$K$703=K277)*($F$4:$F$703=F277)*($U$4:$U$703=1)*($S$4:$S$703=S277)*($T$4:$T$703=T277)*($C$4:$C$703=C277)*($D$4:$D$703&lt;D277)),0)</f>
        <v>0</v>
      </c>
      <c r="X277" s="11" t="n">
        <f aca="false">IF(AND(U277=1,V277&gt;0,W277&gt;1),S277,0)</f>
        <v>0</v>
      </c>
      <c r="Y277" s="11" t="n">
        <f aca="false">IF(T277=1,X277/(1+Controls!$B$11)^F277,0)</f>
        <v>0</v>
      </c>
      <c r="Z277" s="11" t="n">
        <f aca="false">IF(AND(N277,E277="capacity",LEN(K277)&gt;0),1,0)</f>
        <v>1</v>
      </c>
      <c r="AA277" s="11" t="n">
        <f aca="false">IF(Z277=1,SUMPRODUCT(($K$4:$K$703=K277)*($F$4:$F$703=F277)*($Z$4:$Z$703=1)*($B$4:$B$703&lt;&gt;B277)),0)</f>
        <v>0</v>
      </c>
      <c r="AB277" s="11" t="n">
        <f aca="false">IF(AND(Z277=1,AA277&gt;0),1+SUMPRODUCT(($K$4:$K$703=K277)*($F$4:$F$703=F277)*($Z$4:$Z$703=1)*($P$4:$P$703&gt;P277))+SUMPRODUCT(($K$4:$K$703=K277)*($F$4:$F$703=F277)*($Z$4:$Z$703=1)*($P$4:$P$703=P277)*($C$4:$C$703&lt;C277))+SUMPRODUCT(($K$4:$K$703=K277)*($F$4:$F$703=F277)*($Z$4:$Z$703=1)*($P$4:$P$703=P277)*($C$4:$C$703=C277)*($D$4:$D$703&lt;D277)),0)</f>
        <v>0</v>
      </c>
      <c r="AC277" s="11" t="n">
        <f aca="false">IF(AND(Z277=1,AA277&gt;0,AB277&gt;1),P277,0)</f>
        <v>0</v>
      </c>
    </row>
    <row r="278" customFormat="false" ht="15" hidden="false" customHeight="false" outlineLevel="0" collapsed="false">
      <c r="A278" s="4" t="s">
        <v>504</v>
      </c>
      <c r="B278" s="4" t="s">
        <v>91</v>
      </c>
      <c r="C278" s="4" t="n">
        <v>9</v>
      </c>
      <c r="D278" s="4" t="n">
        <v>275</v>
      </c>
      <c r="E278" s="4" t="s">
        <v>233</v>
      </c>
      <c r="F278" s="4" t="n">
        <v>13</v>
      </c>
      <c r="G278" s="4" t="n">
        <v>3</v>
      </c>
      <c r="H278" s="4" t="n">
        <v>365.06</v>
      </c>
      <c r="I278" s="13" t="b">
        <f aca="false">FALSE()</f>
        <v>0</v>
      </c>
      <c r="K278" s="4" t="s">
        <v>494</v>
      </c>
      <c r="L278" s="4" t="n">
        <v>60.2</v>
      </c>
      <c r="M278" s="11" t="n">
        <f aca="false">IFERROR(MATCH(Controls!$B$3&amp;"|"&amp;B278,'Scenario inputs'!$A$4:$A$213,0),0)</f>
        <v>140</v>
      </c>
      <c r="N278" s="8" t="b">
        <f aca="false">IF(M278=0,FALSE(),F278&lt;Controls!$B$12)</f>
        <v>1</v>
      </c>
      <c r="O278" s="11" t="n">
        <f aca="false">IF(N278,IF(INDEX('Scenario inputs'!$E$4:$E$213,M278)=0,1,INDEX('Scenario inputs'!$F$4:$M$213,M278,MIN(MAX(F278-G278,0),INDEX('Scenario inputs'!$E$4:$E$213,M278)-1)+1)),0)</f>
        <v>1</v>
      </c>
      <c r="P278" s="11" t="n">
        <f aca="false">H278*O278</f>
        <v>365.06</v>
      </c>
      <c r="Q278" s="0" t="str">
        <f aca="false">IF(M278=0,"",IF(ISNUMBER(INDEX('Scenario inputs'!$N$4:$N$213,M278)),INDEX('Scenario inputs'!$N$4:$N$213,M278),""))</f>
        <v/>
      </c>
      <c r="R278" s="0" t="str">
        <f aca="false">IF(NOT(N278),"",IF(OR(E278="cash",E278="revenue"),E278,IF(E278="avoided_cost",IF(AND(I278,LEN(TRIM(J278))&gt;0),"avoided_cost_realised","avoided_cost_beside"),IF(ISNUMBER(Q278),"capacity_converted","capacity_hours"))))</f>
        <v>capacity_hours</v>
      </c>
      <c r="S278" s="11" t="n">
        <f aca="false">IF(OR(R278="",R278="capacity_hours"),0,IF(R278="capacity_converted",P278*Q278,P278))</f>
        <v>0</v>
      </c>
      <c r="T278" s="11" t="n">
        <f aca="false">IF(OR(R278="cash",R278="revenue",R278="avoided_cost_realised",R278="capacity_converted"),1,0)</f>
        <v>0</v>
      </c>
      <c r="U278" s="11" t="n">
        <f aca="false">IF(AND(N278,R278&lt;&gt;"capacity_hours",LEN(K278)&gt;0),1,0)</f>
        <v>0</v>
      </c>
      <c r="V278" s="11" t="n">
        <f aca="false">IF(U278=1,SUMPRODUCT(($K$4:$K$703=K278)*($F$4:$F$703=F278)*($U$4:$U$703=1)*($B$4:$B$703&lt;&gt;B278)),0)</f>
        <v>0</v>
      </c>
      <c r="W278" s="11" t="n">
        <f aca="false">IF(AND(U278=1,V278&gt;0),1+SUMPRODUCT(($K$4:$K$703=K278)*($F$4:$F$703=F278)*($U$4:$U$703=1)*($S$4:$S$703&gt;S278))+SUMPRODUCT(($K$4:$K$703=K278)*($F$4:$F$703=F278)*($U$4:$U$703=1)*($S$4:$S$703=S278)*($T$4:$T$703&gt;T278))+SUMPRODUCT(($K$4:$K$703=K278)*($F$4:$F$703=F278)*($U$4:$U$703=1)*($S$4:$S$703=S278)*($T$4:$T$703=T278)*($C$4:$C$703&lt;C278))+SUMPRODUCT(($K$4:$K$703=K278)*($F$4:$F$703=F278)*($U$4:$U$703=1)*($S$4:$S$703=S278)*($T$4:$T$703=T278)*($C$4:$C$703=C278)*($D$4:$D$703&lt;D278)),0)</f>
        <v>0</v>
      </c>
      <c r="X278" s="11" t="n">
        <f aca="false">IF(AND(U278=1,V278&gt;0,W278&gt;1),S278,0)</f>
        <v>0</v>
      </c>
      <c r="Y278" s="11" t="n">
        <f aca="false">IF(T278=1,X278/(1+Controls!$B$11)^F278,0)</f>
        <v>0</v>
      </c>
      <c r="Z278" s="11" t="n">
        <f aca="false">IF(AND(N278,E278="capacity",LEN(K278)&gt;0),1,0)</f>
        <v>1</v>
      </c>
      <c r="AA278" s="11" t="n">
        <f aca="false">IF(Z278=1,SUMPRODUCT(($K$4:$K$703=K278)*($F$4:$F$703=F278)*($Z$4:$Z$703=1)*($B$4:$B$703&lt;&gt;B278)),0)</f>
        <v>0</v>
      </c>
      <c r="AB278" s="11" t="n">
        <f aca="false">IF(AND(Z278=1,AA278&gt;0),1+SUMPRODUCT(($K$4:$K$703=K278)*($F$4:$F$703=F278)*($Z$4:$Z$703=1)*($P$4:$P$703&gt;P278))+SUMPRODUCT(($K$4:$K$703=K278)*($F$4:$F$703=F278)*($Z$4:$Z$703=1)*($P$4:$P$703=P278)*($C$4:$C$703&lt;C278))+SUMPRODUCT(($K$4:$K$703=K278)*($F$4:$F$703=F278)*($Z$4:$Z$703=1)*($P$4:$P$703=P278)*($C$4:$C$703=C278)*($D$4:$D$703&lt;D278)),0)</f>
        <v>0</v>
      </c>
      <c r="AC278" s="11" t="n">
        <f aca="false">IF(AND(Z278=1,AA278&gt;0,AB278&gt;1),P278,0)</f>
        <v>0</v>
      </c>
    </row>
    <row r="279" customFormat="false" ht="15" hidden="false" customHeight="false" outlineLevel="0" collapsed="false">
      <c r="A279" s="4" t="s">
        <v>505</v>
      </c>
      <c r="B279" s="4" t="s">
        <v>91</v>
      </c>
      <c r="C279" s="4" t="n">
        <v>9</v>
      </c>
      <c r="D279" s="4" t="n">
        <v>276</v>
      </c>
      <c r="E279" s="4" t="s">
        <v>233</v>
      </c>
      <c r="F279" s="4" t="n">
        <v>14</v>
      </c>
      <c r="G279" s="4" t="n">
        <v>3</v>
      </c>
      <c r="H279" s="4" t="n">
        <v>365.06</v>
      </c>
      <c r="I279" s="13" t="b">
        <f aca="false">FALSE()</f>
        <v>0</v>
      </c>
      <c r="K279" s="4" t="s">
        <v>494</v>
      </c>
      <c r="L279" s="4" t="n">
        <v>60.2</v>
      </c>
      <c r="M279" s="11" t="n">
        <f aca="false">IFERROR(MATCH(Controls!$B$3&amp;"|"&amp;B279,'Scenario inputs'!$A$4:$A$213,0),0)</f>
        <v>140</v>
      </c>
      <c r="N279" s="8" t="b">
        <f aca="false">IF(M279=0,FALSE(),F279&lt;Controls!$B$12)</f>
        <v>1</v>
      </c>
      <c r="O279" s="11" t="n">
        <f aca="false">IF(N279,IF(INDEX('Scenario inputs'!$E$4:$E$213,M279)=0,1,INDEX('Scenario inputs'!$F$4:$M$213,M279,MIN(MAX(F279-G279,0),INDEX('Scenario inputs'!$E$4:$E$213,M279)-1)+1)),0)</f>
        <v>1</v>
      </c>
      <c r="P279" s="11" t="n">
        <f aca="false">H279*O279</f>
        <v>365.06</v>
      </c>
      <c r="Q279" s="0" t="str">
        <f aca="false">IF(M279=0,"",IF(ISNUMBER(INDEX('Scenario inputs'!$N$4:$N$213,M279)),INDEX('Scenario inputs'!$N$4:$N$213,M279),""))</f>
        <v/>
      </c>
      <c r="R279" s="0" t="str">
        <f aca="false">IF(NOT(N279),"",IF(OR(E279="cash",E279="revenue"),E279,IF(E279="avoided_cost",IF(AND(I279,LEN(TRIM(J279))&gt;0),"avoided_cost_realised","avoided_cost_beside"),IF(ISNUMBER(Q279),"capacity_converted","capacity_hours"))))</f>
        <v>capacity_hours</v>
      </c>
      <c r="S279" s="11" t="n">
        <f aca="false">IF(OR(R279="",R279="capacity_hours"),0,IF(R279="capacity_converted",P279*Q279,P279))</f>
        <v>0</v>
      </c>
      <c r="T279" s="11" t="n">
        <f aca="false">IF(OR(R279="cash",R279="revenue",R279="avoided_cost_realised",R279="capacity_converted"),1,0)</f>
        <v>0</v>
      </c>
      <c r="U279" s="11" t="n">
        <f aca="false">IF(AND(N279,R279&lt;&gt;"capacity_hours",LEN(K279)&gt;0),1,0)</f>
        <v>0</v>
      </c>
      <c r="V279" s="11" t="n">
        <f aca="false">IF(U279=1,SUMPRODUCT(($K$4:$K$703=K279)*($F$4:$F$703=F279)*($U$4:$U$703=1)*($B$4:$B$703&lt;&gt;B279)),0)</f>
        <v>0</v>
      </c>
      <c r="W279" s="11" t="n">
        <f aca="false">IF(AND(U279=1,V279&gt;0),1+SUMPRODUCT(($K$4:$K$703=K279)*($F$4:$F$703=F279)*($U$4:$U$703=1)*($S$4:$S$703&gt;S279))+SUMPRODUCT(($K$4:$K$703=K279)*($F$4:$F$703=F279)*($U$4:$U$703=1)*($S$4:$S$703=S279)*($T$4:$T$703&gt;T279))+SUMPRODUCT(($K$4:$K$703=K279)*($F$4:$F$703=F279)*($U$4:$U$703=1)*($S$4:$S$703=S279)*($T$4:$T$703=T279)*($C$4:$C$703&lt;C279))+SUMPRODUCT(($K$4:$K$703=K279)*($F$4:$F$703=F279)*($U$4:$U$703=1)*($S$4:$S$703=S279)*($T$4:$T$703=T279)*($C$4:$C$703=C279)*($D$4:$D$703&lt;D279)),0)</f>
        <v>0</v>
      </c>
      <c r="X279" s="11" t="n">
        <f aca="false">IF(AND(U279=1,V279&gt;0,W279&gt;1),S279,0)</f>
        <v>0</v>
      </c>
      <c r="Y279" s="11" t="n">
        <f aca="false">IF(T279=1,X279/(1+Controls!$B$11)^F279,0)</f>
        <v>0</v>
      </c>
      <c r="Z279" s="11" t="n">
        <f aca="false">IF(AND(N279,E279="capacity",LEN(K279)&gt;0),1,0)</f>
        <v>1</v>
      </c>
      <c r="AA279" s="11" t="n">
        <f aca="false">IF(Z279=1,SUMPRODUCT(($K$4:$K$703=K279)*($F$4:$F$703=F279)*($Z$4:$Z$703=1)*($B$4:$B$703&lt;&gt;B279)),0)</f>
        <v>0</v>
      </c>
      <c r="AB279" s="11" t="n">
        <f aca="false">IF(AND(Z279=1,AA279&gt;0),1+SUMPRODUCT(($K$4:$K$703=K279)*($F$4:$F$703=F279)*($Z$4:$Z$703=1)*($P$4:$P$703&gt;P279))+SUMPRODUCT(($K$4:$K$703=K279)*($F$4:$F$703=F279)*($Z$4:$Z$703=1)*($P$4:$P$703=P279)*($C$4:$C$703&lt;C279))+SUMPRODUCT(($K$4:$K$703=K279)*($F$4:$F$703=F279)*($Z$4:$Z$703=1)*($P$4:$P$703=P279)*($C$4:$C$703=C279)*($D$4:$D$703&lt;D279)),0)</f>
        <v>0</v>
      </c>
      <c r="AC279" s="11" t="n">
        <f aca="false">IF(AND(Z279=1,AA279&gt;0,AB279&gt;1),P279,0)</f>
        <v>0</v>
      </c>
    </row>
    <row r="280" customFormat="false" ht="15" hidden="false" customHeight="false" outlineLevel="0" collapsed="false">
      <c r="A280" s="4" t="s">
        <v>506</v>
      </c>
      <c r="B280" s="4" t="s">
        <v>92</v>
      </c>
      <c r="C280" s="4" t="n">
        <v>10</v>
      </c>
      <c r="D280" s="4" t="n">
        <v>277</v>
      </c>
      <c r="E280" s="4" t="s">
        <v>113</v>
      </c>
      <c r="F280" s="4" t="n">
        <v>9</v>
      </c>
      <c r="G280" s="4" t="n">
        <v>9</v>
      </c>
      <c r="H280" s="4" t="n">
        <v>244850</v>
      </c>
      <c r="I280" s="13" t="b">
        <f aca="false">FALSE()</f>
        <v>0</v>
      </c>
      <c r="K280" s="4" t="s">
        <v>507</v>
      </c>
      <c r="L280" s="4" t="n">
        <v>1154.29</v>
      </c>
      <c r="M280" s="11" t="n">
        <f aca="false">IFERROR(MATCH(Controls!$B$3&amp;"|"&amp;B280,'Scenario inputs'!$A$4:$A$213,0),0)</f>
        <v>141</v>
      </c>
      <c r="N280" s="8" t="b">
        <f aca="false">IF(M280=0,FALSE(),F280&lt;Controls!$B$12)</f>
        <v>1</v>
      </c>
      <c r="O280" s="11" t="n">
        <f aca="false">IF(N280,IF(INDEX('Scenario inputs'!$E$4:$E$213,M280)=0,1,INDEX('Scenario inputs'!$F$4:$M$213,M280,MIN(MAX(F280-G280,0),INDEX('Scenario inputs'!$E$4:$E$213,M280)-1)+1)),0)</f>
        <v>0.047619</v>
      </c>
      <c r="P280" s="11" t="n">
        <f aca="false">H280*O280</f>
        <v>11659.51215</v>
      </c>
      <c r="Q280" s="0" t="str">
        <f aca="false">IF(M280=0,"",IF(ISNUMBER(INDEX('Scenario inputs'!$N$4:$N$213,M280)),INDEX('Scenario inputs'!$N$4:$N$213,M280),""))</f>
        <v/>
      </c>
      <c r="R280" s="0" t="str">
        <f aca="false">IF(NOT(N280),"",IF(OR(E280="cash",E280="revenue"),E280,IF(E280="avoided_cost",IF(AND(I280,LEN(TRIM(J280))&gt;0),"avoided_cost_realised","avoided_cost_beside"),IF(ISNUMBER(Q280),"capacity_converted","capacity_hours"))))</f>
        <v>revenue</v>
      </c>
      <c r="S280" s="11" t="n">
        <f aca="false">IF(OR(R280="",R280="capacity_hours"),0,IF(R280="capacity_converted",P280*Q280,P280))</f>
        <v>11659.51215</v>
      </c>
      <c r="T280" s="11" t="n">
        <f aca="false">IF(OR(R280="cash",R280="revenue",R280="avoided_cost_realised",R280="capacity_converted"),1,0)</f>
        <v>1</v>
      </c>
      <c r="U280" s="11" t="n">
        <f aca="false">IF(AND(N280,R280&lt;&gt;"capacity_hours",LEN(K280)&gt;0),1,0)</f>
        <v>1</v>
      </c>
      <c r="V280" s="11" t="n">
        <f aca="false">IF(U280=1,SUMPRODUCT(($K$4:$K$703=K280)*($F$4:$F$703=F280)*($U$4:$U$703=1)*($B$4:$B$703&lt;&gt;B280)),0)</f>
        <v>0</v>
      </c>
      <c r="W280" s="11" t="n">
        <f aca="false">IF(AND(U280=1,V280&gt;0),1+SUMPRODUCT(($K$4:$K$703=K280)*($F$4:$F$703=F280)*($U$4:$U$703=1)*($S$4:$S$703&gt;S280))+SUMPRODUCT(($K$4:$K$703=K280)*($F$4:$F$703=F280)*($U$4:$U$703=1)*($S$4:$S$703=S280)*($T$4:$T$703&gt;T280))+SUMPRODUCT(($K$4:$K$703=K280)*($F$4:$F$703=F280)*($U$4:$U$703=1)*($S$4:$S$703=S280)*($T$4:$T$703=T280)*($C$4:$C$703&lt;C280))+SUMPRODUCT(($K$4:$K$703=K280)*($F$4:$F$703=F280)*($U$4:$U$703=1)*($S$4:$S$703=S280)*($T$4:$T$703=T280)*($C$4:$C$703=C280)*($D$4:$D$703&lt;D280)),0)</f>
        <v>0</v>
      </c>
      <c r="X280" s="11" t="n">
        <f aca="false">IF(AND(U280=1,V280&gt;0,W280&gt;1),S280,0)</f>
        <v>0</v>
      </c>
      <c r="Y280" s="11" t="n">
        <f aca="false">IF(T280=1,X280/(1+Controls!$B$11)^F280,0)</f>
        <v>0</v>
      </c>
      <c r="Z280" s="11" t="n">
        <f aca="false">IF(AND(N280,E280="capacity",LEN(K280)&gt;0),1,0)</f>
        <v>0</v>
      </c>
      <c r="AA280" s="11" t="n">
        <f aca="false">IF(Z280=1,SUMPRODUCT(($K$4:$K$703=K280)*($F$4:$F$703=F280)*($Z$4:$Z$703=1)*($B$4:$B$703&lt;&gt;B280)),0)</f>
        <v>0</v>
      </c>
      <c r="AB280" s="11" t="n">
        <f aca="false">IF(AND(Z280=1,AA280&gt;0),1+SUMPRODUCT(($K$4:$K$703=K280)*($F$4:$F$703=F280)*($Z$4:$Z$703=1)*($P$4:$P$703&gt;P280))+SUMPRODUCT(($K$4:$K$703=K280)*($F$4:$F$703=F280)*($Z$4:$Z$703=1)*($P$4:$P$703=P280)*($C$4:$C$703&lt;C280))+SUMPRODUCT(($K$4:$K$703=K280)*($F$4:$F$703=F280)*($Z$4:$Z$703=1)*($P$4:$P$703=P280)*($C$4:$C$703=C280)*($D$4:$D$703&lt;D280)),0)</f>
        <v>0</v>
      </c>
      <c r="AC280" s="11" t="n">
        <f aca="false">IF(AND(Z280=1,AA280&gt;0,AB280&gt;1),P280,0)</f>
        <v>0</v>
      </c>
    </row>
    <row r="281" customFormat="false" ht="15" hidden="false" customHeight="false" outlineLevel="0" collapsed="false">
      <c r="A281" s="4" t="s">
        <v>508</v>
      </c>
      <c r="B281" s="4" t="s">
        <v>92</v>
      </c>
      <c r="C281" s="4" t="n">
        <v>10</v>
      </c>
      <c r="D281" s="4" t="n">
        <v>278</v>
      </c>
      <c r="E281" s="4" t="s">
        <v>113</v>
      </c>
      <c r="F281" s="4" t="n">
        <v>10</v>
      </c>
      <c r="G281" s="4" t="n">
        <v>9</v>
      </c>
      <c r="H281" s="4" t="n">
        <v>244850</v>
      </c>
      <c r="I281" s="13" t="b">
        <f aca="false">FALSE()</f>
        <v>0</v>
      </c>
      <c r="K281" s="4" t="s">
        <v>507</v>
      </c>
      <c r="L281" s="4" t="n">
        <v>3462.88</v>
      </c>
      <c r="M281" s="11" t="n">
        <f aca="false">IFERROR(MATCH(Controls!$B$3&amp;"|"&amp;B281,'Scenario inputs'!$A$4:$A$213,0),0)</f>
        <v>141</v>
      </c>
      <c r="N281" s="8" t="b">
        <f aca="false">IF(M281=0,FALSE(),F281&lt;Controls!$B$12)</f>
        <v>1</v>
      </c>
      <c r="O281" s="11" t="n">
        <f aca="false">IF(N281,IF(INDEX('Scenario inputs'!$E$4:$E$213,M281)=0,1,INDEX('Scenario inputs'!$F$4:$M$213,M281,MIN(MAX(F281-G281,0),INDEX('Scenario inputs'!$E$4:$E$213,M281)-1)+1)),0)</f>
        <v>0.142857</v>
      </c>
      <c r="P281" s="11" t="n">
        <f aca="false">H281*O281</f>
        <v>34978.53645</v>
      </c>
      <c r="Q281" s="0" t="str">
        <f aca="false">IF(M281=0,"",IF(ISNUMBER(INDEX('Scenario inputs'!$N$4:$N$213,M281)),INDEX('Scenario inputs'!$N$4:$N$213,M281),""))</f>
        <v/>
      </c>
      <c r="R281" s="0" t="str">
        <f aca="false">IF(NOT(N281),"",IF(OR(E281="cash",E281="revenue"),E281,IF(E281="avoided_cost",IF(AND(I281,LEN(TRIM(J281))&gt;0),"avoided_cost_realised","avoided_cost_beside"),IF(ISNUMBER(Q281),"capacity_converted","capacity_hours"))))</f>
        <v>revenue</v>
      </c>
      <c r="S281" s="11" t="n">
        <f aca="false">IF(OR(R281="",R281="capacity_hours"),0,IF(R281="capacity_converted",P281*Q281,P281))</f>
        <v>34978.53645</v>
      </c>
      <c r="T281" s="11" t="n">
        <f aca="false">IF(OR(R281="cash",R281="revenue",R281="avoided_cost_realised",R281="capacity_converted"),1,0)</f>
        <v>1</v>
      </c>
      <c r="U281" s="11" t="n">
        <f aca="false">IF(AND(N281,R281&lt;&gt;"capacity_hours",LEN(K281)&gt;0),1,0)</f>
        <v>1</v>
      </c>
      <c r="V281" s="11" t="n">
        <f aca="false">IF(U281=1,SUMPRODUCT(($K$4:$K$703=K281)*($F$4:$F$703=F281)*($U$4:$U$703=1)*($B$4:$B$703&lt;&gt;B281)),0)</f>
        <v>0</v>
      </c>
      <c r="W281" s="11" t="n">
        <f aca="false">IF(AND(U281=1,V281&gt;0),1+SUMPRODUCT(($K$4:$K$703=K281)*($F$4:$F$703=F281)*($U$4:$U$703=1)*($S$4:$S$703&gt;S281))+SUMPRODUCT(($K$4:$K$703=K281)*($F$4:$F$703=F281)*($U$4:$U$703=1)*($S$4:$S$703=S281)*($T$4:$T$703&gt;T281))+SUMPRODUCT(($K$4:$K$703=K281)*($F$4:$F$703=F281)*($U$4:$U$703=1)*($S$4:$S$703=S281)*($T$4:$T$703=T281)*($C$4:$C$703&lt;C281))+SUMPRODUCT(($K$4:$K$703=K281)*($F$4:$F$703=F281)*($U$4:$U$703=1)*($S$4:$S$703=S281)*($T$4:$T$703=T281)*($C$4:$C$703=C281)*($D$4:$D$703&lt;D281)),0)</f>
        <v>0</v>
      </c>
      <c r="X281" s="11" t="n">
        <f aca="false">IF(AND(U281=1,V281&gt;0,W281&gt;1),S281,0)</f>
        <v>0</v>
      </c>
      <c r="Y281" s="11" t="n">
        <f aca="false">IF(T281=1,X281/(1+Controls!$B$11)^F281,0)</f>
        <v>0</v>
      </c>
      <c r="Z281" s="11" t="n">
        <f aca="false">IF(AND(N281,E281="capacity",LEN(K281)&gt;0),1,0)</f>
        <v>0</v>
      </c>
      <c r="AA281" s="11" t="n">
        <f aca="false">IF(Z281=1,SUMPRODUCT(($K$4:$K$703=K281)*($F$4:$F$703=F281)*($Z$4:$Z$703=1)*($B$4:$B$703&lt;&gt;B281)),0)</f>
        <v>0</v>
      </c>
      <c r="AB281" s="11" t="n">
        <f aca="false">IF(AND(Z281=1,AA281&gt;0),1+SUMPRODUCT(($K$4:$K$703=K281)*($F$4:$F$703=F281)*($Z$4:$Z$703=1)*($P$4:$P$703&gt;P281))+SUMPRODUCT(($K$4:$K$703=K281)*($F$4:$F$703=F281)*($Z$4:$Z$703=1)*($P$4:$P$703=P281)*($C$4:$C$703&lt;C281))+SUMPRODUCT(($K$4:$K$703=K281)*($F$4:$F$703=F281)*($Z$4:$Z$703=1)*($P$4:$P$703=P281)*($C$4:$C$703=C281)*($D$4:$D$703&lt;D281)),0)</f>
        <v>0</v>
      </c>
      <c r="AC281" s="11" t="n">
        <f aca="false">IF(AND(Z281=1,AA281&gt;0,AB281&gt;1),P281,0)</f>
        <v>0</v>
      </c>
    </row>
    <row r="282" customFormat="false" ht="15" hidden="false" customHeight="false" outlineLevel="0" collapsed="false">
      <c r="A282" s="4" t="s">
        <v>509</v>
      </c>
      <c r="B282" s="4" t="s">
        <v>92</v>
      </c>
      <c r="C282" s="4" t="n">
        <v>10</v>
      </c>
      <c r="D282" s="4" t="n">
        <v>279</v>
      </c>
      <c r="E282" s="4" t="s">
        <v>113</v>
      </c>
      <c r="F282" s="4" t="n">
        <v>11</v>
      </c>
      <c r="G282" s="4" t="n">
        <v>9</v>
      </c>
      <c r="H282" s="4" t="n">
        <v>244850</v>
      </c>
      <c r="I282" s="13" t="b">
        <f aca="false">FALSE()</f>
        <v>0</v>
      </c>
      <c r="K282" s="4" t="s">
        <v>507</v>
      </c>
      <c r="L282" s="4" t="n">
        <v>6925.75</v>
      </c>
      <c r="M282" s="11" t="n">
        <f aca="false">IFERROR(MATCH(Controls!$B$3&amp;"|"&amp;B282,'Scenario inputs'!$A$4:$A$213,0),0)</f>
        <v>141</v>
      </c>
      <c r="N282" s="8" t="b">
        <f aca="false">IF(M282=0,FALSE(),F282&lt;Controls!$B$12)</f>
        <v>1</v>
      </c>
      <c r="O282" s="11" t="n">
        <f aca="false">IF(N282,IF(INDEX('Scenario inputs'!$E$4:$E$213,M282)=0,1,INDEX('Scenario inputs'!$F$4:$M$213,M282,MIN(MAX(F282-G282,0),INDEX('Scenario inputs'!$E$4:$E$213,M282)-1)+1)),0)</f>
        <v>0.285714</v>
      </c>
      <c r="P282" s="11" t="n">
        <f aca="false">H282*O282</f>
        <v>69957.0729</v>
      </c>
      <c r="Q282" s="0" t="str">
        <f aca="false">IF(M282=0,"",IF(ISNUMBER(INDEX('Scenario inputs'!$N$4:$N$213,M282)),INDEX('Scenario inputs'!$N$4:$N$213,M282),""))</f>
        <v/>
      </c>
      <c r="R282" s="0" t="str">
        <f aca="false">IF(NOT(N282),"",IF(OR(E282="cash",E282="revenue"),E282,IF(E282="avoided_cost",IF(AND(I282,LEN(TRIM(J282))&gt;0),"avoided_cost_realised","avoided_cost_beside"),IF(ISNUMBER(Q282),"capacity_converted","capacity_hours"))))</f>
        <v>revenue</v>
      </c>
      <c r="S282" s="11" t="n">
        <f aca="false">IF(OR(R282="",R282="capacity_hours"),0,IF(R282="capacity_converted",P282*Q282,P282))</f>
        <v>69957.0729</v>
      </c>
      <c r="T282" s="11" t="n">
        <f aca="false">IF(OR(R282="cash",R282="revenue",R282="avoided_cost_realised",R282="capacity_converted"),1,0)</f>
        <v>1</v>
      </c>
      <c r="U282" s="11" t="n">
        <f aca="false">IF(AND(N282,R282&lt;&gt;"capacity_hours",LEN(K282)&gt;0),1,0)</f>
        <v>1</v>
      </c>
      <c r="V282" s="11" t="n">
        <f aca="false">IF(U282=1,SUMPRODUCT(($K$4:$K$703=K282)*($F$4:$F$703=F282)*($U$4:$U$703=1)*($B$4:$B$703&lt;&gt;B282)),0)</f>
        <v>0</v>
      </c>
      <c r="W282" s="11" t="n">
        <f aca="false">IF(AND(U282=1,V282&gt;0),1+SUMPRODUCT(($K$4:$K$703=K282)*($F$4:$F$703=F282)*($U$4:$U$703=1)*($S$4:$S$703&gt;S282))+SUMPRODUCT(($K$4:$K$703=K282)*($F$4:$F$703=F282)*($U$4:$U$703=1)*($S$4:$S$703=S282)*($T$4:$T$703&gt;T282))+SUMPRODUCT(($K$4:$K$703=K282)*($F$4:$F$703=F282)*($U$4:$U$703=1)*($S$4:$S$703=S282)*($T$4:$T$703=T282)*($C$4:$C$703&lt;C282))+SUMPRODUCT(($K$4:$K$703=K282)*($F$4:$F$703=F282)*($U$4:$U$703=1)*($S$4:$S$703=S282)*($T$4:$T$703=T282)*($C$4:$C$703=C282)*($D$4:$D$703&lt;D282)),0)</f>
        <v>0</v>
      </c>
      <c r="X282" s="11" t="n">
        <f aca="false">IF(AND(U282=1,V282&gt;0,W282&gt;1),S282,0)</f>
        <v>0</v>
      </c>
      <c r="Y282" s="11" t="n">
        <f aca="false">IF(T282=1,X282/(1+Controls!$B$11)^F282,0)</f>
        <v>0</v>
      </c>
      <c r="Z282" s="11" t="n">
        <f aca="false">IF(AND(N282,E282="capacity",LEN(K282)&gt;0),1,0)</f>
        <v>0</v>
      </c>
      <c r="AA282" s="11" t="n">
        <f aca="false">IF(Z282=1,SUMPRODUCT(($K$4:$K$703=K282)*($F$4:$F$703=F282)*($Z$4:$Z$703=1)*($B$4:$B$703&lt;&gt;B282)),0)</f>
        <v>0</v>
      </c>
      <c r="AB282" s="11" t="n">
        <f aca="false">IF(AND(Z282=1,AA282&gt;0),1+SUMPRODUCT(($K$4:$K$703=K282)*($F$4:$F$703=F282)*($Z$4:$Z$703=1)*($P$4:$P$703&gt;P282))+SUMPRODUCT(($K$4:$K$703=K282)*($F$4:$F$703=F282)*($Z$4:$Z$703=1)*($P$4:$P$703=P282)*($C$4:$C$703&lt;C282))+SUMPRODUCT(($K$4:$K$703=K282)*($F$4:$F$703=F282)*($Z$4:$Z$703=1)*($P$4:$P$703=P282)*($C$4:$C$703=C282)*($D$4:$D$703&lt;D282)),0)</f>
        <v>0</v>
      </c>
      <c r="AC282" s="11" t="n">
        <f aca="false">IF(AND(Z282=1,AA282&gt;0,AB282&gt;1),P282,0)</f>
        <v>0</v>
      </c>
    </row>
    <row r="283" customFormat="false" ht="15" hidden="false" customHeight="false" outlineLevel="0" collapsed="false">
      <c r="A283" s="4" t="s">
        <v>510</v>
      </c>
      <c r="B283" s="4" t="s">
        <v>92</v>
      </c>
      <c r="C283" s="4" t="n">
        <v>10</v>
      </c>
      <c r="D283" s="4" t="n">
        <v>280</v>
      </c>
      <c r="E283" s="4" t="s">
        <v>113</v>
      </c>
      <c r="F283" s="4" t="n">
        <v>12</v>
      </c>
      <c r="G283" s="4" t="n">
        <v>9</v>
      </c>
      <c r="H283" s="4" t="n">
        <v>244850</v>
      </c>
      <c r="I283" s="13" t="b">
        <f aca="false">FALSE()</f>
        <v>0</v>
      </c>
      <c r="K283" s="4" t="s">
        <v>507</v>
      </c>
      <c r="L283" s="4" t="n">
        <v>11542.92</v>
      </c>
      <c r="M283" s="11" t="n">
        <f aca="false">IFERROR(MATCH(Controls!$B$3&amp;"|"&amp;B283,'Scenario inputs'!$A$4:$A$213,0),0)</f>
        <v>141</v>
      </c>
      <c r="N283" s="8" t="b">
        <f aca="false">IF(M283=0,FALSE(),F283&lt;Controls!$B$12)</f>
        <v>1</v>
      </c>
      <c r="O283" s="11" t="n">
        <f aca="false">IF(N283,IF(INDEX('Scenario inputs'!$E$4:$E$213,M283)=0,1,INDEX('Scenario inputs'!$F$4:$M$213,M283,MIN(MAX(F283-G283,0),INDEX('Scenario inputs'!$E$4:$E$213,M283)-1)+1)),0)</f>
        <v>0.47619</v>
      </c>
      <c r="P283" s="11" t="n">
        <f aca="false">H283*O283</f>
        <v>116595.1215</v>
      </c>
      <c r="Q283" s="0" t="str">
        <f aca="false">IF(M283=0,"",IF(ISNUMBER(INDEX('Scenario inputs'!$N$4:$N$213,M283)),INDEX('Scenario inputs'!$N$4:$N$213,M283),""))</f>
        <v/>
      </c>
      <c r="R283" s="0" t="str">
        <f aca="false">IF(NOT(N283),"",IF(OR(E283="cash",E283="revenue"),E283,IF(E283="avoided_cost",IF(AND(I283,LEN(TRIM(J283))&gt;0),"avoided_cost_realised","avoided_cost_beside"),IF(ISNUMBER(Q283),"capacity_converted","capacity_hours"))))</f>
        <v>revenue</v>
      </c>
      <c r="S283" s="11" t="n">
        <f aca="false">IF(OR(R283="",R283="capacity_hours"),0,IF(R283="capacity_converted",P283*Q283,P283))</f>
        <v>116595.1215</v>
      </c>
      <c r="T283" s="11" t="n">
        <f aca="false">IF(OR(R283="cash",R283="revenue",R283="avoided_cost_realised",R283="capacity_converted"),1,0)</f>
        <v>1</v>
      </c>
      <c r="U283" s="11" t="n">
        <f aca="false">IF(AND(N283,R283&lt;&gt;"capacity_hours",LEN(K283)&gt;0),1,0)</f>
        <v>1</v>
      </c>
      <c r="V283" s="11" t="n">
        <f aca="false">IF(U283=1,SUMPRODUCT(($K$4:$K$703=K283)*($F$4:$F$703=F283)*($U$4:$U$703=1)*($B$4:$B$703&lt;&gt;B283)),0)</f>
        <v>0</v>
      </c>
      <c r="W283" s="11" t="n">
        <f aca="false">IF(AND(U283=1,V283&gt;0),1+SUMPRODUCT(($K$4:$K$703=K283)*($F$4:$F$703=F283)*($U$4:$U$703=1)*($S$4:$S$703&gt;S283))+SUMPRODUCT(($K$4:$K$703=K283)*($F$4:$F$703=F283)*($U$4:$U$703=1)*($S$4:$S$703=S283)*($T$4:$T$703&gt;T283))+SUMPRODUCT(($K$4:$K$703=K283)*($F$4:$F$703=F283)*($U$4:$U$703=1)*($S$4:$S$703=S283)*($T$4:$T$703=T283)*($C$4:$C$703&lt;C283))+SUMPRODUCT(($K$4:$K$703=K283)*($F$4:$F$703=F283)*($U$4:$U$703=1)*($S$4:$S$703=S283)*($T$4:$T$703=T283)*($C$4:$C$703=C283)*($D$4:$D$703&lt;D283)),0)</f>
        <v>0</v>
      </c>
      <c r="X283" s="11" t="n">
        <f aca="false">IF(AND(U283=1,V283&gt;0,W283&gt;1),S283,0)</f>
        <v>0</v>
      </c>
      <c r="Y283" s="11" t="n">
        <f aca="false">IF(T283=1,X283/(1+Controls!$B$11)^F283,0)</f>
        <v>0</v>
      </c>
      <c r="Z283" s="11" t="n">
        <f aca="false">IF(AND(N283,E283="capacity",LEN(K283)&gt;0),1,0)</f>
        <v>0</v>
      </c>
      <c r="AA283" s="11" t="n">
        <f aca="false">IF(Z283=1,SUMPRODUCT(($K$4:$K$703=K283)*($F$4:$F$703=F283)*($Z$4:$Z$703=1)*($B$4:$B$703&lt;&gt;B283)),0)</f>
        <v>0</v>
      </c>
      <c r="AB283" s="11" t="n">
        <f aca="false">IF(AND(Z283=1,AA283&gt;0),1+SUMPRODUCT(($K$4:$K$703=K283)*($F$4:$F$703=F283)*($Z$4:$Z$703=1)*($P$4:$P$703&gt;P283))+SUMPRODUCT(($K$4:$K$703=K283)*($F$4:$F$703=F283)*($Z$4:$Z$703=1)*($P$4:$P$703=P283)*($C$4:$C$703&lt;C283))+SUMPRODUCT(($K$4:$K$703=K283)*($F$4:$F$703=F283)*($Z$4:$Z$703=1)*($P$4:$P$703=P283)*($C$4:$C$703=C283)*($D$4:$D$703&lt;D283)),0)</f>
        <v>0</v>
      </c>
      <c r="AC283" s="11" t="n">
        <f aca="false">IF(AND(Z283=1,AA283&gt;0,AB283&gt;1),P283,0)</f>
        <v>0</v>
      </c>
    </row>
    <row r="284" customFormat="false" ht="15" hidden="false" customHeight="false" outlineLevel="0" collapsed="false">
      <c r="A284" s="4" t="s">
        <v>511</v>
      </c>
      <c r="B284" s="4" t="s">
        <v>92</v>
      </c>
      <c r="C284" s="4" t="n">
        <v>10</v>
      </c>
      <c r="D284" s="4" t="n">
        <v>281</v>
      </c>
      <c r="E284" s="4" t="s">
        <v>113</v>
      </c>
      <c r="F284" s="4" t="n">
        <v>13</v>
      </c>
      <c r="G284" s="4" t="n">
        <v>9</v>
      </c>
      <c r="H284" s="4" t="n">
        <v>244850</v>
      </c>
      <c r="I284" s="13" t="b">
        <f aca="false">FALSE()</f>
        <v>0</v>
      </c>
      <c r="K284" s="4" t="s">
        <v>507</v>
      </c>
      <c r="L284" s="4" t="n">
        <v>17314.4</v>
      </c>
      <c r="M284" s="11" t="n">
        <f aca="false">IFERROR(MATCH(Controls!$B$3&amp;"|"&amp;B284,'Scenario inputs'!$A$4:$A$213,0),0)</f>
        <v>141</v>
      </c>
      <c r="N284" s="8" t="b">
        <f aca="false">IF(M284=0,FALSE(),F284&lt;Controls!$B$12)</f>
        <v>1</v>
      </c>
      <c r="O284" s="11" t="n">
        <f aca="false">IF(N284,IF(INDEX('Scenario inputs'!$E$4:$E$213,M284)=0,1,INDEX('Scenario inputs'!$F$4:$M$213,M284,MIN(MAX(F284-G284,0),INDEX('Scenario inputs'!$E$4:$E$213,M284)-1)+1)),0)</f>
        <v>0.714286</v>
      </c>
      <c r="P284" s="11" t="n">
        <f aca="false">H284*O284</f>
        <v>174892.9271</v>
      </c>
      <c r="Q284" s="0" t="str">
        <f aca="false">IF(M284=0,"",IF(ISNUMBER(INDEX('Scenario inputs'!$N$4:$N$213,M284)),INDEX('Scenario inputs'!$N$4:$N$213,M284),""))</f>
        <v/>
      </c>
      <c r="R284" s="0" t="str">
        <f aca="false">IF(NOT(N284),"",IF(OR(E284="cash",E284="revenue"),E284,IF(E284="avoided_cost",IF(AND(I284,LEN(TRIM(J284))&gt;0),"avoided_cost_realised","avoided_cost_beside"),IF(ISNUMBER(Q284),"capacity_converted","capacity_hours"))))</f>
        <v>revenue</v>
      </c>
      <c r="S284" s="11" t="n">
        <f aca="false">IF(OR(R284="",R284="capacity_hours"),0,IF(R284="capacity_converted",P284*Q284,P284))</f>
        <v>174892.9271</v>
      </c>
      <c r="T284" s="11" t="n">
        <f aca="false">IF(OR(R284="cash",R284="revenue",R284="avoided_cost_realised",R284="capacity_converted"),1,0)</f>
        <v>1</v>
      </c>
      <c r="U284" s="11" t="n">
        <f aca="false">IF(AND(N284,R284&lt;&gt;"capacity_hours",LEN(K284)&gt;0),1,0)</f>
        <v>1</v>
      </c>
      <c r="V284" s="11" t="n">
        <f aca="false">IF(U284=1,SUMPRODUCT(($K$4:$K$703=K284)*($F$4:$F$703=F284)*($U$4:$U$703=1)*($B$4:$B$703&lt;&gt;B284)),0)</f>
        <v>0</v>
      </c>
      <c r="W284" s="11" t="n">
        <f aca="false">IF(AND(U284=1,V284&gt;0),1+SUMPRODUCT(($K$4:$K$703=K284)*($F$4:$F$703=F284)*($U$4:$U$703=1)*($S$4:$S$703&gt;S284))+SUMPRODUCT(($K$4:$K$703=K284)*($F$4:$F$703=F284)*($U$4:$U$703=1)*($S$4:$S$703=S284)*($T$4:$T$703&gt;T284))+SUMPRODUCT(($K$4:$K$703=K284)*($F$4:$F$703=F284)*($U$4:$U$703=1)*($S$4:$S$703=S284)*($T$4:$T$703=T284)*($C$4:$C$703&lt;C284))+SUMPRODUCT(($K$4:$K$703=K284)*($F$4:$F$703=F284)*($U$4:$U$703=1)*($S$4:$S$703=S284)*($T$4:$T$703=T284)*($C$4:$C$703=C284)*($D$4:$D$703&lt;D284)),0)</f>
        <v>0</v>
      </c>
      <c r="X284" s="11" t="n">
        <f aca="false">IF(AND(U284=1,V284&gt;0,W284&gt;1),S284,0)</f>
        <v>0</v>
      </c>
      <c r="Y284" s="11" t="n">
        <f aca="false">IF(T284=1,X284/(1+Controls!$B$11)^F284,0)</f>
        <v>0</v>
      </c>
      <c r="Z284" s="11" t="n">
        <f aca="false">IF(AND(N284,E284="capacity",LEN(K284)&gt;0),1,0)</f>
        <v>0</v>
      </c>
      <c r="AA284" s="11" t="n">
        <f aca="false">IF(Z284=1,SUMPRODUCT(($K$4:$K$703=K284)*($F$4:$F$703=F284)*($Z$4:$Z$703=1)*($B$4:$B$703&lt;&gt;B284)),0)</f>
        <v>0</v>
      </c>
      <c r="AB284" s="11" t="n">
        <f aca="false">IF(AND(Z284=1,AA284&gt;0),1+SUMPRODUCT(($K$4:$K$703=K284)*($F$4:$F$703=F284)*($Z$4:$Z$703=1)*($P$4:$P$703&gt;P284))+SUMPRODUCT(($K$4:$K$703=K284)*($F$4:$F$703=F284)*($Z$4:$Z$703=1)*($P$4:$P$703=P284)*($C$4:$C$703&lt;C284))+SUMPRODUCT(($K$4:$K$703=K284)*($F$4:$F$703=F284)*($Z$4:$Z$703=1)*($P$4:$P$703=P284)*($C$4:$C$703=C284)*($D$4:$D$703&lt;D284)),0)</f>
        <v>0</v>
      </c>
      <c r="AC284" s="11" t="n">
        <f aca="false">IF(AND(Z284=1,AA284&gt;0,AB284&gt;1),P284,0)</f>
        <v>0</v>
      </c>
    </row>
    <row r="285" customFormat="false" ht="15" hidden="false" customHeight="false" outlineLevel="0" collapsed="false">
      <c r="A285" s="4" t="s">
        <v>512</v>
      </c>
      <c r="B285" s="4" t="s">
        <v>92</v>
      </c>
      <c r="C285" s="4" t="n">
        <v>10</v>
      </c>
      <c r="D285" s="4" t="n">
        <v>282</v>
      </c>
      <c r="E285" s="4" t="s">
        <v>113</v>
      </c>
      <c r="F285" s="4" t="n">
        <v>14</v>
      </c>
      <c r="G285" s="4" t="n">
        <v>9</v>
      </c>
      <c r="H285" s="4" t="n">
        <v>244850</v>
      </c>
      <c r="I285" s="13" t="b">
        <f aca="false">FALSE()</f>
        <v>0</v>
      </c>
      <c r="K285" s="4" t="s">
        <v>507</v>
      </c>
      <c r="L285" s="4" t="n">
        <v>24240.15</v>
      </c>
      <c r="M285" s="11" t="n">
        <f aca="false">IFERROR(MATCH(Controls!$B$3&amp;"|"&amp;B285,'Scenario inputs'!$A$4:$A$213,0),0)</f>
        <v>141</v>
      </c>
      <c r="N285" s="8" t="b">
        <f aca="false">IF(M285=0,FALSE(),F285&lt;Controls!$B$12)</f>
        <v>1</v>
      </c>
      <c r="O285" s="11" t="n">
        <f aca="false">IF(N285,IF(INDEX('Scenario inputs'!$E$4:$E$213,M285)=0,1,INDEX('Scenario inputs'!$F$4:$M$213,M285,MIN(MAX(F285-G285,0),INDEX('Scenario inputs'!$E$4:$E$213,M285)-1)+1)),0)</f>
        <v>1</v>
      </c>
      <c r="P285" s="11" t="n">
        <f aca="false">H285*O285</f>
        <v>244850</v>
      </c>
      <c r="Q285" s="0" t="str">
        <f aca="false">IF(M285=0,"",IF(ISNUMBER(INDEX('Scenario inputs'!$N$4:$N$213,M285)),INDEX('Scenario inputs'!$N$4:$N$213,M285),""))</f>
        <v/>
      </c>
      <c r="R285" s="0" t="str">
        <f aca="false">IF(NOT(N285),"",IF(OR(E285="cash",E285="revenue"),E285,IF(E285="avoided_cost",IF(AND(I285,LEN(TRIM(J285))&gt;0),"avoided_cost_realised","avoided_cost_beside"),IF(ISNUMBER(Q285),"capacity_converted","capacity_hours"))))</f>
        <v>revenue</v>
      </c>
      <c r="S285" s="11" t="n">
        <f aca="false">IF(OR(R285="",R285="capacity_hours"),0,IF(R285="capacity_converted",P285*Q285,P285))</f>
        <v>244850</v>
      </c>
      <c r="T285" s="11" t="n">
        <f aca="false">IF(OR(R285="cash",R285="revenue",R285="avoided_cost_realised",R285="capacity_converted"),1,0)</f>
        <v>1</v>
      </c>
      <c r="U285" s="11" t="n">
        <f aca="false">IF(AND(N285,R285&lt;&gt;"capacity_hours",LEN(K285)&gt;0),1,0)</f>
        <v>1</v>
      </c>
      <c r="V285" s="11" t="n">
        <f aca="false">IF(U285=1,SUMPRODUCT(($K$4:$K$703=K285)*($F$4:$F$703=F285)*($U$4:$U$703=1)*($B$4:$B$703&lt;&gt;B285)),0)</f>
        <v>0</v>
      </c>
      <c r="W285" s="11" t="n">
        <f aca="false">IF(AND(U285=1,V285&gt;0),1+SUMPRODUCT(($K$4:$K$703=K285)*($F$4:$F$703=F285)*($U$4:$U$703=1)*($S$4:$S$703&gt;S285))+SUMPRODUCT(($K$4:$K$703=K285)*($F$4:$F$703=F285)*($U$4:$U$703=1)*($S$4:$S$703=S285)*($T$4:$T$703&gt;T285))+SUMPRODUCT(($K$4:$K$703=K285)*($F$4:$F$703=F285)*($U$4:$U$703=1)*($S$4:$S$703=S285)*($T$4:$T$703=T285)*($C$4:$C$703&lt;C285))+SUMPRODUCT(($K$4:$K$703=K285)*($F$4:$F$703=F285)*($U$4:$U$703=1)*($S$4:$S$703=S285)*($T$4:$T$703=T285)*($C$4:$C$703=C285)*($D$4:$D$703&lt;D285)),0)</f>
        <v>0</v>
      </c>
      <c r="X285" s="11" t="n">
        <f aca="false">IF(AND(U285=1,V285&gt;0,W285&gt;1),S285,0)</f>
        <v>0</v>
      </c>
      <c r="Y285" s="11" t="n">
        <f aca="false">IF(T285=1,X285/(1+Controls!$B$11)^F285,0)</f>
        <v>0</v>
      </c>
      <c r="Z285" s="11" t="n">
        <f aca="false">IF(AND(N285,E285="capacity",LEN(K285)&gt;0),1,0)</f>
        <v>0</v>
      </c>
      <c r="AA285" s="11" t="n">
        <f aca="false">IF(Z285=1,SUMPRODUCT(($K$4:$K$703=K285)*($F$4:$F$703=F285)*($Z$4:$Z$703=1)*($B$4:$B$703&lt;&gt;B285)),0)</f>
        <v>0</v>
      </c>
      <c r="AB285" s="11" t="n">
        <f aca="false">IF(AND(Z285=1,AA285&gt;0),1+SUMPRODUCT(($K$4:$K$703=K285)*($F$4:$F$703=F285)*($Z$4:$Z$703=1)*($P$4:$P$703&gt;P285))+SUMPRODUCT(($K$4:$K$703=K285)*($F$4:$F$703=F285)*($Z$4:$Z$703=1)*($P$4:$P$703=P285)*($C$4:$C$703&lt;C285))+SUMPRODUCT(($K$4:$K$703=K285)*($F$4:$F$703=F285)*($Z$4:$Z$703=1)*($P$4:$P$703=P285)*($C$4:$C$703=C285)*($D$4:$D$703&lt;D285)),0)</f>
        <v>0</v>
      </c>
      <c r="AC285" s="11" t="n">
        <f aca="false">IF(AND(Z285=1,AA285&gt;0,AB285&gt;1),P285,0)</f>
        <v>0</v>
      </c>
    </row>
    <row r="286" customFormat="false" ht="15" hidden="false" customHeight="false" outlineLevel="0" collapsed="false">
      <c r="A286" s="4" t="s">
        <v>513</v>
      </c>
      <c r="B286" s="4" t="s">
        <v>92</v>
      </c>
      <c r="C286" s="4" t="n">
        <v>10</v>
      </c>
      <c r="D286" s="4" t="n">
        <v>283</v>
      </c>
      <c r="E286" s="4" t="s">
        <v>113</v>
      </c>
      <c r="F286" s="4" t="n">
        <v>15</v>
      </c>
      <c r="G286" s="4" t="n">
        <v>9</v>
      </c>
      <c r="H286" s="4" t="n">
        <v>244850</v>
      </c>
      <c r="I286" s="13" t="b">
        <f aca="false">FALSE()</f>
        <v>0</v>
      </c>
      <c r="K286" s="4" t="s">
        <v>507</v>
      </c>
      <c r="L286" s="4" t="n">
        <v>24240.15</v>
      </c>
      <c r="M286" s="11" t="n">
        <f aca="false">IFERROR(MATCH(Controls!$B$3&amp;"|"&amp;B286,'Scenario inputs'!$A$4:$A$213,0),0)</f>
        <v>141</v>
      </c>
      <c r="N286" s="8" t="b">
        <f aca="false">IF(M286=0,FALSE(),F286&lt;Controls!$B$12)</f>
        <v>1</v>
      </c>
      <c r="O286" s="11" t="n">
        <f aca="false">IF(N286,IF(INDEX('Scenario inputs'!$E$4:$E$213,M286)=0,1,INDEX('Scenario inputs'!$F$4:$M$213,M286,MIN(MAX(F286-G286,0),INDEX('Scenario inputs'!$E$4:$E$213,M286)-1)+1)),0)</f>
        <v>1</v>
      </c>
      <c r="P286" s="11" t="n">
        <f aca="false">H286*O286</f>
        <v>244850</v>
      </c>
      <c r="Q286" s="0" t="str">
        <f aca="false">IF(M286=0,"",IF(ISNUMBER(INDEX('Scenario inputs'!$N$4:$N$213,M286)),INDEX('Scenario inputs'!$N$4:$N$213,M286),""))</f>
        <v/>
      </c>
      <c r="R286" s="0" t="str">
        <f aca="false">IF(NOT(N286),"",IF(OR(E286="cash",E286="revenue"),E286,IF(E286="avoided_cost",IF(AND(I286,LEN(TRIM(J286))&gt;0),"avoided_cost_realised","avoided_cost_beside"),IF(ISNUMBER(Q286),"capacity_converted","capacity_hours"))))</f>
        <v>revenue</v>
      </c>
      <c r="S286" s="11" t="n">
        <f aca="false">IF(OR(R286="",R286="capacity_hours"),0,IF(R286="capacity_converted",P286*Q286,P286))</f>
        <v>244850</v>
      </c>
      <c r="T286" s="11" t="n">
        <f aca="false">IF(OR(R286="cash",R286="revenue",R286="avoided_cost_realised",R286="capacity_converted"),1,0)</f>
        <v>1</v>
      </c>
      <c r="U286" s="11" t="n">
        <f aca="false">IF(AND(N286,R286&lt;&gt;"capacity_hours",LEN(K286)&gt;0),1,0)</f>
        <v>1</v>
      </c>
      <c r="V286" s="11" t="n">
        <f aca="false">IF(U286=1,SUMPRODUCT(($K$4:$K$703=K286)*($F$4:$F$703=F286)*($U$4:$U$703=1)*($B$4:$B$703&lt;&gt;B286)),0)</f>
        <v>0</v>
      </c>
      <c r="W286" s="11" t="n">
        <f aca="false">IF(AND(U286=1,V286&gt;0),1+SUMPRODUCT(($K$4:$K$703=K286)*($F$4:$F$703=F286)*($U$4:$U$703=1)*($S$4:$S$703&gt;S286))+SUMPRODUCT(($K$4:$K$703=K286)*($F$4:$F$703=F286)*($U$4:$U$703=1)*($S$4:$S$703=S286)*($T$4:$T$703&gt;T286))+SUMPRODUCT(($K$4:$K$703=K286)*($F$4:$F$703=F286)*($U$4:$U$703=1)*($S$4:$S$703=S286)*($T$4:$T$703=T286)*($C$4:$C$703&lt;C286))+SUMPRODUCT(($K$4:$K$703=K286)*($F$4:$F$703=F286)*($U$4:$U$703=1)*($S$4:$S$703=S286)*($T$4:$T$703=T286)*($C$4:$C$703=C286)*($D$4:$D$703&lt;D286)),0)</f>
        <v>0</v>
      </c>
      <c r="X286" s="11" t="n">
        <f aca="false">IF(AND(U286=1,V286&gt;0,W286&gt;1),S286,0)</f>
        <v>0</v>
      </c>
      <c r="Y286" s="11" t="n">
        <f aca="false">IF(T286=1,X286/(1+Controls!$B$11)^F286,0)</f>
        <v>0</v>
      </c>
      <c r="Z286" s="11" t="n">
        <f aca="false">IF(AND(N286,E286="capacity",LEN(K286)&gt;0),1,0)</f>
        <v>0</v>
      </c>
      <c r="AA286" s="11" t="n">
        <f aca="false">IF(Z286=1,SUMPRODUCT(($K$4:$K$703=K286)*($F$4:$F$703=F286)*($Z$4:$Z$703=1)*($B$4:$B$703&lt;&gt;B286)),0)</f>
        <v>0</v>
      </c>
      <c r="AB286" s="11" t="n">
        <f aca="false">IF(AND(Z286=1,AA286&gt;0),1+SUMPRODUCT(($K$4:$K$703=K286)*($F$4:$F$703=F286)*($Z$4:$Z$703=1)*($P$4:$P$703&gt;P286))+SUMPRODUCT(($K$4:$K$703=K286)*($F$4:$F$703=F286)*($Z$4:$Z$703=1)*($P$4:$P$703=P286)*($C$4:$C$703&lt;C286))+SUMPRODUCT(($K$4:$K$703=K286)*($F$4:$F$703=F286)*($Z$4:$Z$703=1)*($P$4:$P$703=P286)*($C$4:$C$703=C286)*($D$4:$D$703&lt;D286)),0)</f>
        <v>0</v>
      </c>
      <c r="AC286" s="11" t="n">
        <f aca="false">IF(AND(Z286=1,AA286&gt;0,AB286&gt;1),P286,0)</f>
        <v>0</v>
      </c>
    </row>
    <row r="287" customFormat="false" ht="15" hidden="false" customHeight="false" outlineLevel="0" collapsed="false">
      <c r="A287" s="4" t="s">
        <v>514</v>
      </c>
      <c r="B287" s="4" t="s">
        <v>92</v>
      </c>
      <c r="C287" s="4" t="n">
        <v>10</v>
      </c>
      <c r="D287" s="4" t="n">
        <v>284</v>
      </c>
      <c r="E287" s="4" t="s">
        <v>113</v>
      </c>
      <c r="F287" s="4" t="n">
        <v>16</v>
      </c>
      <c r="G287" s="4" t="n">
        <v>9</v>
      </c>
      <c r="H287" s="4" t="n">
        <v>244850</v>
      </c>
      <c r="I287" s="13" t="b">
        <f aca="false">FALSE()</f>
        <v>0</v>
      </c>
      <c r="K287" s="4" t="s">
        <v>507</v>
      </c>
      <c r="L287" s="4" t="n">
        <v>24240.15</v>
      </c>
      <c r="M287" s="11" t="n">
        <f aca="false">IFERROR(MATCH(Controls!$B$3&amp;"|"&amp;B287,'Scenario inputs'!$A$4:$A$213,0),0)</f>
        <v>141</v>
      </c>
      <c r="N287" s="8" t="b">
        <f aca="false">IF(M287=0,FALSE(),F287&lt;Controls!$B$12)</f>
        <v>1</v>
      </c>
      <c r="O287" s="11" t="n">
        <f aca="false">IF(N287,IF(INDEX('Scenario inputs'!$E$4:$E$213,M287)=0,1,INDEX('Scenario inputs'!$F$4:$M$213,M287,MIN(MAX(F287-G287,0),INDEX('Scenario inputs'!$E$4:$E$213,M287)-1)+1)),0)</f>
        <v>1</v>
      </c>
      <c r="P287" s="11" t="n">
        <f aca="false">H287*O287</f>
        <v>244850</v>
      </c>
      <c r="Q287" s="0" t="str">
        <f aca="false">IF(M287=0,"",IF(ISNUMBER(INDEX('Scenario inputs'!$N$4:$N$213,M287)),INDEX('Scenario inputs'!$N$4:$N$213,M287),""))</f>
        <v/>
      </c>
      <c r="R287" s="0" t="str">
        <f aca="false">IF(NOT(N287),"",IF(OR(E287="cash",E287="revenue"),E287,IF(E287="avoided_cost",IF(AND(I287,LEN(TRIM(J287))&gt;0),"avoided_cost_realised","avoided_cost_beside"),IF(ISNUMBER(Q287),"capacity_converted","capacity_hours"))))</f>
        <v>revenue</v>
      </c>
      <c r="S287" s="11" t="n">
        <f aca="false">IF(OR(R287="",R287="capacity_hours"),0,IF(R287="capacity_converted",P287*Q287,P287))</f>
        <v>244850</v>
      </c>
      <c r="T287" s="11" t="n">
        <f aca="false">IF(OR(R287="cash",R287="revenue",R287="avoided_cost_realised",R287="capacity_converted"),1,0)</f>
        <v>1</v>
      </c>
      <c r="U287" s="11" t="n">
        <f aca="false">IF(AND(N287,R287&lt;&gt;"capacity_hours",LEN(K287)&gt;0),1,0)</f>
        <v>1</v>
      </c>
      <c r="V287" s="11" t="n">
        <f aca="false">IF(U287=1,SUMPRODUCT(($K$4:$K$703=K287)*($F$4:$F$703=F287)*($U$4:$U$703=1)*($B$4:$B$703&lt;&gt;B287)),0)</f>
        <v>0</v>
      </c>
      <c r="W287" s="11" t="n">
        <f aca="false">IF(AND(U287=1,V287&gt;0),1+SUMPRODUCT(($K$4:$K$703=K287)*($F$4:$F$703=F287)*($U$4:$U$703=1)*($S$4:$S$703&gt;S287))+SUMPRODUCT(($K$4:$K$703=K287)*($F$4:$F$703=F287)*($U$4:$U$703=1)*($S$4:$S$703=S287)*($T$4:$T$703&gt;T287))+SUMPRODUCT(($K$4:$K$703=K287)*($F$4:$F$703=F287)*($U$4:$U$703=1)*($S$4:$S$703=S287)*($T$4:$T$703=T287)*($C$4:$C$703&lt;C287))+SUMPRODUCT(($K$4:$K$703=K287)*($F$4:$F$703=F287)*($U$4:$U$703=1)*($S$4:$S$703=S287)*($T$4:$T$703=T287)*($C$4:$C$703=C287)*($D$4:$D$703&lt;D287)),0)</f>
        <v>0</v>
      </c>
      <c r="X287" s="11" t="n">
        <f aca="false">IF(AND(U287=1,V287&gt;0,W287&gt;1),S287,0)</f>
        <v>0</v>
      </c>
      <c r="Y287" s="11" t="n">
        <f aca="false">IF(T287=1,X287/(1+Controls!$B$11)^F287,0)</f>
        <v>0</v>
      </c>
      <c r="Z287" s="11" t="n">
        <f aca="false">IF(AND(N287,E287="capacity",LEN(K287)&gt;0),1,0)</f>
        <v>0</v>
      </c>
      <c r="AA287" s="11" t="n">
        <f aca="false">IF(Z287=1,SUMPRODUCT(($K$4:$K$703=K287)*($F$4:$F$703=F287)*($Z$4:$Z$703=1)*($B$4:$B$703&lt;&gt;B287)),0)</f>
        <v>0</v>
      </c>
      <c r="AB287" s="11" t="n">
        <f aca="false">IF(AND(Z287=1,AA287&gt;0),1+SUMPRODUCT(($K$4:$K$703=K287)*($F$4:$F$703=F287)*($Z$4:$Z$703=1)*($P$4:$P$703&gt;P287))+SUMPRODUCT(($K$4:$K$703=K287)*($F$4:$F$703=F287)*($Z$4:$Z$703=1)*($P$4:$P$703=P287)*($C$4:$C$703&lt;C287))+SUMPRODUCT(($K$4:$K$703=K287)*($F$4:$F$703=F287)*($Z$4:$Z$703=1)*($P$4:$P$703=P287)*($C$4:$C$703=C287)*($D$4:$D$703&lt;D287)),0)</f>
        <v>0</v>
      </c>
      <c r="AC287" s="11" t="n">
        <f aca="false">IF(AND(Z287=1,AA287&gt;0,AB287&gt;1),P287,0)</f>
        <v>0</v>
      </c>
    </row>
    <row r="288" customFormat="false" ht="15" hidden="false" customHeight="false" outlineLevel="0" collapsed="false">
      <c r="A288" s="4" t="s">
        <v>515</v>
      </c>
      <c r="B288" s="4" t="s">
        <v>92</v>
      </c>
      <c r="C288" s="4" t="n">
        <v>10</v>
      </c>
      <c r="D288" s="4" t="n">
        <v>285</v>
      </c>
      <c r="E288" s="4" t="s">
        <v>113</v>
      </c>
      <c r="F288" s="4" t="n">
        <v>17</v>
      </c>
      <c r="G288" s="4" t="n">
        <v>9</v>
      </c>
      <c r="H288" s="4" t="n">
        <v>244850</v>
      </c>
      <c r="I288" s="13" t="b">
        <f aca="false">FALSE()</f>
        <v>0</v>
      </c>
      <c r="K288" s="4" t="s">
        <v>507</v>
      </c>
      <c r="L288" s="4" t="n">
        <v>24240.15</v>
      </c>
      <c r="M288" s="11" t="n">
        <f aca="false">IFERROR(MATCH(Controls!$B$3&amp;"|"&amp;B288,'Scenario inputs'!$A$4:$A$213,0),0)</f>
        <v>141</v>
      </c>
      <c r="N288" s="8" t="b">
        <f aca="false">IF(M288=0,FALSE(),F288&lt;Controls!$B$12)</f>
        <v>1</v>
      </c>
      <c r="O288" s="11" t="n">
        <f aca="false">IF(N288,IF(INDEX('Scenario inputs'!$E$4:$E$213,M288)=0,1,INDEX('Scenario inputs'!$F$4:$M$213,M288,MIN(MAX(F288-G288,0),INDEX('Scenario inputs'!$E$4:$E$213,M288)-1)+1)),0)</f>
        <v>1</v>
      </c>
      <c r="P288" s="11" t="n">
        <f aca="false">H288*O288</f>
        <v>244850</v>
      </c>
      <c r="Q288" s="0" t="str">
        <f aca="false">IF(M288=0,"",IF(ISNUMBER(INDEX('Scenario inputs'!$N$4:$N$213,M288)),INDEX('Scenario inputs'!$N$4:$N$213,M288),""))</f>
        <v/>
      </c>
      <c r="R288" s="0" t="str">
        <f aca="false">IF(NOT(N288),"",IF(OR(E288="cash",E288="revenue"),E288,IF(E288="avoided_cost",IF(AND(I288,LEN(TRIM(J288))&gt;0),"avoided_cost_realised","avoided_cost_beside"),IF(ISNUMBER(Q288),"capacity_converted","capacity_hours"))))</f>
        <v>revenue</v>
      </c>
      <c r="S288" s="11" t="n">
        <f aca="false">IF(OR(R288="",R288="capacity_hours"),0,IF(R288="capacity_converted",P288*Q288,P288))</f>
        <v>244850</v>
      </c>
      <c r="T288" s="11" t="n">
        <f aca="false">IF(OR(R288="cash",R288="revenue",R288="avoided_cost_realised",R288="capacity_converted"),1,0)</f>
        <v>1</v>
      </c>
      <c r="U288" s="11" t="n">
        <f aca="false">IF(AND(N288,R288&lt;&gt;"capacity_hours",LEN(K288)&gt;0),1,0)</f>
        <v>1</v>
      </c>
      <c r="V288" s="11" t="n">
        <f aca="false">IF(U288=1,SUMPRODUCT(($K$4:$K$703=K288)*($F$4:$F$703=F288)*($U$4:$U$703=1)*($B$4:$B$703&lt;&gt;B288)),0)</f>
        <v>0</v>
      </c>
      <c r="W288" s="11" t="n">
        <f aca="false">IF(AND(U288=1,V288&gt;0),1+SUMPRODUCT(($K$4:$K$703=K288)*($F$4:$F$703=F288)*($U$4:$U$703=1)*($S$4:$S$703&gt;S288))+SUMPRODUCT(($K$4:$K$703=K288)*($F$4:$F$703=F288)*($U$4:$U$703=1)*($S$4:$S$703=S288)*($T$4:$T$703&gt;T288))+SUMPRODUCT(($K$4:$K$703=K288)*($F$4:$F$703=F288)*($U$4:$U$703=1)*($S$4:$S$703=S288)*($T$4:$T$703=T288)*($C$4:$C$703&lt;C288))+SUMPRODUCT(($K$4:$K$703=K288)*($F$4:$F$703=F288)*($U$4:$U$703=1)*($S$4:$S$703=S288)*($T$4:$T$703=T288)*($C$4:$C$703=C288)*($D$4:$D$703&lt;D288)),0)</f>
        <v>0</v>
      </c>
      <c r="X288" s="11" t="n">
        <f aca="false">IF(AND(U288=1,V288&gt;0,W288&gt;1),S288,0)</f>
        <v>0</v>
      </c>
      <c r="Y288" s="11" t="n">
        <f aca="false">IF(T288=1,X288/(1+Controls!$B$11)^F288,0)</f>
        <v>0</v>
      </c>
      <c r="Z288" s="11" t="n">
        <f aca="false">IF(AND(N288,E288="capacity",LEN(K288)&gt;0),1,0)</f>
        <v>0</v>
      </c>
      <c r="AA288" s="11" t="n">
        <f aca="false">IF(Z288=1,SUMPRODUCT(($K$4:$K$703=K288)*($F$4:$F$703=F288)*($Z$4:$Z$703=1)*($B$4:$B$703&lt;&gt;B288)),0)</f>
        <v>0</v>
      </c>
      <c r="AB288" s="11" t="n">
        <f aca="false">IF(AND(Z288=1,AA288&gt;0),1+SUMPRODUCT(($K$4:$K$703=K288)*($F$4:$F$703=F288)*($Z$4:$Z$703=1)*($P$4:$P$703&gt;P288))+SUMPRODUCT(($K$4:$K$703=K288)*($F$4:$F$703=F288)*($Z$4:$Z$703=1)*($P$4:$P$703=P288)*($C$4:$C$703&lt;C288))+SUMPRODUCT(($K$4:$K$703=K288)*($F$4:$F$703=F288)*($Z$4:$Z$703=1)*($P$4:$P$703=P288)*($C$4:$C$703=C288)*($D$4:$D$703&lt;D288)),0)</f>
        <v>0</v>
      </c>
      <c r="AC288" s="11" t="n">
        <f aca="false">IF(AND(Z288=1,AA288&gt;0,AB288&gt;1),P288,0)</f>
        <v>0</v>
      </c>
    </row>
    <row r="289" customFormat="false" ht="15" hidden="false" customHeight="false" outlineLevel="0" collapsed="false">
      <c r="A289" s="4" t="s">
        <v>516</v>
      </c>
      <c r="B289" s="4" t="s">
        <v>92</v>
      </c>
      <c r="C289" s="4" t="n">
        <v>10</v>
      </c>
      <c r="D289" s="4" t="n">
        <v>286</v>
      </c>
      <c r="E289" s="4" t="s">
        <v>113</v>
      </c>
      <c r="F289" s="4" t="n">
        <v>18</v>
      </c>
      <c r="G289" s="4" t="n">
        <v>9</v>
      </c>
      <c r="H289" s="4" t="n">
        <v>244850</v>
      </c>
      <c r="I289" s="13" t="b">
        <f aca="false">FALSE()</f>
        <v>0</v>
      </c>
      <c r="K289" s="4" t="s">
        <v>507</v>
      </c>
      <c r="L289" s="4" t="n">
        <v>24240.15</v>
      </c>
      <c r="M289" s="11" t="n">
        <f aca="false">IFERROR(MATCH(Controls!$B$3&amp;"|"&amp;B289,'Scenario inputs'!$A$4:$A$213,0),0)</f>
        <v>141</v>
      </c>
      <c r="N289" s="8" t="b">
        <f aca="false">IF(M289=0,FALSE(),F289&lt;Controls!$B$12)</f>
        <v>1</v>
      </c>
      <c r="O289" s="11" t="n">
        <f aca="false">IF(N289,IF(INDEX('Scenario inputs'!$E$4:$E$213,M289)=0,1,INDEX('Scenario inputs'!$F$4:$M$213,M289,MIN(MAX(F289-G289,0),INDEX('Scenario inputs'!$E$4:$E$213,M289)-1)+1)),0)</f>
        <v>1</v>
      </c>
      <c r="P289" s="11" t="n">
        <f aca="false">H289*O289</f>
        <v>244850</v>
      </c>
      <c r="Q289" s="0" t="str">
        <f aca="false">IF(M289=0,"",IF(ISNUMBER(INDEX('Scenario inputs'!$N$4:$N$213,M289)),INDEX('Scenario inputs'!$N$4:$N$213,M289),""))</f>
        <v/>
      </c>
      <c r="R289" s="0" t="str">
        <f aca="false">IF(NOT(N289),"",IF(OR(E289="cash",E289="revenue"),E289,IF(E289="avoided_cost",IF(AND(I289,LEN(TRIM(J289))&gt;0),"avoided_cost_realised","avoided_cost_beside"),IF(ISNUMBER(Q289),"capacity_converted","capacity_hours"))))</f>
        <v>revenue</v>
      </c>
      <c r="S289" s="11" t="n">
        <f aca="false">IF(OR(R289="",R289="capacity_hours"),0,IF(R289="capacity_converted",P289*Q289,P289))</f>
        <v>244850</v>
      </c>
      <c r="T289" s="11" t="n">
        <f aca="false">IF(OR(R289="cash",R289="revenue",R289="avoided_cost_realised",R289="capacity_converted"),1,0)</f>
        <v>1</v>
      </c>
      <c r="U289" s="11" t="n">
        <f aca="false">IF(AND(N289,R289&lt;&gt;"capacity_hours",LEN(K289)&gt;0),1,0)</f>
        <v>1</v>
      </c>
      <c r="V289" s="11" t="n">
        <f aca="false">IF(U289=1,SUMPRODUCT(($K$4:$K$703=K289)*($F$4:$F$703=F289)*($U$4:$U$703=1)*($B$4:$B$703&lt;&gt;B289)),0)</f>
        <v>0</v>
      </c>
      <c r="W289" s="11" t="n">
        <f aca="false">IF(AND(U289=1,V289&gt;0),1+SUMPRODUCT(($K$4:$K$703=K289)*($F$4:$F$703=F289)*($U$4:$U$703=1)*($S$4:$S$703&gt;S289))+SUMPRODUCT(($K$4:$K$703=K289)*($F$4:$F$703=F289)*($U$4:$U$703=1)*($S$4:$S$703=S289)*($T$4:$T$703&gt;T289))+SUMPRODUCT(($K$4:$K$703=K289)*($F$4:$F$703=F289)*($U$4:$U$703=1)*($S$4:$S$703=S289)*($T$4:$T$703=T289)*($C$4:$C$703&lt;C289))+SUMPRODUCT(($K$4:$K$703=K289)*($F$4:$F$703=F289)*($U$4:$U$703=1)*($S$4:$S$703=S289)*($T$4:$T$703=T289)*($C$4:$C$703=C289)*($D$4:$D$703&lt;D289)),0)</f>
        <v>0</v>
      </c>
      <c r="X289" s="11" t="n">
        <f aca="false">IF(AND(U289=1,V289&gt;0,W289&gt;1),S289,0)</f>
        <v>0</v>
      </c>
      <c r="Y289" s="11" t="n">
        <f aca="false">IF(T289=1,X289/(1+Controls!$B$11)^F289,0)</f>
        <v>0</v>
      </c>
      <c r="Z289" s="11" t="n">
        <f aca="false">IF(AND(N289,E289="capacity",LEN(K289)&gt;0),1,0)</f>
        <v>0</v>
      </c>
      <c r="AA289" s="11" t="n">
        <f aca="false">IF(Z289=1,SUMPRODUCT(($K$4:$K$703=K289)*($F$4:$F$703=F289)*($Z$4:$Z$703=1)*($B$4:$B$703&lt;&gt;B289)),0)</f>
        <v>0</v>
      </c>
      <c r="AB289" s="11" t="n">
        <f aca="false">IF(AND(Z289=1,AA289&gt;0),1+SUMPRODUCT(($K$4:$K$703=K289)*($F$4:$F$703=F289)*($Z$4:$Z$703=1)*($P$4:$P$703&gt;P289))+SUMPRODUCT(($K$4:$K$703=K289)*($F$4:$F$703=F289)*($Z$4:$Z$703=1)*($P$4:$P$703=P289)*($C$4:$C$703&lt;C289))+SUMPRODUCT(($K$4:$K$703=K289)*($F$4:$F$703=F289)*($Z$4:$Z$703=1)*($P$4:$P$703=P289)*($C$4:$C$703=C289)*($D$4:$D$703&lt;D289)),0)</f>
        <v>0</v>
      </c>
      <c r="AC289" s="11" t="n">
        <f aca="false">IF(AND(Z289=1,AA289&gt;0,AB289&gt;1),P289,0)</f>
        <v>0</v>
      </c>
    </row>
    <row r="290" customFormat="false" ht="15" hidden="false" customHeight="false" outlineLevel="0" collapsed="false">
      <c r="A290" s="4" t="s">
        <v>517</v>
      </c>
      <c r="B290" s="4" t="s">
        <v>92</v>
      </c>
      <c r="C290" s="4" t="n">
        <v>10</v>
      </c>
      <c r="D290" s="4" t="n">
        <v>287</v>
      </c>
      <c r="E290" s="4" t="s">
        <v>113</v>
      </c>
      <c r="F290" s="4" t="n">
        <v>19</v>
      </c>
      <c r="G290" s="4" t="n">
        <v>9</v>
      </c>
      <c r="H290" s="4" t="n">
        <v>244850</v>
      </c>
      <c r="I290" s="13" t="b">
        <f aca="false">FALSE()</f>
        <v>0</v>
      </c>
      <c r="K290" s="4" t="s">
        <v>507</v>
      </c>
      <c r="L290" s="4" t="n">
        <v>24240.15</v>
      </c>
      <c r="M290" s="11" t="n">
        <f aca="false">IFERROR(MATCH(Controls!$B$3&amp;"|"&amp;B290,'Scenario inputs'!$A$4:$A$213,0),0)</f>
        <v>141</v>
      </c>
      <c r="N290" s="8" t="b">
        <f aca="false">IF(M290=0,FALSE(),F290&lt;Controls!$B$12)</f>
        <v>1</v>
      </c>
      <c r="O290" s="11" t="n">
        <f aca="false">IF(N290,IF(INDEX('Scenario inputs'!$E$4:$E$213,M290)=0,1,INDEX('Scenario inputs'!$F$4:$M$213,M290,MIN(MAX(F290-G290,0),INDEX('Scenario inputs'!$E$4:$E$213,M290)-1)+1)),0)</f>
        <v>1</v>
      </c>
      <c r="P290" s="11" t="n">
        <f aca="false">H290*O290</f>
        <v>244850</v>
      </c>
      <c r="Q290" s="0" t="str">
        <f aca="false">IF(M290=0,"",IF(ISNUMBER(INDEX('Scenario inputs'!$N$4:$N$213,M290)),INDEX('Scenario inputs'!$N$4:$N$213,M290),""))</f>
        <v/>
      </c>
      <c r="R290" s="0" t="str">
        <f aca="false">IF(NOT(N290),"",IF(OR(E290="cash",E290="revenue"),E290,IF(E290="avoided_cost",IF(AND(I290,LEN(TRIM(J290))&gt;0),"avoided_cost_realised","avoided_cost_beside"),IF(ISNUMBER(Q290),"capacity_converted","capacity_hours"))))</f>
        <v>revenue</v>
      </c>
      <c r="S290" s="11" t="n">
        <f aca="false">IF(OR(R290="",R290="capacity_hours"),0,IF(R290="capacity_converted",P290*Q290,P290))</f>
        <v>244850</v>
      </c>
      <c r="T290" s="11" t="n">
        <f aca="false">IF(OR(R290="cash",R290="revenue",R290="avoided_cost_realised",R290="capacity_converted"),1,0)</f>
        <v>1</v>
      </c>
      <c r="U290" s="11" t="n">
        <f aca="false">IF(AND(N290,R290&lt;&gt;"capacity_hours",LEN(K290)&gt;0),1,0)</f>
        <v>1</v>
      </c>
      <c r="V290" s="11" t="n">
        <f aca="false">IF(U290=1,SUMPRODUCT(($K$4:$K$703=K290)*($F$4:$F$703=F290)*($U$4:$U$703=1)*($B$4:$B$703&lt;&gt;B290)),0)</f>
        <v>0</v>
      </c>
      <c r="W290" s="11" t="n">
        <f aca="false">IF(AND(U290=1,V290&gt;0),1+SUMPRODUCT(($K$4:$K$703=K290)*($F$4:$F$703=F290)*($U$4:$U$703=1)*($S$4:$S$703&gt;S290))+SUMPRODUCT(($K$4:$K$703=K290)*($F$4:$F$703=F290)*($U$4:$U$703=1)*($S$4:$S$703=S290)*($T$4:$T$703&gt;T290))+SUMPRODUCT(($K$4:$K$703=K290)*($F$4:$F$703=F290)*($U$4:$U$703=1)*($S$4:$S$703=S290)*($T$4:$T$703=T290)*($C$4:$C$703&lt;C290))+SUMPRODUCT(($K$4:$K$703=K290)*($F$4:$F$703=F290)*($U$4:$U$703=1)*($S$4:$S$703=S290)*($T$4:$T$703=T290)*($C$4:$C$703=C290)*($D$4:$D$703&lt;D290)),0)</f>
        <v>0</v>
      </c>
      <c r="X290" s="11" t="n">
        <f aca="false">IF(AND(U290=1,V290&gt;0,W290&gt;1),S290,0)</f>
        <v>0</v>
      </c>
      <c r="Y290" s="11" t="n">
        <f aca="false">IF(T290=1,X290/(1+Controls!$B$11)^F290,0)</f>
        <v>0</v>
      </c>
      <c r="Z290" s="11" t="n">
        <f aca="false">IF(AND(N290,E290="capacity",LEN(K290)&gt;0),1,0)</f>
        <v>0</v>
      </c>
      <c r="AA290" s="11" t="n">
        <f aca="false">IF(Z290=1,SUMPRODUCT(($K$4:$K$703=K290)*($F$4:$F$703=F290)*($Z$4:$Z$703=1)*($B$4:$B$703&lt;&gt;B290)),0)</f>
        <v>0</v>
      </c>
      <c r="AB290" s="11" t="n">
        <f aca="false">IF(AND(Z290=1,AA290&gt;0),1+SUMPRODUCT(($K$4:$K$703=K290)*($F$4:$F$703=F290)*($Z$4:$Z$703=1)*($P$4:$P$703&gt;P290))+SUMPRODUCT(($K$4:$K$703=K290)*($F$4:$F$703=F290)*($Z$4:$Z$703=1)*($P$4:$P$703=P290)*($C$4:$C$703&lt;C290))+SUMPRODUCT(($K$4:$K$703=K290)*($F$4:$F$703=F290)*($Z$4:$Z$703=1)*($P$4:$P$703=P290)*($C$4:$C$703=C290)*($D$4:$D$703&lt;D290)),0)</f>
        <v>0</v>
      </c>
      <c r="AC290" s="11" t="n">
        <f aca="false">IF(AND(Z290=1,AA290&gt;0,AB290&gt;1),P290,0)</f>
        <v>0</v>
      </c>
    </row>
    <row r="291" customFormat="false" ht="15" hidden="false" customHeight="false" outlineLevel="0" collapsed="false">
      <c r="A291" s="4" t="s">
        <v>518</v>
      </c>
      <c r="B291" s="4" t="s">
        <v>92</v>
      </c>
      <c r="C291" s="4" t="n">
        <v>10</v>
      </c>
      <c r="D291" s="4" t="n">
        <v>288</v>
      </c>
      <c r="E291" s="4" t="s">
        <v>113</v>
      </c>
      <c r="F291" s="4" t="n">
        <v>20</v>
      </c>
      <c r="G291" s="4" t="n">
        <v>9</v>
      </c>
      <c r="H291" s="4" t="n">
        <v>244850</v>
      </c>
      <c r="I291" s="13" t="b">
        <f aca="false">FALSE()</f>
        <v>0</v>
      </c>
      <c r="K291" s="4" t="s">
        <v>507</v>
      </c>
      <c r="L291" s="4" t="n">
        <v>24240.15</v>
      </c>
      <c r="M291" s="11" t="n">
        <f aca="false">IFERROR(MATCH(Controls!$B$3&amp;"|"&amp;B291,'Scenario inputs'!$A$4:$A$213,0),0)</f>
        <v>141</v>
      </c>
      <c r="N291" s="8" t="b">
        <f aca="false">IF(M291=0,FALSE(),F291&lt;Controls!$B$12)</f>
        <v>1</v>
      </c>
      <c r="O291" s="11" t="n">
        <f aca="false">IF(N291,IF(INDEX('Scenario inputs'!$E$4:$E$213,M291)=0,1,INDEX('Scenario inputs'!$F$4:$M$213,M291,MIN(MAX(F291-G291,0),INDEX('Scenario inputs'!$E$4:$E$213,M291)-1)+1)),0)</f>
        <v>1</v>
      </c>
      <c r="P291" s="11" t="n">
        <f aca="false">H291*O291</f>
        <v>244850</v>
      </c>
      <c r="Q291" s="0" t="str">
        <f aca="false">IF(M291=0,"",IF(ISNUMBER(INDEX('Scenario inputs'!$N$4:$N$213,M291)),INDEX('Scenario inputs'!$N$4:$N$213,M291),""))</f>
        <v/>
      </c>
      <c r="R291" s="0" t="str">
        <f aca="false">IF(NOT(N291),"",IF(OR(E291="cash",E291="revenue"),E291,IF(E291="avoided_cost",IF(AND(I291,LEN(TRIM(J291))&gt;0),"avoided_cost_realised","avoided_cost_beside"),IF(ISNUMBER(Q291),"capacity_converted","capacity_hours"))))</f>
        <v>revenue</v>
      </c>
      <c r="S291" s="11" t="n">
        <f aca="false">IF(OR(R291="",R291="capacity_hours"),0,IF(R291="capacity_converted",P291*Q291,P291))</f>
        <v>244850</v>
      </c>
      <c r="T291" s="11" t="n">
        <f aca="false">IF(OR(R291="cash",R291="revenue",R291="avoided_cost_realised",R291="capacity_converted"),1,0)</f>
        <v>1</v>
      </c>
      <c r="U291" s="11" t="n">
        <f aca="false">IF(AND(N291,R291&lt;&gt;"capacity_hours",LEN(K291)&gt;0),1,0)</f>
        <v>1</v>
      </c>
      <c r="V291" s="11" t="n">
        <f aca="false">IF(U291=1,SUMPRODUCT(($K$4:$K$703=K291)*($F$4:$F$703=F291)*($U$4:$U$703=1)*($B$4:$B$703&lt;&gt;B291)),0)</f>
        <v>0</v>
      </c>
      <c r="W291" s="11" t="n">
        <f aca="false">IF(AND(U291=1,V291&gt;0),1+SUMPRODUCT(($K$4:$K$703=K291)*($F$4:$F$703=F291)*($U$4:$U$703=1)*($S$4:$S$703&gt;S291))+SUMPRODUCT(($K$4:$K$703=K291)*($F$4:$F$703=F291)*($U$4:$U$703=1)*($S$4:$S$703=S291)*($T$4:$T$703&gt;T291))+SUMPRODUCT(($K$4:$K$703=K291)*($F$4:$F$703=F291)*($U$4:$U$703=1)*($S$4:$S$703=S291)*($T$4:$T$703=T291)*($C$4:$C$703&lt;C291))+SUMPRODUCT(($K$4:$K$703=K291)*($F$4:$F$703=F291)*($U$4:$U$703=1)*($S$4:$S$703=S291)*($T$4:$T$703=T291)*($C$4:$C$703=C291)*($D$4:$D$703&lt;D291)),0)</f>
        <v>0</v>
      </c>
      <c r="X291" s="11" t="n">
        <f aca="false">IF(AND(U291=1,V291&gt;0,W291&gt;1),S291,0)</f>
        <v>0</v>
      </c>
      <c r="Y291" s="11" t="n">
        <f aca="false">IF(T291=1,X291/(1+Controls!$B$11)^F291,0)</f>
        <v>0</v>
      </c>
      <c r="Z291" s="11" t="n">
        <f aca="false">IF(AND(N291,E291="capacity",LEN(K291)&gt;0),1,0)</f>
        <v>0</v>
      </c>
      <c r="AA291" s="11" t="n">
        <f aca="false">IF(Z291=1,SUMPRODUCT(($K$4:$K$703=K291)*($F$4:$F$703=F291)*($Z$4:$Z$703=1)*($B$4:$B$703&lt;&gt;B291)),0)</f>
        <v>0</v>
      </c>
      <c r="AB291" s="11" t="n">
        <f aca="false">IF(AND(Z291=1,AA291&gt;0),1+SUMPRODUCT(($K$4:$K$703=K291)*($F$4:$F$703=F291)*($Z$4:$Z$703=1)*($P$4:$P$703&gt;P291))+SUMPRODUCT(($K$4:$K$703=K291)*($F$4:$F$703=F291)*($Z$4:$Z$703=1)*($P$4:$P$703=P291)*($C$4:$C$703&lt;C291))+SUMPRODUCT(($K$4:$K$703=K291)*($F$4:$F$703=F291)*($Z$4:$Z$703=1)*($P$4:$P$703=P291)*($C$4:$C$703=C291)*($D$4:$D$703&lt;D291)),0)</f>
        <v>0</v>
      </c>
      <c r="AC291" s="11" t="n">
        <f aca="false">IF(AND(Z291=1,AA291&gt;0,AB291&gt;1),P291,0)</f>
        <v>0</v>
      </c>
    </row>
    <row r="292" customFormat="false" ht="15" hidden="false" customHeight="false" outlineLevel="0" collapsed="false">
      <c r="A292" s="4" t="s">
        <v>519</v>
      </c>
      <c r="B292" s="4" t="s">
        <v>92</v>
      </c>
      <c r="C292" s="4" t="n">
        <v>10</v>
      </c>
      <c r="D292" s="4" t="n">
        <v>289</v>
      </c>
      <c r="E292" s="4" t="s">
        <v>205</v>
      </c>
      <c r="F292" s="4" t="n">
        <v>10</v>
      </c>
      <c r="G292" s="4" t="n">
        <v>10</v>
      </c>
      <c r="H292" s="4" t="n">
        <v>73450</v>
      </c>
      <c r="I292" s="13" t="b">
        <f aca="false">FALSE()</f>
        <v>0</v>
      </c>
      <c r="K292" s="4" t="s">
        <v>520</v>
      </c>
      <c r="L292" s="4" t="n">
        <v>360.25</v>
      </c>
      <c r="M292" s="11" t="n">
        <f aca="false">IFERROR(MATCH(Controls!$B$3&amp;"|"&amp;B292,'Scenario inputs'!$A$4:$A$213,0),0)</f>
        <v>141</v>
      </c>
      <c r="N292" s="8" t="b">
        <f aca="false">IF(M292=0,FALSE(),F292&lt;Controls!$B$12)</f>
        <v>1</v>
      </c>
      <c r="O292" s="11" t="n">
        <f aca="false">IF(N292,IF(INDEX('Scenario inputs'!$E$4:$E$213,M292)=0,1,INDEX('Scenario inputs'!$F$4:$M$213,M292,MIN(MAX(F292-G292,0),INDEX('Scenario inputs'!$E$4:$E$213,M292)-1)+1)),0)</f>
        <v>0.047619</v>
      </c>
      <c r="P292" s="11" t="n">
        <f aca="false">H292*O292</f>
        <v>3497.61555</v>
      </c>
      <c r="Q292" s="0" t="str">
        <f aca="false">IF(M292=0,"",IF(ISNUMBER(INDEX('Scenario inputs'!$N$4:$N$213,M292)),INDEX('Scenario inputs'!$N$4:$N$213,M292),""))</f>
        <v/>
      </c>
      <c r="R292" s="0" t="str">
        <f aca="false">IF(NOT(N292),"",IF(OR(E292="cash",E292="revenue"),E292,IF(E292="avoided_cost",IF(AND(I292,LEN(TRIM(J292))&gt;0),"avoided_cost_realised","avoided_cost_beside"),IF(ISNUMBER(Q292),"capacity_converted","capacity_hours"))))</f>
        <v>avoided_cost_beside</v>
      </c>
      <c r="S292" s="11" t="n">
        <f aca="false">IF(OR(R292="",R292="capacity_hours"),0,IF(R292="capacity_converted",P292*Q292,P292))</f>
        <v>3497.61555</v>
      </c>
      <c r="T292" s="11" t="n">
        <f aca="false">IF(OR(R292="cash",R292="revenue",R292="avoided_cost_realised",R292="capacity_converted"),1,0)</f>
        <v>0</v>
      </c>
      <c r="U292" s="11" t="n">
        <f aca="false">IF(AND(N292,R292&lt;&gt;"capacity_hours",LEN(K292)&gt;0),1,0)</f>
        <v>1</v>
      </c>
      <c r="V292" s="11" t="n">
        <f aca="false">IF(U292=1,SUMPRODUCT(($K$4:$K$703=K292)*($F$4:$F$703=F292)*($U$4:$U$703=1)*($B$4:$B$703&lt;&gt;B292)),0)</f>
        <v>0</v>
      </c>
      <c r="W292" s="11" t="n">
        <f aca="false">IF(AND(U292=1,V292&gt;0),1+SUMPRODUCT(($K$4:$K$703=K292)*($F$4:$F$703=F292)*($U$4:$U$703=1)*($S$4:$S$703&gt;S292))+SUMPRODUCT(($K$4:$K$703=K292)*($F$4:$F$703=F292)*($U$4:$U$703=1)*($S$4:$S$703=S292)*($T$4:$T$703&gt;T292))+SUMPRODUCT(($K$4:$K$703=K292)*($F$4:$F$703=F292)*($U$4:$U$703=1)*($S$4:$S$703=S292)*($T$4:$T$703=T292)*($C$4:$C$703&lt;C292))+SUMPRODUCT(($K$4:$K$703=K292)*($F$4:$F$703=F292)*($U$4:$U$703=1)*($S$4:$S$703=S292)*($T$4:$T$703=T292)*($C$4:$C$703=C292)*($D$4:$D$703&lt;D292)),0)</f>
        <v>0</v>
      </c>
      <c r="X292" s="11" t="n">
        <f aca="false">IF(AND(U292=1,V292&gt;0,W292&gt;1),S292,0)</f>
        <v>0</v>
      </c>
      <c r="Y292" s="11" t="n">
        <f aca="false">IF(T292=1,X292/(1+Controls!$B$11)^F292,0)</f>
        <v>0</v>
      </c>
      <c r="Z292" s="11" t="n">
        <f aca="false">IF(AND(N292,E292="capacity",LEN(K292)&gt;0),1,0)</f>
        <v>0</v>
      </c>
      <c r="AA292" s="11" t="n">
        <f aca="false">IF(Z292=1,SUMPRODUCT(($K$4:$K$703=K292)*($F$4:$F$703=F292)*($Z$4:$Z$703=1)*($B$4:$B$703&lt;&gt;B292)),0)</f>
        <v>0</v>
      </c>
      <c r="AB292" s="11" t="n">
        <f aca="false">IF(AND(Z292=1,AA292&gt;0),1+SUMPRODUCT(($K$4:$K$703=K292)*($F$4:$F$703=F292)*($Z$4:$Z$703=1)*($P$4:$P$703&gt;P292))+SUMPRODUCT(($K$4:$K$703=K292)*($F$4:$F$703=F292)*($Z$4:$Z$703=1)*($P$4:$P$703=P292)*($C$4:$C$703&lt;C292))+SUMPRODUCT(($K$4:$K$703=K292)*($F$4:$F$703=F292)*($Z$4:$Z$703=1)*($P$4:$P$703=P292)*($C$4:$C$703=C292)*($D$4:$D$703&lt;D292)),0)</f>
        <v>0</v>
      </c>
      <c r="AC292" s="11" t="n">
        <f aca="false">IF(AND(Z292=1,AA292&gt;0,AB292&gt;1),P292,0)</f>
        <v>0</v>
      </c>
    </row>
    <row r="293" customFormat="false" ht="15" hidden="false" customHeight="false" outlineLevel="0" collapsed="false">
      <c r="A293" s="4" t="s">
        <v>521</v>
      </c>
      <c r="B293" s="4" t="s">
        <v>92</v>
      </c>
      <c r="C293" s="4" t="n">
        <v>10</v>
      </c>
      <c r="D293" s="4" t="n">
        <v>290</v>
      </c>
      <c r="E293" s="4" t="s">
        <v>205</v>
      </c>
      <c r="F293" s="4" t="n">
        <v>11</v>
      </c>
      <c r="G293" s="4" t="n">
        <v>10</v>
      </c>
      <c r="H293" s="4" t="n">
        <v>73450</v>
      </c>
      <c r="I293" s="13" t="b">
        <f aca="false">FALSE()</f>
        <v>0</v>
      </c>
      <c r="K293" s="4" t="s">
        <v>520</v>
      </c>
      <c r="L293" s="4" t="n">
        <v>1080.76</v>
      </c>
      <c r="M293" s="11" t="n">
        <f aca="false">IFERROR(MATCH(Controls!$B$3&amp;"|"&amp;B293,'Scenario inputs'!$A$4:$A$213,0),0)</f>
        <v>141</v>
      </c>
      <c r="N293" s="8" t="b">
        <f aca="false">IF(M293=0,FALSE(),F293&lt;Controls!$B$12)</f>
        <v>1</v>
      </c>
      <c r="O293" s="11" t="n">
        <f aca="false">IF(N293,IF(INDEX('Scenario inputs'!$E$4:$E$213,M293)=0,1,INDEX('Scenario inputs'!$F$4:$M$213,M293,MIN(MAX(F293-G293,0),INDEX('Scenario inputs'!$E$4:$E$213,M293)-1)+1)),0)</f>
        <v>0.142857</v>
      </c>
      <c r="P293" s="11" t="n">
        <f aca="false">H293*O293</f>
        <v>10492.84665</v>
      </c>
      <c r="Q293" s="0" t="str">
        <f aca="false">IF(M293=0,"",IF(ISNUMBER(INDEX('Scenario inputs'!$N$4:$N$213,M293)),INDEX('Scenario inputs'!$N$4:$N$213,M293),""))</f>
        <v/>
      </c>
      <c r="R293" s="0" t="str">
        <f aca="false">IF(NOT(N293),"",IF(OR(E293="cash",E293="revenue"),E293,IF(E293="avoided_cost",IF(AND(I293,LEN(TRIM(J293))&gt;0),"avoided_cost_realised","avoided_cost_beside"),IF(ISNUMBER(Q293),"capacity_converted","capacity_hours"))))</f>
        <v>avoided_cost_beside</v>
      </c>
      <c r="S293" s="11" t="n">
        <f aca="false">IF(OR(R293="",R293="capacity_hours"),0,IF(R293="capacity_converted",P293*Q293,P293))</f>
        <v>10492.84665</v>
      </c>
      <c r="T293" s="11" t="n">
        <f aca="false">IF(OR(R293="cash",R293="revenue",R293="avoided_cost_realised",R293="capacity_converted"),1,0)</f>
        <v>0</v>
      </c>
      <c r="U293" s="11" t="n">
        <f aca="false">IF(AND(N293,R293&lt;&gt;"capacity_hours",LEN(K293)&gt;0),1,0)</f>
        <v>1</v>
      </c>
      <c r="V293" s="11" t="n">
        <f aca="false">IF(U293=1,SUMPRODUCT(($K$4:$K$703=K293)*($F$4:$F$703=F293)*($U$4:$U$703=1)*($B$4:$B$703&lt;&gt;B293)),0)</f>
        <v>0</v>
      </c>
      <c r="W293" s="11" t="n">
        <f aca="false">IF(AND(U293=1,V293&gt;0),1+SUMPRODUCT(($K$4:$K$703=K293)*($F$4:$F$703=F293)*($U$4:$U$703=1)*($S$4:$S$703&gt;S293))+SUMPRODUCT(($K$4:$K$703=K293)*($F$4:$F$703=F293)*($U$4:$U$703=1)*($S$4:$S$703=S293)*($T$4:$T$703&gt;T293))+SUMPRODUCT(($K$4:$K$703=K293)*($F$4:$F$703=F293)*($U$4:$U$703=1)*($S$4:$S$703=S293)*($T$4:$T$703=T293)*($C$4:$C$703&lt;C293))+SUMPRODUCT(($K$4:$K$703=K293)*($F$4:$F$703=F293)*($U$4:$U$703=1)*($S$4:$S$703=S293)*($T$4:$T$703=T293)*($C$4:$C$703=C293)*($D$4:$D$703&lt;D293)),0)</f>
        <v>0</v>
      </c>
      <c r="X293" s="11" t="n">
        <f aca="false">IF(AND(U293=1,V293&gt;0,W293&gt;1),S293,0)</f>
        <v>0</v>
      </c>
      <c r="Y293" s="11" t="n">
        <f aca="false">IF(T293=1,X293/(1+Controls!$B$11)^F293,0)</f>
        <v>0</v>
      </c>
      <c r="Z293" s="11" t="n">
        <f aca="false">IF(AND(N293,E293="capacity",LEN(K293)&gt;0),1,0)</f>
        <v>0</v>
      </c>
      <c r="AA293" s="11" t="n">
        <f aca="false">IF(Z293=1,SUMPRODUCT(($K$4:$K$703=K293)*($F$4:$F$703=F293)*($Z$4:$Z$703=1)*($B$4:$B$703&lt;&gt;B293)),0)</f>
        <v>0</v>
      </c>
      <c r="AB293" s="11" t="n">
        <f aca="false">IF(AND(Z293=1,AA293&gt;0),1+SUMPRODUCT(($K$4:$K$703=K293)*($F$4:$F$703=F293)*($Z$4:$Z$703=1)*($P$4:$P$703&gt;P293))+SUMPRODUCT(($K$4:$K$703=K293)*($F$4:$F$703=F293)*($Z$4:$Z$703=1)*($P$4:$P$703=P293)*($C$4:$C$703&lt;C293))+SUMPRODUCT(($K$4:$K$703=K293)*($F$4:$F$703=F293)*($Z$4:$Z$703=1)*($P$4:$P$703=P293)*($C$4:$C$703=C293)*($D$4:$D$703&lt;D293)),0)</f>
        <v>0</v>
      </c>
      <c r="AC293" s="11" t="n">
        <f aca="false">IF(AND(Z293=1,AA293&gt;0,AB293&gt;1),P293,0)</f>
        <v>0</v>
      </c>
    </row>
    <row r="294" customFormat="false" ht="15" hidden="false" customHeight="false" outlineLevel="0" collapsed="false">
      <c r="A294" s="4" t="s">
        <v>522</v>
      </c>
      <c r="B294" s="4" t="s">
        <v>92</v>
      </c>
      <c r="C294" s="4" t="n">
        <v>10</v>
      </c>
      <c r="D294" s="4" t="n">
        <v>291</v>
      </c>
      <c r="E294" s="4" t="s">
        <v>205</v>
      </c>
      <c r="F294" s="4" t="n">
        <v>12</v>
      </c>
      <c r="G294" s="4" t="n">
        <v>10</v>
      </c>
      <c r="H294" s="4" t="n">
        <v>73450</v>
      </c>
      <c r="I294" s="13" t="b">
        <f aca="false">FALSE()</f>
        <v>0</v>
      </c>
      <c r="K294" s="4" t="s">
        <v>520</v>
      </c>
      <c r="L294" s="4" t="n">
        <v>2161.53</v>
      </c>
      <c r="M294" s="11" t="n">
        <f aca="false">IFERROR(MATCH(Controls!$B$3&amp;"|"&amp;B294,'Scenario inputs'!$A$4:$A$213,0),0)</f>
        <v>141</v>
      </c>
      <c r="N294" s="8" t="b">
        <f aca="false">IF(M294=0,FALSE(),F294&lt;Controls!$B$12)</f>
        <v>1</v>
      </c>
      <c r="O294" s="11" t="n">
        <f aca="false">IF(N294,IF(INDEX('Scenario inputs'!$E$4:$E$213,M294)=0,1,INDEX('Scenario inputs'!$F$4:$M$213,M294,MIN(MAX(F294-G294,0),INDEX('Scenario inputs'!$E$4:$E$213,M294)-1)+1)),0)</f>
        <v>0.285714</v>
      </c>
      <c r="P294" s="11" t="n">
        <f aca="false">H294*O294</f>
        <v>20985.6933</v>
      </c>
      <c r="Q294" s="0" t="str">
        <f aca="false">IF(M294=0,"",IF(ISNUMBER(INDEX('Scenario inputs'!$N$4:$N$213,M294)),INDEX('Scenario inputs'!$N$4:$N$213,M294),""))</f>
        <v/>
      </c>
      <c r="R294" s="0" t="str">
        <f aca="false">IF(NOT(N294),"",IF(OR(E294="cash",E294="revenue"),E294,IF(E294="avoided_cost",IF(AND(I294,LEN(TRIM(J294))&gt;0),"avoided_cost_realised","avoided_cost_beside"),IF(ISNUMBER(Q294),"capacity_converted","capacity_hours"))))</f>
        <v>avoided_cost_beside</v>
      </c>
      <c r="S294" s="11" t="n">
        <f aca="false">IF(OR(R294="",R294="capacity_hours"),0,IF(R294="capacity_converted",P294*Q294,P294))</f>
        <v>20985.6933</v>
      </c>
      <c r="T294" s="11" t="n">
        <f aca="false">IF(OR(R294="cash",R294="revenue",R294="avoided_cost_realised",R294="capacity_converted"),1,0)</f>
        <v>0</v>
      </c>
      <c r="U294" s="11" t="n">
        <f aca="false">IF(AND(N294,R294&lt;&gt;"capacity_hours",LEN(K294)&gt;0),1,0)</f>
        <v>1</v>
      </c>
      <c r="V294" s="11" t="n">
        <f aca="false">IF(U294=1,SUMPRODUCT(($K$4:$K$703=K294)*($F$4:$F$703=F294)*($U$4:$U$703=1)*($B$4:$B$703&lt;&gt;B294)),0)</f>
        <v>0</v>
      </c>
      <c r="W294" s="11" t="n">
        <f aca="false">IF(AND(U294=1,V294&gt;0),1+SUMPRODUCT(($K$4:$K$703=K294)*($F$4:$F$703=F294)*($U$4:$U$703=1)*($S$4:$S$703&gt;S294))+SUMPRODUCT(($K$4:$K$703=K294)*($F$4:$F$703=F294)*($U$4:$U$703=1)*($S$4:$S$703=S294)*($T$4:$T$703&gt;T294))+SUMPRODUCT(($K$4:$K$703=K294)*($F$4:$F$703=F294)*($U$4:$U$703=1)*($S$4:$S$703=S294)*($T$4:$T$703=T294)*($C$4:$C$703&lt;C294))+SUMPRODUCT(($K$4:$K$703=K294)*($F$4:$F$703=F294)*($U$4:$U$703=1)*($S$4:$S$703=S294)*($T$4:$T$703=T294)*($C$4:$C$703=C294)*($D$4:$D$703&lt;D294)),0)</f>
        <v>0</v>
      </c>
      <c r="X294" s="11" t="n">
        <f aca="false">IF(AND(U294=1,V294&gt;0,W294&gt;1),S294,0)</f>
        <v>0</v>
      </c>
      <c r="Y294" s="11" t="n">
        <f aca="false">IF(T294=1,X294/(1+Controls!$B$11)^F294,0)</f>
        <v>0</v>
      </c>
      <c r="Z294" s="11" t="n">
        <f aca="false">IF(AND(N294,E294="capacity",LEN(K294)&gt;0),1,0)</f>
        <v>0</v>
      </c>
      <c r="AA294" s="11" t="n">
        <f aca="false">IF(Z294=1,SUMPRODUCT(($K$4:$K$703=K294)*($F$4:$F$703=F294)*($Z$4:$Z$703=1)*($B$4:$B$703&lt;&gt;B294)),0)</f>
        <v>0</v>
      </c>
      <c r="AB294" s="11" t="n">
        <f aca="false">IF(AND(Z294=1,AA294&gt;0),1+SUMPRODUCT(($K$4:$K$703=K294)*($F$4:$F$703=F294)*($Z$4:$Z$703=1)*($P$4:$P$703&gt;P294))+SUMPRODUCT(($K$4:$K$703=K294)*($F$4:$F$703=F294)*($Z$4:$Z$703=1)*($P$4:$P$703=P294)*($C$4:$C$703&lt;C294))+SUMPRODUCT(($K$4:$K$703=K294)*($F$4:$F$703=F294)*($Z$4:$Z$703=1)*($P$4:$P$703=P294)*($C$4:$C$703=C294)*($D$4:$D$703&lt;D294)),0)</f>
        <v>0</v>
      </c>
      <c r="AC294" s="11" t="n">
        <f aca="false">IF(AND(Z294=1,AA294&gt;0,AB294&gt;1),P294,0)</f>
        <v>0</v>
      </c>
    </row>
    <row r="295" customFormat="false" ht="15" hidden="false" customHeight="false" outlineLevel="0" collapsed="false">
      <c r="A295" s="4" t="s">
        <v>523</v>
      </c>
      <c r="B295" s="4" t="s">
        <v>92</v>
      </c>
      <c r="C295" s="4" t="n">
        <v>10</v>
      </c>
      <c r="D295" s="4" t="n">
        <v>292</v>
      </c>
      <c r="E295" s="4" t="s">
        <v>205</v>
      </c>
      <c r="F295" s="4" t="n">
        <v>13</v>
      </c>
      <c r="G295" s="4" t="n">
        <v>10</v>
      </c>
      <c r="H295" s="4" t="n">
        <v>73450</v>
      </c>
      <c r="I295" s="13" t="b">
        <f aca="false">FALSE()</f>
        <v>0</v>
      </c>
      <c r="K295" s="4" t="s">
        <v>520</v>
      </c>
      <c r="L295" s="4" t="n">
        <v>3602.54</v>
      </c>
      <c r="M295" s="11" t="n">
        <f aca="false">IFERROR(MATCH(Controls!$B$3&amp;"|"&amp;B295,'Scenario inputs'!$A$4:$A$213,0),0)</f>
        <v>141</v>
      </c>
      <c r="N295" s="8" t="b">
        <f aca="false">IF(M295=0,FALSE(),F295&lt;Controls!$B$12)</f>
        <v>1</v>
      </c>
      <c r="O295" s="11" t="n">
        <f aca="false">IF(N295,IF(INDEX('Scenario inputs'!$E$4:$E$213,M295)=0,1,INDEX('Scenario inputs'!$F$4:$M$213,M295,MIN(MAX(F295-G295,0),INDEX('Scenario inputs'!$E$4:$E$213,M295)-1)+1)),0)</f>
        <v>0.47619</v>
      </c>
      <c r="P295" s="11" t="n">
        <f aca="false">H295*O295</f>
        <v>34976.1555</v>
      </c>
      <c r="Q295" s="0" t="str">
        <f aca="false">IF(M295=0,"",IF(ISNUMBER(INDEX('Scenario inputs'!$N$4:$N$213,M295)),INDEX('Scenario inputs'!$N$4:$N$213,M295),""))</f>
        <v/>
      </c>
      <c r="R295" s="0" t="str">
        <f aca="false">IF(NOT(N295),"",IF(OR(E295="cash",E295="revenue"),E295,IF(E295="avoided_cost",IF(AND(I295,LEN(TRIM(J295))&gt;0),"avoided_cost_realised","avoided_cost_beside"),IF(ISNUMBER(Q295),"capacity_converted","capacity_hours"))))</f>
        <v>avoided_cost_beside</v>
      </c>
      <c r="S295" s="11" t="n">
        <f aca="false">IF(OR(R295="",R295="capacity_hours"),0,IF(R295="capacity_converted",P295*Q295,P295))</f>
        <v>34976.1555</v>
      </c>
      <c r="T295" s="11" t="n">
        <f aca="false">IF(OR(R295="cash",R295="revenue",R295="avoided_cost_realised",R295="capacity_converted"),1,0)</f>
        <v>0</v>
      </c>
      <c r="U295" s="11" t="n">
        <f aca="false">IF(AND(N295,R295&lt;&gt;"capacity_hours",LEN(K295)&gt;0),1,0)</f>
        <v>1</v>
      </c>
      <c r="V295" s="11" t="n">
        <f aca="false">IF(U295=1,SUMPRODUCT(($K$4:$K$703=K295)*($F$4:$F$703=F295)*($U$4:$U$703=1)*($B$4:$B$703&lt;&gt;B295)),0)</f>
        <v>0</v>
      </c>
      <c r="W295" s="11" t="n">
        <f aca="false">IF(AND(U295=1,V295&gt;0),1+SUMPRODUCT(($K$4:$K$703=K295)*($F$4:$F$703=F295)*($U$4:$U$703=1)*($S$4:$S$703&gt;S295))+SUMPRODUCT(($K$4:$K$703=K295)*($F$4:$F$703=F295)*($U$4:$U$703=1)*($S$4:$S$703=S295)*($T$4:$T$703&gt;T295))+SUMPRODUCT(($K$4:$K$703=K295)*($F$4:$F$703=F295)*($U$4:$U$703=1)*($S$4:$S$703=S295)*($T$4:$T$703=T295)*($C$4:$C$703&lt;C295))+SUMPRODUCT(($K$4:$K$703=K295)*($F$4:$F$703=F295)*($U$4:$U$703=1)*($S$4:$S$703=S295)*($T$4:$T$703=T295)*($C$4:$C$703=C295)*($D$4:$D$703&lt;D295)),0)</f>
        <v>0</v>
      </c>
      <c r="X295" s="11" t="n">
        <f aca="false">IF(AND(U295=1,V295&gt;0,W295&gt;1),S295,0)</f>
        <v>0</v>
      </c>
      <c r="Y295" s="11" t="n">
        <f aca="false">IF(T295=1,X295/(1+Controls!$B$11)^F295,0)</f>
        <v>0</v>
      </c>
      <c r="Z295" s="11" t="n">
        <f aca="false">IF(AND(N295,E295="capacity",LEN(K295)&gt;0),1,0)</f>
        <v>0</v>
      </c>
      <c r="AA295" s="11" t="n">
        <f aca="false">IF(Z295=1,SUMPRODUCT(($K$4:$K$703=K295)*($F$4:$F$703=F295)*($Z$4:$Z$703=1)*($B$4:$B$703&lt;&gt;B295)),0)</f>
        <v>0</v>
      </c>
      <c r="AB295" s="11" t="n">
        <f aca="false">IF(AND(Z295=1,AA295&gt;0),1+SUMPRODUCT(($K$4:$K$703=K295)*($F$4:$F$703=F295)*($Z$4:$Z$703=1)*($P$4:$P$703&gt;P295))+SUMPRODUCT(($K$4:$K$703=K295)*($F$4:$F$703=F295)*($Z$4:$Z$703=1)*($P$4:$P$703=P295)*($C$4:$C$703&lt;C295))+SUMPRODUCT(($K$4:$K$703=K295)*($F$4:$F$703=F295)*($Z$4:$Z$703=1)*($P$4:$P$703=P295)*($C$4:$C$703=C295)*($D$4:$D$703&lt;D295)),0)</f>
        <v>0</v>
      </c>
      <c r="AC295" s="11" t="n">
        <f aca="false">IF(AND(Z295=1,AA295&gt;0,AB295&gt;1),P295,0)</f>
        <v>0</v>
      </c>
    </row>
    <row r="296" customFormat="false" ht="15" hidden="false" customHeight="false" outlineLevel="0" collapsed="false">
      <c r="A296" s="4" t="s">
        <v>524</v>
      </c>
      <c r="B296" s="4" t="s">
        <v>92</v>
      </c>
      <c r="C296" s="4" t="n">
        <v>10</v>
      </c>
      <c r="D296" s="4" t="n">
        <v>293</v>
      </c>
      <c r="E296" s="4" t="s">
        <v>205</v>
      </c>
      <c r="F296" s="4" t="n">
        <v>14</v>
      </c>
      <c r="G296" s="4" t="n">
        <v>10</v>
      </c>
      <c r="H296" s="4" t="n">
        <v>73450</v>
      </c>
      <c r="I296" s="13" t="b">
        <f aca="false">FALSE()</f>
        <v>0</v>
      </c>
      <c r="K296" s="4" t="s">
        <v>520</v>
      </c>
      <c r="L296" s="4" t="n">
        <v>5403.82</v>
      </c>
      <c r="M296" s="11" t="n">
        <f aca="false">IFERROR(MATCH(Controls!$B$3&amp;"|"&amp;B296,'Scenario inputs'!$A$4:$A$213,0),0)</f>
        <v>141</v>
      </c>
      <c r="N296" s="8" t="b">
        <f aca="false">IF(M296=0,FALSE(),F296&lt;Controls!$B$12)</f>
        <v>1</v>
      </c>
      <c r="O296" s="11" t="n">
        <f aca="false">IF(N296,IF(INDEX('Scenario inputs'!$E$4:$E$213,M296)=0,1,INDEX('Scenario inputs'!$F$4:$M$213,M296,MIN(MAX(F296-G296,0),INDEX('Scenario inputs'!$E$4:$E$213,M296)-1)+1)),0)</f>
        <v>0.714286</v>
      </c>
      <c r="P296" s="11" t="n">
        <f aca="false">H296*O296</f>
        <v>52464.3067</v>
      </c>
      <c r="Q296" s="0" t="str">
        <f aca="false">IF(M296=0,"",IF(ISNUMBER(INDEX('Scenario inputs'!$N$4:$N$213,M296)),INDEX('Scenario inputs'!$N$4:$N$213,M296),""))</f>
        <v/>
      </c>
      <c r="R296" s="0" t="str">
        <f aca="false">IF(NOT(N296),"",IF(OR(E296="cash",E296="revenue"),E296,IF(E296="avoided_cost",IF(AND(I296,LEN(TRIM(J296))&gt;0),"avoided_cost_realised","avoided_cost_beside"),IF(ISNUMBER(Q296),"capacity_converted","capacity_hours"))))</f>
        <v>avoided_cost_beside</v>
      </c>
      <c r="S296" s="11" t="n">
        <f aca="false">IF(OR(R296="",R296="capacity_hours"),0,IF(R296="capacity_converted",P296*Q296,P296))</f>
        <v>52464.3067</v>
      </c>
      <c r="T296" s="11" t="n">
        <f aca="false">IF(OR(R296="cash",R296="revenue",R296="avoided_cost_realised",R296="capacity_converted"),1,0)</f>
        <v>0</v>
      </c>
      <c r="U296" s="11" t="n">
        <f aca="false">IF(AND(N296,R296&lt;&gt;"capacity_hours",LEN(K296)&gt;0),1,0)</f>
        <v>1</v>
      </c>
      <c r="V296" s="11" t="n">
        <f aca="false">IF(U296=1,SUMPRODUCT(($K$4:$K$703=K296)*($F$4:$F$703=F296)*($U$4:$U$703=1)*($B$4:$B$703&lt;&gt;B296)),0)</f>
        <v>0</v>
      </c>
      <c r="W296" s="11" t="n">
        <f aca="false">IF(AND(U296=1,V296&gt;0),1+SUMPRODUCT(($K$4:$K$703=K296)*($F$4:$F$703=F296)*($U$4:$U$703=1)*($S$4:$S$703&gt;S296))+SUMPRODUCT(($K$4:$K$703=K296)*($F$4:$F$703=F296)*($U$4:$U$703=1)*($S$4:$S$703=S296)*($T$4:$T$703&gt;T296))+SUMPRODUCT(($K$4:$K$703=K296)*($F$4:$F$703=F296)*($U$4:$U$703=1)*($S$4:$S$703=S296)*($T$4:$T$703=T296)*($C$4:$C$703&lt;C296))+SUMPRODUCT(($K$4:$K$703=K296)*($F$4:$F$703=F296)*($U$4:$U$703=1)*($S$4:$S$703=S296)*($T$4:$T$703=T296)*($C$4:$C$703=C296)*($D$4:$D$703&lt;D296)),0)</f>
        <v>0</v>
      </c>
      <c r="X296" s="11" t="n">
        <f aca="false">IF(AND(U296=1,V296&gt;0,W296&gt;1),S296,0)</f>
        <v>0</v>
      </c>
      <c r="Y296" s="11" t="n">
        <f aca="false">IF(T296=1,X296/(1+Controls!$B$11)^F296,0)</f>
        <v>0</v>
      </c>
      <c r="Z296" s="11" t="n">
        <f aca="false">IF(AND(N296,E296="capacity",LEN(K296)&gt;0),1,0)</f>
        <v>0</v>
      </c>
      <c r="AA296" s="11" t="n">
        <f aca="false">IF(Z296=1,SUMPRODUCT(($K$4:$K$703=K296)*($F$4:$F$703=F296)*($Z$4:$Z$703=1)*($B$4:$B$703&lt;&gt;B296)),0)</f>
        <v>0</v>
      </c>
      <c r="AB296" s="11" t="n">
        <f aca="false">IF(AND(Z296=1,AA296&gt;0),1+SUMPRODUCT(($K$4:$K$703=K296)*($F$4:$F$703=F296)*($Z$4:$Z$703=1)*($P$4:$P$703&gt;P296))+SUMPRODUCT(($K$4:$K$703=K296)*($F$4:$F$703=F296)*($Z$4:$Z$703=1)*($P$4:$P$703=P296)*($C$4:$C$703&lt;C296))+SUMPRODUCT(($K$4:$K$703=K296)*($F$4:$F$703=F296)*($Z$4:$Z$703=1)*($P$4:$P$703=P296)*($C$4:$C$703=C296)*($D$4:$D$703&lt;D296)),0)</f>
        <v>0</v>
      </c>
      <c r="AC296" s="11" t="n">
        <f aca="false">IF(AND(Z296=1,AA296&gt;0,AB296&gt;1),P296,0)</f>
        <v>0</v>
      </c>
    </row>
    <row r="297" customFormat="false" ht="15" hidden="false" customHeight="false" outlineLevel="0" collapsed="false">
      <c r="A297" s="4" t="s">
        <v>525</v>
      </c>
      <c r="B297" s="4" t="s">
        <v>92</v>
      </c>
      <c r="C297" s="4" t="n">
        <v>10</v>
      </c>
      <c r="D297" s="4" t="n">
        <v>294</v>
      </c>
      <c r="E297" s="4" t="s">
        <v>205</v>
      </c>
      <c r="F297" s="4" t="n">
        <v>15</v>
      </c>
      <c r="G297" s="4" t="n">
        <v>10</v>
      </c>
      <c r="H297" s="4" t="n">
        <v>73450</v>
      </c>
      <c r="I297" s="13" t="b">
        <f aca="false">FALSE()</f>
        <v>0</v>
      </c>
      <c r="K297" s="4" t="s">
        <v>520</v>
      </c>
      <c r="L297" s="4" t="n">
        <v>7565.35</v>
      </c>
      <c r="M297" s="11" t="n">
        <f aca="false">IFERROR(MATCH(Controls!$B$3&amp;"|"&amp;B297,'Scenario inputs'!$A$4:$A$213,0),0)</f>
        <v>141</v>
      </c>
      <c r="N297" s="8" t="b">
        <f aca="false">IF(M297=0,FALSE(),F297&lt;Controls!$B$12)</f>
        <v>1</v>
      </c>
      <c r="O297" s="11" t="n">
        <f aca="false">IF(N297,IF(INDEX('Scenario inputs'!$E$4:$E$213,M297)=0,1,INDEX('Scenario inputs'!$F$4:$M$213,M297,MIN(MAX(F297-G297,0),INDEX('Scenario inputs'!$E$4:$E$213,M297)-1)+1)),0)</f>
        <v>1</v>
      </c>
      <c r="P297" s="11" t="n">
        <f aca="false">H297*O297</f>
        <v>73450</v>
      </c>
      <c r="Q297" s="0" t="str">
        <f aca="false">IF(M297=0,"",IF(ISNUMBER(INDEX('Scenario inputs'!$N$4:$N$213,M297)),INDEX('Scenario inputs'!$N$4:$N$213,M297),""))</f>
        <v/>
      </c>
      <c r="R297" s="0" t="str">
        <f aca="false">IF(NOT(N297),"",IF(OR(E297="cash",E297="revenue"),E297,IF(E297="avoided_cost",IF(AND(I297,LEN(TRIM(J297))&gt;0),"avoided_cost_realised","avoided_cost_beside"),IF(ISNUMBER(Q297),"capacity_converted","capacity_hours"))))</f>
        <v>avoided_cost_beside</v>
      </c>
      <c r="S297" s="11" t="n">
        <f aca="false">IF(OR(R297="",R297="capacity_hours"),0,IF(R297="capacity_converted",P297*Q297,P297))</f>
        <v>73450</v>
      </c>
      <c r="T297" s="11" t="n">
        <f aca="false">IF(OR(R297="cash",R297="revenue",R297="avoided_cost_realised",R297="capacity_converted"),1,0)</f>
        <v>0</v>
      </c>
      <c r="U297" s="11" t="n">
        <f aca="false">IF(AND(N297,R297&lt;&gt;"capacity_hours",LEN(K297)&gt;0),1,0)</f>
        <v>1</v>
      </c>
      <c r="V297" s="11" t="n">
        <f aca="false">IF(U297=1,SUMPRODUCT(($K$4:$K$703=K297)*($F$4:$F$703=F297)*($U$4:$U$703=1)*($B$4:$B$703&lt;&gt;B297)),0)</f>
        <v>0</v>
      </c>
      <c r="W297" s="11" t="n">
        <f aca="false">IF(AND(U297=1,V297&gt;0),1+SUMPRODUCT(($K$4:$K$703=K297)*($F$4:$F$703=F297)*($U$4:$U$703=1)*($S$4:$S$703&gt;S297))+SUMPRODUCT(($K$4:$K$703=K297)*($F$4:$F$703=F297)*($U$4:$U$703=1)*($S$4:$S$703=S297)*($T$4:$T$703&gt;T297))+SUMPRODUCT(($K$4:$K$703=K297)*($F$4:$F$703=F297)*($U$4:$U$703=1)*($S$4:$S$703=S297)*($T$4:$T$703=T297)*($C$4:$C$703&lt;C297))+SUMPRODUCT(($K$4:$K$703=K297)*($F$4:$F$703=F297)*($U$4:$U$703=1)*($S$4:$S$703=S297)*($T$4:$T$703=T297)*($C$4:$C$703=C297)*($D$4:$D$703&lt;D297)),0)</f>
        <v>0</v>
      </c>
      <c r="X297" s="11" t="n">
        <f aca="false">IF(AND(U297=1,V297&gt;0,W297&gt;1),S297,0)</f>
        <v>0</v>
      </c>
      <c r="Y297" s="11" t="n">
        <f aca="false">IF(T297=1,X297/(1+Controls!$B$11)^F297,0)</f>
        <v>0</v>
      </c>
      <c r="Z297" s="11" t="n">
        <f aca="false">IF(AND(N297,E297="capacity",LEN(K297)&gt;0),1,0)</f>
        <v>0</v>
      </c>
      <c r="AA297" s="11" t="n">
        <f aca="false">IF(Z297=1,SUMPRODUCT(($K$4:$K$703=K297)*($F$4:$F$703=F297)*($Z$4:$Z$703=1)*($B$4:$B$703&lt;&gt;B297)),0)</f>
        <v>0</v>
      </c>
      <c r="AB297" s="11" t="n">
        <f aca="false">IF(AND(Z297=1,AA297&gt;0),1+SUMPRODUCT(($K$4:$K$703=K297)*($F$4:$F$703=F297)*($Z$4:$Z$703=1)*($P$4:$P$703&gt;P297))+SUMPRODUCT(($K$4:$K$703=K297)*($F$4:$F$703=F297)*($Z$4:$Z$703=1)*($P$4:$P$703=P297)*($C$4:$C$703&lt;C297))+SUMPRODUCT(($K$4:$K$703=K297)*($F$4:$F$703=F297)*($Z$4:$Z$703=1)*($P$4:$P$703=P297)*($C$4:$C$703=C297)*($D$4:$D$703&lt;D297)),0)</f>
        <v>0</v>
      </c>
      <c r="AC297" s="11" t="n">
        <f aca="false">IF(AND(Z297=1,AA297&gt;0,AB297&gt;1),P297,0)</f>
        <v>0</v>
      </c>
    </row>
    <row r="298" customFormat="false" ht="15" hidden="false" customHeight="false" outlineLevel="0" collapsed="false">
      <c r="A298" s="4" t="s">
        <v>526</v>
      </c>
      <c r="B298" s="4" t="s">
        <v>92</v>
      </c>
      <c r="C298" s="4" t="n">
        <v>10</v>
      </c>
      <c r="D298" s="4" t="n">
        <v>295</v>
      </c>
      <c r="E298" s="4" t="s">
        <v>205</v>
      </c>
      <c r="F298" s="4" t="n">
        <v>16</v>
      </c>
      <c r="G298" s="4" t="n">
        <v>10</v>
      </c>
      <c r="H298" s="4" t="n">
        <v>73450</v>
      </c>
      <c r="I298" s="13" t="b">
        <f aca="false">FALSE()</f>
        <v>0</v>
      </c>
      <c r="K298" s="4" t="s">
        <v>520</v>
      </c>
      <c r="L298" s="4" t="n">
        <v>7565.35</v>
      </c>
      <c r="M298" s="11" t="n">
        <f aca="false">IFERROR(MATCH(Controls!$B$3&amp;"|"&amp;B298,'Scenario inputs'!$A$4:$A$213,0),0)</f>
        <v>141</v>
      </c>
      <c r="N298" s="8" t="b">
        <f aca="false">IF(M298=0,FALSE(),F298&lt;Controls!$B$12)</f>
        <v>1</v>
      </c>
      <c r="O298" s="11" t="n">
        <f aca="false">IF(N298,IF(INDEX('Scenario inputs'!$E$4:$E$213,M298)=0,1,INDEX('Scenario inputs'!$F$4:$M$213,M298,MIN(MAX(F298-G298,0),INDEX('Scenario inputs'!$E$4:$E$213,M298)-1)+1)),0)</f>
        <v>1</v>
      </c>
      <c r="P298" s="11" t="n">
        <f aca="false">H298*O298</f>
        <v>73450</v>
      </c>
      <c r="Q298" s="0" t="str">
        <f aca="false">IF(M298=0,"",IF(ISNUMBER(INDEX('Scenario inputs'!$N$4:$N$213,M298)),INDEX('Scenario inputs'!$N$4:$N$213,M298),""))</f>
        <v/>
      </c>
      <c r="R298" s="0" t="str">
        <f aca="false">IF(NOT(N298),"",IF(OR(E298="cash",E298="revenue"),E298,IF(E298="avoided_cost",IF(AND(I298,LEN(TRIM(J298))&gt;0),"avoided_cost_realised","avoided_cost_beside"),IF(ISNUMBER(Q298),"capacity_converted","capacity_hours"))))</f>
        <v>avoided_cost_beside</v>
      </c>
      <c r="S298" s="11" t="n">
        <f aca="false">IF(OR(R298="",R298="capacity_hours"),0,IF(R298="capacity_converted",P298*Q298,P298))</f>
        <v>73450</v>
      </c>
      <c r="T298" s="11" t="n">
        <f aca="false">IF(OR(R298="cash",R298="revenue",R298="avoided_cost_realised",R298="capacity_converted"),1,0)</f>
        <v>0</v>
      </c>
      <c r="U298" s="11" t="n">
        <f aca="false">IF(AND(N298,R298&lt;&gt;"capacity_hours",LEN(K298)&gt;0),1,0)</f>
        <v>1</v>
      </c>
      <c r="V298" s="11" t="n">
        <f aca="false">IF(U298=1,SUMPRODUCT(($K$4:$K$703=K298)*($F$4:$F$703=F298)*($U$4:$U$703=1)*($B$4:$B$703&lt;&gt;B298)),0)</f>
        <v>0</v>
      </c>
      <c r="W298" s="11" t="n">
        <f aca="false">IF(AND(U298=1,V298&gt;0),1+SUMPRODUCT(($K$4:$K$703=K298)*($F$4:$F$703=F298)*($U$4:$U$703=1)*($S$4:$S$703&gt;S298))+SUMPRODUCT(($K$4:$K$703=K298)*($F$4:$F$703=F298)*($U$4:$U$703=1)*($S$4:$S$703=S298)*($T$4:$T$703&gt;T298))+SUMPRODUCT(($K$4:$K$703=K298)*($F$4:$F$703=F298)*($U$4:$U$703=1)*($S$4:$S$703=S298)*($T$4:$T$703=T298)*($C$4:$C$703&lt;C298))+SUMPRODUCT(($K$4:$K$703=K298)*($F$4:$F$703=F298)*($U$4:$U$703=1)*($S$4:$S$703=S298)*($T$4:$T$703=T298)*($C$4:$C$703=C298)*($D$4:$D$703&lt;D298)),0)</f>
        <v>0</v>
      </c>
      <c r="X298" s="11" t="n">
        <f aca="false">IF(AND(U298=1,V298&gt;0,W298&gt;1),S298,0)</f>
        <v>0</v>
      </c>
      <c r="Y298" s="11" t="n">
        <f aca="false">IF(T298=1,X298/(1+Controls!$B$11)^F298,0)</f>
        <v>0</v>
      </c>
      <c r="Z298" s="11" t="n">
        <f aca="false">IF(AND(N298,E298="capacity",LEN(K298)&gt;0),1,0)</f>
        <v>0</v>
      </c>
      <c r="AA298" s="11" t="n">
        <f aca="false">IF(Z298=1,SUMPRODUCT(($K$4:$K$703=K298)*($F$4:$F$703=F298)*($Z$4:$Z$703=1)*($B$4:$B$703&lt;&gt;B298)),0)</f>
        <v>0</v>
      </c>
      <c r="AB298" s="11" t="n">
        <f aca="false">IF(AND(Z298=1,AA298&gt;0),1+SUMPRODUCT(($K$4:$K$703=K298)*($F$4:$F$703=F298)*($Z$4:$Z$703=1)*($P$4:$P$703&gt;P298))+SUMPRODUCT(($K$4:$K$703=K298)*($F$4:$F$703=F298)*($Z$4:$Z$703=1)*($P$4:$P$703=P298)*($C$4:$C$703&lt;C298))+SUMPRODUCT(($K$4:$K$703=K298)*($F$4:$F$703=F298)*($Z$4:$Z$703=1)*($P$4:$P$703=P298)*($C$4:$C$703=C298)*($D$4:$D$703&lt;D298)),0)</f>
        <v>0</v>
      </c>
      <c r="AC298" s="11" t="n">
        <f aca="false">IF(AND(Z298=1,AA298&gt;0,AB298&gt;1),P298,0)</f>
        <v>0</v>
      </c>
    </row>
    <row r="299" customFormat="false" ht="15" hidden="false" customHeight="false" outlineLevel="0" collapsed="false">
      <c r="A299" s="4" t="s">
        <v>527</v>
      </c>
      <c r="B299" s="4" t="s">
        <v>92</v>
      </c>
      <c r="C299" s="4" t="n">
        <v>10</v>
      </c>
      <c r="D299" s="4" t="n">
        <v>296</v>
      </c>
      <c r="E299" s="4" t="s">
        <v>205</v>
      </c>
      <c r="F299" s="4" t="n">
        <v>17</v>
      </c>
      <c r="G299" s="4" t="n">
        <v>10</v>
      </c>
      <c r="H299" s="4" t="n">
        <v>73450</v>
      </c>
      <c r="I299" s="13" t="b">
        <f aca="false">FALSE()</f>
        <v>0</v>
      </c>
      <c r="K299" s="4" t="s">
        <v>520</v>
      </c>
      <c r="L299" s="4" t="n">
        <v>7565.35</v>
      </c>
      <c r="M299" s="11" t="n">
        <f aca="false">IFERROR(MATCH(Controls!$B$3&amp;"|"&amp;B299,'Scenario inputs'!$A$4:$A$213,0),0)</f>
        <v>141</v>
      </c>
      <c r="N299" s="8" t="b">
        <f aca="false">IF(M299=0,FALSE(),F299&lt;Controls!$B$12)</f>
        <v>1</v>
      </c>
      <c r="O299" s="11" t="n">
        <f aca="false">IF(N299,IF(INDEX('Scenario inputs'!$E$4:$E$213,M299)=0,1,INDEX('Scenario inputs'!$F$4:$M$213,M299,MIN(MAX(F299-G299,0),INDEX('Scenario inputs'!$E$4:$E$213,M299)-1)+1)),0)</f>
        <v>1</v>
      </c>
      <c r="P299" s="11" t="n">
        <f aca="false">H299*O299</f>
        <v>73450</v>
      </c>
      <c r="Q299" s="0" t="str">
        <f aca="false">IF(M299=0,"",IF(ISNUMBER(INDEX('Scenario inputs'!$N$4:$N$213,M299)),INDEX('Scenario inputs'!$N$4:$N$213,M299),""))</f>
        <v/>
      </c>
      <c r="R299" s="0" t="str">
        <f aca="false">IF(NOT(N299),"",IF(OR(E299="cash",E299="revenue"),E299,IF(E299="avoided_cost",IF(AND(I299,LEN(TRIM(J299))&gt;0),"avoided_cost_realised","avoided_cost_beside"),IF(ISNUMBER(Q299),"capacity_converted","capacity_hours"))))</f>
        <v>avoided_cost_beside</v>
      </c>
      <c r="S299" s="11" t="n">
        <f aca="false">IF(OR(R299="",R299="capacity_hours"),0,IF(R299="capacity_converted",P299*Q299,P299))</f>
        <v>73450</v>
      </c>
      <c r="T299" s="11" t="n">
        <f aca="false">IF(OR(R299="cash",R299="revenue",R299="avoided_cost_realised",R299="capacity_converted"),1,0)</f>
        <v>0</v>
      </c>
      <c r="U299" s="11" t="n">
        <f aca="false">IF(AND(N299,R299&lt;&gt;"capacity_hours",LEN(K299)&gt;0),1,0)</f>
        <v>1</v>
      </c>
      <c r="V299" s="11" t="n">
        <f aca="false">IF(U299=1,SUMPRODUCT(($K$4:$K$703=K299)*($F$4:$F$703=F299)*($U$4:$U$703=1)*($B$4:$B$703&lt;&gt;B299)),0)</f>
        <v>0</v>
      </c>
      <c r="W299" s="11" t="n">
        <f aca="false">IF(AND(U299=1,V299&gt;0),1+SUMPRODUCT(($K$4:$K$703=K299)*($F$4:$F$703=F299)*($U$4:$U$703=1)*($S$4:$S$703&gt;S299))+SUMPRODUCT(($K$4:$K$703=K299)*($F$4:$F$703=F299)*($U$4:$U$703=1)*($S$4:$S$703=S299)*($T$4:$T$703&gt;T299))+SUMPRODUCT(($K$4:$K$703=K299)*($F$4:$F$703=F299)*($U$4:$U$703=1)*($S$4:$S$703=S299)*($T$4:$T$703=T299)*($C$4:$C$703&lt;C299))+SUMPRODUCT(($K$4:$K$703=K299)*($F$4:$F$703=F299)*($U$4:$U$703=1)*($S$4:$S$703=S299)*($T$4:$T$703=T299)*($C$4:$C$703=C299)*($D$4:$D$703&lt;D299)),0)</f>
        <v>0</v>
      </c>
      <c r="X299" s="11" t="n">
        <f aca="false">IF(AND(U299=1,V299&gt;0,W299&gt;1),S299,0)</f>
        <v>0</v>
      </c>
      <c r="Y299" s="11" t="n">
        <f aca="false">IF(T299=1,X299/(1+Controls!$B$11)^F299,0)</f>
        <v>0</v>
      </c>
      <c r="Z299" s="11" t="n">
        <f aca="false">IF(AND(N299,E299="capacity",LEN(K299)&gt;0),1,0)</f>
        <v>0</v>
      </c>
      <c r="AA299" s="11" t="n">
        <f aca="false">IF(Z299=1,SUMPRODUCT(($K$4:$K$703=K299)*($F$4:$F$703=F299)*($Z$4:$Z$703=1)*($B$4:$B$703&lt;&gt;B299)),0)</f>
        <v>0</v>
      </c>
      <c r="AB299" s="11" t="n">
        <f aca="false">IF(AND(Z299=1,AA299&gt;0),1+SUMPRODUCT(($K$4:$K$703=K299)*($F$4:$F$703=F299)*($Z$4:$Z$703=1)*($P$4:$P$703&gt;P299))+SUMPRODUCT(($K$4:$K$703=K299)*($F$4:$F$703=F299)*($Z$4:$Z$703=1)*($P$4:$P$703=P299)*($C$4:$C$703&lt;C299))+SUMPRODUCT(($K$4:$K$703=K299)*($F$4:$F$703=F299)*($Z$4:$Z$703=1)*($P$4:$P$703=P299)*($C$4:$C$703=C299)*($D$4:$D$703&lt;D299)),0)</f>
        <v>0</v>
      </c>
      <c r="AC299" s="11" t="n">
        <f aca="false">IF(AND(Z299=1,AA299&gt;0,AB299&gt;1),P299,0)</f>
        <v>0</v>
      </c>
    </row>
    <row r="300" customFormat="false" ht="15" hidden="false" customHeight="false" outlineLevel="0" collapsed="false">
      <c r="A300" s="4" t="s">
        <v>528</v>
      </c>
      <c r="B300" s="4" t="s">
        <v>92</v>
      </c>
      <c r="C300" s="4" t="n">
        <v>10</v>
      </c>
      <c r="D300" s="4" t="n">
        <v>297</v>
      </c>
      <c r="E300" s="4" t="s">
        <v>205</v>
      </c>
      <c r="F300" s="4" t="n">
        <v>18</v>
      </c>
      <c r="G300" s="4" t="n">
        <v>10</v>
      </c>
      <c r="H300" s="4" t="n">
        <v>73450</v>
      </c>
      <c r="I300" s="13" t="b">
        <f aca="false">FALSE()</f>
        <v>0</v>
      </c>
      <c r="K300" s="4" t="s">
        <v>520</v>
      </c>
      <c r="L300" s="4" t="n">
        <v>7565.35</v>
      </c>
      <c r="M300" s="11" t="n">
        <f aca="false">IFERROR(MATCH(Controls!$B$3&amp;"|"&amp;B300,'Scenario inputs'!$A$4:$A$213,0),0)</f>
        <v>141</v>
      </c>
      <c r="N300" s="8" t="b">
        <f aca="false">IF(M300=0,FALSE(),F300&lt;Controls!$B$12)</f>
        <v>1</v>
      </c>
      <c r="O300" s="11" t="n">
        <f aca="false">IF(N300,IF(INDEX('Scenario inputs'!$E$4:$E$213,M300)=0,1,INDEX('Scenario inputs'!$F$4:$M$213,M300,MIN(MAX(F300-G300,0),INDEX('Scenario inputs'!$E$4:$E$213,M300)-1)+1)),0)</f>
        <v>1</v>
      </c>
      <c r="P300" s="11" t="n">
        <f aca="false">H300*O300</f>
        <v>73450</v>
      </c>
      <c r="Q300" s="0" t="str">
        <f aca="false">IF(M300=0,"",IF(ISNUMBER(INDEX('Scenario inputs'!$N$4:$N$213,M300)),INDEX('Scenario inputs'!$N$4:$N$213,M300),""))</f>
        <v/>
      </c>
      <c r="R300" s="0" t="str">
        <f aca="false">IF(NOT(N300),"",IF(OR(E300="cash",E300="revenue"),E300,IF(E300="avoided_cost",IF(AND(I300,LEN(TRIM(J300))&gt;0),"avoided_cost_realised","avoided_cost_beside"),IF(ISNUMBER(Q300),"capacity_converted","capacity_hours"))))</f>
        <v>avoided_cost_beside</v>
      </c>
      <c r="S300" s="11" t="n">
        <f aca="false">IF(OR(R300="",R300="capacity_hours"),0,IF(R300="capacity_converted",P300*Q300,P300))</f>
        <v>73450</v>
      </c>
      <c r="T300" s="11" t="n">
        <f aca="false">IF(OR(R300="cash",R300="revenue",R300="avoided_cost_realised",R300="capacity_converted"),1,0)</f>
        <v>0</v>
      </c>
      <c r="U300" s="11" t="n">
        <f aca="false">IF(AND(N300,R300&lt;&gt;"capacity_hours",LEN(K300)&gt;0),1,0)</f>
        <v>1</v>
      </c>
      <c r="V300" s="11" t="n">
        <f aca="false">IF(U300=1,SUMPRODUCT(($K$4:$K$703=K300)*($F$4:$F$703=F300)*($U$4:$U$703=1)*($B$4:$B$703&lt;&gt;B300)),0)</f>
        <v>0</v>
      </c>
      <c r="W300" s="11" t="n">
        <f aca="false">IF(AND(U300=1,V300&gt;0),1+SUMPRODUCT(($K$4:$K$703=K300)*($F$4:$F$703=F300)*($U$4:$U$703=1)*($S$4:$S$703&gt;S300))+SUMPRODUCT(($K$4:$K$703=K300)*($F$4:$F$703=F300)*($U$4:$U$703=1)*($S$4:$S$703=S300)*($T$4:$T$703&gt;T300))+SUMPRODUCT(($K$4:$K$703=K300)*($F$4:$F$703=F300)*($U$4:$U$703=1)*($S$4:$S$703=S300)*($T$4:$T$703=T300)*($C$4:$C$703&lt;C300))+SUMPRODUCT(($K$4:$K$703=K300)*($F$4:$F$703=F300)*($U$4:$U$703=1)*($S$4:$S$703=S300)*($T$4:$T$703=T300)*($C$4:$C$703=C300)*($D$4:$D$703&lt;D300)),0)</f>
        <v>0</v>
      </c>
      <c r="X300" s="11" t="n">
        <f aca="false">IF(AND(U300=1,V300&gt;0,W300&gt;1),S300,0)</f>
        <v>0</v>
      </c>
      <c r="Y300" s="11" t="n">
        <f aca="false">IF(T300=1,X300/(1+Controls!$B$11)^F300,0)</f>
        <v>0</v>
      </c>
      <c r="Z300" s="11" t="n">
        <f aca="false">IF(AND(N300,E300="capacity",LEN(K300)&gt;0),1,0)</f>
        <v>0</v>
      </c>
      <c r="AA300" s="11" t="n">
        <f aca="false">IF(Z300=1,SUMPRODUCT(($K$4:$K$703=K300)*($F$4:$F$703=F300)*($Z$4:$Z$703=1)*($B$4:$B$703&lt;&gt;B300)),0)</f>
        <v>0</v>
      </c>
      <c r="AB300" s="11" t="n">
        <f aca="false">IF(AND(Z300=1,AA300&gt;0),1+SUMPRODUCT(($K$4:$K$703=K300)*($F$4:$F$703=F300)*($Z$4:$Z$703=1)*($P$4:$P$703&gt;P300))+SUMPRODUCT(($K$4:$K$703=K300)*($F$4:$F$703=F300)*($Z$4:$Z$703=1)*($P$4:$P$703=P300)*($C$4:$C$703&lt;C300))+SUMPRODUCT(($K$4:$K$703=K300)*($F$4:$F$703=F300)*($Z$4:$Z$703=1)*($P$4:$P$703=P300)*($C$4:$C$703=C300)*($D$4:$D$703&lt;D300)),0)</f>
        <v>0</v>
      </c>
      <c r="AC300" s="11" t="n">
        <f aca="false">IF(AND(Z300=1,AA300&gt;0,AB300&gt;1),P300,0)</f>
        <v>0</v>
      </c>
    </row>
    <row r="301" customFormat="false" ht="15" hidden="false" customHeight="false" outlineLevel="0" collapsed="false">
      <c r="A301" s="4" t="s">
        <v>529</v>
      </c>
      <c r="B301" s="4" t="s">
        <v>92</v>
      </c>
      <c r="C301" s="4" t="n">
        <v>10</v>
      </c>
      <c r="D301" s="4" t="n">
        <v>298</v>
      </c>
      <c r="E301" s="4" t="s">
        <v>205</v>
      </c>
      <c r="F301" s="4" t="n">
        <v>19</v>
      </c>
      <c r="G301" s="4" t="n">
        <v>10</v>
      </c>
      <c r="H301" s="4" t="n">
        <v>73450</v>
      </c>
      <c r="I301" s="13" t="b">
        <f aca="false">FALSE()</f>
        <v>0</v>
      </c>
      <c r="K301" s="4" t="s">
        <v>520</v>
      </c>
      <c r="L301" s="4" t="n">
        <v>7565.35</v>
      </c>
      <c r="M301" s="11" t="n">
        <f aca="false">IFERROR(MATCH(Controls!$B$3&amp;"|"&amp;B301,'Scenario inputs'!$A$4:$A$213,0),0)</f>
        <v>141</v>
      </c>
      <c r="N301" s="8" t="b">
        <f aca="false">IF(M301=0,FALSE(),F301&lt;Controls!$B$12)</f>
        <v>1</v>
      </c>
      <c r="O301" s="11" t="n">
        <f aca="false">IF(N301,IF(INDEX('Scenario inputs'!$E$4:$E$213,M301)=0,1,INDEX('Scenario inputs'!$F$4:$M$213,M301,MIN(MAX(F301-G301,0),INDEX('Scenario inputs'!$E$4:$E$213,M301)-1)+1)),0)</f>
        <v>1</v>
      </c>
      <c r="P301" s="11" t="n">
        <f aca="false">H301*O301</f>
        <v>73450</v>
      </c>
      <c r="Q301" s="0" t="str">
        <f aca="false">IF(M301=0,"",IF(ISNUMBER(INDEX('Scenario inputs'!$N$4:$N$213,M301)),INDEX('Scenario inputs'!$N$4:$N$213,M301),""))</f>
        <v/>
      </c>
      <c r="R301" s="0" t="str">
        <f aca="false">IF(NOT(N301),"",IF(OR(E301="cash",E301="revenue"),E301,IF(E301="avoided_cost",IF(AND(I301,LEN(TRIM(J301))&gt;0),"avoided_cost_realised","avoided_cost_beside"),IF(ISNUMBER(Q301),"capacity_converted","capacity_hours"))))</f>
        <v>avoided_cost_beside</v>
      </c>
      <c r="S301" s="11" t="n">
        <f aca="false">IF(OR(R301="",R301="capacity_hours"),0,IF(R301="capacity_converted",P301*Q301,P301))</f>
        <v>73450</v>
      </c>
      <c r="T301" s="11" t="n">
        <f aca="false">IF(OR(R301="cash",R301="revenue",R301="avoided_cost_realised",R301="capacity_converted"),1,0)</f>
        <v>0</v>
      </c>
      <c r="U301" s="11" t="n">
        <f aca="false">IF(AND(N301,R301&lt;&gt;"capacity_hours",LEN(K301)&gt;0),1,0)</f>
        <v>1</v>
      </c>
      <c r="V301" s="11" t="n">
        <f aca="false">IF(U301=1,SUMPRODUCT(($K$4:$K$703=K301)*($F$4:$F$703=F301)*($U$4:$U$703=1)*($B$4:$B$703&lt;&gt;B301)),0)</f>
        <v>0</v>
      </c>
      <c r="W301" s="11" t="n">
        <f aca="false">IF(AND(U301=1,V301&gt;0),1+SUMPRODUCT(($K$4:$K$703=K301)*($F$4:$F$703=F301)*($U$4:$U$703=1)*($S$4:$S$703&gt;S301))+SUMPRODUCT(($K$4:$K$703=K301)*($F$4:$F$703=F301)*($U$4:$U$703=1)*($S$4:$S$703=S301)*($T$4:$T$703&gt;T301))+SUMPRODUCT(($K$4:$K$703=K301)*($F$4:$F$703=F301)*($U$4:$U$703=1)*($S$4:$S$703=S301)*($T$4:$T$703=T301)*($C$4:$C$703&lt;C301))+SUMPRODUCT(($K$4:$K$703=K301)*($F$4:$F$703=F301)*($U$4:$U$703=1)*($S$4:$S$703=S301)*($T$4:$T$703=T301)*($C$4:$C$703=C301)*($D$4:$D$703&lt;D301)),0)</f>
        <v>0</v>
      </c>
      <c r="X301" s="11" t="n">
        <f aca="false">IF(AND(U301=1,V301&gt;0,W301&gt;1),S301,0)</f>
        <v>0</v>
      </c>
      <c r="Y301" s="11" t="n">
        <f aca="false">IF(T301=1,X301/(1+Controls!$B$11)^F301,0)</f>
        <v>0</v>
      </c>
      <c r="Z301" s="11" t="n">
        <f aca="false">IF(AND(N301,E301="capacity",LEN(K301)&gt;0),1,0)</f>
        <v>0</v>
      </c>
      <c r="AA301" s="11" t="n">
        <f aca="false">IF(Z301=1,SUMPRODUCT(($K$4:$K$703=K301)*($F$4:$F$703=F301)*($Z$4:$Z$703=1)*($B$4:$B$703&lt;&gt;B301)),0)</f>
        <v>0</v>
      </c>
      <c r="AB301" s="11" t="n">
        <f aca="false">IF(AND(Z301=1,AA301&gt;0),1+SUMPRODUCT(($K$4:$K$703=K301)*($F$4:$F$703=F301)*($Z$4:$Z$703=1)*($P$4:$P$703&gt;P301))+SUMPRODUCT(($K$4:$K$703=K301)*($F$4:$F$703=F301)*($Z$4:$Z$703=1)*($P$4:$P$703=P301)*($C$4:$C$703&lt;C301))+SUMPRODUCT(($K$4:$K$703=K301)*($F$4:$F$703=F301)*($Z$4:$Z$703=1)*($P$4:$P$703=P301)*($C$4:$C$703=C301)*($D$4:$D$703&lt;D301)),0)</f>
        <v>0</v>
      </c>
      <c r="AC301" s="11" t="n">
        <f aca="false">IF(AND(Z301=1,AA301&gt;0,AB301&gt;1),P301,0)</f>
        <v>0</v>
      </c>
    </row>
    <row r="302" customFormat="false" ht="15" hidden="false" customHeight="false" outlineLevel="0" collapsed="false">
      <c r="A302" s="4" t="s">
        <v>530</v>
      </c>
      <c r="B302" s="4" t="s">
        <v>92</v>
      </c>
      <c r="C302" s="4" t="n">
        <v>10</v>
      </c>
      <c r="D302" s="4" t="n">
        <v>299</v>
      </c>
      <c r="E302" s="4" t="s">
        <v>205</v>
      </c>
      <c r="F302" s="4" t="n">
        <v>20</v>
      </c>
      <c r="G302" s="4" t="n">
        <v>10</v>
      </c>
      <c r="H302" s="4" t="n">
        <v>73450</v>
      </c>
      <c r="I302" s="13" t="b">
        <f aca="false">FALSE()</f>
        <v>0</v>
      </c>
      <c r="K302" s="4" t="s">
        <v>520</v>
      </c>
      <c r="L302" s="4" t="n">
        <v>7565.35</v>
      </c>
      <c r="M302" s="11" t="n">
        <f aca="false">IFERROR(MATCH(Controls!$B$3&amp;"|"&amp;B302,'Scenario inputs'!$A$4:$A$213,0),0)</f>
        <v>141</v>
      </c>
      <c r="N302" s="8" t="b">
        <f aca="false">IF(M302=0,FALSE(),F302&lt;Controls!$B$12)</f>
        <v>1</v>
      </c>
      <c r="O302" s="11" t="n">
        <f aca="false">IF(N302,IF(INDEX('Scenario inputs'!$E$4:$E$213,M302)=0,1,INDEX('Scenario inputs'!$F$4:$M$213,M302,MIN(MAX(F302-G302,0),INDEX('Scenario inputs'!$E$4:$E$213,M302)-1)+1)),0)</f>
        <v>1</v>
      </c>
      <c r="P302" s="11" t="n">
        <f aca="false">H302*O302</f>
        <v>73450</v>
      </c>
      <c r="Q302" s="0" t="str">
        <f aca="false">IF(M302=0,"",IF(ISNUMBER(INDEX('Scenario inputs'!$N$4:$N$213,M302)),INDEX('Scenario inputs'!$N$4:$N$213,M302),""))</f>
        <v/>
      </c>
      <c r="R302" s="0" t="str">
        <f aca="false">IF(NOT(N302),"",IF(OR(E302="cash",E302="revenue"),E302,IF(E302="avoided_cost",IF(AND(I302,LEN(TRIM(J302))&gt;0),"avoided_cost_realised","avoided_cost_beside"),IF(ISNUMBER(Q302),"capacity_converted","capacity_hours"))))</f>
        <v>avoided_cost_beside</v>
      </c>
      <c r="S302" s="11" t="n">
        <f aca="false">IF(OR(R302="",R302="capacity_hours"),0,IF(R302="capacity_converted",P302*Q302,P302))</f>
        <v>73450</v>
      </c>
      <c r="T302" s="11" t="n">
        <f aca="false">IF(OR(R302="cash",R302="revenue",R302="avoided_cost_realised",R302="capacity_converted"),1,0)</f>
        <v>0</v>
      </c>
      <c r="U302" s="11" t="n">
        <f aca="false">IF(AND(N302,R302&lt;&gt;"capacity_hours",LEN(K302)&gt;0),1,0)</f>
        <v>1</v>
      </c>
      <c r="V302" s="11" t="n">
        <f aca="false">IF(U302=1,SUMPRODUCT(($K$4:$K$703=K302)*($F$4:$F$703=F302)*($U$4:$U$703=1)*($B$4:$B$703&lt;&gt;B302)),0)</f>
        <v>0</v>
      </c>
      <c r="W302" s="11" t="n">
        <f aca="false">IF(AND(U302=1,V302&gt;0),1+SUMPRODUCT(($K$4:$K$703=K302)*($F$4:$F$703=F302)*($U$4:$U$703=1)*($S$4:$S$703&gt;S302))+SUMPRODUCT(($K$4:$K$703=K302)*($F$4:$F$703=F302)*($U$4:$U$703=1)*($S$4:$S$703=S302)*($T$4:$T$703&gt;T302))+SUMPRODUCT(($K$4:$K$703=K302)*($F$4:$F$703=F302)*($U$4:$U$703=1)*($S$4:$S$703=S302)*($T$4:$T$703=T302)*($C$4:$C$703&lt;C302))+SUMPRODUCT(($K$4:$K$703=K302)*($F$4:$F$703=F302)*($U$4:$U$703=1)*($S$4:$S$703=S302)*($T$4:$T$703=T302)*($C$4:$C$703=C302)*($D$4:$D$703&lt;D302)),0)</f>
        <v>0</v>
      </c>
      <c r="X302" s="11" t="n">
        <f aca="false">IF(AND(U302=1,V302&gt;0,W302&gt;1),S302,0)</f>
        <v>0</v>
      </c>
      <c r="Y302" s="11" t="n">
        <f aca="false">IF(T302=1,X302/(1+Controls!$B$11)^F302,0)</f>
        <v>0</v>
      </c>
      <c r="Z302" s="11" t="n">
        <f aca="false">IF(AND(N302,E302="capacity",LEN(K302)&gt;0),1,0)</f>
        <v>0</v>
      </c>
      <c r="AA302" s="11" t="n">
        <f aca="false">IF(Z302=1,SUMPRODUCT(($K$4:$K$703=K302)*($F$4:$F$703=F302)*($Z$4:$Z$703=1)*($B$4:$B$703&lt;&gt;B302)),0)</f>
        <v>0</v>
      </c>
      <c r="AB302" s="11" t="n">
        <f aca="false">IF(AND(Z302=1,AA302&gt;0),1+SUMPRODUCT(($K$4:$K$703=K302)*($F$4:$F$703=F302)*($Z$4:$Z$703=1)*($P$4:$P$703&gt;P302))+SUMPRODUCT(($K$4:$K$703=K302)*($F$4:$F$703=F302)*($Z$4:$Z$703=1)*($P$4:$P$703=P302)*($C$4:$C$703&lt;C302))+SUMPRODUCT(($K$4:$K$703=K302)*($F$4:$F$703=F302)*($Z$4:$Z$703=1)*($P$4:$P$703=P302)*($C$4:$C$703=C302)*($D$4:$D$703&lt;D302)),0)</f>
        <v>0</v>
      </c>
      <c r="AC302" s="11" t="n">
        <f aca="false">IF(AND(Z302=1,AA302&gt;0,AB302&gt;1),P302,0)</f>
        <v>0</v>
      </c>
    </row>
    <row r="303" customFormat="false" ht="15" hidden="false" customHeight="false" outlineLevel="0" collapsed="false">
      <c r="A303" s="4" t="s">
        <v>531</v>
      </c>
      <c r="B303" s="4" t="s">
        <v>92</v>
      </c>
      <c r="C303" s="4" t="n">
        <v>10</v>
      </c>
      <c r="D303" s="4" t="n">
        <v>300</v>
      </c>
      <c r="E303" s="4" t="s">
        <v>205</v>
      </c>
      <c r="F303" s="4" t="n">
        <v>21</v>
      </c>
      <c r="G303" s="4" t="n">
        <v>10</v>
      </c>
      <c r="H303" s="4" t="n">
        <v>73450</v>
      </c>
      <c r="I303" s="13" t="b">
        <f aca="false">FALSE()</f>
        <v>0</v>
      </c>
      <c r="K303" s="4" t="s">
        <v>520</v>
      </c>
      <c r="L303" s="4" t="n">
        <v>7565.35</v>
      </c>
      <c r="M303" s="11" t="n">
        <f aca="false">IFERROR(MATCH(Controls!$B$3&amp;"|"&amp;B303,'Scenario inputs'!$A$4:$A$213,0),0)</f>
        <v>141</v>
      </c>
      <c r="N303" s="8" t="b">
        <f aca="false">IF(M303=0,FALSE(),F303&lt;Controls!$B$12)</f>
        <v>1</v>
      </c>
      <c r="O303" s="11" t="n">
        <f aca="false">IF(N303,IF(INDEX('Scenario inputs'!$E$4:$E$213,M303)=0,1,INDEX('Scenario inputs'!$F$4:$M$213,M303,MIN(MAX(F303-G303,0),INDEX('Scenario inputs'!$E$4:$E$213,M303)-1)+1)),0)</f>
        <v>1</v>
      </c>
      <c r="P303" s="11" t="n">
        <f aca="false">H303*O303</f>
        <v>73450</v>
      </c>
      <c r="Q303" s="0" t="str">
        <f aca="false">IF(M303=0,"",IF(ISNUMBER(INDEX('Scenario inputs'!$N$4:$N$213,M303)),INDEX('Scenario inputs'!$N$4:$N$213,M303),""))</f>
        <v/>
      </c>
      <c r="R303" s="0" t="str">
        <f aca="false">IF(NOT(N303),"",IF(OR(E303="cash",E303="revenue"),E303,IF(E303="avoided_cost",IF(AND(I303,LEN(TRIM(J303))&gt;0),"avoided_cost_realised","avoided_cost_beside"),IF(ISNUMBER(Q303),"capacity_converted","capacity_hours"))))</f>
        <v>avoided_cost_beside</v>
      </c>
      <c r="S303" s="11" t="n">
        <f aca="false">IF(OR(R303="",R303="capacity_hours"),0,IF(R303="capacity_converted",P303*Q303,P303))</f>
        <v>73450</v>
      </c>
      <c r="T303" s="11" t="n">
        <f aca="false">IF(OR(R303="cash",R303="revenue",R303="avoided_cost_realised",R303="capacity_converted"),1,0)</f>
        <v>0</v>
      </c>
      <c r="U303" s="11" t="n">
        <f aca="false">IF(AND(N303,R303&lt;&gt;"capacity_hours",LEN(K303)&gt;0),1,0)</f>
        <v>1</v>
      </c>
      <c r="V303" s="11" t="n">
        <f aca="false">IF(U303=1,SUMPRODUCT(($K$4:$K$703=K303)*($F$4:$F$703=F303)*($U$4:$U$703=1)*($B$4:$B$703&lt;&gt;B303)),0)</f>
        <v>0</v>
      </c>
      <c r="W303" s="11" t="n">
        <f aca="false">IF(AND(U303=1,V303&gt;0),1+SUMPRODUCT(($K$4:$K$703=K303)*($F$4:$F$703=F303)*($U$4:$U$703=1)*($S$4:$S$703&gt;S303))+SUMPRODUCT(($K$4:$K$703=K303)*($F$4:$F$703=F303)*($U$4:$U$703=1)*($S$4:$S$703=S303)*($T$4:$T$703&gt;T303))+SUMPRODUCT(($K$4:$K$703=K303)*($F$4:$F$703=F303)*($U$4:$U$703=1)*($S$4:$S$703=S303)*($T$4:$T$703=T303)*($C$4:$C$703&lt;C303))+SUMPRODUCT(($K$4:$K$703=K303)*($F$4:$F$703=F303)*($U$4:$U$703=1)*($S$4:$S$703=S303)*($T$4:$T$703=T303)*($C$4:$C$703=C303)*($D$4:$D$703&lt;D303)),0)</f>
        <v>0</v>
      </c>
      <c r="X303" s="11" t="n">
        <f aca="false">IF(AND(U303=1,V303&gt;0,W303&gt;1),S303,0)</f>
        <v>0</v>
      </c>
      <c r="Y303" s="11" t="n">
        <f aca="false">IF(T303=1,X303/(1+Controls!$B$11)^F303,0)</f>
        <v>0</v>
      </c>
      <c r="Z303" s="11" t="n">
        <f aca="false">IF(AND(N303,E303="capacity",LEN(K303)&gt;0),1,0)</f>
        <v>0</v>
      </c>
      <c r="AA303" s="11" t="n">
        <f aca="false">IF(Z303=1,SUMPRODUCT(($K$4:$K$703=K303)*($F$4:$F$703=F303)*($Z$4:$Z$703=1)*($B$4:$B$703&lt;&gt;B303)),0)</f>
        <v>0</v>
      </c>
      <c r="AB303" s="11" t="n">
        <f aca="false">IF(AND(Z303=1,AA303&gt;0),1+SUMPRODUCT(($K$4:$K$703=K303)*($F$4:$F$703=F303)*($Z$4:$Z$703=1)*($P$4:$P$703&gt;P303))+SUMPRODUCT(($K$4:$K$703=K303)*($F$4:$F$703=F303)*($Z$4:$Z$703=1)*($P$4:$P$703=P303)*($C$4:$C$703&lt;C303))+SUMPRODUCT(($K$4:$K$703=K303)*($F$4:$F$703=F303)*($Z$4:$Z$703=1)*($P$4:$P$703=P303)*($C$4:$C$703=C303)*($D$4:$D$703&lt;D303)),0)</f>
        <v>0</v>
      </c>
      <c r="AC303" s="11" t="n">
        <f aca="false">IF(AND(Z303=1,AA303&gt;0,AB303&gt;1),P303,0)</f>
        <v>0</v>
      </c>
    </row>
    <row r="304" customFormat="false" ht="15" hidden="false" customHeight="false" outlineLevel="0" collapsed="false">
      <c r="A304" s="4" t="s">
        <v>532</v>
      </c>
      <c r="B304" s="4" t="s">
        <v>92</v>
      </c>
      <c r="C304" s="4" t="n">
        <v>10</v>
      </c>
      <c r="D304" s="4" t="n">
        <v>301</v>
      </c>
      <c r="E304" s="4" t="s">
        <v>233</v>
      </c>
      <c r="F304" s="4" t="n">
        <v>10</v>
      </c>
      <c r="G304" s="4" t="n">
        <v>10</v>
      </c>
      <c r="H304" s="4" t="n">
        <v>927.01</v>
      </c>
      <c r="I304" s="13" t="b">
        <f aca="false">FALSE()</f>
        <v>0</v>
      </c>
      <c r="K304" s="4" t="s">
        <v>533</v>
      </c>
      <c r="L304" s="4" t="n">
        <v>8.3</v>
      </c>
      <c r="M304" s="11" t="n">
        <f aca="false">IFERROR(MATCH(Controls!$B$3&amp;"|"&amp;B304,'Scenario inputs'!$A$4:$A$213,0),0)</f>
        <v>141</v>
      </c>
      <c r="N304" s="8" t="b">
        <f aca="false">IF(M304=0,FALSE(),F304&lt;Controls!$B$12)</f>
        <v>1</v>
      </c>
      <c r="O304" s="11" t="n">
        <f aca="false">IF(N304,IF(INDEX('Scenario inputs'!$E$4:$E$213,M304)=0,1,INDEX('Scenario inputs'!$F$4:$M$213,M304,MIN(MAX(F304-G304,0),INDEX('Scenario inputs'!$E$4:$E$213,M304)-1)+1)),0)</f>
        <v>0.047619</v>
      </c>
      <c r="P304" s="11" t="n">
        <f aca="false">H304*O304</f>
        <v>44.14328919</v>
      </c>
      <c r="Q304" s="0" t="str">
        <f aca="false">IF(M304=0,"",IF(ISNUMBER(INDEX('Scenario inputs'!$N$4:$N$213,M304)),INDEX('Scenario inputs'!$N$4:$N$213,M304),""))</f>
        <v/>
      </c>
      <c r="R304" s="0" t="str">
        <f aca="false">IF(NOT(N304),"",IF(OR(E304="cash",E304="revenue"),E304,IF(E304="avoided_cost",IF(AND(I304,LEN(TRIM(J304))&gt;0),"avoided_cost_realised","avoided_cost_beside"),IF(ISNUMBER(Q304),"capacity_converted","capacity_hours"))))</f>
        <v>capacity_hours</v>
      </c>
      <c r="S304" s="11" t="n">
        <f aca="false">IF(OR(R304="",R304="capacity_hours"),0,IF(R304="capacity_converted",P304*Q304,P304))</f>
        <v>0</v>
      </c>
      <c r="T304" s="11" t="n">
        <f aca="false">IF(OR(R304="cash",R304="revenue",R304="avoided_cost_realised",R304="capacity_converted"),1,0)</f>
        <v>0</v>
      </c>
      <c r="U304" s="11" t="n">
        <f aca="false">IF(AND(N304,R304&lt;&gt;"capacity_hours",LEN(K304)&gt;0),1,0)</f>
        <v>0</v>
      </c>
      <c r="V304" s="11" t="n">
        <f aca="false">IF(U304=1,SUMPRODUCT(($K$4:$K$703=K304)*($F$4:$F$703=F304)*($U$4:$U$703=1)*($B$4:$B$703&lt;&gt;B304)),0)</f>
        <v>0</v>
      </c>
      <c r="W304" s="11" t="n">
        <f aca="false">IF(AND(U304=1,V304&gt;0),1+SUMPRODUCT(($K$4:$K$703=K304)*($F$4:$F$703=F304)*($U$4:$U$703=1)*($S$4:$S$703&gt;S304))+SUMPRODUCT(($K$4:$K$703=K304)*($F$4:$F$703=F304)*($U$4:$U$703=1)*($S$4:$S$703=S304)*($T$4:$T$703&gt;T304))+SUMPRODUCT(($K$4:$K$703=K304)*($F$4:$F$703=F304)*($U$4:$U$703=1)*($S$4:$S$703=S304)*($T$4:$T$703=T304)*($C$4:$C$703&lt;C304))+SUMPRODUCT(($K$4:$K$703=K304)*($F$4:$F$703=F304)*($U$4:$U$703=1)*($S$4:$S$703=S304)*($T$4:$T$703=T304)*($C$4:$C$703=C304)*($D$4:$D$703&lt;D304)),0)</f>
        <v>0</v>
      </c>
      <c r="X304" s="11" t="n">
        <f aca="false">IF(AND(U304=1,V304&gt;0,W304&gt;1),S304,0)</f>
        <v>0</v>
      </c>
      <c r="Y304" s="11" t="n">
        <f aca="false">IF(T304=1,X304/(1+Controls!$B$11)^F304,0)</f>
        <v>0</v>
      </c>
      <c r="Z304" s="11" t="n">
        <f aca="false">IF(AND(N304,E304="capacity",LEN(K304)&gt;0),1,0)</f>
        <v>1</v>
      </c>
      <c r="AA304" s="11" t="n">
        <f aca="false">IF(Z304=1,SUMPRODUCT(($K$4:$K$703=K304)*($F$4:$F$703=F304)*($Z$4:$Z$703=1)*($B$4:$B$703&lt;&gt;B304)),0)</f>
        <v>0</v>
      </c>
      <c r="AB304" s="11" t="n">
        <f aca="false">IF(AND(Z304=1,AA304&gt;0),1+SUMPRODUCT(($K$4:$K$703=K304)*($F$4:$F$703=F304)*($Z$4:$Z$703=1)*($P$4:$P$703&gt;P304))+SUMPRODUCT(($K$4:$K$703=K304)*($F$4:$F$703=F304)*($Z$4:$Z$703=1)*($P$4:$P$703=P304)*($C$4:$C$703&lt;C304))+SUMPRODUCT(($K$4:$K$703=K304)*($F$4:$F$703=F304)*($Z$4:$Z$703=1)*($P$4:$P$703=P304)*($C$4:$C$703=C304)*($D$4:$D$703&lt;D304)),0)</f>
        <v>0</v>
      </c>
      <c r="AC304" s="11" t="n">
        <f aca="false">IF(AND(Z304=1,AA304&gt;0,AB304&gt;1),P304,0)</f>
        <v>0</v>
      </c>
    </row>
    <row r="305" customFormat="false" ht="15" hidden="false" customHeight="false" outlineLevel="0" collapsed="false">
      <c r="A305" s="4" t="s">
        <v>534</v>
      </c>
      <c r="B305" s="4" t="s">
        <v>92</v>
      </c>
      <c r="C305" s="4" t="n">
        <v>10</v>
      </c>
      <c r="D305" s="4" t="n">
        <v>302</v>
      </c>
      <c r="E305" s="4" t="s">
        <v>233</v>
      </c>
      <c r="F305" s="4" t="n">
        <v>11</v>
      </c>
      <c r="G305" s="4" t="n">
        <v>10</v>
      </c>
      <c r="H305" s="4" t="n">
        <v>927.01</v>
      </c>
      <c r="I305" s="13" t="b">
        <f aca="false">FALSE()</f>
        <v>0</v>
      </c>
      <c r="K305" s="4" t="s">
        <v>533</v>
      </c>
      <c r="L305" s="4" t="n">
        <v>24.91</v>
      </c>
      <c r="M305" s="11" t="n">
        <f aca="false">IFERROR(MATCH(Controls!$B$3&amp;"|"&amp;B305,'Scenario inputs'!$A$4:$A$213,0),0)</f>
        <v>141</v>
      </c>
      <c r="N305" s="8" t="b">
        <f aca="false">IF(M305=0,FALSE(),F305&lt;Controls!$B$12)</f>
        <v>1</v>
      </c>
      <c r="O305" s="11" t="n">
        <f aca="false">IF(N305,IF(INDEX('Scenario inputs'!$E$4:$E$213,M305)=0,1,INDEX('Scenario inputs'!$F$4:$M$213,M305,MIN(MAX(F305-G305,0),INDEX('Scenario inputs'!$E$4:$E$213,M305)-1)+1)),0)</f>
        <v>0.142857</v>
      </c>
      <c r="P305" s="11" t="n">
        <f aca="false">H305*O305</f>
        <v>132.42986757</v>
      </c>
      <c r="Q305" s="0" t="str">
        <f aca="false">IF(M305=0,"",IF(ISNUMBER(INDEX('Scenario inputs'!$N$4:$N$213,M305)),INDEX('Scenario inputs'!$N$4:$N$213,M305),""))</f>
        <v/>
      </c>
      <c r="R305" s="0" t="str">
        <f aca="false">IF(NOT(N305),"",IF(OR(E305="cash",E305="revenue"),E305,IF(E305="avoided_cost",IF(AND(I305,LEN(TRIM(J305))&gt;0),"avoided_cost_realised","avoided_cost_beside"),IF(ISNUMBER(Q305),"capacity_converted","capacity_hours"))))</f>
        <v>capacity_hours</v>
      </c>
      <c r="S305" s="11" t="n">
        <f aca="false">IF(OR(R305="",R305="capacity_hours"),0,IF(R305="capacity_converted",P305*Q305,P305))</f>
        <v>0</v>
      </c>
      <c r="T305" s="11" t="n">
        <f aca="false">IF(OR(R305="cash",R305="revenue",R305="avoided_cost_realised",R305="capacity_converted"),1,0)</f>
        <v>0</v>
      </c>
      <c r="U305" s="11" t="n">
        <f aca="false">IF(AND(N305,R305&lt;&gt;"capacity_hours",LEN(K305)&gt;0),1,0)</f>
        <v>0</v>
      </c>
      <c r="V305" s="11" t="n">
        <f aca="false">IF(U305=1,SUMPRODUCT(($K$4:$K$703=K305)*($F$4:$F$703=F305)*($U$4:$U$703=1)*($B$4:$B$703&lt;&gt;B305)),0)</f>
        <v>0</v>
      </c>
      <c r="W305" s="11" t="n">
        <f aca="false">IF(AND(U305=1,V305&gt;0),1+SUMPRODUCT(($K$4:$K$703=K305)*($F$4:$F$703=F305)*($U$4:$U$703=1)*($S$4:$S$703&gt;S305))+SUMPRODUCT(($K$4:$K$703=K305)*($F$4:$F$703=F305)*($U$4:$U$703=1)*($S$4:$S$703=S305)*($T$4:$T$703&gt;T305))+SUMPRODUCT(($K$4:$K$703=K305)*($F$4:$F$703=F305)*($U$4:$U$703=1)*($S$4:$S$703=S305)*($T$4:$T$703=T305)*($C$4:$C$703&lt;C305))+SUMPRODUCT(($K$4:$K$703=K305)*($F$4:$F$703=F305)*($U$4:$U$703=1)*($S$4:$S$703=S305)*($T$4:$T$703=T305)*($C$4:$C$703=C305)*($D$4:$D$703&lt;D305)),0)</f>
        <v>0</v>
      </c>
      <c r="X305" s="11" t="n">
        <f aca="false">IF(AND(U305=1,V305&gt;0,W305&gt;1),S305,0)</f>
        <v>0</v>
      </c>
      <c r="Y305" s="11" t="n">
        <f aca="false">IF(T305=1,X305/(1+Controls!$B$11)^F305,0)</f>
        <v>0</v>
      </c>
      <c r="Z305" s="11" t="n">
        <f aca="false">IF(AND(N305,E305="capacity",LEN(K305)&gt;0),1,0)</f>
        <v>1</v>
      </c>
      <c r="AA305" s="11" t="n">
        <f aca="false">IF(Z305=1,SUMPRODUCT(($K$4:$K$703=K305)*($F$4:$F$703=F305)*($Z$4:$Z$703=1)*($B$4:$B$703&lt;&gt;B305)),0)</f>
        <v>0</v>
      </c>
      <c r="AB305" s="11" t="n">
        <f aca="false">IF(AND(Z305=1,AA305&gt;0),1+SUMPRODUCT(($K$4:$K$703=K305)*($F$4:$F$703=F305)*($Z$4:$Z$703=1)*($P$4:$P$703&gt;P305))+SUMPRODUCT(($K$4:$K$703=K305)*($F$4:$F$703=F305)*($Z$4:$Z$703=1)*($P$4:$P$703=P305)*($C$4:$C$703&lt;C305))+SUMPRODUCT(($K$4:$K$703=K305)*($F$4:$F$703=F305)*($Z$4:$Z$703=1)*($P$4:$P$703=P305)*($C$4:$C$703=C305)*($D$4:$D$703&lt;D305)),0)</f>
        <v>0</v>
      </c>
      <c r="AC305" s="11" t="n">
        <f aca="false">IF(AND(Z305=1,AA305&gt;0,AB305&gt;1),P305,0)</f>
        <v>0</v>
      </c>
    </row>
    <row r="306" customFormat="false" ht="15" hidden="false" customHeight="false" outlineLevel="0" collapsed="false">
      <c r="A306" s="4" t="s">
        <v>535</v>
      </c>
      <c r="B306" s="4" t="s">
        <v>92</v>
      </c>
      <c r="C306" s="4" t="n">
        <v>10</v>
      </c>
      <c r="D306" s="4" t="n">
        <v>303</v>
      </c>
      <c r="E306" s="4" t="s">
        <v>233</v>
      </c>
      <c r="F306" s="4" t="n">
        <v>12</v>
      </c>
      <c r="G306" s="4" t="n">
        <v>10</v>
      </c>
      <c r="H306" s="4" t="n">
        <v>927.01</v>
      </c>
      <c r="I306" s="13" t="b">
        <f aca="false">FALSE()</f>
        <v>0</v>
      </c>
      <c r="K306" s="4" t="s">
        <v>533</v>
      </c>
      <c r="L306" s="4" t="n">
        <v>49.82</v>
      </c>
      <c r="M306" s="11" t="n">
        <f aca="false">IFERROR(MATCH(Controls!$B$3&amp;"|"&amp;B306,'Scenario inputs'!$A$4:$A$213,0),0)</f>
        <v>141</v>
      </c>
      <c r="N306" s="8" t="b">
        <f aca="false">IF(M306=0,FALSE(),F306&lt;Controls!$B$12)</f>
        <v>1</v>
      </c>
      <c r="O306" s="11" t="n">
        <f aca="false">IF(N306,IF(INDEX('Scenario inputs'!$E$4:$E$213,M306)=0,1,INDEX('Scenario inputs'!$F$4:$M$213,M306,MIN(MAX(F306-G306,0),INDEX('Scenario inputs'!$E$4:$E$213,M306)-1)+1)),0)</f>
        <v>0.285714</v>
      </c>
      <c r="P306" s="11" t="n">
        <f aca="false">H306*O306</f>
        <v>264.85973514</v>
      </c>
      <c r="Q306" s="0" t="str">
        <f aca="false">IF(M306=0,"",IF(ISNUMBER(INDEX('Scenario inputs'!$N$4:$N$213,M306)),INDEX('Scenario inputs'!$N$4:$N$213,M306),""))</f>
        <v/>
      </c>
      <c r="R306" s="0" t="str">
        <f aca="false">IF(NOT(N306),"",IF(OR(E306="cash",E306="revenue"),E306,IF(E306="avoided_cost",IF(AND(I306,LEN(TRIM(J306))&gt;0),"avoided_cost_realised","avoided_cost_beside"),IF(ISNUMBER(Q306),"capacity_converted","capacity_hours"))))</f>
        <v>capacity_hours</v>
      </c>
      <c r="S306" s="11" t="n">
        <f aca="false">IF(OR(R306="",R306="capacity_hours"),0,IF(R306="capacity_converted",P306*Q306,P306))</f>
        <v>0</v>
      </c>
      <c r="T306" s="11" t="n">
        <f aca="false">IF(OR(R306="cash",R306="revenue",R306="avoided_cost_realised",R306="capacity_converted"),1,0)</f>
        <v>0</v>
      </c>
      <c r="U306" s="11" t="n">
        <f aca="false">IF(AND(N306,R306&lt;&gt;"capacity_hours",LEN(K306)&gt;0),1,0)</f>
        <v>0</v>
      </c>
      <c r="V306" s="11" t="n">
        <f aca="false">IF(U306=1,SUMPRODUCT(($K$4:$K$703=K306)*($F$4:$F$703=F306)*($U$4:$U$703=1)*($B$4:$B$703&lt;&gt;B306)),0)</f>
        <v>0</v>
      </c>
      <c r="W306" s="11" t="n">
        <f aca="false">IF(AND(U306=1,V306&gt;0),1+SUMPRODUCT(($K$4:$K$703=K306)*($F$4:$F$703=F306)*($U$4:$U$703=1)*($S$4:$S$703&gt;S306))+SUMPRODUCT(($K$4:$K$703=K306)*($F$4:$F$703=F306)*($U$4:$U$703=1)*($S$4:$S$703=S306)*($T$4:$T$703&gt;T306))+SUMPRODUCT(($K$4:$K$703=K306)*($F$4:$F$703=F306)*($U$4:$U$703=1)*($S$4:$S$703=S306)*($T$4:$T$703=T306)*($C$4:$C$703&lt;C306))+SUMPRODUCT(($K$4:$K$703=K306)*($F$4:$F$703=F306)*($U$4:$U$703=1)*($S$4:$S$703=S306)*($T$4:$T$703=T306)*($C$4:$C$703=C306)*($D$4:$D$703&lt;D306)),0)</f>
        <v>0</v>
      </c>
      <c r="X306" s="11" t="n">
        <f aca="false">IF(AND(U306=1,V306&gt;0,W306&gt;1),S306,0)</f>
        <v>0</v>
      </c>
      <c r="Y306" s="11" t="n">
        <f aca="false">IF(T306=1,X306/(1+Controls!$B$11)^F306,0)</f>
        <v>0</v>
      </c>
      <c r="Z306" s="11" t="n">
        <f aca="false">IF(AND(N306,E306="capacity",LEN(K306)&gt;0),1,0)</f>
        <v>1</v>
      </c>
      <c r="AA306" s="11" t="n">
        <f aca="false">IF(Z306=1,SUMPRODUCT(($K$4:$K$703=K306)*($F$4:$F$703=F306)*($Z$4:$Z$703=1)*($B$4:$B$703&lt;&gt;B306)),0)</f>
        <v>0</v>
      </c>
      <c r="AB306" s="11" t="n">
        <f aca="false">IF(AND(Z306=1,AA306&gt;0),1+SUMPRODUCT(($K$4:$K$703=K306)*($F$4:$F$703=F306)*($Z$4:$Z$703=1)*($P$4:$P$703&gt;P306))+SUMPRODUCT(($K$4:$K$703=K306)*($F$4:$F$703=F306)*($Z$4:$Z$703=1)*($P$4:$P$703=P306)*($C$4:$C$703&lt;C306))+SUMPRODUCT(($K$4:$K$703=K306)*($F$4:$F$703=F306)*($Z$4:$Z$703=1)*($P$4:$P$703=P306)*($C$4:$C$703=C306)*($D$4:$D$703&lt;D306)),0)</f>
        <v>0</v>
      </c>
      <c r="AC306" s="11" t="n">
        <f aca="false">IF(AND(Z306=1,AA306&gt;0,AB306&gt;1),P306,0)</f>
        <v>0</v>
      </c>
    </row>
    <row r="307" customFormat="false" ht="15" hidden="false" customHeight="false" outlineLevel="0" collapsed="false">
      <c r="A307" s="4" t="s">
        <v>536</v>
      </c>
      <c r="B307" s="4" t="s">
        <v>92</v>
      </c>
      <c r="C307" s="4" t="n">
        <v>10</v>
      </c>
      <c r="D307" s="4" t="n">
        <v>304</v>
      </c>
      <c r="E307" s="4" t="s">
        <v>233</v>
      </c>
      <c r="F307" s="4" t="n">
        <v>13</v>
      </c>
      <c r="G307" s="4" t="n">
        <v>10</v>
      </c>
      <c r="H307" s="4" t="n">
        <v>927.01</v>
      </c>
      <c r="I307" s="13" t="b">
        <f aca="false">FALSE()</f>
        <v>0</v>
      </c>
      <c r="K307" s="4" t="s">
        <v>533</v>
      </c>
      <c r="L307" s="4" t="n">
        <v>83.03</v>
      </c>
      <c r="M307" s="11" t="n">
        <f aca="false">IFERROR(MATCH(Controls!$B$3&amp;"|"&amp;B307,'Scenario inputs'!$A$4:$A$213,0),0)</f>
        <v>141</v>
      </c>
      <c r="N307" s="8" t="b">
        <f aca="false">IF(M307=0,FALSE(),F307&lt;Controls!$B$12)</f>
        <v>1</v>
      </c>
      <c r="O307" s="11" t="n">
        <f aca="false">IF(N307,IF(INDEX('Scenario inputs'!$E$4:$E$213,M307)=0,1,INDEX('Scenario inputs'!$F$4:$M$213,M307,MIN(MAX(F307-G307,0),INDEX('Scenario inputs'!$E$4:$E$213,M307)-1)+1)),0)</f>
        <v>0.47619</v>
      </c>
      <c r="P307" s="11" t="n">
        <f aca="false">H307*O307</f>
        <v>441.4328919</v>
      </c>
      <c r="Q307" s="0" t="str">
        <f aca="false">IF(M307=0,"",IF(ISNUMBER(INDEX('Scenario inputs'!$N$4:$N$213,M307)),INDEX('Scenario inputs'!$N$4:$N$213,M307),""))</f>
        <v/>
      </c>
      <c r="R307" s="0" t="str">
        <f aca="false">IF(NOT(N307),"",IF(OR(E307="cash",E307="revenue"),E307,IF(E307="avoided_cost",IF(AND(I307,LEN(TRIM(J307))&gt;0),"avoided_cost_realised","avoided_cost_beside"),IF(ISNUMBER(Q307),"capacity_converted","capacity_hours"))))</f>
        <v>capacity_hours</v>
      </c>
      <c r="S307" s="11" t="n">
        <f aca="false">IF(OR(R307="",R307="capacity_hours"),0,IF(R307="capacity_converted",P307*Q307,P307))</f>
        <v>0</v>
      </c>
      <c r="T307" s="11" t="n">
        <f aca="false">IF(OR(R307="cash",R307="revenue",R307="avoided_cost_realised",R307="capacity_converted"),1,0)</f>
        <v>0</v>
      </c>
      <c r="U307" s="11" t="n">
        <f aca="false">IF(AND(N307,R307&lt;&gt;"capacity_hours",LEN(K307)&gt;0),1,0)</f>
        <v>0</v>
      </c>
      <c r="V307" s="11" t="n">
        <f aca="false">IF(U307=1,SUMPRODUCT(($K$4:$K$703=K307)*($F$4:$F$703=F307)*($U$4:$U$703=1)*($B$4:$B$703&lt;&gt;B307)),0)</f>
        <v>0</v>
      </c>
      <c r="W307" s="11" t="n">
        <f aca="false">IF(AND(U307=1,V307&gt;0),1+SUMPRODUCT(($K$4:$K$703=K307)*($F$4:$F$703=F307)*($U$4:$U$703=1)*($S$4:$S$703&gt;S307))+SUMPRODUCT(($K$4:$K$703=K307)*($F$4:$F$703=F307)*($U$4:$U$703=1)*($S$4:$S$703=S307)*($T$4:$T$703&gt;T307))+SUMPRODUCT(($K$4:$K$703=K307)*($F$4:$F$703=F307)*($U$4:$U$703=1)*($S$4:$S$703=S307)*($T$4:$T$703=T307)*($C$4:$C$703&lt;C307))+SUMPRODUCT(($K$4:$K$703=K307)*($F$4:$F$703=F307)*($U$4:$U$703=1)*($S$4:$S$703=S307)*($T$4:$T$703=T307)*($C$4:$C$703=C307)*($D$4:$D$703&lt;D307)),0)</f>
        <v>0</v>
      </c>
      <c r="X307" s="11" t="n">
        <f aca="false">IF(AND(U307=1,V307&gt;0,W307&gt;1),S307,0)</f>
        <v>0</v>
      </c>
      <c r="Y307" s="11" t="n">
        <f aca="false">IF(T307=1,X307/(1+Controls!$B$11)^F307,0)</f>
        <v>0</v>
      </c>
      <c r="Z307" s="11" t="n">
        <f aca="false">IF(AND(N307,E307="capacity",LEN(K307)&gt;0),1,0)</f>
        <v>1</v>
      </c>
      <c r="AA307" s="11" t="n">
        <f aca="false">IF(Z307=1,SUMPRODUCT(($K$4:$K$703=K307)*($F$4:$F$703=F307)*($Z$4:$Z$703=1)*($B$4:$B$703&lt;&gt;B307)),0)</f>
        <v>0</v>
      </c>
      <c r="AB307" s="11" t="n">
        <f aca="false">IF(AND(Z307=1,AA307&gt;0),1+SUMPRODUCT(($K$4:$K$703=K307)*($F$4:$F$703=F307)*($Z$4:$Z$703=1)*($P$4:$P$703&gt;P307))+SUMPRODUCT(($K$4:$K$703=K307)*($F$4:$F$703=F307)*($Z$4:$Z$703=1)*($P$4:$P$703=P307)*($C$4:$C$703&lt;C307))+SUMPRODUCT(($K$4:$K$703=K307)*($F$4:$F$703=F307)*($Z$4:$Z$703=1)*($P$4:$P$703=P307)*($C$4:$C$703=C307)*($D$4:$D$703&lt;D307)),0)</f>
        <v>0</v>
      </c>
      <c r="AC307" s="11" t="n">
        <f aca="false">IF(AND(Z307=1,AA307&gt;0,AB307&gt;1),P307,0)</f>
        <v>0</v>
      </c>
    </row>
    <row r="308" customFormat="false" ht="15" hidden="false" customHeight="false" outlineLevel="0" collapsed="false">
      <c r="A308" s="4" t="s">
        <v>537</v>
      </c>
      <c r="B308" s="4" t="s">
        <v>92</v>
      </c>
      <c r="C308" s="4" t="n">
        <v>10</v>
      </c>
      <c r="D308" s="4" t="n">
        <v>305</v>
      </c>
      <c r="E308" s="4" t="s">
        <v>233</v>
      </c>
      <c r="F308" s="4" t="n">
        <v>14</v>
      </c>
      <c r="G308" s="4" t="n">
        <v>10</v>
      </c>
      <c r="H308" s="4" t="n">
        <v>927.01</v>
      </c>
      <c r="I308" s="13" t="b">
        <f aca="false">FALSE()</f>
        <v>0</v>
      </c>
      <c r="K308" s="4" t="s">
        <v>533</v>
      </c>
      <c r="L308" s="4" t="n">
        <v>124.55</v>
      </c>
      <c r="M308" s="11" t="n">
        <f aca="false">IFERROR(MATCH(Controls!$B$3&amp;"|"&amp;B308,'Scenario inputs'!$A$4:$A$213,0),0)</f>
        <v>141</v>
      </c>
      <c r="N308" s="8" t="b">
        <f aca="false">IF(M308=0,FALSE(),F308&lt;Controls!$B$12)</f>
        <v>1</v>
      </c>
      <c r="O308" s="11" t="n">
        <f aca="false">IF(N308,IF(INDEX('Scenario inputs'!$E$4:$E$213,M308)=0,1,INDEX('Scenario inputs'!$F$4:$M$213,M308,MIN(MAX(F308-G308,0),INDEX('Scenario inputs'!$E$4:$E$213,M308)-1)+1)),0)</f>
        <v>0.714286</v>
      </c>
      <c r="P308" s="11" t="n">
        <f aca="false">H308*O308</f>
        <v>662.15026486</v>
      </c>
      <c r="Q308" s="0" t="str">
        <f aca="false">IF(M308=0,"",IF(ISNUMBER(INDEX('Scenario inputs'!$N$4:$N$213,M308)),INDEX('Scenario inputs'!$N$4:$N$213,M308),""))</f>
        <v/>
      </c>
      <c r="R308" s="0" t="str">
        <f aca="false">IF(NOT(N308),"",IF(OR(E308="cash",E308="revenue"),E308,IF(E308="avoided_cost",IF(AND(I308,LEN(TRIM(J308))&gt;0),"avoided_cost_realised","avoided_cost_beside"),IF(ISNUMBER(Q308),"capacity_converted","capacity_hours"))))</f>
        <v>capacity_hours</v>
      </c>
      <c r="S308" s="11" t="n">
        <f aca="false">IF(OR(R308="",R308="capacity_hours"),0,IF(R308="capacity_converted",P308*Q308,P308))</f>
        <v>0</v>
      </c>
      <c r="T308" s="11" t="n">
        <f aca="false">IF(OR(R308="cash",R308="revenue",R308="avoided_cost_realised",R308="capacity_converted"),1,0)</f>
        <v>0</v>
      </c>
      <c r="U308" s="11" t="n">
        <f aca="false">IF(AND(N308,R308&lt;&gt;"capacity_hours",LEN(K308)&gt;0),1,0)</f>
        <v>0</v>
      </c>
      <c r="V308" s="11" t="n">
        <f aca="false">IF(U308=1,SUMPRODUCT(($K$4:$K$703=K308)*($F$4:$F$703=F308)*($U$4:$U$703=1)*($B$4:$B$703&lt;&gt;B308)),0)</f>
        <v>0</v>
      </c>
      <c r="W308" s="11" t="n">
        <f aca="false">IF(AND(U308=1,V308&gt;0),1+SUMPRODUCT(($K$4:$K$703=K308)*($F$4:$F$703=F308)*($U$4:$U$703=1)*($S$4:$S$703&gt;S308))+SUMPRODUCT(($K$4:$K$703=K308)*($F$4:$F$703=F308)*($U$4:$U$703=1)*($S$4:$S$703=S308)*($T$4:$T$703&gt;T308))+SUMPRODUCT(($K$4:$K$703=K308)*($F$4:$F$703=F308)*($U$4:$U$703=1)*($S$4:$S$703=S308)*($T$4:$T$703=T308)*($C$4:$C$703&lt;C308))+SUMPRODUCT(($K$4:$K$703=K308)*($F$4:$F$703=F308)*($U$4:$U$703=1)*($S$4:$S$703=S308)*($T$4:$T$703=T308)*($C$4:$C$703=C308)*($D$4:$D$703&lt;D308)),0)</f>
        <v>0</v>
      </c>
      <c r="X308" s="11" t="n">
        <f aca="false">IF(AND(U308=1,V308&gt;0,W308&gt;1),S308,0)</f>
        <v>0</v>
      </c>
      <c r="Y308" s="11" t="n">
        <f aca="false">IF(T308=1,X308/(1+Controls!$B$11)^F308,0)</f>
        <v>0</v>
      </c>
      <c r="Z308" s="11" t="n">
        <f aca="false">IF(AND(N308,E308="capacity",LEN(K308)&gt;0),1,0)</f>
        <v>1</v>
      </c>
      <c r="AA308" s="11" t="n">
        <f aca="false">IF(Z308=1,SUMPRODUCT(($K$4:$K$703=K308)*($F$4:$F$703=F308)*($Z$4:$Z$703=1)*($B$4:$B$703&lt;&gt;B308)),0)</f>
        <v>0</v>
      </c>
      <c r="AB308" s="11" t="n">
        <f aca="false">IF(AND(Z308=1,AA308&gt;0),1+SUMPRODUCT(($K$4:$K$703=K308)*($F$4:$F$703=F308)*($Z$4:$Z$703=1)*($P$4:$P$703&gt;P308))+SUMPRODUCT(($K$4:$K$703=K308)*($F$4:$F$703=F308)*($Z$4:$Z$703=1)*($P$4:$P$703=P308)*($C$4:$C$703&lt;C308))+SUMPRODUCT(($K$4:$K$703=K308)*($F$4:$F$703=F308)*($Z$4:$Z$703=1)*($P$4:$P$703=P308)*($C$4:$C$703=C308)*($D$4:$D$703&lt;D308)),0)</f>
        <v>0</v>
      </c>
      <c r="AC308" s="11" t="n">
        <f aca="false">IF(AND(Z308=1,AA308&gt;0,AB308&gt;1),P308,0)</f>
        <v>0</v>
      </c>
    </row>
    <row r="309" customFormat="false" ht="15" hidden="false" customHeight="false" outlineLevel="0" collapsed="false">
      <c r="A309" s="4" t="s">
        <v>538</v>
      </c>
      <c r="B309" s="4" t="s">
        <v>92</v>
      </c>
      <c r="C309" s="4" t="n">
        <v>10</v>
      </c>
      <c r="D309" s="4" t="n">
        <v>306</v>
      </c>
      <c r="E309" s="4" t="s">
        <v>233</v>
      </c>
      <c r="F309" s="4" t="n">
        <v>15</v>
      </c>
      <c r="G309" s="4" t="n">
        <v>10</v>
      </c>
      <c r="H309" s="4" t="n">
        <v>927.01</v>
      </c>
      <c r="I309" s="13" t="b">
        <f aca="false">FALSE()</f>
        <v>0</v>
      </c>
      <c r="K309" s="4" t="s">
        <v>533</v>
      </c>
      <c r="L309" s="4" t="n">
        <v>174.37</v>
      </c>
      <c r="M309" s="11" t="n">
        <f aca="false">IFERROR(MATCH(Controls!$B$3&amp;"|"&amp;B309,'Scenario inputs'!$A$4:$A$213,0),0)</f>
        <v>141</v>
      </c>
      <c r="N309" s="8" t="b">
        <f aca="false">IF(M309=0,FALSE(),F309&lt;Controls!$B$12)</f>
        <v>1</v>
      </c>
      <c r="O309" s="11" t="n">
        <f aca="false">IF(N309,IF(INDEX('Scenario inputs'!$E$4:$E$213,M309)=0,1,INDEX('Scenario inputs'!$F$4:$M$213,M309,MIN(MAX(F309-G309,0),INDEX('Scenario inputs'!$E$4:$E$213,M309)-1)+1)),0)</f>
        <v>1</v>
      </c>
      <c r="P309" s="11" t="n">
        <f aca="false">H309*O309</f>
        <v>927.01</v>
      </c>
      <c r="Q309" s="0" t="str">
        <f aca="false">IF(M309=0,"",IF(ISNUMBER(INDEX('Scenario inputs'!$N$4:$N$213,M309)),INDEX('Scenario inputs'!$N$4:$N$213,M309),""))</f>
        <v/>
      </c>
      <c r="R309" s="0" t="str">
        <f aca="false">IF(NOT(N309),"",IF(OR(E309="cash",E309="revenue"),E309,IF(E309="avoided_cost",IF(AND(I309,LEN(TRIM(J309))&gt;0),"avoided_cost_realised","avoided_cost_beside"),IF(ISNUMBER(Q309),"capacity_converted","capacity_hours"))))</f>
        <v>capacity_hours</v>
      </c>
      <c r="S309" s="11" t="n">
        <f aca="false">IF(OR(R309="",R309="capacity_hours"),0,IF(R309="capacity_converted",P309*Q309,P309))</f>
        <v>0</v>
      </c>
      <c r="T309" s="11" t="n">
        <f aca="false">IF(OR(R309="cash",R309="revenue",R309="avoided_cost_realised",R309="capacity_converted"),1,0)</f>
        <v>0</v>
      </c>
      <c r="U309" s="11" t="n">
        <f aca="false">IF(AND(N309,R309&lt;&gt;"capacity_hours",LEN(K309)&gt;0),1,0)</f>
        <v>0</v>
      </c>
      <c r="V309" s="11" t="n">
        <f aca="false">IF(U309=1,SUMPRODUCT(($K$4:$K$703=K309)*($F$4:$F$703=F309)*($U$4:$U$703=1)*($B$4:$B$703&lt;&gt;B309)),0)</f>
        <v>0</v>
      </c>
      <c r="W309" s="11" t="n">
        <f aca="false">IF(AND(U309=1,V309&gt;0),1+SUMPRODUCT(($K$4:$K$703=K309)*($F$4:$F$703=F309)*($U$4:$U$703=1)*($S$4:$S$703&gt;S309))+SUMPRODUCT(($K$4:$K$703=K309)*($F$4:$F$703=F309)*($U$4:$U$703=1)*($S$4:$S$703=S309)*($T$4:$T$703&gt;T309))+SUMPRODUCT(($K$4:$K$703=K309)*($F$4:$F$703=F309)*($U$4:$U$703=1)*($S$4:$S$703=S309)*($T$4:$T$703=T309)*($C$4:$C$703&lt;C309))+SUMPRODUCT(($K$4:$K$703=K309)*($F$4:$F$703=F309)*($U$4:$U$703=1)*($S$4:$S$703=S309)*($T$4:$T$703=T309)*($C$4:$C$703=C309)*($D$4:$D$703&lt;D309)),0)</f>
        <v>0</v>
      </c>
      <c r="X309" s="11" t="n">
        <f aca="false">IF(AND(U309=1,V309&gt;0,W309&gt;1),S309,0)</f>
        <v>0</v>
      </c>
      <c r="Y309" s="11" t="n">
        <f aca="false">IF(T309=1,X309/(1+Controls!$B$11)^F309,0)</f>
        <v>0</v>
      </c>
      <c r="Z309" s="11" t="n">
        <f aca="false">IF(AND(N309,E309="capacity",LEN(K309)&gt;0),1,0)</f>
        <v>1</v>
      </c>
      <c r="AA309" s="11" t="n">
        <f aca="false">IF(Z309=1,SUMPRODUCT(($K$4:$K$703=K309)*($F$4:$F$703=F309)*($Z$4:$Z$703=1)*($B$4:$B$703&lt;&gt;B309)),0)</f>
        <v>0</v>
      </c>
      <c r="AB309" s="11" t="n">
        <f aca="false">IF(AND(Z309=1,AA309&gt;0),1+SUMPRODUCT(($K$4:$K$703=K309)*($F$4:$F$703=F309)*($Z$4:$Z$703=1)*($P$4:$P$703&gt;P309))+SUMPRODUCT(($K$4:$K$703=K309)*($F$4:$F$703=F309)*($Z$4:$Z$703=1)*($P$4:$P$703=P309)*($C$4:$C$703&lt;C309))+SUMPRODUCT(($K$4:$K$703=K309)*($F$4:$F$703=F309)*($Z$4:$Z$703=1)*($P$4:$P$703=P309)*($C$4:$C$703=C309)*($D$4:$D$703&lt;D309)),0)</f>
        <v>0</v>
      </c>
      <c r="AC309" s="11" t="n">
        <f aca="false">IF(AND(Z309=1,AA309&gt;0,AB309&gt;1),P309,0)</f>
        <v>0</v>
      </c>
    </row>
    <row r="310" customFormat="false" ht="15" hidden="false" customHeight="false" outlineLevel="0" collapsed="false">
      <c r="A310" s="4" t="s">
        <v>539</v>
      </c>
      <c r="B310" s="4" t="s">
        <v>92</v>
      </c>
      <c r="C310" s="4" t="n">
        <v>10</v>
      </c>
      <c r="D310" s="4" t="n">
        <v>307</v>
      </c>
      <c r="E310" s="4" t="s">
        <v>233</v>
      </c>
      <c r="F310" s="4" t="n">
        <v>16</v>
      </c>
      <c r="G310" s="4" t="n">
        <v>10</v>
      </c>
      <c r="H310" s="4" t="n">
        <v>927.01</v>
      </c>
      <c r="I310" s="13" t="b">
        <f aca="false">FALSE()</f>
        <v>0</v>
      </c>
      <c r="K310" s="4" t="s">
        <v>533</v>
      </c>
      <c r="L310" s="4" t="n">
        <v>174.37</v>
      </c>
      <c r="M310" s="11" t="n">
        <f aca="false">IFERROR(MATCH(Controls!$B$3&amp;"|"&amp;B310,'Scenario inputs'!$A$4:$A$213,0),0)</f>
        <v>141</v>
      </c>
      <c r="N310" s="8" t="b">
        <f aca="false">IF(M310=0,FALSE(),F310&lt;Controls!$B$12)</f>
        <v>1</v>
      </c>
      <c r="O310" s="11" t="n">
        <f aca="false">IF(N310,IF(INDEX('Scenario inputs'!$E$4:$E$213,M310)=0,1,INDEX('Scenario inputs'!$F$4:$M$213,M310,MIN(MAX(F310-G310,0),INDEX('Scenario inputs'!$E$4:$E$213,M310)-1)+1)),0)</f>
        <v>1</v>
      </c>
      <c r="P310" s="11" t="n">
        <f aca="false">H310*O310</f>
        <v>927.01</v>
      </c>
      <c r="Q310" s="0" t="str">
        <f aca="false">IF(M310=0,"",IF(ISNUMBER(INDEX('Scenario inputs'!$N$4:$N$213,M310)),INDEX('Scenario inputs'!$N$4:$N$213,M310),""))</f>
        <v/>
      </c>
      <c r="R310" s="0" t="str">
        <f aca="false">IF(NOT(N310),"",IF(OR(E310="cash",E310="revenue"),E310,IF(E310="avoided_cost",IF(AND(I310,LEN(TRIM(J310))&gt;0),"avoided_cost_realised","avoided_cost_beside"),IF(ISNUMBER(Q310),"capacity_converted","capacity_hours"))))</f>
        <v>capacity_hours</v>
      </c>
      <c r="S310" s="11" t="n">
        <f aca="false">IF(OR(R310="",R310="capacity_hours"),0,IF(R310="capacity_converted",P310*Q310,P310))</f>
        <v>0</v>
      </c>
      <c r="T310" s="11" t="n">
        <f aca="false">IF(OR(R310="cash",R310="revenue",R310="avoided_cost_realised",R310="capacity_converted"),1,0)</f>
        <v>0</v>
      </c>
      <c r="U310" s="11" t="n">
        <f aca="false">IF(AND(N310,R310&lt;&gt;"capacity_hours",LEN(K310)&gt;0),1,0)</f>
        <v>0</v>
      </c>
      <c r="V310" s="11" t="n">
        <f aca="false">IF(U310=1,SUMPRODUCT(($K$4:$K$703=K310)*($F$4:$F$703=F310)*($U$4:$U$703=1)*($B$4:$B$703&lt;&gt;B310)),0)</f>
        <v>0</v>
      </c>
      <c r="W310" s="11" t="n">
        <f aca="false">IF(AND(U310=1,V310&gt;0),1+SUMPRODUCT(($K$4:$K$703=K310)*($F$4:$F$703=F310)*($U$4:$U$703=1)*($S$4:$S$703&gt;S310))+SUMPRODUCT(($K$4:$K$703=K310)*($F$4:$F$703=F310)*($U$4:$U$703=1)*($S$4:$S$703=S310)*($T$4:$T$703&gt;T310))+SUMPRODUCT(($K$4:$K$703=K310)*($F$4:$F$703=F310)*($U$4:$U$703=1)*($S$4:$S$703=S310)*($T$4:$T$703=T310)*($C$4:$C$703&lt;C310))+SUMPRODUCT(($K$4:$K$703=K310)*($F$4:$F$703=F310)*($U$4:$U$703=1)*($S$4:$S$703=S310)*($T$4:$T$703=T310)*($C$4:$C$703=C310)*($D$4:$D$703&lt;D310)),0)</f>
        <v>0</v>
      </c>
      <c r="X310" s="11" t="n">
        <f aca="false">IF(AND(U310=1,V310&gt;0,W310&gt;1),S310,0)</f>
        <v>0</v>
      </c>
      <c r="Y310" s="11" t="n">
        <f aca="false">IF(T310=1,X310/(1+Controls!$B$11)^F310,0)</f>
        <v>0</v>
      </c>
      <c r="Z310" s="11" t="n">
        <f aca="false">IF(AND(N310,E310="capacity",LEN(K310)&gt;0),1,0)</f>
        <v>1</v>
      </c>
      <c r="AA310" s="11" t="n">
        <f aca="false">IF(Z310=1,SUMPRODUCT(($K$4:$K$703=K310)*($F$4:$F$703=F310)*($Z$4:$Z$703=1)*($B$4:$B$703&lt;&gt;B310)),0)</f>
        <v>0</v>
      </c>
      <c r="AB310" s="11" t="n">
        <f aca="false">IF(AND(Z310=1,AA310&gt;0),1+SUMPRODUCT(($K$4:$K$703=K310)*($F$4:$F$703=F310)*($Z$4:$Z$703=1)*($P$4:$P$703&gt;P310))+SUMPRODUCT(($K$4:$K$703=K310)*($F$4:$F$703=F310)*($Z$4:$Z$703=1)*($P$4:$P$703=P310)*($C$4:$C$703&lt;C310))+SUMPRODUCT(($K$4:$K$703=K310)*($F$4:$F$703=F310)*($Z$4:$Z$703=1)*($P$4:$P$703=P310)*($C$4:$C$703=C310)*($D$4:$D$703&lt;D310)),0)</f>
        <v>0</v>
      </c>
      <c r="AC310" s="11" t="n">
        <f aca="false">IF(AND(Z310=1,AA310&gt;0,AB310&gt;1),P310,0)</f>
        <v>0</v>
      </c>
    </row>
    <row r="311" customFormat="false" ht="15" hidden="false" customHeight="false" outlineLevel="0" collapsed="false">
      <c r="A311" s="4" t="s">
        <v>540</v>
      </c>
      <c r="B311" s="4" t="s">
        <v>92</v>
      </c>
      <c r="C311" s="4" t="n">
        <v>10</v>
      </c>
      <c r="D311" s="4" t="n">
        <v>308</v>
      </c>
      <c r="E311" s="4" t="s">
        <v>233</v>
      </c>
      <c r="F311" s="4" t="n">
        <v>17</v>
      </c>
      <c r="G311" s="4" t="n">
        <v>10</v>
      </c>
      <c r="H311" s="4" t="n">
        <v>927.01</v>
      </c>
      <c r="I311" s="13" t="b">
        <f aca="false">FALSE()</f>
        <v>0</v>
      </c>
      <c r="K311" s="4" t="s">
        <v>533</v>
      </c>
      <c r="L311" s="4" t="n">
        <v>174.37</v>
      </c>
      <c r="M311" s="11" t="n">
        <f aca="false">IFERROR(MATCH(Controls!$B$3&amp;"|"&amp;B311,'Scenario inputs'!$A$4:$A$213,0),0)</f>
        <v>141</v>
      </c>
      <c r="N311" s="8" t="b">
        <f aca="false">IF(M311=0,FALSE(),F311&lt;Controls!$B$12)</f>
        <v>1</v>
      </c>
      <c r="O311" s="11" t="n">
        <f aca="false">IF(N311,IF(INDEX('Scenario inputs'!$E$4:$E$213,M311)=0,1,INDEX('Scenario inputs'!$F$4:$M$213,M311,MIN(MAX(F311-G311,0),INDEX('Scenario inputs'!$E$4:$E$213,M311)-1)+1)),0)</f>
        <v>1</v>
      </c>
      <c r="P311" s="11" t="n">
        <f aca="false">H311*O311</f>
        <v>927.01</v>
      </c>
      <c r="Q311" s="0" t="str">
        <f aca="false">IF(M311=0,"",IF(ISNUMBER(INDEX('Scenario inputs'!$N$4:$N$213,M311)),INDEX('Scenario inputs'!$N$4:$N$213,M311),""))</f>
        <v/>
      </c>
      <c r="R311" s="0" t="str">
        <f aca="false">IF(NOT(N311),"",IF(OR(E311="cash",E311="revenue"),E311,IF(E311="avoided_cost",IF(AND(I311,LEN(TRIM(J311))&gt;0),"avoided_cost_realised","avoided_cost_beside"),IF(ISNUMBER(Q311),"capacity_converted","capacity_hours"))))</f>
        <v>capacity_hours</v>
      </c>
      <c r="S311" s="11" t="n">
        <f aca="false">IF(OR(R311="",R311="capacity_hours"),0,IF(R311="capacity_converted",P311*Q311,P311))</f>
        <v>0</v>
      </c>
      <c r="T311" s="11" t="n">
        <f aca="false">IF(OR(R311="cash",R311="revenue",R311="avoided_cost_realised",R311="capacity_converted"),1,0)</f>
        <v>0</v>
      </c>
      <c r="U311" s="11" t="n">
        <f aca="false">IF(AND(N311,R311&lt;&gt;"capacity_hours",LEN(K311)&gt;0),1,0)</f>
        <v>0</v>
      </c>
      <c r="V311" s="11" t="n">
        <f aca="false">IF(U311=1,SUMPRODUCT(($K$4:$K$703=K311)*($F$4:$F$703=F311)*($U$4:$U$703=1)*($B$4:$B$703&lt;&gt;B311)),0)</f>
        <v>0</v>
      </c>
      <c r="W311" s="11" t="n">
        <f aca="false">IF(AND(U311=1,V311&gt;0),1+SUMPRODUCT(($K$4:$K$703=K311)*($F$4:$F$703=F311)*($U$4:$U$703=1)*($S$4:$S$703&gt;S311))+SUMPRODUCT(($K$4:$K$703=K311)*($F$4:$F$703=F311)*($U$4:$U$703=1)*($S$4:$S$703=S311)*($T$4:$T$703&gt;T311))+SUMPRODUCT(($K$4:$K$703=K311)*($F$4:$F$703=F311)*($U$4:$U$703=1)*($S$4:$S$703=S311)*($T$4:$T$703=T311)*($C$4:$C$703&lt;C311))+SUMPRODUCT(($K$4:$K$703=K311)*($F$4:$F$703=F311)*($U$4:$U$703=1)*($S$4:$S$703=S311)*($T$4:$T$703=T311)*($C$4:$C$703=C311)*($D$4:$D$703&lt;D311)),0)</f>
        <v>0</v>
      </c>
      <c r="X311" s="11" t="n">
        <f aca="false">IF(AND(U311=1,V311&gt;0,W311&gt;1),S311,0)</f>
        <v>0</v>
      </c>
      <c r="Y311" s="11" t="n">
        <f aca="false">IF(T311=1,X311/(1+Controls!$B$11)^F311,0)</f>
        <v>0</v>
      </c>
      <c r="Z311" s="11" t="n">
        <f aca="false">IF(AND(N311,E311="capacity",LEN(K311)&gt;0),1,0)</f>
        <v>1</v>
      </c>
      <c r="AA311" s="11" t="n">
        <f aca="false">IF(Z311=1,SUMPRODUCT(($K$4:$K$703=K311)*($F$4:$F$703=F311)*($Z$4:$Z$703=1)*($B$4:$B$703&lt;&gt;B311)),0)</f>
        <v>0</v>
      </c>
      <c r="AB311" s="11" t="n">
        <f aca="false">IF(AND(Z311=1,AA311&gt;0),1+SUMPRODUCT(($K$4:$K$703=K311)*($F$4:$F$703=F311)*($Z$4:$Z$703=1)*($P$4:$P$703&gt;P311))+SUMPRODUCT(($K$4:$K$703=K311)*($F$4:$F$703=F311)*($Z$4:$Z$703=1)*($P$4:$P$703=P311)*($C$4:$C$703&lt;C311))+SUMPRODUCT(($K$4:$K$703=K311)*($F$4:$F$703=F311)*($Z$4:$Z$703=1)*($P$4:$P$703=P311)*($C$4:$C$703=C311)*($D$4:$D$703&lt;D311)),0)</f>
        <v>0</v>
      </c>
      <c r="AC311" s="11" t="n">
        <f aca="false">IF(AND(Z311=1,AA311&gt;0,AB311&gt;1),P311,0)</f>
        <v>0</v>
      </c>
    </row>
    <row r="312" customFormat="false" ht="15" hidden="false" customHeight="false" outlineLevel="0" collapsed="false">
      <c r="A312" s="4" t="s">
        <v>541</v>
      </c>
      <c r="B312" s="4" t="s">
        <v>92</v>
      </c>
      <c r="C312" s="4" t="n">
        <v>10</v>
      </c>
      <c r="D312" s="4" t="n">
        <v>309</v>
      </c>
      <c r="E312" s="4" t="s">
        <v>233</v>
      </c>
      <c r="F312" s="4" t="n">
        <v>18</v>
      </c>
      <c r="G312" s="4" t="n">
        <v>10</v>
      </c>
      <c r="H312" s="4" t="n">
        <v>927.01</v>
      </c>
      <c r="I312" s="13" t="b">
        <f aca="false">FALSE()</f>
        <v>0</v>
      </c>
      <c r="K312" s="4" t="s">
        <v>533</v>
      </c>
      <c r="L312" s="4" t="n">
        <v>174.37</v>
      </c>
      <c r="M312" s="11" t="n">
        <f aca="false">IFERROR(MATCH(Controls!$B$3&amp;"|"&amp;B312,'Scenario inputs'!$A$4:$A$213,0),0)</f>
        <v>141</v>
      </c>
      <c r="N312" s="8" t="b">
        <f aca="false">IF(M312=0,FALSE(),F312&lt;Controls!$B$12)</f>
        <v>1</v>
      </c>
      <c r="O312" s="11" t="n">
        <f aca="false">IF(N312,IF(INDEX('Scenario inputs'!$E$4:$E$213,M312)=0,1,INDEX('Scenario inputs'!$F$4:$M$213,M312,MIN(MAX(F312-G312,0),INDEX('Scenario inputs'!$E$4:$E$213,M312)-1)+1)),0)</f>
        <v>1</v>
      </c>
      <c r="P312" s="11" t="n">
        <f aca="false">H312*O312</f>
        <v>927.01</v>
      </c>
      <c r="Q312" s="0" t="str">
        <f aca="false">IF(M312=0,"",IF(ISNUMBER(INDEX('Scenario inputs'!$N$4:$N$213,M312)),INDEX('Scenario inputs'!$N$4:$N$213,M312),""))</f>
        <v/>
      </c>
      <c r="R312" s="0" t="str">
        <f aca="false">IF(NOT(N312),"",IF(OR(E312="cash",E312="revenue"),E312,IF(E312="avoided_cost",IF(AND(I312,LEN(TRIM(J312))&gt;0),"avoided_cost_realised","avoided_cost_beside"),IF(ISNUMBER(Q312),"capacity_converted","capacity_hours"))))</f>
        <v>capacity_hours</v>
      </c>
      <c r="S312" s="11" t="n">
        <f aca="false">IF(OR(R312="",R312="capacity_hours"),0,IF(R312="capacity_converted",P312*Q312,P312))</f>
        <v>0</v>
      </c>
      <c r="T312" s="11" t="n">
        <f aca="false">IF(OR(R312="cash",R312="revenue",R312="avoided_cost_realised",R312="capacity_converted"),1,0)</f>
        <v>0</v>
      </c>
      <c r="U312" s="11" t="n">
        <f aca="false">IF(AND(N312,R312&lt;&gt;"capacity_hours",LEN(K312)&gt;0),1,0)</f>
        <v>0</v>
      </c>
      <c r="V312" s="11" t="n">
        <f aca="false">IF(U312=1,SUMPRODUCT(($K$4:$K$703=K312)*($F$4:$F$703=F312)*($U$4:$U$703=1)*($B$4:$B$703&lt;&gt;B312)),0)</f>
        <v>0</v>
      </c>
      <c r="W312" s="11" t="n">
        <f aca="false">IF(AND(U312=1,V312&gt;0),1+SUMPRODUCT(($K$4:$K$703=K312)*($F$4:$F$703=F312)*($U$4:$U$703=1)*($S$4:$S$703&gt;S312))+SUMPRODUCT(($K$4:$K$703=K312)*($F$4:$F$703=F312)*($U$4:$U$703=1)*($S$4:$S$703=S312)*($T$4:$T$703&gt;T312))+SUMPRODUCT(($K$4:$K$703=K312)*($F$4:$F$703=F312)*($U$4:$U$703=1)*($S$4:$S$703=S312)*($T$4:$T$703=T312)*($C$4:$C$703&lt;C312))+SUMPRODUCT(($K$4:$K$703=K312)*($F$4:$F$703=F312)*($U$4:$U$703=1)*($S$4:$S$703=S312)*($T$4:$T$703=T312)*($C$4:$C$703=C312)*($D$4:$D$703&lt;D312)),0)</f>
        <v>0</v>
      </c>
      <c r="X312" s="11" t="n">
        <f aca="false">IF(AND(U312=1,V312&gt;0,W312&gt;1),S312,0)</f>
        <v>0</v>
      </c>
      <c r="Y312" s="11" t="n">
        <f aca="false">IF(T312=1,X312/(1+Controls!$B$11)^F312,0)</f>
        <v>0</v>
      </c>
      <c r="Z312" s="11" t="n">
        <f aca="false">IF(AND(N312,E312="capacity",LEN(K312)&gt;0),1,0)</f>
        <v>1</v>
      </c>
      <c r="AA312" s="11" t="n">
        <f aca="false">IF(Z312=1,SUMPRODUCT(($K$4:$K$703=K312)*($F$4:$F$703=F312)*($Z$4:$Z$703=1)*($B$4:$B$703&lt;&gt;B312)),0)</f>
        <v>0</v>
      </c>
      <c r="AB312" s="11" t="n">
        <f aca="false">IF(AND(Z312=1,AA312&gt;0),1+SUMPRODUCT(($K$4:$K$703=K312)*($F$4:$F$703=F312)*($Z$4:$Z$703=1)*($P$4:$P$703&gt;P312))+SUMPRODUCT(($K$4:$K$703=K312)*($F$4:$F$703=F312)*($Z$4:$Z$703=1)*($P$4:$P$703=P312)*($C$4:$C$703&lt;C312))+SUMPRODUCT(($K$4:$K$703=K312)*($F$4:$F$703=F312)*($Z$4:$Z$703=1)*($P$4:$P$703=P312)*($C$4:$C$703=C312)*($D$4:$D$703&lt;D312)),0)</f>
        <v>0</v>
      </c>
      <c r="AC312" s="11" t="n">
        <f aca="false">IF(AND(Z312=1,AA312&gt;0,AB312&gt;1),P312,0)</f>
        <v>0</v>
      </c>
    </row>
    <row r="313" customFormat="false" ht="15" hidden="false" customHeight="false" outlineLevel="0" collapsed="false">
      <c r="A313" s="4" t="s">
        <v>542</v>
      </c>
      <c r="B313" s="4" t="s">
        <v>92</v>
      </c>
      <c r="C313" s="4" t="n">
        <v>10</v>
      </c>
      <c r="D313" s="4" t="n">
        <v>310</v>
      </c>
      <c r="E313" s="4" t="s">
        <v>233</v>
      </c>
      <c r="F313" s="4" t="n">
        <v>19</v>
      </c>
      <c r="G313" s="4" t="n">
        <v>10</v>
      </c>
      <c r="H313" s="4" t="n">
        <v>927.01</v>
      </c>
      <c r="I313" s="13" t="b">
        <f aca="false">FALSE()</f>
        <v>0</v>
      </c>
      <c r="K313" s="4" t="s">
        <v>533</v>
      </c>
      <c r="L313" s="4" t="n">
        <v>174.37</v>
      </c>
      <c r="M313" s="11" t="n">
        <f aca="false">IFERROR(MATCH(Controls!$B$3&amp;"|"&amp;B313,'Scenario inputs'!$A$4:$A$213,0),0)</f>
        <v>141</v>
      </c>
      <c r="N313" s="8" t="b">
        <f aca="false">IF(M313=0,FALSE(),F313&lt;Controls!$B$12)</f>
        <v>1</v>
      </c>
      <c r="O313" s="11" t="n">
        <f aca="false">IF(N313,IF(INDEX('Scenario inputs'!$E$4:$E$213,M313)=0,1,INDEX('Scenario inputs'!$F$4:$M$213,M313,MIN(MAX(F313-G313,0),INDEX('Scenario inputs'!$E$4:$E$213,M313)-1)+1)),0)</f>
        <v>1</v>
      </c>
      <c r="P313" s="11" t="n">
        <f aca="false">H313*O313</f>
        <v>927.01</v>
      </c>
      <c r="Q313" s="0" t="str">
        <f aca="false">IF(M313=0,"",IF(ISNUMBER(INDEX('Scenario inputs'!$N$4:$N$213,M313)),INDEX('Scenario inputs'!$N$4:$N$213,M313),""))</f>
        <v/>
      </c>
      <c r="R313" s="0" t="str">
        <f aca="false">IF(NOT(N313),"",IF(OR(E313="cash",E313="revenue"),E313,IF(E313="avoided_cost",IF(AND(I313,LEN(TRIM(J313))&gt;0),"avoided_cost_realised","avoided_cost_beside"),IF(ISNUMBER(Q313),"capacity_converted","capacity_hours"))))</f>
        <v>capacity_hours</v>
      </c>
      <c r="S313" s="11" t="n">
        <f aca="false">IF(OR(R313="",R313="capacity_hours"),0,IF(R313="capacity_converted",P313*Q313,P313))</f>
        <v>0</v>
      </c>
      <c r="T313" s="11" t="n">
        <f aca="false">IF(OR(R313="cash",R313="revenue",R313="avoided_cost_realised",R313="capacity_converted"),1,0)</f>
        <v>0</v>
      </c>
      <c r="U313" s="11" t="n">
        <f aca="false">IF(AND(N313,R313&lt;&gt;"capacity_hours",LEN(K313)&gt;0),1,0)</f>
        <v>0</v>
      </c>
      <c r="V313" s="11" t="n">
        <f aca="false">IF(U313=1,SUMPRODUCT(($K$4:$K$703=K313)*($F$4:$F$703=F313)*($U$4:$U$703=1)*($B$4:$B$703&lt;&gt;B313)),0)</f>
        <v>0</v>
      </c>
      <c r="W313" s="11" t="n">
        <f aca="false">IF(AND(U313=1,V313&gt;0),1+SUMPRODUCT(($K$4:$K$703=K313)*($F$4:$F$703=F313)*($U$4:$U$703=1)*($S$4:$S$703&gt;S313))+SUMPRODUCT(($K$4:$K$703=K313)*($F$4:$F$703=F313)*($U$4:$U$703=1)*($S$4:$S$703=S313)*($T$4:$T$703&gt;T313))+SUMPRODUCT(($K$4:$K$703=K313)*($F$4:$F$703=F313)*($U$4:$U$703=1)*($S$4:$S$703=S313)*($T$4:$T$703=T313)*($C$4:$C$703&lt;C313))+SUMPRODUCT(($K$4:$K$703=K313)*($F$4:$F$703=F313)*($U$4:$U$703=1)*($S$4:$S$703=S313)*($T$4:$T$703=T313)*($C$4:$C$703=C313)*($D$4:$D$703&lt;D313)),0)</f>
        <v>0</v>
      </c>
      <c r="X313" s="11" t="n">
        <f aca="false">IF(AND(U313=1,V313&gt;0,W313&gt;1),S313,0)</f>
        <v>0</v>
      </c>
      <c r="Y313" s="11" t="n">
        <f aca="false">IF(T313=1,X313/(1+Controls!$B$11)^F313,0)</f>
        <v>0</v>
      </c>
      <c r="Z313" s="11" t="n">
        <f aca="false">IF(AND(N313,E313="capacity",LEN(K313)&gt;0),1,0)</f>
        <v>1</v>
      </c>
      <c r="AA313" s="11" t="n">
        <f aca="false">IF(Z313=1,SUMPRODUCT(($K$4:$K$703=K313)*($F$4:$F$703=F313)*($Z$4:$Z$703=1)*($B$4:$B$703&lt;&gt;B313)),0)</f>
        <v>0</v>
      </c>
      <c r="AB313" s="11" t="n">
        <f aca="false">IF(AND(Z313=1,AA313&gt;0),1+SUMPRODUCT(($K$4:$K$703=K313)*($F$4:$F$703=F313)*($Z$4:$Z$703=1)*($P$4:$P$703&gt;P313))+SUMPRODUCT(($K$4:$K$703=K313)*($F$4:$F$703=F313)*($Z$4:$Z$703=1)*($P$4:$P$703=P313)*($C$4:$C$703&lt;C313))+SUMPRODUCT(($K$4:$K$703=K313)*($F$4:$F$703=F313)*($Z$4:$Z$703=1)*($P$4:$P$703=P313)*($C$4:$C$703=C313)*($D$4:$D$703&lt;D313)),0)</f>
        <v>0</v>
      </c>
      <c r="AC313" s="11" t="n">
        <f aca="false">IF(AND(Z313=1,AA313&gt;0,AB313&gt;1),P313,0)</f>
        <v>0</v>
      </c>
    </row>
    <row r="314" customFormat="false" ht="15" hidden="false" customHeight="false" outlineLevel="0" collapsed="false">
      <c r="A314" s="4" t="s">
        <v>543</v>
      </c>
      <c r="B314" s="4" t="s">
        <v>92</v>
      </c>
      <c r="C314" s="4" t="n">
        <v>10</v>
      </c>
      <c r="D314" s="4" t="n">
        <v>311</v>
      </c>
      <c r="E314" s="4" t="s">
        <v>233</v>
      </c>
      <c r="F314" s="4" t="n">
        <v>20</v>
      </c>
      <c r="G314" s="4" t="n">
        <v>10</v>
      </c>
      <c r="H314" s="4" t="n">
        <v>927.01</v>
      </c>
      <c r="I314" s="13" t="b">
        <f aca="false">FALSE()</f>
        <v>0</v>
      </c>
      <c r="K314" s="4" t="s">
        <v>533</v>
      </c>
      <c r="L314" s="4" t="n">
        <v>174.37</v>
      </c>
      <c r="M314" s="11" t="n">
        <f aca="false">IFERROR(MATCH(Controls!$B$3&amp;"|"&amp;B314,'Scenario inputs'!$A$4:$A$213,0),0)</f>
        <v>141</v>
      </c>
      <c r="N314" s="8" t="b">
        <f aca="false">IF(M314=0,FALSE(),F314&lt;Controls!$B$12)</f>
        <v>1</v>
      </c>
      <c r="O314" s="11" t="n">
        <f aca="false">IF(N314,IF(INDEX('Scenario inputs'!$E$4:$E$213,M314)=0,1,INDEX('Scenario inputs'!$F$4:$M$213,M314,MIN(MAX(F314-G314,0),INDEX('Scenario inputs'!$E$4:$E$213,M314)-1)+1)),0)</f>
        <v>1</v>
      </c>
      <c r="P314" s="11" t="n">
        <f aca="false">H314*O314</f>
        <v>927.01</v>
      </c>
      <c r="Q314" s="0" t="str">
        <f aca="false">IF(M314=0,"",IF(ISNUMBER(INDEX('Scenario inputs'!$N$4:$N$213,M314)),INDEX('Scenario inputs'!$N$4:$N$213,M314),""))</f>
        <v/>
      </c>
      <c r="R314" s="0" t="str">
        <f aca="false">IF(NOT(N314),"",IF(OR(E314="cash",E314="revenue"),E314,IF(E314="avoided_cost",IF(AND(I314,LEN(TRIM(J314))&gt;0),"avoided_cost_realised","avoided_cost_beside"),IF(ISNUMBER(Q314),"capacity_converted","capacity_hours"))))</f>
        <v>capacity_hours</v>
      </c>
      <c r="S314" s="11" t="n">
        <f aca="false">IF(OR(R314="",R314="capacity_hours"),0,IF(R314="capacity_converted",P314*Q314,P314))</f>
        <v>0</v>
      </c>
      <c r="T314" s="11" t="n">
        <f aca="false">IF(OR(R314="cash",R314="revenue",R314="avoided_cost_realised",R314="capacity_converted"),1,0)</f>
        <v>0</v>
      </c>
      <c r="U314" s="11" t="n">
        <f aca="false">IF(AND(N314,R314&lt;&gt;"capacity_hours",LEN(K314)&gt;0),1,0)</f>
        <v>0</v>
      </c>
      <c r="V314" s="11" t="n">
        <f aca="false">IF(U314=1,SUMPRODUCT(($K$4:$K$703=K314)*($F$4:$F$703=F314)*($U$4:$U$703=1)*($B$4:$B$703&lt;&gt;B314)),0)</f>
        <v>0</v>
      </c>
      <c r="W314" s="11" t="n">
        <f aca="false">IF(AND(U314=1,V314&gt;0),1+SUMPRODUCT(($K$4:$K$703=K314)*($F$4:$F$703=F314)*($U$4:$U$703=1)*($S$4:$S$703&gt;S314))+SUMPRODUCT(($K$4:$K$703=K314)*($F$4:$F$703=F314)*($U$4:$U$703=1)*($S$4:$S$703=S314)*($T$4:$T$703&gt;T314))+SUMPRODUCT(($K$4:$K$703=K314)*($F$4:$F$703=F314)*($U$4:$U$703=1)*($S$4:$S$703=S314)*($T$4:$T$703=T314)*($C$4:$C$703&lt;C314))+SUMPRODUCT(($K$4:$K$703=K314)*($F$4:$F$703=F314)*($U$4:$U$703=1)*($S$4:$S$703=S314)*($T$4:$T$703=T314)*($C$4:$C$703=C314)*($D$4:$D$703&lt;D314)),0)</f>
        <v>0</v>
      </c>
      <c r="X314" s="11" t="n">
        <f aca="false">IF(AND(U314=1,V314&gt;0,W314&gt;1),S314,0)</f>
        <v>0</v>
      </c>
      <c r="Y314" s="11" t="n">
        <f aca="false">IF(T314=1,X314/(1+Controls!$B$11)^F314,0)</f>
        <v>0</v>
      </c>
      <c r="Z314" s="11" t="n">
        <f aca="false">IF(AND(N314,E314="capacity",LEN(K314)&gt;0),1,0)</f>
        <v>1</v>
      </c>
      <c r="AA314" s="11" t="n">
        <f aca="false">IF(Z314=1,SUMPRODUCT(($K$4:$K$703=K314)*($F$4:$F$703=F314)*($Z$4:$Z$703=1)*($B$4:$B$703&lt;&gt;B314)),0)</f>
        <v>0</v>
      </c>
      <c r="AB314" s="11" t="n">
        <f aca="false">IF(AND(Z314=1,AA314&gt;0),1+SUMPRODUCT(($K$4:$K$703=K314)*($F$4:$F$703=F314)*($Z$4:$Z$703=1)*($P$4:$P$703&gt;P314))+SUMPRODUCT(($K$4:$K$703=K314)*($F$4:$F$703=F314)*($Z$4:$Z$703=1)*($P$4:$P$703=P314)*($C$4:$C$703&lt;C314))+SUMPRODUCT(($K$4:$K$703=K314)*($F$4:$F$703=F314)*($Z$4:$Z$703=1)*($P$4:$P$703=P314)*($C$4:$C$703=C314)*($D$4:$D$703&lt;D314)),0)</f>
        <v>0</v>
      </c>
      <c r="AC314" s="11" t="n">
        <f aca="false">IF(AND(Z314=1,AA314&gt;0,AB314&gt;1),P314,0)</f>
        <v>0</v>
      </c>
    </row>
    <row r="315" customFormat="false" ht="15" hidden="false" customHeight="false" outlineLevel="0" collapsed="false">
      <c r="A315" s="4" t="s">
        <v>544</v>
      </c>
      <c r="B315" s="4" t="s">
        <v>92</v>
      </c>
      <c r="C315" s="4" t="n">
        <v>10</v>
      </c>
      <c r="D315" s="4" t="n">
        <v>312</v>
      </c>
      <c r="E315" s="4" t="s">
        <v>233</v>
      </c>
      <c r="F315" s="4" t="n">
        <v>21</v>
      </c>
      <c r="G315" s="4" t="n">
        <v>10</v>
      </c>
      <c r="H315" s="4" t="n">
        <v>927.01</v>
      </c>
      <c r="I315" s="13" t="b">
        <f aca="false">FALSE()</f>
        <v>0</v>
      </c>
      <c r="K315" s="4" t="s">
        <v>533</v>
      </c>
      <c r="L315" s="4" t="n">
        <v>174.37</v>
      </c>
      <c r="M315" s="11" t="n">
        <f aca="false">IFERROR(MATCH(Controls!$B$3&amp;"|"&amp;B315,'Scenario inputs'!$A$4:$A$213,0),0)</f>
        <v>141</v>
      </c>
      <c r="N315" s="8" t="b">
        <f aca="false">IF(M315=0,FALSE(),F315&lt;Controls!$B$12)</f>
        <v>1</v>
      </c>
      <c r="O315" s="11" t="n">
        <f aca="false">IF(N315,IF(INDEX('Scenario inputs'!$E$4:$E$213,M315)=0,1,INDEX('Scenario inputs'!$F$4:$M$213,M315,MIN(MAX(F315-G315,0),INDEX('Scenario inputs'!$E$4:$E$213,M315)-1)+1)),0)</f>
        <v>1</v>
      </c>
      <c r="P315" s="11" t="n">
        <f aca="false">H315*O315</f>
        <v>927.01</v>
      </c>
      <c r="Q315" s="0" t="str">
        <f aca="false">IF(M315=0,"",IF(ISNUMBER(INDEX('Scenario inputs'!$N$4:$N$213,M315)),INDEX('Scenario inputs'!$N$4:$N$213,M315),""))</f>
        <v/>
      </c>
      <c r="R315" s="0" t="str">
        <f aca="false">IF(NOT(N315),"",IF(OR(E315="cash",E315="revenue"),E315,IF(E315="avoided_cost",IF(AND(I315,LEN(TRIM(J315))&gt;0),"avoided_cost_realised","avoided_cost_beside"),IF(ISNUMBER(Q315),"capacity_converted","capacity_hours"))))</f>
        <v>capacity_hours</v>
      </c>
      <c r="S315" s="11" t="n">
        <f aca="false">IF(OR(R315="",R315="capacity_hours"),0,IF(R315="capacity_converted",P315*Q315,P315))</f>
        <v>0</v>
      </c>
      <c r="T315" s="11" t="n">
        <f aca="false">IF(OR(R315="cash",R315="revenue",R315="avoided_cost_realised",R315="capacity_converted"),1,0)</f>
        <v>0</v>
      </c>
      <c r="U315" s="11" t="n">
        <f aca="false">IF(AND(N315,R315&lt;&gt;"capacity_hours",LEN(K315)&gt;0),1,0)</f>
        <v>0</v>
      </c>
      <c r="V315" s="11" t="n">
        <f aca="false">IF(U315=1,SUMPRODUCT(($K$4:$K$703=K315)*($F$4:$F$703=F315)*($U$4:$U$703=1)*($B$4:$B$703&lt;&gt;B315)),0)</f>
        <v>0</v>
      </c>
      <c r="W315" s="11" t="n">
        <f aca="false">IF(AND(U315=1,V315&gt;0),1+SUMPRODUCT(($K$4:$K$703=K315)*($F$4:$F$703=F315)*($U$4:$U$703=1)*($S$4:$S$703&gt;S315))+SUMPRODUCT(($K$4:$K$703=K315)*($F$4:$F$703=F315)*($U$4:$U$703=1)*($S$4:$S$703=S315)*($T$4:$T$703&gt;T315))+SUMPRODUCT(($K$4:$K$703=K315)*($F$4:$F$703=F315)*($U$4:$U$703=1)*($S$4:$S$703=S315)*($T$4:$T$703=T315)*($C$4:$C$703&lt;C315))+SUMPRODUCT(($K$4:$K$703=K315)*($F$4:$F$703=F315)*($U$4:$U$703=1)*($S$4:$S$703=S315)*($T$4:$T$703=T315)*($C$4:$C$703=C315)*($D$4:$D$703&lt;D315)),0)</f>
        <v>0</v>
      </c>
      <c r="X315" s="11" t="n">
        <f aca="false">IF(AND(U315=1,V315&gt;0,W315&gt;1),S315,0)</f>
        <v>0</v>
      </c>
      <c r="Y315" s="11" t="n">
        <f aca="false">IF(T315=1,X315/(1+Controls!$B$11)^F315,0)</f>
        <v>0</v>
      </c>
      <c r="Z315" s="11" t="n">
        <f aca="false">IF(AND(N315,E315="capacity",LEN(K315)&gt;0),1,0)</f>
        <v>1</v>
      </c>
      <c r="AA315" s="11" t="n">
        <f aca="false">IF(Z315=1,SUMPRODUCT(($K$4:$K$703=K315)*($F$4:$F$703=F315)*($Z$4:$Z$703=1)*($B$4:$B$703&lt;&gt;B315)),0)</f>
        <v>0</v>
      </c>
      <c r="AB315" s="11" t="n">
        <f aca="false">IF(AND(Z315=1,AA315&gt;0),1+SUMPRODUCT(($K$4:$K$703=K315)*($F$4:$F$703=F315)*($Z$4:$Z$703=1)*($P$4:$P$703&gt;P315))+SUMPRODUCT(($K$4:$K$703=K315)*($F$4:$F$703=F315)*($Z$4:$Z$703=1)*($P$4:$P$703=P315)*($C$4:$C$703&lt;C315))+SUMPRODUCT(($K$4:$K$703=K315)*($F$4:$F$703=F315)*($Z$4:$Z$703=1)*($P$4:$P$703=P315)*($C$4:$C$703=C315)*($D$4:$D$703&lt;D315)),0)</f>
        <v>0</v>
      </c>
      <c r="AC315" s="11" t="n">
        <f aca="false">IF(AND(Z315=1,AA315&gt;0,AB315&gt;1),P315,0)</f>
        <v>0</v>
      </c>
    </row>
    <row r="316" customFormat="false" ht="15" hidden="false" customHeight="false" outlineLevel="0" collapsed="false">
      <c r="A316" s="4" t="s">
        <v>545</v>
      </c>
      <c r="B316" s="4" t="s">
        <v>93</v>
      </c>
      <c r="C316" s="4" t="n">
        <v>11</v>
      </c>
      <c r="D316" s="4" t="n">
        <v>313</v>
      </c>
      <c r="E316" s="4" t="s">
        <v>112</v>
      </c>
      <c r="F316" s="4" t="n">
        <v>12</v>
      </c>
      <c r="G316" s="4" t="n">
        <v>12</v>
      </c>
      <c r="H316" s="4" t="n">
        <v>56600</v>
      </c>
      <c r="I316" s="13" t="b">
        <f aca="false">FALSE()</f>
        <v>0</v>
      </c>
      <c r="K316" s="4" t="s">
        <v>546</v>
      </c>
      <c r="L316" s="4" t="n">
        <v>641.28</v>
      </c>
      <c r="M316" s="11" t="n">
        <f aca="false">IFERROR(MATCH(Controls!$B$3&amp;"|"&amp;B316,'Scenario inputs'!$A$4:$A$213,0),0)</f>
        <v>142</v>
      </c>
      <c r="N316" s="8" t="b">
        <f aca="false">IF(M316=0,FALSE(),F316&lt;Controls!$B$12)</f>
        <v>1</v>
      </c>
      <c r="O316" s="11" t="n">
        <f aca="false">IF(N316,IF(INDEX('Scenario inputs'!$E$4:$E$213,M316)=0,1,INDEX('Scenario inputs'!$F$4:$M$213,M316,MIN(MAX(F316-G316,0),INDEX('Scenario inputs'!$E$4:$E$213,M316)-1)+1)),0)</f>
        <v>0.1</v>
      </c>
      <c r="P316" s="11" t="n">
        <f aca="false">H316*O316</f>
        <v>5660</v>
      </c>
      <c r="Q316" s="0" t="str">
        <f aca="false">IF(M316=0,"",IF(ISNUMBER(INDEX('Scenario inputs'!$N$4:$N$213,M316)),INDEX('Scenario inputs'!$N$4:$N$213,M316),""))</f>
        <v/>
      </c>
      <c r="R316" s="0" t="str">
        <f aca="false">IF(NOT(N316),"",IF(OR(E316="cash",E316="revenue"),E316,IF(E316="avoided_cost",IF(AND(I316,LEN(TRIM(J316))&gt;0),"avoided_cost_realised","avoided_cost_beside"),IF(ISNUMBER(Q316),"capacity_converted","capacity_hours"))))</f>
        <v>cash</v>
      </c>
      <c r="S316" s="11" t="n">
        <f aca="false">IF(OR(R316="",R316="capacity_hours"),0,IF(R316="capacity_converted",P316*Q316,P316))</f>
        <v>5660</v>
      </c>
      <c r="T316" s="11" t="n">
        <f aca="false">IF(OR(R316="cash",R316="revenue",R316="avoided_cost_realised",R316="capacity_converted"),1,0)</f>
        <v>1</v>
      </c>
      <c r="U316" s="11" t="n">
        <f aca="false">IF(AND(N316,R316&lt;&gt;"capacity_hours",LEN(K316)&gt;0),1,0)</f>
        <v>1</v>
      </c>
      <c r="V316" s="11" t="n">
        <f aca="false">IF(U316=1,SUMPRODUCT(($K$4:$K$703=K316)*($F$4:$F$703=F316)*($U$4:$U$703=1)*($B$4:$B$703&lt;&gt;B316)),0)</f>
        <v>0</v>
      </c>
      <c r="W316" s="11" t="n">
        <f aca="false">IF(AND(U316=1,V316&gt;0),1+SUMPRODUCT(($K$4:$K$703=K316)*($F$4:$F$703=F316)*($U$4:$U$703=1)*($S$4:$S$703&gt;S316))+SUMPRODUCT(($K$4:$K$703=K316)*($F$4:$F$703=F316)*($U$4:$U$703=1)*($S$4:$S$703=S316)*($T$4:$T$703&gt;T316))+SUMPRODUCT(($K$4:$K$703=K316)*($F$4:$F$703=F316)*($U$4:$U$703=1)*($S$4:$S$703=S316)*($T$4:$T$703=T316)*($C$4:$C$703&lt;C316))+SUMPRODUCT(($K$4:$K$703=K316)*($F$4:$F$703=F316)*($U$4:$U$703=1)*($S$4:$S$703=S316)*($T$4:$T$703=T316)*($C$4:$C$703=C316)*($D$4:$D$703&lt;D316)),0)</f>
        <v>0</v>
      </c>
      <c r="X316" s="11" t="n">
        <f aca="false">IF(AND(U316=1,V316&gt;0,W316&gt;1),S316,0)</f>
        <v>0</v>
      </c>
      <c r="Y316" s="11" t="n">
        <f aca="false">IF(T316=1,X316/(1+Controls!$B$11)^F316,0)</f>
        <v>0</v>
      </c>
      <c r="Z316" s="11" t="n">
        <f aca="false">IF(AND(N316,E316="capacity",LEN(K316)&gt;0),1,0)</f>
        <v>0</v>
      </c>
      <c r="AA316" s="11" t="n">
        <f aca="false">IF(Z316=1,SUMPRODUCT(($K$4:$K$703=K316)*($F$4:$F$703=F316)*($Z$4:$Z$703=1)*($B$4:$B$703&lt;&gt;B316)),0)</f>
        <v>0</v>
      </c>
      <c r="AB316" s="11" t="n">
        <f aca="false">IF(AND(Z316=1,AA316&gt;0),1+SUMPRODUCT(($K$4:$K$703=K316)*($F$4:$F$703=F316)*($Z$4:$Z$703=1)*($P$4:$P$703&gt;P316))+SUMPRODUCT(($K$4:$K$703=K316)*($F$4:$F$703=F316)*($Z$4:$Z$703=1)*($P$4:$P$703=P316)*($C$4:$C$703&lt;C316))+SUMPRODUCT(($K$4:$K$703=K316)*($F$4:$F$703=F316)*($Z$4:$Z$703=1)*($P$4:$P$703=P316)*($C$4:$C$703=C316)*($D$4:$D$703&lt;D316)),0)</f>
        <v>0</v>
      </c>
      <c r="AC316" s="11" t="n">
        <f aca="false">IF(AND(Z316=1,AA316&gt;0,AB316&gt;1),P316,0)</f>
        <v>0</v>
      </c>
    </row>
    <row r="317" customFormat="false" ht="15" hidden="false" customHeight="false" outlineLevel="0" collapsed="false">
      <c r="A317" s="4" t="s">
        <v>547</v>
      </c>
      <c r="B317" s="4" t="s">
        <v>93</v>
      </c>
      <c r="C317" s="4" t="n">
        <v>11</v>
      </c>
      <c r="D317" s="4" t="n">
        <v>314</v>
      </c>
      <c r="E317" s="4" t="s">
        <v>112</v>
      </c>
      <c r="F317" s="4" t="n">
        <v>13</v>
      </c>
      <c r="G317" s="4" t="n">
        <v>12</v>
      </c>
      <c r="H317" s="4" t="n">
        <v>56600</v>
      </c>
      <c r="I317" s="13" t="b">
        <f aca="false">FALSE()</f>
        <v>0</v>
      </c>
      <c r="K317" s="4" t="s">
        <v>546</v>
      </c>
      <c r="L317" s="4" t="n">
        <v>1923.83</v>
      </c>
      <c r="M317" s="11" t="n">
        <f aca="false">IFERROR(MATCH(Controls!$B$3&amp;"|"&amp;B317,'Scenario inputs'!$A$4:$A$213,0),0)</f>
        <v>142</v>
      </c>
      <c r="N317" s="8" t="b">
        <f aca="false">IF(M317=0,FALSE(),F317&lt;Controls!$B$12)</f>
        <v>1</v>
      </c>
      <c r="O317" s="11" t="n">
        <f aca="false">IF(N317,IF(INDEX('Scenario inputs'!$E$4:$E$213,M317)=0,1,INDEX('Scenario inputs'!$F$4:$M$213,M317,MIN(MAX(F317-G317,0),INDEX('Scenario inputs'!$E$4:$E$213,M317)-1)+1)),0)</f>
        <v>0.3</v>
      </c>
      <c r="P317" s="11" t="n">
        <f aca="false">H317*O317</f>
        <v>16980</v>
      </c>
      <c r="Q317" s="0" t="str">
        <f aca="false">IF(M317=0,"",IF(ISNUMBER(INDEX('Scenario inputs'!$N$4:$N$213,M317)),INDEX('Scenario inputs'!$N$4:$N$213,M317),""))</f>
        <v/>
      </c>
      <c r="R317" s="0" t="str">
        <f aca="false">IF(NOT(N317),"",IF(OR(E317="cash",E317="revenue"),E317,IF(E317="avoided_cost",IF(AND(I317,LEN(TRIM(J317))&gt;0),"avoided_cost_realised","avoided_cost_beside"),IF(ISNUMBER(Q317),"capacity_converted","capacity_hours"))))</f>
        <v>cash</v>
      </c>
      <c r="S317" s="11" t="n">
        <f aca="false">IF(OR(R317="",R317="capacity_hours"),0,IF(R317="capacity_converted",P317*Q317,P317))</f>
        <v>16980</v>
      </c>
      <c r="T317" s="11" t="n">
        <f aca="false">IF(OR(R317="cash",R317="revenue",R317="avoided_cost_realised",R317="capacity_converted"),1,0)</f>
        <v>1</v>
      </c>
      <c r="U317" s="11" t="n">
        <f aca="false">IF(AND(N317,R317&lt;&gt;"capacity_hours",LEN(K317)&gt;0),1,0)</f>
        <v>1</v>
      </c>
      <c r="V317" s="11" t="n">
        <f aca="false">IF(U317=1,SUMPRODUCT(($K$4:$K$703=K317)*($F$4:$F$703=F317)*($U$4:$U$703=1)*($B$4:$B$703&lt;&gt;B317)),0)</f>
        <v>0</v>
      </c>
      <c r="W317" s="11" t="n">
        <f aca="false">IF(AND(U317=1,V317&gt;0),1+SUMPRODUCT(($K$4:$K$703=K317)*($F$4:$F$703=F317)*($U$4:$U$703=1)*($S$4:$S$703&gt;S317))+SUMPRODUCT(($K$4:$K$703=K317)*($F$4:$F$703=F317)*($U$4:$U$703=1)*($S$4:$S$703=S317)*($T$4:$T$703&gt;T317))+SUMPRODUCT(($K$4:$K$703=K317)*($F$4:$F$703=F317)*($U$4:$U$703=1)*($S$4:$S$703=S317)*($T$4:$T$703=T317)*($C$4:$C$703&lt;C317))+SUMPRODUCT(($K$4:$K$703=K317)*($F$4:$F$703=F317)*($U$4:$U$703=1)*($S$4:$S$703=S317)*($T$4:$T$703=T317)*($C$4:$C$703=C317)*($D$4:$D$703&lt;D317)),0)</f>
        <v>0</v>
      </c>
      <c r="X317" s="11" t="n">
        <f aca="false">IF(AND(U317=1,V317&gt;0,W317&gt;1),S317,0)</f>
        <v>0</v>
      </c>
      <c r="Y317" s="11" t="n">
        <f aca="false">IF(T317=1,X317/(1+Controls!$B$11)^F317,0)</f>
        <v>0</v>
      </c>
      <c r="Z317" s="11" t="n">
        <f aca="false">IF(AND(N317,E317="capacity",LEN(K317)&gt;0),1,0)</f>
        <v>0</v>
      </c>
      <c r="AA317" s="11" t="n">
        <f aca="false">IF(Z317=1,SUMPRODUCT(($K$4:$K$703=K317)*($F$4:$F$703=F317)*($Z$4:$Z$703=1)*($B$4:$B$703&lt;&gt;B317)),0)</f>
        <v>0</v>
      </c>
      <c r="AB317" s="11" t="n">
        <f aca="false">IF(AND(Z317=1,AA317&gt;0),1+SUMPRODUCT(($K$4:$K$703=K317)*($F$4:$F$703=F317)*($Z$4:$Z$703=1)*($P$4:$P$703&gt;P317))+SUMPRODUCT(($K$4:$K$703=K317)*($F$4:$F$703=F317)*($Z$4:$Z$703=1)*($P$4:$P$703=P317)*($C$4:$C$703&lt;C317))+SUMPRODUCT(($K$4:$K$703=K317)*($F$4:$F$703=F317)*($Z$4:$Z$703=1)*($P$4:$P$703=P317)*($C$4:$C$703=C317)*($D$4:$D$703&lt;D317)),0)</f>
        <v>0</v>
      </c>
      <c r="AC317" s="11" t="n">
        <f aca="false">IF(AND(Z317=1,AA317&gt;0,AB317&gt;1),P317,0)</f>
        <v>0</v>
      </c>
    </row>
    <row r="318" customFormat="false" ht="15" hidden="false" customHeight="false" outlineLevel="0" collapsed="false">
      <c r="A318" s="4" t="s">
        <v>548</v>
      </c>
      <c r="B318" s="4" t="s">
        <v>93</v>
      </c>
      <c r="C318" s="4" t="n">
        <v>11</v>
      </c>
      <c r="D318" s="4" t="n">
        <v>315</v>
      </c>
      <c r="E318" s="4" t="s">
        <v>112</v>
      </c>
      <c r="F318" s="4" t="n">
        <v>14</v>
      </c>
      <c r="G318" s="4" t="n">
        <v>12</v>
      </c>
      <c r="H318" s="4" t="n">
        <v>56600</v>
      </c>
      <c r="I318" s="13" t="b">
        <f aca="false">FALSE()</f>
        <v>0</v>
      </c>
      <c r="K318" s="4" t="s">
        <v>546</v>
      </c>
      <c r="L318" s="4" t="n">
        <v>3847.67</v>
      </c>
      <c r="M318" s="11" t="n">
        <f aca="false">IFERROR(MATCH(Controls!$B$3&amp;"|"&amp;B318,'Scenario inputs'!$A$4:$A$213,0),0)</f>
        <v>142</v>
      </c>
      <c r="N318" s="8" t="b">
        <f aca="false">IF(M318=0,FALSE(),F318&lt;Controls!$B$12)</f>
        <v>1</v>
      </c>
      <c r="O318" s="11" t="n">
        <f aca="false">IF(N318,IF(INDEX('Scenario inputs'!$E$4:$E$213,M318)=0,1,INDEX('Scenario inputs'!$F$4:$M$213,M318,MIN(MAX(F318-G318,0),INDEX('Scenario inputs'!$E$4:$E$213,M318)-1)+1)),0)</f>
        <v>0.6</v>
      </c>
      <c r="P318" s="11" t="n">
        <f aca="false">H318*O318</f>
        <v>33960</v>
      </c>
      <c r="Q318" s="0" t="str">
        <f aca="false">IF(M318=0,"",IF(ISNUMBER(INDEX('Scenario inputs'!$N$4:$N$213,M318)),INDEX('Scenario inputs'!$N$4:$N$213,M318),""))</f>
        <v/>
      </c>
      <c r="R318" s="0" t="str">
        <f aca="false">IF(NOT(N318),"",IF(OR(E318="cash",E318="revenue"),E318,IF(E318="avoided_cost",IF(AND(I318,LEN(TRIM(J318))&gt;0),"avoided_cost_realised","avoided_cost_beside"),IF(ISNUMBER(Q318),"capacity_converted","capacity_hours"))))</f>
        <v>cash</v>
      </c>
      <c r="S318" s="11" t="n">
        <f aca="false">IF(OR(R318="",R318="capacity_hours"),0,IF(R318="capacity_converted",P318*Q318,P318))</f>
        <v>33960</v>
      </c>
      <c r="T318" s="11" t="n">
        <f aca="false">IF(OR(R318="cash",R318="revenue",R318="avoided_cost_realised",R318="capacity_converted"),1,0)</f>
        <v>1</v>
      </c>
      <c r="U318" s="11" t="n">
        <f aca="false">IF(AND(N318,R318&lt;&gt;"capacity_hours",LEN(K318)&gt;0),1,0)</f>
        <v>1</v>
      </c>
      <c r="V318" s="11" t="n">
        <f aca="false">IF(U318=1,SUMPRODUCT(($K$4:$K$703=K318)*($F$4:$F$703=F318)*($U$4:$U$703=1)*($B$4:$B$703&lt;&gt;B318)),0)</f>
        <v>0</v>
      </c>
      <c r="W318" s="11" t="n">
        <f aca="false">IF(AND(U318=1,V318&gt;0),1+SUMPRODUCT(($K$4:$K$703=K318)*($F$4:$F$703=F318)*($U$4:$U$703=1)*($S$4:$S$703&gt;S318))+SUMPRODUCT(($K$4:$K$703=K318)*($F$4:$F$703=F318)*($U$4:$U$703=1)*($S$4:$S$703=S318)*($T$4:$T$703&gt;T318))+SUMPRODUCT(($K$4:$K$703=K318)*($F$4:$F$703=F318)*($U$4:$U$703=1)*($S$4:$S$703=S318)*($T$4:$T$703=T318)*($C$4:$C$703&lt;C318))+SUMPRODUCT(($K$4:$K$703=K318)*($F$4:$F$703=F318)*($U$4:$U$703=1)*($S$4:$S$703=S318)*($T$4:$T$703=T318)*($C$4:$C$703=C318)*($D$4:$D$703&lt;D318)),0)</f>
        <v>0</v>
      </c>
      <c r="X318" s="11" t="n">
        <f aca="false">IF(AND(U318=1,V318&gt;0,W318&gt;1),S318,0)</f>
        <v>0</v>
      </c>
      <c r="Y318" s="11" t="n">
        <f aca="false">IF(T318=1,X318/(1+Controls!$B$11)^F318,0)</f>
        <v>0</v>
      </c>
      <c r="Z318" s="11" t="n">
        <f aca="false">IF(AND(N318,E318="capacity",LEN(K318)&gt;0),1,0)</f>
        <v>0</v>
      </c>
      <c r="AA318" s="11" t="n">
        <f aca="false">IF(Z318=1,SUMPRODUCT(($K$4:$K$703=K318)*($F$4:$F$703=F318)*($Z$4:$Z$703=1)*($B$4:$B$703&lt;&gt;B318)),0)</f>
        <v>0</v>
      </c>
      <c r="AB318" s="11" t="n">
        <f aca="false">IF(AND(Z318=1,AA318&gt;0),1+SUMPRODUCT(($K$4:$K$703=K318)*($F$4:$F$703=F318)*($Z$4:$Z$703=1)*($P$4:$P$703&gt;P318))+SUMPRODUCT(($K$4:$K$703=K318)*($F$4:$F$703=F318)*($Z$4:$Z$703=1)*($P$4:$P$703=P318)*($C$4:$C$703&lt;C318))+SUMPRODUCT(($K$4:$K$703=K318)*($F$4:$F$703=F318)*($Z$4:$Z$703=1)*($P$4:$P$703=P318)*($C$4:$C$703=C318)*($D$4:$D$703&lt;D318)),0)</f>
        <v>0</v>
      </c>
      <c r="AC318" s="11" t="n">
        <f aca="false">IF(AND(Z318=1,AA318&gt;0,AB318&gt;1),P318,0)</f>
        <v>0</v>
      </c>
    </row>
    <row r="319" customFormat="false" ht="15" hidden="false" customHeight="false" outlineLevel="0" collapsed="false">
      <c r="A319" s="4" t="s">
        <v>549</v>
      </c>
      <c r="B319" s="4" t="s">
        <v>93</v>
      </c>
      <c r="C319" s="4" t="n">
        <v>11</v>
      </c>
      <c r="D319" s="4" t="n">
        <v>316</v>
      </c>
      <c r="E319" s="4" t="s">
        <v>112</v>
      </c>
      <c r="F319" s="4" t="n">
        <v>15</v>
      </c>
      <c r="G319" s="4" t="n">
        <v>12</v>
      </c>
      <c r="H319" s="4" t="n">
        <v>56600</v>
      </c>
      <c r="I319" s="13" t="b">
        <f aca="false">FALSE()</f>
        <v>0</v>
      </c>
      <c r="K319" s="4" t="s">
        <v>546</v>
      </c>
      <c r="L319" s="4" t="n">
        <v>6412.78</v>
      </c>
      <c r="M319" s="11" t="n">
        <f aca="false">IFERROR(MATCH(Controls!$B$3&amp;"|"&amp;B319,'Scenario inputs'!$A$4:$A$213,0),0)</f>
        <v>142</v>
      </c>
      <c r="N319" s="8" t="b">
        <f aca="false">IF(M319=0,FALSE(),F319&lt;Controls!$B$12)</f>
        <v>1</v>
      </c>
      <c r="O319" s="11" t="n">
        <f aca="false">IF(N319,IF(INDEX('Scenario inputs'!$E$4:$E$213,M319)=0,1,INDEX('Scenario inputs'!$F$4:$M$213,M319,MIN(MAX(F319-G319,0),INDEX('Scenario inputs'!$E$4:$E$213,M319)-1)+1)),0)</f>
        <v>1</v>
      </c>
      <c r="P319" s="11" t="n">
        <f aca="false">H319*O319</f>
        <v>56600</v>
      </c>
      <c r="Q319" s="0" t="str">
        <f aca="false">IF(M319=0,"",IF(ISNUMBER(INDEX('Scenario inputs'!$N$4:$N$213,M319)),INDEX('Scenario inputs'!$N$4:$N$213,M319),""))</f>
        <v/>
      </c>
      <c r="R319" s="0" t="str">
        <f aca="false">IF(NOT(N319),"",IF(OR(E319="cash",E319="revenue"),E319,IF(E319="avoided_cost",IF(AND(I319,LEN(TRIM(J319))&gt;0),"avoided_cost_realised","avoided_cost_beside"),IF(ISNUMBER(Q319),"capacity_converted","capacity_hours"))))</f>
        <v>cash</v>
      </c>
      <c r="S319" s="11" t="n">
        <f aca="false">IF(OR(R319="",R319="capacity_hours"),0,IF(R319="capacity_converted",P319*Q319,P319))</f>
        <v>56600</v>
      </c>
      <c r="T319" s="11" t="n">
        <f aca="false">IF(OR(R319="cash",R319="revenue",R319="avoided_cost_realised",R319="capacity_converted"),1,0)</f>
        <v>1</v>
      </c>
      <c r="U319" s="11" t="n">
        <f aca="false">IF(AND(N319,R319&lt;&gt;"capacity_hours",LEN(K319)&gt;0),1,0)</f>
        <v>1</v>
      </c>
      <c r="V319" s="11" t="n">
        <f aca="false">IF(U319=1,SUMPRODUCT(($K$4:$K$703=K319)*($F$4:$F$703=F319)*($U$4:$U$703=1)*($B$4:$B$703&lt;&gt;B319)),0)</f>
        <v>0</v>
      </c>
      <c r="W319" s="11" t="n">
        <f aca="false">IF(AND(U319=1,V319&gt;0),1+SUMPRODUCT(($K$4:$K$703=K319)*($F$4:$F$703=F319)*($U$4:$U$703=1)*($S$4:$S$703&gt;S319))+SUMPRODUCT(($K$4:$K$703=K319)*($F$4:$F$703=F319)*($U$4:$U$703=1)*($S$4:$S$703=S319)*($T$4:$T$703&gt;T319))+SUMPRODUCT(($K$4:$K$703=K319)*($F$4:$F$703=F319)*($U$4:$U$703=1)*($S$4:$S$703=S319)*($T$4:$T$703=T319)*($C$4:$C$703&lt;C319))+SUMPRODUCT(($K$4:$K$703=K319)*($F$4:$F$703=F319)*($U$4:$U$703=1)*($S$4:$S$703=S319)*($T$4:$T$703=T319)*($C$4:$C$703=C319)*($D$4:$D$703&lt;D319)),0)</f>
        <v>0</v>
      </c>
      <c r="X319" s="11" t="n">
        <f aca="false">IF(AND(U319=1,V319&gt;0,W319&gt;1),S319,0)</f>
        <v>0</v>
      </c>
      <c r="Y319" s="11" t="n">
        <f aca="false">IF(T319=1,X319/(1+Controls!$B$11)^F319,0)</f>
        <v>0</v>
      </c>
      <c r="Z319" s="11" t="n">
        <f aca="false">IF(AND(N319,E319="capacity",LEN(K319)&gt;0),1,0)</f>
        <v>0</v>
      </c>
      <c r="AA319" s="11" t="n">
        <f aca="false">IF(Z319=1,SUMPRODUCT(($K$4:$K$703=K319)*($F$4:$F$703=F319)*($Z$4:$Z$703=1)*($B$4:$B$703&lt;&gt;B319)),0)</f>
        <v>0</v>
      </c>
      <c r="AB319" s="11" t="n">
        <f aca="false">IF(AND(Z319=1,AA319&gt;0),1+SUMPRODUCT(($K$4:$K$703=K319)*($F$4:$F$703=F319)*($Z$4:$Z$703=1)*($P$4:$P$703&gt;P319))+SUMPRODUCT(($K$4:$K$703=K319)*($F$4:$F$703=F319)*($Z$4:$Z$703=1)*($P$4:$P$703=P319)*($C$4:$C$703&lt;C319))+SUMPRODUCT(($K$4:$K$703=K319)*($F$4:$F$703=F319)*($Z$4:$Z$703=1)*($P$4:$P$703=P319)*($C$4:$C$703=C319)*($D$4:$D$703&lt;D319)),0)</f>
        <v>0</v>
      </c>
      <c r="AC319" s="11" t="n">
        <f aca="false">IF(AND(Z319=1,AA319&gt;0,AB319&gt;1),P319,0)</f>
        <v>0</v>
      </c>
    </row>
    <row r="320" customFormat="false" ht="15" hidden="false" customHeight="false" outlineLevel="0" collapsed="false">
      <c r="A320" s="4" t="s">
        <v>550</v>
      </c>
      <c r="B320" s="4" t="s">
        <v>93</v>
      </c>
      <c r="C320" s="4" t="n">
        <v>11</v>
      </c>
      <c r="D320" s="4" t="n">
        <v>317</v>
      </c>
      <c r="E320" s="4" t="s">
        <v>112</v>
      </c>
      <c r="F320" s="4" t="n">
        <v>16</v>
      </c>
      <c r="G320" s="4" t="n">
        <v>12</v>
      </c>
      <c r="H320" s="4" t="n">
        <v>56600</v>
      </c>
      <c r="I320" s="13" t="b">
        <f aca="false">FALSE()</f>
        <v>0</v>
      </c>
      <c r="K320" s="4" t="s">
        <v>546</v>
      </c>
      <c r="L320" s="4" t="n">
        <v>6412.78</v>
      </c>
      <c r="M320" s="11" t="n">
        <f aca="false">IFERROR(MATCH(Controls!$B$3&amp;"|"&amp;B320,'Scenario inputs'!$A$4:$A$213,0),0)</f>
        <v>142</v>
      </c>
      <c r="N320" s="8" t="b">
        <f aca="false">IF(M320=0,FALSE(),F320&lt;Controls!$B$12)</f>
        <v>1</v>
      </c>
      <c r="O320" s="11" t="n">
        <f aca="false">IF(N320,IF(INDEX('Scenario inputs'!$E$4:$E$213,M320)=0,1,INDEX('Scenario inputs'!$F$4:$M$213,M320,MIN(MAX(F320-G320,0),INDEX('Scenario inputs'!$E$4:$E$213,M320)-1)+1)),0)</f>
        <v>1</v>
      </c>
      <c r="P320" s="11" t="n">
        <f aca="false">H320*O320</f>
        <v>56600</v>
      </c>
      <c r="Q320" s="0" t="str">
        <f aca="false">IF(M320=0,"",IF(ISNUMBER(INDEX('Scenario inputs'!$N$4:$N$213,M320)),INDEX('Scenario inputs'!$N$4:$N$213,M320),""))</f>
        <v/>
      </c>
      <c r="R320" s="0" t="str">
        <f aca="false">IF(NOT(N320),"",IF(OR(E320="cash",E320="revenue"),E320,IF(E320="avoided_cost",IF(AND(I320,LEN(TRIM(J320))&gt;0),"avoided_cost_realised","avoided_cost_beside"),IF(ISNUMBER(Q320),"capacity_converted","capacity_hours"))))</f>
        <v>cash</v>
      </c>
      <c r="S320" s="11" t="n">
        <f aca="false">IF(OR(R320="",R320="capacity_hours"),0,IF(R320="capacity_converted",P320*Q320,P320))</f>
        <v>56600</v>
      </c>
      <c r="T320" s="11" t="n">
        <f aca="false">IF(OR(R320="cash",R320="revenue",R320="avoided_cost_realised",R320="capacity_converted"),1,0)</f>
        <v>1</v>
      </c>
      <c r="U320" s="11" t="n">
        <f aca="false">IF(AND(N320,R320&lt;&gt;"capacity_hours",LEN(K320)&gt;0),1,0)</f>
        <v>1</v>
      </c>
      <c r="V320" s="11" t="n">
        <f aca="false">IF(U320=1,SUMPRODUCT(($K$4:$K$703=K320)*($F$4:$F$703=F320)*($U$4:$U$703=1)*($B$4:$B$703&lt;&gt;B320)),0)</f>
        <v>0</v>
      </c>
      <c r="W320" s="11" t="n">
        <f aca="false">IF(AND(U320=1,V320&gt;0),1+SUMPRODUCT(($K$4:$K$703=K320)*($F$4:$F$703=F320)*($U$4:$U$703=1)*($S$4:$S$703&gt;S320))+SUMPRODUCT(($K$4:$K$703=K320)*($F$4:$F$703=F320)*($U$4:$U$703=1)*($S$4:$S$703=S320)*($T$4:$T$703&gt;T320))+SUMPRODUCT(($K$4:$K$703=K320)*($F$4:$F$703=F320)*($U$4:$U$703=1)*($S$4:$S$703=S320)*($T$4:$T$703=T320)*($C$4:$C$703&lt;C320))+SUMPRODUCT(($K$4:$K$703=K320)*($F$4:$F$703=F320)*($U$4:$U$703=1)*($S$4:$S$703=S320)*($T$4:$T$703=T320)*($C$4:$C$703=C320)*($D$4:$D$703&lt;D320)),0)</f>
        <v>0</v>
      </c>
      <c r="X320" s="11" t="n">
        <f aca="false">IF(AND(U320=1,V320&gt;0,W320&gt;1),S320,0)</f>
        <v>0</v>
      </c>
      <c r="Y320" s="11" t="n">
        <f aca="false">IF(T320=1,X320/(1+Controls!$B$11)^F320,0)</f>
        <v>0</v>
      </c>
      <c r="Z320" s="11" t="n">
        <f aca="false">IF(AND(N320,E320="capacity",LEN(K320)&gt;0),1,0)</f>
        <v>0</v>
      </c>
      <c r="AA320" s="11" t="n">
        <f aca="false">IF(Z320=1,SUMPRODUCT(($K$4:$K$703=K320)*($F$4:$F$703=F320)*($Z$4:$Z$703=1)*($B$4:$B$703&lt;&gt;B320)),0)</f>
        <v>0</v>
      </c>
      <c r="AB320" s="11" t="n">
        <f aca="false">IF(AND(Z320=1,AA320&gt;0),1+SUMPRODUCT(($K$4:$K$703=K320)*($F$4:$F$703=F320)*($Z$4:$Z$703=1)*($P$4:$P$703&gt;P320))+SUMPRODUCT(($K$4:$K$703=K320)*($F$4:$F$703=F320)*($Z$4:$Z$703=1)*($P$4:$P$703=P320)*($C$4:$C$703&lt;C320))+SUMPRODUCT(($K$4:$K$703=K320)*($F$4:$F$703=F320)*($Z$4:$Z$703=1)*($P$4:$P$703=P320)*($C$4:$C$703=C320)*($D$4:$D$703&lt;D320)),0)</f>
        <v>0</v>
      </c>
      <c r="AC320" s="11" t="n">
        <f aca="false">IF(AND(Z320=1,AA320&gt;0,AB320&gt;1),P320,0)</f>
        <v>0</v>
      </c>
    </row>
    <row r="321" customFormat="false" ht="15" hidden="false" customHeight="false" outlineLevel="0" collapsed="false">
      <c r="A321" s="4" t="s">
        <v>551</v>
      </c>
      <c r="B321" s="4" t="s">
        <v>93</v>
      </c>
      <c r="C321" s="4" t="n">
        <v>11</v>
      </c>
      <c r="D321" s="4" t="n">
        <v>318</v>
      </c>
      <c r="E321" s="4" t="s">
        <v>112</v>
      </c>
      <c r="F321" s="4" t="n">
        <v>17</v>
      </c>
      <c r="G321" s="4" t="n">
        <v>12</v>
      </c>
      <c r="H321" s="4" t="n">
        <v>56600</v>
      </c>
      <c r="I321" s="13" t="b">
        <f aca="false">FALSE()</f>
        <v>0</v>
      </c>
      <c r="K321" s="4" t="s">
        <v>546</v>
      </c>
      <c r="L321" s="4" t="n">
        <v>6412.78</v>
      </c>
      <c r="M321" s="11" t="n">
        <f aca="false">IFERROR(MATCH(Controls!$B$3&amp;"|"&amp;B321,'Scenario inputs'!$A$4:$A$213,0),0)</f>
        <v>142</v>
      </c>
      <c r="N321" s="8" t="b">
        <f aca="false">IF(M321=0,FALSE(),F321&lt;Controls!$B$12)</f>
        <v>1</v>
      </c>
      <c r="O321" s="11" t="n">
        <f aca="false">IF(N321,IF(INDEX('Scenario inputs'!$E$4:$E$213,M321)=0,1,INDEX('Scenario inputs'!$F$4:$M$213,M321,MIN(MAX(F321-G321,0),INDEX('Scenario inputs'!$E$4:$E$213,M321)-1)+1)),0)</f>
        <v>1</v>
      </c>
      <c r="P321" s="11" t="n">
        <f aca="false">H321*O321</f>
        <v>56600</v>
      </c>
      <c r="Q321" s="0" t="str">
        <f aca="false">IF(M321=0,"",IF(ISNUMBER(INDEX('Scenario inputs'!$N$4:$N$213,M321)),INDEX('Scenario inputs'!$N$4:$N$213,M321),""))</f>
        <v/>
      </c>
      <c r="R321" s="0" t="str">
        <f aca="false">IF(NOT(N321),"",IF(OR(E321="cash",E321="revenue"),E321,IF(E321="avoided_cost",IF(AND(I321,LEN(TRIM(J321))&gt;0),"avoided_cost_realised","avoided_cost_beside"),IF(ISNUMBER(Q321),"capacity_converted","capacity_hours"))))</f>
        <v>cash</v>
      </c>
      <c r="S321" s="11" t="n">
        <f aca="false">IF(OR(R321="",R321="capacity_hours"),0,IF(R321="capacity_converted",P321*Q321,P321))</f>
        <v>56600</v>
      </c>
      <c r="T321" s="11" t="n">
        <f aca="false">IF(OR(R321="cash",R321="revenue",R321="avoided_cost_realised",R321="capacity_converted"),1,0)</f>
        <v>1</v>
      </c>
      <c r="U321" s="11" t="n">
        <f aca="false">IF(AND(N321,R321&lt;&gt;"capacity_hours",LEN(K321)&gt;0),1,0)</f>
        <v>1</v>
      </c>
      <c r="V321" s="11" t="n">
        <f aca="false">IF(U321=1,SUMPRODUCT(($K$4:$K$703=K321)*($F$4:$F$703=F321)*($U$4:$U$703=1)*($B$4:$B$703&lt;&gt;B321)),0)</f>
        <v>0</v>
      </c>
      <c r="W321" s="11" t="n">
        <f aca="false">IF(AND(U321=1,V321&gt;0),1+SUMPRODUCT(($K$4:$K$703=K321)*($F$4:$F$703=F321)*($U$4:$U$703=1)*($S$4:$S$703&gt;S321))+SUMPRODUCT(($K$4:$K$703=K321)*($F$4:$F$703=F321)*($U$4:$U$703=1)*($S$4:$S$703=S321)*($T$4:$T$703&gt;T321))+SUMPRODUCT(($K$4:$K$703=K321)*($F$4:$F$703=F321)*($U$4:$U$703=1)*($S$4:$S$703=S321)*($T$4:$T$703=T321)*($C$4:$C$703&lt;C321))+SUMPRODUCT(($K$4:$K$703=K321)*($F$4:$F$703=F321)*($U$4:$U$703=1)*($S$4:$S$703=S321)*($T$4:$T$703=T321)*($C$4:$C$703=C321)*($D$4:$D$703&lt;D321)),0)</f>
        <v>0</v>
      </c>
      <c r="X321" s="11" t="n">
        <f aca="false">IF(AND(U321=1,V321&gt;0,W321&gt;1),S321,0)</f>
        <v>0</v>
      </c>
      <c r="Y321" s="11" t="n">
        <f aca="false">IF(T321=1,X321/(1+Controls!$B$11)^F321,0)</f>
        <v>0</v>
      </c>
      <c r="Z321" s="11" t="n">
        <f aca="false">IF(AND(N321,E321="capacity",LEN(K321)&gt;0),1,0)</f>
        <v>0</v>
      </c>
      <c r="AA321" s="11" t="n">
        <f aca="false">IF(Z321=1,SUMPRODUCT(($K$4:$K$703=K321)*($F$4:$F$703=F321)*($Z$4:$Z$703=1)*($B$4:$B$703&lt;&gt;B321)),0)</f>
        <v>0</v>
      </c>
      <c r="AB321" s="11" t="n">
        <f aca="false">IF(AND(Z321=1,AA321&gt;0),1+SUMPRODUCT(($K$4:$K$703=K321)*($F$4:$F$703=F321)*($Z$4:$Z$703=1)*($P$4:$P$703&gt;P321))+SUMPRODUCT(($K$4:$K$703=K321)*($F$4:$F$703=F321)*($Z$4:$Z$703=1)*($P$4:$P$703=P321)*($C$4:$C$703&lt;C321))+SUMPRODUCT(($K$4:$K$703=K321)*($F$4:$F$703=F321)*($Z$4:$Z$703=1)*($P$4:$P$703=P321)*($C$4:$C$703=C321)*($D$4:$D$703&lt;D321)),0)</f>
        <v>0</v>
      </c>
      <c r="AC321" s="11" t="n">
        <f aca="false">IF(AND(Z321=1,AA321&gt;0,AB321&gt;1),P321,0)</f>
        <v>0</v>
      </c>
    </row>
    <row r="322" customFormat="false" ht="15" hidden="false" customHeight="false" outlineLevel="0" collapsed="false">
      <c r="A322" s="4" t="s">
        <v>552</v>
      </c>
      <c r="B322" s="4" t="s">
        <v>93</v>
      </c>
      <c r="C322" s="4" t="n">
        <v>11</v>
      </c>
      <c r="D322" s="4" t="n">
        <v>319</v>
      </c>
      <c r="E322" s="4" t="s">
        <v>112</v>
      </c>
      <c r="F322" s="4" t="n">
        <v>18</v>
      </c>
      <c r="G322" s="4" t="n">
        <v>12</v>
      </c>
      <c r="H322" s="4" t="n">
        <v>56600</v>
      </c>
      <c r="I322" s="13" t="b">
        <f aca="false">FALSE()</f>
        <v>0</v>
      </c>
      <c r="K322" s="4" t="s">
        <v>546</v>
      </c>
      <c r="L322" s="4" t="n">
        <v>6412.78</v>
      </c>
      <c r="M322" s="11" t="n">
        <f aca="false">IFERROR(MATCH(Controls!$B$3&amp;"|"&amp;B322,'Scenario inputs'!$A$4:$A$213,0),0)</f>
        <v>142</v>
      </c>
      <c r="N322" s="8" t="b">
        <f aca="false">IF(M322=0,FALSE(),F322&lt;Controls!$B$12)</f>
        <v>1</v>
      </c>
      <c r="O322" s="11" t="n">
        <f aca="false">IF(N322,IF(INDEX('Scenario inputs'!$E$4:$E$213,M322)=0,1,INDEX('Scenario inputs'!$F$4:$M$213,M322,MIN(MAX(F322-G322,0),INDEX('Scenario inputs'!$E$4:$E$213,M322)-1)+1)),0)</f>
        <v>1</v>
      </c>
      <c r="P322" s="11" t="n">
        <f aca="false">H322*O322</f>
        <v>56600</v>
      </c>
      <c r="Q322" s="0" t="str">
        <f aca="false">IF(M322=0,"",IF(ISNUMBER(INDEX('Scenario inputs'!$N$4:$N$213,M322)),INDEX('Scenario inputs'!$N$4:$N$213,M322),""))</f>
        <v/>
      </c>
      <c r="R322" s="0" t="str">
        <f aca="false">IF(NOT(N322),"",IF(OR(E322="cash",E322="revenue"),E322,IF(E322="avoided_cost",IF(AND(I322,LEN(TRIM(J322))&gt;0),"avoided_cost_realised","avoided_cost_beside"),IF(ISNUMBER(Q322),"capacity_converted","capacity_hours"))))</f>
        <v>cash</v>
      </c>
      <c r="S322" s="11" t="n">
        <f aca="false">IF(OR(R322="",R322="capacity_hours"),0,IF(R322="capacity_converted",P322*Q322,P322))</f>
        <v>56600</v>
      </c>
      <c r="T322" s="11" t="n">
        <f aca="false">IF(OR(R322="cash",R322="revenue",R322="avoided_cost_realised",R322="capacity_converted"),1,0)</f>
        <v>1</v>
      </c>
      <c r="U322" s="11" t="n">
        <f aca="false">IF(AND(N322,R322&lt;&gt;"capacity_hours",LEN(K322)&gt;0),1,0)</f>
        <v>1</v>
      </c>
      <c r="V322" s="11" t="n">
        <f aca="false">IF(U322=1,SUMPRODUCT(($K$4:$K$703=K322)*($F$4:$F$703=F322)*($U$4:$U$703=1)*($B$4:$B$703&lt;&gt;B322)),0)</f>
        <v>0</v>
      </c>
      <c r="W322" s="11" t="n">
        <f aca="false">IF(AND(U322=1,V322&gt;0),1+SUMPRODUCT(($K$4:$K$703=K322)*($F$4:$F$703=F322)*($U$4:$U$703=1)*($S$4:$S$703&gt;S322))+SUMPRODUCT(($K$4:$K$703=K322)*($F$4:$F$703=F322)*($U$4:$U$703=1)*($S$4:$S$703=S322)*($T$4:$T$703&gt;T322))+SUMPRODUCT(($K$4:$K$703=K322)*($F$4:$F$703=F322)*($U$4:$U$703=1)*($S$4:$S$703=S322)*($T$4:$T$703=T322)*($C$4:$C$703&lt;C322))+SUMPRODUCT(($K$4:$K$703=K322)*($F$4:$F$703=F322)*($U$4:$U$703=1)*($S$4:$S$703=S322)*($T$4:$T$703=T322)*($C$4:$C$703=C322)*($D$4:$D$703&lt;D322)),0)</f>
        <v>0</v>
      </c>
      <c r="X322" s="11" t="n">
        <f aca="false">IF(AND(U322=1,V322&gt;0,W322&gt;1),S322,0)</f>
        <v>0</v>
      </c>
      <c r="Y322" s="11" t="n">
        <f aca="false">IF(T322=1,X322/(1+Controls!$B$11)^F322,0)</f>
        <v>0</v>
      </c>
      <c r="Z322" s="11" t="n">
        <f aca="false">IF(AND(N322,E322="capacity",LEN(K322)&gt;0),1,0)</f>
        <v>0</v>
      </c>
      <c r="AA322" s="11" t="n">
        <f aca="false">IF(Z322=1,SUMPRODUCT(($K$4:$K$703=K322)*($F$4:$F$703=F322)*($Z$4:$Z$703=1)*($B$4:$B$703&lt;&gt;B322)),0)</f>
        <v>0</v>
      </c>
      <c r="AB322" s="11" t="n">
        <f aca="false">IF(AND(Z322=1,AA322&gt;0),1+SUMPRODUCT(($K$4:$K$703=K322)*($F$4:$F$703=F322)*($Z$4:$Z$703=1)*($P$4:$P$703&gt;P322))+SUMPRODUCT(($K$4:$K$703=K322)*($F$4:$F$703=F322)*($Z$4:$Z$703=1)*($P$4:$P$703=P322)*($C$4:$C$703&lt;C322))+SUMPRODUCT(($K$4:$K$703=K322)*($F$4:$F$703=F322)*($Z$4:$Z$703=1)*($P$4:$P$703=P322)*($C$4:$C$703=C322)*($D$4:$D$703&lt;D322)),0)</f>
        <v>0</v>
      </c>
      <c r="AC322" s="11" t="n">
        <f aca="false">IF(AND(Z322=1,AA322&gt;0,AB322&gt;1),P322,0)</f>
        <v>0</v>
      </c>
    </row>
    <row r="323" customFormat="false" ht="15" hidden="false" customHeight="false" outlineLevel="0" collapsed="false">
      <c r="A323" s="4" t="s">
        <v>553</v>
      </c>
      <c r="B323" s="4" t="s">
        <v>93</v>
      </c>
      <c r="C323" s="4" t="n">
        <v>11</v>
      </c>
      <c r="D323" s="4" t="n">
        <v>320</v>
      </c>
      <c r="E323" s="4" t="s">
        <v>112</v>
      </c>
      <c r="F323" s="4" t="n">
        <v>19</v>
      </c>
      <c r="G323" s="4" t="n">
        <v>12</v>
      </c>
      <c r="H323" s="4" t="n">
        <v>56600</v>
      </c>
      <c r="I323" s="13" t="b">
        <f aca="false">FALSE()</f>
        <v>0</v>
      </c>
      <c r="K323" s="4" t="s">
        <v>546</v>
      </c>
      <c r="L323" s="4" t="n">
        <v>6412.78</v>
      </c>
      <c r="M323" s="11" t="n">
        <f aca="false">IFERROR(MATCH(Controls!$B$3&amp;"|"&amp;B323,'Scenario inputs'!$A$4:$A$213,0),0)</f>
        <v>142</v>
      </c>
      <c r="N323" s="8" t="b">
        <f aca="false">IF(M323=0,FALSE(),F323&lt;Controls!$B$12)</f>
        <v>1</v>
      </c>
      <c r="O323" s="11" t="n">
        <f aca="false">IF(N323,IF(INDEX('Scenario inputs'!$E$4:$E$213,M323)=0,1,INDEX('Scenario inputs'!$F$4:$M$213,M323,MIN(MAX(F323-G323,0),INDEX('Scenario inputs'!$E$4:$E$213,M323)-1)+1)),0)</f>
        <v>1</v>
      </c>
      <c r="P323" s="11" t="n">
        <f aca="false">H323*O323</f>
        <v>56600</v>
      </c>
      <c r="Q323" s="0" t="str">
        <f aca="false">IF(M323=0,"",IF(ISNUMBER(INDEX('Scenario inputs'!$N$4:$N$213,M323)),INDEX('Scenario inputs'!$N$4:$N$213,M323),""))</f>
        <v/>
      </c>
      <c r="R323" s="0" t="str">
        <f aca="false">IF(NOT(N323),"",IF(OR(E323="cash",E323="revenue"),E323,IF(E323="avoided_cost",IF(AND(I323,LEN(TRIM(J323))&gt;0),"avoided_cost_realised","avoided_cost_beside"),IF(ISNUMBER(Q323),"capacity_converted","capacity_hours"))))</f>
        <v>cash</v>
      </c>
      <c r="S323" s="11" t="n">
        <f aca="false">IF(OR(R323="",R323="capacity_hours"),0,IF(R323="capacity_converted",P323*Q323,P323))</f>
        <v>56600</v>
      </c>
      <c r="T323" s="11" t="n">
        <f aca="false">IF(OR(R323="cash",R323="revenue",R323="avoided_cost_realised",R323="capacity_converted"),1,0)</f>
        <v>1</v>
      </c>
      <c r="U323" s="11" t="n">
        <f aca="false">IF(AND(N323,R323&lt;&gt;"capacity_hours",LEN(K323)&gt;0),1,0)</f>
        <v>1</v>
      </c>
      <c r="V323" s="11" t="n">
        <f aca="false">IF(U323=1,SUMPRODUCT(($K$4:$K$703=K323)*($F$4:$F$703=F323)*($U$4:$U$703=1)*($B$4:$B$703&lt;&gt;B323)),0)</f>
        <v>0</v>
      </c>
      <c r="W323" s="11" t="n">
        <f aca="false">IF(AND(U323=1,V323&gt;0),1+SUMPRODUCT(($K$4:$K$703=K323)*($F$4:$F$703=F323)*($U$4:$U$703=1)*($S$4:$S$703&gt;S323))+SUMPRODUCT(($K$4:$K$703=K323)*($F$4:$F$703=F323)*($U$4:$U$703=1)*($S$4:$S$703=S323)*($T$4:$T$703&gt;T323))+SUMPRODUCT(($K$4:$K$703=K323)*($F$4:$F$703=F323)*($U$4:$U$703=1)*($S$4:$S$703=S323)*($T$4:$T$703=T323)*($C$4:$C$703&lt;C323))+SUMPRODUCT(($K$4:$K$703=K323)*($F$4:$F$703=F323)*($U$4:$U$703=1)*($S$4:$S$703=S323)*($T$4:$T$703=T323)*($C$4:$C$703=C323)*($D$4:$D$703&lt;D323)),0)</f>
        <v>0</v>
      </c>
      <c r="X323" s="11" t="n">
        <f aca="false">IF(AND(U323=1,V323&gt;0,W323&gt;1),S323,0)</f>
        <v>0</v>
      </c>
      <c r="Y323" s="11" t="n">
        <f aca="false">IF(T323=1,X323/(1+Controls!$B$11)^F323,0)</f>
        <v>0</v>
      </c>
      <c r="Z323" s="11" t="n">
        <f aca="false">IF(AND(N323,E323="capacity",LEN(K323)&gt;0),1,0)</f>
        <v>0</v>
      </c>
      <c r="AA323" s="11" t="n">
        <f aca="false">IF(Z323=1,SUMPRODUCT(($K$4:$K$703=K323)*($F$4:$F$703=F323)*($Z$4:$Z$703=1)*($B$4:$B$703&lt;&gt;B323)),0)</f>
        <v>0</v>
      </c>
      <c r="AB323" s="11" t="n">
        <f aca="false">IF(AND(Z323=1,AA323&gt;0),1+SUMPRODUCT(($K$4:$K$703=K323)*($F$4:$F$703=F323)*($Z$4:$Z$703=1)*($P$4:$P$703&gt;P323))+SUMPRODUCT(($K$4:$K$703=K323)*($F$4:$F$703=F323)*($Z$4:$Z$703=1)*($P$4:$P$703=P323)*($C$4:$C$703&lt;C323))+SUMPRODUCT(($K$4:$K$703=K323)*($F$4:$F$703=F323)*($Z$4:$Z$703=1)*($P$4:$P$703=P323)*($C$4:$C$703=C323)*($D$4:$D$703&lt;D323)),0)</f>
        <v>0</v>
      </c>
      <c r="AC323" s="11" t="n">
        <f aca="false">IF(AND(Z323=1,AA323&gt;0,AB323&gt;1),P323,0)</f>
        <v>0</v>
      </c>
    </row>
    <row r="324" customFormat="false" ht="15" hidden="false" customHeight="false" outlineLevel="0" collapsed="false">
      <c r="A324" s="4" t="s">
        <v>554</v>
      </c>
      <c r="B324" s="4" t="s">
        <v>93</v>
      </c>
      <c r="C324" s="4" t="n">
        <v>11</v>
      </c>
      <c r="D324" s="4" t="n">
        <v>321</v>
      </c>
      <c r="E324" s="4" t="s">
        <v>112</v>
      </c>
      <c r="F324" s="4" t="n">
        <v>20</v>
      </c>
      <c r="G324" s="4" t="n">
        <v>12</v>
      </c>
      <c r="H324" s="4" t="n">
        <v>56600</v>
      </c>
      <c r="I324" s="13" t="b">
        <f aca="false">FALSE()</f>
        <v>0</v>
      </c>
      <c r="K324" s="4" t="s">
        <v>546</v>
      </c>
      <c r="L324" s="4" t="n">
        <v>6412.78</v>
      </c>
      <c r="M324" s="11" t="n">
        <f aca="false">IFERROR(MATCH(Controls!$B$3&amp;"|"&amp;B324,'Scenario inputs'!$A$4:$A$213,0),0)</f>
        <v>142</v>
      </c>
      <c r="N324" s="8" t="b">
        <f aca="false">IF(M324=0,FALSE(),F324&lt;Controls!$B$12)</f>
        <v>1</v>
      </c>
      <c r="O324" s="11" t="n">
        <f aca="false">IF(N324,IF(INDEX('Scenario inputs'!$E$4:$E$213,M324)=0,1,INDEX('Scenario inputs'!$F$4:$M$213,M324,MIN(MAX(F324-G324,0),INDEX('Scenario inputs'!$E$4:$E$213,M324)-1)+1)),0)</f>
        <v>1</v>
      </c>
      <c r="P324" s="11" t="n">
        <f aca="false">H324*O324</f>
        <v>56600</v>
      </c>
      <c r="Q324" s="0" t="str">
        <f aca="false">IF(M324=0,"",IF(ISNUMBER(INDEX('Scenario inputs'!$N$4:$N$213,M324)),INDEX('Scenario inputs'!$N$4:$N$213,M324),""))</f>
        <v/>
      </c>
      <c r="R324" s="0" t="str">
        <f aca="false">IF(NOT(N324),"",IF(OR(E324="cash",E324="revenue"),E324,IF(E324="avoided_cost",IF(AND(I324,LEN(TRIM(J324))&gt;0),"avoided_cost_realised","avoided_cost_beside"),IF(ISNUMBER(Q324),"capacity_converted","capacity_hours"))))</f>
        <v>cash</v>
      </c>
      <c r="S324" s="11" t="n">
        <f aca="false">IF(OR(R324="",R324="capacity_hours"),0,IF(R324="capacity_converted",P324*Q324,P324))</f>
        <v>56600</v>
      </c>
      <c r="T324" s="11" t="n">
        <f aca="false">IF(OR(R324="cash",R324="revenue",R324="avoided_cost_realised",R324="capacity_converted"),1,0)</f>
        <v>1</v>
      </c>
      <c r="U324" s="11" t="n">
        <f aca="false">IF(AND(N324,R324&lt;&gt;"capacity_hours",LEN(K324)&gt;0),1,0)</f>
        <v>1</v>
      </c>
      <c r="V324" s="11" t="n">
        <f aca="false">IF(U324=1,SUMPRODUCT(($K$4:$K$703=K324)*($F$4:$F$703=F324)*($U$4:$U$703=1)*($B$4:$B$703&lt;&gt;B324)),0)</f>
        <v>0</v>
      </c>
      <c r="W324" s="11" t="n">
        <f aca="false">IF(AND(U324=1,V324&gt;0),1+SUMPRODUCT(($K$4:$K$703=K324)*($F$4:$F$703=F324)*($U$4:$U$703=1)*($S$4:$S$703&gt;S324))+SUMPRODUCT(($K$4:$K$703=K324)*($F$4:$F$703=F324)*($U$4:$U$703=1)*($S$4:$S$703=S324)*($T$4:$T$703&gt;T324))+SUMPRODUCT(($K$4:$K$703=K324)*($F$4:$F$703=F324)*($U$4:$U$703=1)*($S$4:$S$703=S324)*($T$4:$T$703=T324)*($C$4:$C$703&lt;C324))+SUMPRODUCT(($K$4:$K$703=K324)*($F$4:$F$703=F324)*($U$4:$U$703=1)*($S$4:$S$703=S324)*($T$4:$T$703=T324)*($C$4:$C$703=C324)*($D$4:$D$703&lt;D324)),0)</f>
        <v>0</v>
      </c>
      <c r="X324" s="11" t="n">
        <f aca="false">IF(AND(U324=1,V324&gt;0,W324&gt;1),S324,0)</f>
        <v>0</v>
      </c>
      <c r="Y324" s="11" t="n">
        <f aca="false">IF(T324=1,X324/(1+Controls!$B$11)^F324,0)</f>
        <v>0</v>
      </c>
      <c r="Z324" s="11" t="n">
        <f aca="false">IF(AND(N324,E324="capacity",LEN(K324)&gt;0),1,0)</f>
        <v>0</v>
      </c>
      <c r="AA324" s="11" t="n">
        <f aca="false">IF(Z324=1,SUMPRODUCT(($K$4:$K$703=K324)*($F$4:$F$703=F324)*($Z$4:$Z$703=1)*($B$4:$B$703&lt;&gt;B324)),0)</f>
        <v>0</v>
      </c>
      <c r="AB324" s="11" t="n">
        <f aca="false">IF(AND(Z324=1,AA324&gt;0),1+SUMPRODUCT(($K$4:$K$703=K324)*($F$4:$F$703=F324)*($Z$4:$Z$703=1)*($P$4:$P$703&gt;P324))+SUMPRODUCT(($K$4:$K$703=K324)*($F$4:$F$703=F324)*($Z$4:$Z$703=1)*($P$4:$P$703=P324)*($C$4:$C$703&lt;C324))+SUMPRODUCT(($K$4:$K$703=K324)*($F$4:$F$703=F324)*($Z$4:$Z$703=1)*($P$4:$P$703=P324)*($C$4:$C$703=C324)*($D$4:$D$703&lt;D324)),0)</f>
        <v>0</v>
      </c>
      <c r="AC324" s="11" t="n">
        <f aca="false">IF(AND(Z324=1,AA324&gt;0,AB324&gt;1),P324,0)</f>
        <v>0</v>
      </c>
    </row>
    <row r="325" customFormat="false" ht="15" hidden="false" customHeight="false" outlineLevel="0" collapsed="false">
      <c r="A325" s="4" t="s">
        <v>555</v>
      </c>
      <c r="B325" s="4" t="s">
        <v>93</v>
      </c>
      <c r="C325" s="4" t="n">
        <v>11</v>
      </c>
      <c r="D325" s="4" t="n">
        <v>322</v>
      </c>
      <c r="E325" s="4" t="s">
        <v>112</v>
      </c>
      <c r="F325" s="4" t="n">
        <v>21</v>
      </c>
      <c r="G325" s="4" t="n">
        <v>12</v>
      </c>
      <c r="H325" s="4" t="n">
        <v>56600</v>
      </c>
      <c r="I325" s="13" t="b">
        <f aca="false">FALSE()</f>
        <v>0</v>
      </c>
      <c r="K325" s="4" t="s">
        <v>546</v>
      </c>
      <c r="L325" s="4" t="n">
        <v>6412.78</v>
      </c>
      <c r="M325" s="11" t="n">
        <f aca="false">IFERROR(MATCH(Controls!$B$3&amp;"|"&amp;B325,'Scenario inputs'!$A$4:$A$213,0),0)</f>
        <v>142</v>
      </c>
      <c r="N325" s="8" t="b">
        <f aca="false">IF(M325=0,FALSE(),F325&lt;Controls!$B$12)</f>
        <v>1</v>
      </c>
      <c r="O325" s="11" t="n">
        <f aca="false">IF(N325,IF(INDEX('Scenario inputs'!$E$4:$E$213,M325)=0,1,INDEX('Scenario inputs'!$F$4:$M$213,M325,MIN(MAX(F325-G325,0),INDEX('Scenario inputs'!$E$4:$E$213,M325)-1)+1)),0)</f>
        <v>1</v>
      </c>
      <c r="P325" s="11" t="n">
        <f aca="false">H325*O325</f>
        <v>56600</v>
      </c>
      <c r="Q325" s="0" t="str">
        <f aca="false">IF(M325=0,"",IF(ISNUMBER(INDEX('Scenario inputs'!$N$4:$N$213,M325)),INDEX('Scenario inputs'!$N$4:$N$213,M325),""))</f>
        <v/>
      </c>
      <c r="R325" s="0" t="str">
        <f aca="false">IF(NOT(N325),"",IF(OR(E325="cash",E325="revenue"),E325,IF(E325="avoided_cost",IF(AND(I325,LEN(TRIM(J325))&gt;0),"avoided_cost_realised","avoided_cost_beside"),IF(ISNUMBER(Q325),"capacity_converted","capacity_hours"))))</f>
        <v>cash</v>
      </c>
      <c r="S325" s="11" t="n">
        <f aca="false">IF(OR(R325="",R325="capacity_hours"),0,IF(R325="capacity_converted",P325*Q325,P325))</f>
        <v>56600</v>
      </c>
      <c r="T325" s="11" t="n">
        <f aca="false">IF(OR(R325="cash",R325="revenue",R325="avoided_cost_realised",R325="capacity_converted"),1,0)</f>
        <v>1</v>
      </c>
      <c r="U325" s="11" t="n">
        <f aca="false">IF(AND(N325,R325&lt;&gt;"capacity_hours",LEN(K325)&gt;0),1,0)</f>
        <v>1</v>
      </c>
      <c r="V325" s="11" t="n">
        <f aca="false">IF(U325=1,SUMPRODUCT(($K$4:$K$703=K325)*($F$4:$F$703=F325)*($U$4:$U$703=1)*($B$4:$B$703&lt;&gt;B325)),0)</f>
        <v>0</v>
      </c>
      <c r="W325" s="11" t="n">
        <f aca="false">IF(AND(U325=1,V325&gt;0),1+SUMPRODUCT(($K$4:$K$703=K325)*($F$4:$F$703=F325)*($U$4:$U$703=1)*($S$4:$S$703&gt;S325))+SUMPRODUCT(($K$4:$K$703=K325)*($F$4:$F$703=F325)*($U$4:$U$703=1)*($S$4:$S$703=S325)*($T$4:$T$703&gt;T325))+SUMPRODUCT(($K$4:$K$703=K325)*($F$4:$F$703=F325)*($U$4:$U$703=1)*($S$4:$S$703=S325)*($T$4:$T$703=T325)*($C$4:$C$703&lt;C325))+SUMPRODUCT(($K$4:$K$703=K325)*($F$4:$F$703=F325)*($U$4:$U$703=1)*($S$4:$S$703=S325)*($T$4:$T$703=T325)*($C$4:$C$703=C325)*($D$4:$D$703&lt;D325)),0)</f>
        <v>0</v>
      </c>
      <c r="X325" s="11" t="n">
        <f aca="false">IF(AND(U325=1,V325&gt;0,W325&gt;1),S325,0)</f>
        <v>0</v>
      </c>
      <c r="Y325" s="11" t="n">
        <f aca="false">IF(T325=1,X325/(1+Controls!$B$11)^F325,0)</f>
        <v>0</v>
      </c>
      <c r="Z325" s="11" t="n">
        <f aca="false">IF(AND(N325,E325="capacity",LEN(K325)&gt;0),1,0)</f>
        <v>0</v>
      </c>
      <c r="AA325" s="11" t="n">
        <f aca="false">IF(Z325=1,SUMPRODUCT(($K$4:$K$703=K325)*($F$4:$F$703=F325)*($Z$4:$Z$703=1)*($B$4:$B$703&lt;&gt;B325)),0)</f>
        <v>0</v>
      </c>
      <c r="AB325" s="11" t="n">
        <f aca="false">IF(AND(Z325=1,AA325&gt;0),1+SUMPRODUCT(($K$4:$K$703=K325)*($F$4:$F$703=F325)*($Z$4:$Z$703=1)*($P$4:$P$703&gt;P325))+SUMPRODUCT(($K$4:$K$703=K325)*($F$4:$F$703=F325)*($Z$4:$Z$703=1)*($P$4:$P$703=P325)*($C$4:$C$703&lt;C325))+SUMPRODUCT(($K$4:$K$703=K325)*($F$4:$F$703=F325)*($Z$4:$Z$703=1)*($P$4:$P$703=P325)*($C$4:$C$703=C325)*($D$4:$D$703&lt;D325)),0)</f>
        <v>0</v>
      </c>
      <c r="AC325" s="11" t="n">
        <f aca="false">IF(AND(Z325=1,AA325&gt;0,AB325&gt;1),P325,0)</f>
        <v>0</v>
      </c>
    </row>
    <row r="326" customFormat="false" ht="15" hidden="false" customHeight="false" outlineLevel="0" collapsed="false">
      <c r="A326" s="4" t="s">
        <v>556</v>
      </c>
      <c r="B326" s="4" t="s">
        <v>93</v>
      </c>
      <c r="C326" s="4" t="n">
        <v>11</v>
      </c>
      <c r="D326" s="4" t="n">
        <v>323</v>
      </c>
      <c r="E326" s="4" t="s">
        <v>112</v>
      </c>
      <c r="F326" s="4" t="n">
        <v>22</v>
      </c>
      <c r="G326" s="4" t="n">
        <v>12</v>
      </c>
      <c r="H326" s="4" t="n">
        <v>56600</v>
      </c>
      <c r="I326" s="13" t="b">
        <f aca="false">FALSE()</f>
        <v>0</v>
      </c>
      <c r="K326" s="4" t="s">
        <v>546</v>
      </c>
      <c r="L326" s="4" t="n">
        <v>6412.78</v>
      </c>
      <c r="M326" s="11" t="n">
        <f aca="false">IFERROR(MATCH(Controls!$B$3&amp;"|"&amp;B326,'Scenario inputs'!$A$4:$A$213,0),0)</f>
        <v>142</v>
      </c>
      <c r="N326" s="8" t="b">
        <f aca="false">IF(M326=0,FALSE(),F326&lt;Controls!$B$12)</f>
        <v>1</v>
      </c>
      <c r="O326" s="11" t="n">
        <f aca="false">IF(N326,IF(INDEX('Scenario inputs'!$E$4:$E$213,M326)=0,1,INDEX('Scenario inputs'!$F$4:$M$213,M326,MIN(MAX(F326-G326,0),INDEX('Scenario inputs'!$E$4:$E$213,M326)-1)+1)),0)</f>
        <v>1</v>
      </c>
      <c r="P326" s="11" t="n">
        <f aca="false">H326*O326</f>
        <v>56600</v>
      </c>
      <c r="Q326" s="0" t="str">
        <f aca="false">IF(M326=0,"",IF(ISNUMBER(INDEX('Scenario inputs'!$N$4:$N$213,M326)),INDEX('Scenario inputs'!$N$4:$N$213,M326),""))</f>
        <v/>
      </c>
      <c r="R326" s="0" t="str">
        <f aca="false">IF(NOT(N326),"",IF(OR(E326="cash",E326="revenue"),E326,IF(E326="avoided_cost",IF(AND(I326,LEN(TRIM(J326))&gt;0),"avoided_cost_realised","avoided_cost_beside"),IF(ISNUMBER(Q326),"capacity_converted","capacity_hours"))))</f>
        <v>cash</v>
      </c>
      <c r="S326" s="11" t="n">
        <f aca="false">IF(OR(R326="",R326="capacity_hours"),0,IF(R326="capacity_converted",P326*Q326,P326))</f>
        <v>56600</v>
      </c>
      <c r="T326" s="11" t="n">
        <f aca="false">IF(OR(R326="cash",R326="revenue",R326="avoided_cost_realised",R326="capacity_converted"),1,0)</f>
        <v>1</v>
      </c>
      <c r="U326" s="11" t="n">
        <f aca="false">IF(AND(N326,R326&lt;&gt;"capacity_hours",LEN(K326)&gt;0),1,0)</f>
        <v>1</v>
      </c>
      <c r="V326" s="11" t="n">
        <f aca="false">IF(U326=1,SUMPRODUCT(($K$4:$K$703=K326)*($F$4:$F$703=F326)*($U$4:$U$703=1)*($B$4:$B$703&lt;&gt;B326)),0)</f>
        <v>0</v>
      </c>
      <c r="W326" s="11" t="n">
        <f aca="false">IF(AND(U326=1,V326&gt;0),1+SUMPRODUCT(($K$4:$K$703=K326)*($F$4:$F$703=F326)*($U$4:$U$703=1)*($S$4:$S$703&gt;S326))+SUMPRODUCT(($K$4:$K$703=K326)*($F$4:$F$703=F326)*($U$4:$U$703=1)*($S$4:$S$703=S326)*($T$4:$T$703&gt;T326))+SUMPRODUCT(($K$4:$K$703=K326)*($F$4:$F$703=F326)*($U$4:$U$703=1)*($S$4:$S$703=S326)*($T$4:$T$703=T326)*($C$4:$C$703&lt;C326))+SUMPRODUCT(($K$4:$K$703=K326)*($F$4:$F$703=F326)*($U$4:$U$703=1)*($S$4:$S$703=S326)*($T$4:$T$703=T326)*($C$4:$C$703=C326)*($D$4:$D$703&lt;D326)),0)</f>
        <v>0</v>
      </c>
      <c r="X326" s="11" t="n">
        <f aca="false">IF(AND(U326=1,V326&gt;0,W326&gt;1),S326,0)</f>
        <v>0</v>
      </c>
      <c r="Y326" s="11" t="n">
        <f aca="false">IF(T326=1,X326/(1+Controls!$B$11)^F326,0)</f>
        <v>0</v>
      </c>
      <c r="Z326" s="11" t="n">
        <f aca="false">IF(AND(N326,E326="capacity",LEN(K326)&gt;0),1,0)</f>
        <v>0</v>
      </c>
      <c r="AA326" s="11" t="n">
        <f aca="false">IF(Z326=1,SUMPRODUCT(($K$4:$K$703=K326)*($F$4:$F$703=F326)*($Z$4:$Z$703=1)*($B$4:$B$703&lt;&gt;B326)),0)</f>
        <v>0</v>
      </c>
      <c r="AB326" s="11" t="n">
        <f aca="false">IF(AND(Z326=1,AA326&gt;0),1+SUMPRODUCT(($K$4:$K$703=K326)*($F$4:$F$703=F326)*($Z$4:$Z$703=1)*($P$4:$P$703&gt;P326))+SUMPRODUCT(($K$4:$K$703=K326)*($F$4:$F$703=F326)*($Z$4:$Z$703=1)*($P$4:$P$703=P326)*($C$4:$C$703&lt;C326))+SUMPRODUCT(($K$4:$K$703=K326)*($F$4:$F$703=F326)*($Z$4:$Z$703=1)*($P$4:$P$703=P326)*($C$4:$C$703=C326)*($D$4:$D$703&lt;D326)),0)</f>
        <v>0</v>
      </c>
      <c r="AC326" s="11" t="n">
        <f aca="false">IF(AND(Z326=1,AA326&gt;0,AB326&gt;1),P326,0)</f>
        <v>0</v>
      </c>
    </row>
    <row r="327" customFormat="false" ht="15" hidden="false" customHeight="false" outlineLevel="0" collapsed="false">
      <c r="A327" s="4" t="s">
        <v>557</v>
      </c>
      <c r="B327" s="4" t="s">
        <v>93</v>
      </c>
      <c r="C327" s="4" t="n">
        <v>11</v>
      </c>
      <c r="D327" s="4" t="n">
        <v>324</v>
      </c>
      <c r="E327" s="4" t="s">
        <v>112</v>
      </c>
      <c r="F327" s="4" t="n">
        <v>23</v>
      </c>
      <c r="G327" s="4" t="n">
        <v>12</v>
      </c>
      <c r="H327" s="4" t="n">
        <v>56600</v>
      </c>
      <c r="I327" s="13" t="b">
        <f aca="false">FALSE()</f>
        <v>0</v>
      </c>
      <c r="K327" s="4" t="s">
        <v>546</v>
      </c>
      <c r="L327" s="4" t="n">
        <v>6412.78</v>
      </c>
      <c r="M327" s="11" t="n">
        <f aca="false">IFERROR(MATCH(Controls!$B$3&amp;"|"&amp;B327,'Scenario inputs'!$A$4:$A$213,0),0)</f>
        <v>142</v>
      </c>
      <c r="N327" s="8" t="b">
        <f aca="false">IF(M327=0,FALSE(),F327&lt;Controls!$B$12)</f>
        <v>1</v>
      </c>
      <c r="O327" s="11" t="n">
        <f aca="false">IF(N327,IF(INDEX('Scenario inputs'!$E$4:$E$213,M327)=0,1,INDEX('Scenario inputs'!$F$4:$M$213,M327,MIN(MAX(F327-G327,0),INDEX('Scenario inputs'!$E$4:$E$213,M327)-1)+1)),0)</f>
        <v>1</v>
      </c>
      <c r="P327" s="11" t="n">
        <f aca="false">H327*O327</f>
        <v>56600</v>
      </c>
      <c r="Q327" s="0" t="str">
        <f aca="false">IF(M327=0,"",IF(ISNUMBER(INDEX('Scenario inputs'!$N$4:$N$213,M327)),INDEX('Scenario inputs'!$N$4:$N$213,M327),""))</f>
        <v/>
      </c>
      <c r="R327" s="0" t="str">
        <f aca="false">IF(NOT(N327),"",IF(OR(E327="cash",E327="revenue"),E327,IF(E327="avoided_cost",IF(AND(I327,LEN(TRIM(J327))&gt;0),"avoided_cost_realised","avoided_cost_beside"),IF(ISNUMBER(Q327),"capacity_converted","capacity_hours"))))</f>
        <v>cash</v>
      </c>
      <c r="S327" s="11" t="n">
        <f aca="false">IF(OR(R327="",R327="capacity_hours"),0,IF(R327="capacity_converted",P327*Q327,P327))</f>
        <v>56600</v>
      </c>
      <c r="T327" s="11" t="n">
        <f aca="false">IF(OR(R327="cash",R327="revenue",R327="avoided_cost_realised",R327="capacity_converted"),1,0)</f>
        <v>1</v>
      </c>
      <c r="U327" s="11" t="n">
        <f aca="false">IF(AND(N327,R327&lt;&gt;"capacity_hours",LEN(K327)&gt;0),1,0)</f>
        <v>1</v>
      </c>
      <c r="V327" s="11" t="n">
        <f aca="false">IF(U327=1,SUMPRODUCT(($K$4:$K$703=K327)*($F$4:$F$703=F327)*($U$4:$U$703=1)*($B$4:$B$703&lt;&gt;B327)),0)</f>
        <v>0</v>
      </c>
      <c r="W327" s="11" t="n">
        <f aca="false">IF(AND(U327=1,V327&gt;0),1+SUMPRODUCT(($K$4:$K$703=K327)*($F$4:$F$703=F327)*($U$4:$U$703=1)*($S$4:$S$703&gt;S327))+SUMPRODUCT(($K$4:$K$703=K327)*($F$4:$F$703=F327)*($U$4:$U$703=1)*($S$4:$S$703=S327)*($T$4:$T$703&gt;T327))+SUMPRODUCT(($K$4:$K$703=K327)*($F$4:$F$703=F327)*($U$4:$U$703=1)*($S$4:$S$703=S327)*($T$4:$T$703=T327)*($C$4:$C$703&lt;C327))+SUMPRODUCT(($K$4:$K$703=K327)*($F$4:$F$703=F327)*($U$4:$U$703=1)*($S$4:$S$703=S327)*($T$4:$T$703=T327)*($C$4:$C$703=C327)*($D$4:$D$703&lt;D327)),0)</f>
        <v>0</v>
      </c>
      <c r="X327" s="11" t="n">
        <f aca="false">IF(AND(U327=1,V327&gt;0,W327&gt;1),S327,0)</f>
        <v>0</v>
      </c>
      <c r="Y327" s="11" t="n">
        <f aca="false">IF(T327=1,X327/(1+Controls!$B$11)^F327,0)</f>
        <v>0</v>
      </c>
      <c r="Z327" s="11" t="n">
        <f aca="false">IF(AND(N327,E327="capacity",LEN(K327)&gt;0),1,0)</f>
        <v>0</v>
      </c>
      <c r="AA327" s="11" t="n">
        <f aca="false">IF(Z327=1,SUMPRODUCT(($K$4:$K$703=K327)*($F$4:$F$703=F327)*($Z$4:$Z$703=1)*($B$4:$B$703&lt;&gt;B327)),0)</f>
        <v>0</v>
      </c>
      <c r="AB327" s="11" t="n">
        <f aca="false">IF(AND(Z327=1,AA327&gt;0),1+SUMPRODUCT(($K$4:$K$703=K327)*($F$4:$F$703=F327)*($Z$4:$Z$703=1)*($P$4:$P$703&gt;P327))+SUMPRODUCT(($K$4:$K$703=K327)*($F$4:$F$703=F327)*($Z$4:$Z$703=1)*($P$4:$P$703=P327)*($C$4:$C$703&lt;C327))+SUMPRODUCT(($K$4:$K$703=K327)*($F$4:$F$703=F327)*($Z$4:$Z$703=1)*($P$4:$P$703=P327)*($C$4:$C$703=C327)*($D$4:$D$703&lt;D327)),0)</f>
        <v>0</v>
      </c>
      <c r="AC327" s="11" t="n">
        <f aca="false">IF(AND(Z327=1,AA327&gt;0,AB327&gt;1),P327,0)</f>
        <v>0</v>
      </c>
    </row>
    <row r="328" customFormat="false" ht="15" hidden="false" customHeight="false" outlineLevel="0" collapsed="false">
      <c r="A328" s="4" t="s">
        <v>558</v>
      </c>
      <c r="B328" s="4" t="s">
        <v>93</v>
      </c>
      <c r="C328" s="4" t="n">
        <v>11</v>
      </c>
      <c r="D328" s="4" t="n">
        <v>325</v>
      </c>
      <c r="E328" s="4" t="s">
        <v>233</v>
      </c>
      <c r="F328" s="4" t="n">
        <v>13</v>
      </c>
      <c r="G328" s="4" t="n">
        <v>13</v>
      </c>
      <c r="H328" s="4" t="n">
        <v>391.35</v>
      </c>
      <c r="I328" s="13" t="b">
        <f aca="false">FALSE()</f>
        <v>0</v>
      </c>
      <c r="K328" s="4" t="s">
        <v>559</v>
      </c>
      <c r="L328" s="4" t="n">
        <v>6.34</v>
      </c>
      <c r="M328" s="11" t="n">
        <f aca="false">IFERROR(MATCH(Controls!$B$3&amp;"|"&amp;B328,'Scenario inputs'!$A$4:$A$213,0),0)</f>
        <v>142</v>
      </c>
      <c r="N328" s="8" t="b">
        <f aca="false">IF(M328=0,FALSE(),F328&lt;Controls!$B$12)</f>
        <v>1</v>
      </c>
      <c r="O328" s="11" t="n">
        <f aca="false">IF(N328,IF(INDEX('Scenario inputs'!$E$4:$E$213,M328)=0,1,INDEX('Scenario inputs'!$F$4:$M$213,M328,MIN(MAX(F328-G328,0),INDEX('Scenario inputs'!$E$4:$E$213,M328)-1)+1)),0)</f>
        <v>0.1</v>
      </c>
      <c r="P328" s="11" t="n">
        <f aca="false">H328*O328</f>
        <v>39.135</v>
      </c>
      <c r="Q328" s="0" t="str">
        <f aca="false">IF(M328=0,"",IF(ISNUMBER(INDEX('Scenario inputs'!$N$4:$N$213,M328)),INDEX('Scenario inputs'!$N$4:$N$213,M328),""))</f>
        <v/>
      </c>
      <c r="R328" s="0" t="str">
        <f aca="false">IF(NOT(N328),"",IF(OR(E328="cash",E328="revenue"),E328,IF(E328="avoided_cost",IF(AND(I328,LEN(TRIM(J328))&gt;0),"avoided_cost_realised","avoided_cost_beside"),IF(ISNUMBER(Q328),"capacity_converted","capacity_hours"))))</f>
        <v>capacity_hours</v>
      </c>
      <c r="S328" s="11" t="n">
        <f aca="false">IF(OR(R328="",R328="capacity_hours"),0,IF(R328="capacity_converted",P328*Q328,P328))</f>
        <v>0</v>
      </c>
      <c r="T328" s="11" t="n">
        <f aca="false">IF(OR(R328="cash",R328="revenue",R328="avoided_cost_realised",R328="capacity_converted"),1,0)</f>
        <v>0</v>
      </c>
      <c r="U328" s="11" t="n">
        <f aca="false">IF(AND(N328,R328&lt;&gt;"capacity_hours",LEN(K328)&gt;0),1,0)</f>
        <v>0</v>
      </c>
      <c r="V328" s="11" t="n">
        <f aca="false">IF(U328=1,SUMPRODUCT(($K$4:$K$703=K328)*($F$4:$F$703=F328)*($U$4:$U$703=1)*($B$4:$B$703&lt;&gt;B328)),0)</f>
        <v>0</v>
      </c>
      <c r="W328" s="11" t="n">
        <f aca="false">IF(AND(U328=1,V328&gt;0),1+SUMPRODUCT(($K$4:$K$703=K328)*($F$4:$F$703=F328)*($U$4:$U$703=1)*($S$4:$S$703&gt;S328))+SUMPRODUCT(($K$4:$K$703=K328)*($F$4:$F$703=F328)*($U$4:$U$703=1)*($S$4:$S$703=S328)*($T$4:$T$703&gt;T328))+SUMPRODUCT(($K$4:$K$703=K328)*($F$4:$F$703=F328)*($U$4:$U$703=1)*($S$4:$S$703=S328)*($T$4:$T$703=T328)*($C$4:$C$703&lt;C328))+SUMPRODUCT(($K$4:$K$703=K328)*($F$4:$F$703=F328)*($U$4:$U$703=1)*($S$4:$S$703=S328)*($T$4:$T$703=T328)*($C$4:$C$703=C328)*($D$4:$D$703&lt;D328)),0)</f>
        <v>0</v>
      </c>
      <c r="X328" s="11" t="n">
        <f aca="false">IF(AND(U328=1,V328&gt;0,W328&gt;1),S328,0)</f>
        <v>0</v>
      </c>
      <c r="Y328" s="11" t="n">
        <f aca="false">IF(T328=1,X328/(1+Controls!$B$11)^F328,0)</f>
        <v>0</v>
      </c>
      <c r="Z328" s="11" t="n">
        <f aca="false">IF(AND(N328,E328="capacity",LEN(K328)&gt;0),1,0)</f>
        <v>1</v>
      </c>
      <c r="AA328" s="11" t="n">
        <f aca="false">IF(Z328=1,SUMPRODUCT(($K$4:$K$703=K328)*($F$4:$F$703=F328)*($Z$4:$Z$703=1)*($B$4:$B$703&lt;&gt;B328)),0)</f>
        <v>0</v>
      </c>
      <c r="AB328" s="11" t="n">
        <f aca="false">IF(AND(Z328=1,AA328&gt;0),1+SUMPRODUCT(($K$4:$K$703=K328)*($F$4:$F$703=F328)*($Z$4:$Z$703=1)*($P$4:$P$703&gt;P328))+SUMPRODUCT(($K$4:$K$703=K328)*($F$4:$F$703=F328)*($Z$4:$Z$703=1)*($P$4:$P$703=P328)*($C$4:$C$703&lt;C328))+SUMPRODUCT(($K$4:$K$703=K328)*($F$4:$F$703=F328)*($Z$4:$Z$703=1)*($P$4:$P$703=P328)*($C$4:$C$703=C328)*($D$4:$D$703&lt;D328)),0)</f>
        <v>0</v>
      </c>
      <c r="AC328" s="11" t="n">
        <f aca="false">IF(AND(Z328=1,AA328&gt;0,AB328&gt;1),P328,0)</f>
        <v>0</v>
      </c>
    </row>
    <row r="329" customFormat="false" ht="15" hidden="false" customHeight="false" outlineLevel="0" collapsed="false">
      <c r="A329" s="4" t="s">
        <v>560</v>
      </c>
      <c r="B329" s="4" t="s">
        <v>93</v>
      </c>
      <c r="C329" s="4" t="n">
        <v>11</v>
      </c>
      <c r="D329" s="4" t="n">
        <v>326</v>
      </c>
      <c r="E329" s="4" t="s">
        <v>233</v>
      </c>
      <c r="F329" s="4" t="n">
        <v>14</v>
      </c>
      <c r="G329" s="4" t="n">
        <v>13</v>
      </c>
      <c r="H329" s="4" t="n">
        <v>391.35</v>
      </c>
      <c r="I329" s="13" t="b">
        <f aca="false">FALSE()</f>
        <v>0</v>
      </c>
      <c r="K329" s="4" t="s">
        <v>559</v>
      </c>
      <c r="L329" s="4" t="n">
        <v>19.02</v>
      </c>
      <c r="M329" s="11" t="n">
        <f aca="false">IFERROR(MATCH(Controls!$B$3&amp;"|"&amp;B329,'Scenario inputs'!$A$4:$A$213,0),0)</f>
        <v>142</v>
      </c>
      <c r="N329" s="8" t="b">
        <f aca="false">IF(M329=0,FALSE(),F329&lt;Controls!$B$12)</f>
        <v>1</v>
      </c>
      <c r="O329" s="11" t="n">
        <f aca="false">IF(N329,IF(INDEX('Scenario inputs'!$E$4:$E$213,M329)=0,1,INDEX('Scenario inputs'!$F$4:$M$213,M329,MIN(MAX(F329-G329,0),INDEX('Scenario inputs'!$E$4:$E$213,M329)-1)+1)),0)</f>
        <v>0.3</v>
      </c>
      <c r="P329" s="11" t="n">
        <f aca="false">H329*O329</f>
        <v>117.405</v>
      </c>
      <c r="Q329" s="0" t="str">
        <f aca="false">IF(M329=0,"",IF(ISNUMBER(INDEX('Scenario inputs'!$N$4:$N$213,M329)),INDEX('Scenario inputs'!$N$4:$N$213,M329),""))</f>
        <v/>
      </c>
      <c r="R329" s="0" t="str">
        <f aca="false">IF(NOT(N329),"",IF(OR(E329="cash",E329="revenue"),E329,IF(E329="avoided_cost",IF(AND(I329,LEN(TRIM(J329))&gt;0),"avoided_cost_realised","avoided_cost_beside"),IF(ISNUMBER(Q329),"capacity_converted","capacity_hours"))))</f>
        <v>capacity_hours</v>
      </c>
      <c r="S329" s="11" t="n">
        <f aca="false">IF(OR(R329="",R329="capacity_hours"),0,IF(R329="capacity_converted",P329*Q329,P329))</f>
        <v>0</v>
      </c>
      <c r="T329" s="11" t="n">
        <f aca="false">IF(OR(R329="cash",R329="revenue",R329="avoided_cost_realised",R329="capacity_converted"),1,0)</f>
        <v>0</v>
      </c>
      <c r="U329" s="11" t="n">
        <f aca="false">IF(AND(N329,R329&lt;&gt;"capacity_hours",LEN(K329)&gt;0),1,0)</f>
        <v>0</v>
      </c>
      <c r="V329" s="11" t="n">
        <f aca="false">IF(U329=1,SUMPRODUCT(($K$4:$K$703=K329)*($F$4:$F$703=F329)*($U$4:$U$703=1)*($B$4:$B$703&lt;&gt;B329)),0)</f>
        <v>0</v>
      </c>
      <c r="W329" s="11" t="n">
        <f aca="false">IF(AND(U329=1,V329&gt;0),1+SUMPRODUCT(($K$4:$K$703=K329)*($F$4:$F$703=F329)*($U$4:$U$703=1)*($S$4:$S$703&gt;S329))+SUMPRODUCT(($K$4:$K$703=K329)*($F$4:$F$703=F329)*($U$4:$U$703=1)*($S$4:$S$703=S329)*($T$4:$T$703&gt;T329))+SUMPRODUCT(($K$4:$K$703=K329)*($F$4:$F$703=F329)*($U$4:$U$703=1)*($S$4:$S$703=S329)*($T$4:$T$703=T329)*($C$4:$C$703&lt;C329))+SUMPRODUCT(($K$4:$K$703=K329)*($F$4:$F$703=F329)*($U$4:$U$703=1)*($S$4:$S$703=S329)*($T$4:$T$703=T329)*($C$4:$C$703=C329)*($D$4:$D$703&lt;D329)),0)</f>
        <v>0</v>
      </c>
      <c r="X329" s="11" t="n">
        <f aca="false">IF(AND(U329=1,V329&gt;0,W329&gt;1),S329,0)</f>
        <v>0</v>
      </c>
      <c r="Y329" s="11" t="n">
        <f aca="false">IF(T329=1,X329/(1+Controls!$B$11)^F329,0)</f>
        <v>0</v>
      </c>
      <c r="Z329" s="11" t="n">
        <f aca="false">IF(AND(N329,E329="capacity",LEN(K329)&gt;0),1,0)</f>
        <v>1</v>
      </c>
      <c r="AA329" s="11" t="n">
        <f aca="false">IF(Z329=1,SUMPRODUCT(($K$4:$K$703=K329)*($F$4:$F$703=F329)*($Z$4:$Z$703=1)*($B$4:$B$703&lt;&gt;B329)),0)</f>
        <v>0</v>
      </c>
      <c r="AB329" s="11" t="n">
        <f aca="false">IF(AND(Z329=1,AA329&gt;0),1+SUMPRODUCT(($K$4:$K$703=K329)*($F$4:$F$703=F329)*($Z$4:$Z$703=1)*($P$4:$P$703&gt;P329))+SUMPRODUCT(($K$4:$K$703=K329)*($F$4:$F$703=F329)*($Z$4:$Z$703=1)*($P$4:$P$703=P329)*($C$4:$C$703&lt;C329))+SUMPRODUCT(($K$4:$K$703=K329)*($F$4:$F$703=F329)*($Z$4:$Z$703=1)*($P$4:$P$703=P329)*($C$4:$C$703=C329)*($D$4:$D$703&lt;D329)),0)</f>
        <v>0</v>
      </c>
      <c r="AC329" s="11" t="n">
        <f aca="false">IF(AND(Z329=1,AA329&gt;0,AB329&gt;1),P329,0)</f>
        <v>0</v>
      </c>
    </row>
    <row r="330" customFormat="false" ht="15" hidden="false" customHeight="false" outlineLevel="0" collapsed="false">
      <c r="A330" s="4" t="s">
        <v>561</v>
      </c>
      <c r="B330" s="4" t="s">
        <v>93</v>
      </c>
      <c r="C330" s="4" t="n">
        <v>11</v>
      </c>
      <c r="D330" s="4" t="n">
        <v>327</v>
      </c>
      <c r="E330" s="4" t="s">
        <v>233</v>
      </c>
      <c r="F330" s="4" t="n">
        <v>15</v>
      </c>
      <c r="G330" s="4" t="n">
        <v>13</v>
      </c>
      <c r="H330" s="4" t="n">
        <v>391.35</v>
      </c>
      <c r="I330" s="13" t="b">
        <f aca="false">FALSE()</f>
        <v>0</v>
      </c>
      <c r="K330" s="4" t="s">
        <v>559</v>
      </c>
      <c r="L330" s="4" t="n">
        <v>38.04</v>
      </c>
      <c r="M330" s="11" t="n">
        <f aca="false">IFERROR(MATCH(Controls!$B$3&amp;"|"&amp;B330,'Scenario inputs'!$A$4:$A$213,0),0)</f>
        <v>142</v>
      </c>
      <c r="N330" s="8" t="b">
        <f aca="false">IF(M330=0,FALSE(),F330&lt;Controls!$B$12)</f>
        <v>1</v>
      </c>
      <c r="O330" s="11" t="n">
        <f aca="false">IF(N330,IF(INDEX('Scenario inputs'!$E$4:$E$213,M330)=0,1,INDEX('Scenario inputs'!$F$4:$M$213,M330,MIN(MAX(F330-G330,0),INDEX('Scenario inputs'!$E$4:$E$213,M330)-1)+1)),0)</f>
        <v>0.6</v>
      </c>
      <c r="P330" s="11" t="n">
        <f aca="false">H330*O330</f>
        <v>234.81</v>
      </c>
      <c r="Q330" s="0" t="str">
        <f aca="false">IF(M330=0,"",IF(ISNUMBER(INDEX('Scenario inputs'!$N$4:$N$213,M330)),INDEX('Scenario inputs'!$N$4:$N$213,M330),""))</f>
        <v/>
      </c>
      <c r="R330" s="0" t="str">
        <f aca="false">IF(NOT(N330),"",IF(OR(E330="cash",E330="revenue"),E330,IF(E330="avoided_cost",IF(AND(I330,LEN(TRIM(J330))&gt;0),"avoided_cost_realised","avoided_cost_beside"),IF(ISNUMBER(Q330),"capacity_converted","capacity_hours"))))</f>
        <v>capacity_hours</v>
      </c>
      <c r="S330" s="11" t="n">
        <f aca="false">IF(OR(R330="",R330="capacity_hours"),0,IF(R330="capacity_converted",P330*Q330,P330))</f>
        <v>0</v>
      </c>
      <c r="T330" s="11" t="n">
        <f aca="false">IF(OR(R330="cash",R330="revenue",R330="avoided_cost_realised",R330="capacity_converted"),1,0)</f>
        <v>0</v>
      </c>
      <c r="U330" s="11" t="n">
        <f aca="false">IF(AND(N330,R330&lt;&gt;"capacity_hours",LEN(K330)&gt;0),1,0)</f>
        <v>0</v>
      </c>
      <c r="V330" s="11" t="n">
        <f aca="false">IF(U330=1,SUMPRODUCT(($K$4:$K$703=K330)*($F$4:$F$703=F330)*($U$4:$U$703=1)*($B$4:$B$703&lt;&gt;B330)),0)</f>
        <v>0</v>
      </c>
      <c r="W330" s="11" t="n">
        <f aca="false">IF(AND(U330=1,V330&gt;0),1+SUMPRODUCT(($K$4:$K$703=K330)*($F$4:$F$703=F330)*($U$4:$U$703=1)*($S$4:$S$703&gt;S330))+SUMPRODUCT(($K$4:$K$703=K330)*($F$4:$F$703=F330)*($U$4:$U$703=1)*($S$4:$S$703=S330)*($T$4:$T$703&gt;T330))+SUMPRODUCT(($K$4:$K$703=K330)*($F$4:$F$703=F330)*($U$4:$U$703=1)*($S$4:$S$703=S330)*($T$4:$T$703=T330)*($C$4:$C$703&lt;C330))+SUMPRODUCT(($K$4:$K$703=K330)*($F$4:$F$703=F330)*($U$4:$U$703=1)*($S$4:$S$703=S330)*($T$4:$T$703=T330)*($C$4:$C$703=C330)*($D$4:$D$703&lt;D330)),0)</f>
        <v>0</v>
      </c>
      <c r="X330" s="11" t="n">
        <f aca="false">IF(AND(U330=1,V330&gt;0,W330&gt;1),S330,0)</f>
        <v>0</v>
      </c>
      <c r="Y330" s="11" t="n">
        <f aca="false">IF(T330=1,X330/(1+Controls!$B$11)^F330,0)</f>
        <v>0</v>
      </c>
      <c r="Z330" s="11" t="n">
        <f aca="false">IF(AND(N330,E330="capacity",LEN(K330)&gt;0),1,0)</f>
        <v>1</v>
      </c>
      <c r="AA330" s="11" t="n">
        <f aca="false">IF(Z330=1,SUMPRODUCT(($K$4:$K$703=K330)*($F$4:$F$703=F330)*($Z$4:$Z$703=1)*($B$4:$B$703&lt;&gt;B330)),0)</f>
        <v>0</v>
      </c>
      <c r="AB330" s="11" t="n">
        <f aca="false">IF(AND(Z330=1,AA330&gt;0),1+SUMPRODUCT(($K$4:$K$703=K330)*($F$4:$F$703=F330)*($Z$4:$Z$703=1)*($P$4:$P$703&gt;P330))+SUMPRODUCT(($K$4:$K$703=K330)*($F$4:$F$703=F330)*($Z$4:$Z$703=1)*($P$4:$P$703=P330)*($C$4:$C$703&lt;C330))+SUMPRODUCT(($K$4:$K$703=K330)*($F$4:$F$703=F330)*($Z$4:$Z$703=1)*($P$4:$P$703=P330)*($C$4:$C$703=C330)*($D$4:$D$703&lt;D330)),0)</f>
        <v>0</v>
      </c>
      <c r="AC330" s="11" t="n">
        <f aca="false">IF(AND(Z330=1,AA330&gt;0,AB330&gt;1),P330,0)</f>
        <v>0</v>
      </c>
    </row>
    <row r="331" customFormat="false" ht="15" hidden="false" customHeight="false" outlineLevel="0" collapsed="false">
      <c r="A331" s="4" t="s">
        <v>562</v>
      </c>
      <c r="B331" s="4" t="s">
        <v>93</v>
      </c>
      <c r="C331" s="4" t="n">
        <v>11</v>
      </c>
      <c r="D331" s="4" t="n">
        <v>328</v>
      </c>
      <c r="E331" s="4" t="s">
        <v>233</v>
      </c>
      <c r="F331" s="4" t="n">
        <v>16</v>
      </c>
      <c r="G331" s="4" t="n">
        <v>13</v>
      </c>
      <c r="H331" s="4" t="n">
        <v>391.35</v>
      </c>
      <c r="I331" s="13" t="b">
        <f aca="false">FALSE()</f>
        <v>0</v>
      </c>
      <c r="K331" s="4" t="s">
        <v>559</v>
      </c>
      <c r="L331" s="4" t="n">
        <v>63.4</v>
      </c>
      <c r="M331" s="11" t="n">
        <f aca="false">IFERROR(MATCH(Controls!$B$3&amp;"|"&amp;B331,'Scenario inputs'!$A$4:$A$213,0),0)</f>
        <v>142</v>
      </c>
      <c r="N331" s="8" t="b">
        <f aca="false">IF(M331=0,FALSE(),F331&lt;Controls!$B$12)</f>
        <v>1</v>
      </c>
      <c r="O331" s="11" t="n">
        <f aca="false">IF(N331,IF(INDEX('Scenario inputs'!$E$4:$E$213,M331)=0,1,INDEX('Scenario inputs'!$F$4:$M$213,M331,MIN(MAX(F331-G331,0),INDEX('Scenario inputs'!$E$4:$E$213,M331)-1)+1)),0)</f>
        <v>1</v>
      </c>
      <c r="P331" s="11" t="n">
        <f aca="false">H331*O331</f>
        <v>391.35</v>
      </c>
      <c r="Q331" s="0" t="str">
        <f aca="false">IF(M331=0,"",IF(ISNUMBER(INDEX('Scenario inputs'!$N$4:$N$213,M331)),INDEX('Scenario inputs'!$N$4:$N$213,M331),""))</f>
        <v/>
      </c>
      <c r="R331" s="0" t="str">
        <f aca="false">IF(NOT(N331),"",IF(OR(E331="cash",E331="revenue"),E331,IF(E331="avoided_cost",IF(AND(I331,LEN(TRIM(J331))&gt;0),"avoided_cost_realised","avoided_cost_beside"),IF(ISNUMBER(Q331),"capacity_converted","capacity_hours"))))</f>
        <v>capacity_hours</v>
      </c>
      <c r="S331" s="11" t="n">
        <f aca="false">IF(OR(R331="",R331="capacity_hours"),0,IF(R331="capacity_converted",P331*Q331,P331))</f>
        <v>0</v>
      </c>
      <c r="T331" s="11" t="n">
        <f aca="false">IF(OR(R331="cash",R331="revenue",R331="avoided_cost_realised",R331="capacity_converted"),1,0)</f>
        <v>0</v>
      </c>
      <c r="U331" s="11" t="n">
        <f aca="false">IF(AND(N331,R331&lt;&gt;"capacity_hours",LEN(K331)&gt;0),1,0)</f>
        <v>0</v>
      </c>
      <c r="V331" s="11" t="n">
        <f aca="false">IF(U331=1,SUMPRODUCT(($K$4:$K$703=K331)*($F$4:$F$703=F331)*($U$4:$U$703=1)*($B$4:$B$703&lt;&gt;B331)),0)</f>
        <v>0</v>
      </c>
      <c r="W331" s="11" t="n">
        <f aca="false">IF(AND(U331=1,V331&gt;0),1+SUMPRODUCT(($K$4:$K$703=K331)*($F$4:$F$703=F331)*($U$4:$U$703=1)*($S$4:$S$703&gt;S331))+SUMPRODUCT(($K$4:$K$703=K331)*($F$4:$F$703=F331)*($U$4:$U$703=1)*($S$4:$S$703=S331)*($T$4:$T$703&gt;T331))+SUMPRODUCT(($K$4:$K$703=K331)*($F$4:$F$703=F331)*($U$4:$U$703=1)*($S$4:$S$703=S331)*($T$4:$T$703=T331)*($C$4:$C$703&lt;C331))+SUMPRODUCT(($K$4:$K$703=K331)*($F$4:$F$703=F331)*($U$4:$U$703=1)*($S$4:$S$703=S331)*($T$4:$T$703=T331)*($C$4:$C$703=C331)*($D$4:$D$703&lt;D331)),0)</f>
        <v>0</v>
      </c>
      <c r="X331" s="11" t="n">
        <f aca="false">IF(AND(U331=1,V331&gt;0,W331&gt;1),S331,0)</f>
        <v>0</v>
      </c>
      <c r="Y331" s="11" t="n">
        <f aca="false">IF(T331=1,X331/(1+Controls!$B$11)^F331,0)</f>
        <v>0</v>
      </c>
      <c r="Z331" s="11" t="n">
        <f aca="false">IF(AND(N331,E331="capacity",LEN(K331)&gt;0),1,0)</f>
        <v>1</v>
      </c>
      <c r="AA331" s="11" t="n">
        <f aca="false">IF(Z331=1,SUMPRODUCT(($K$4:$K$703=K331)*($F$4:$F$703=F331)*($Z$4:$Z$703=1)*($B$4:$B$703&lt;&gt;B331)),0)</f>
        <v>0</v>
      </c>
      <c r="AB331" s="11" t="n">
        <f aca="false">IF(AND(Z331=1,AA331&gt;0),1+SUMPRODUCT(($K$4:$K$703=K331)*($F$4:$F$703=F331)*($Z$4:$Z$703=1)*($P$4:$P$703&gt;P331))+SUMPRODUCT(($K$4:$K$703=K331)*($F$4:$F$703=F331)*($Z$4:$Z$703=1)*($P$4:$P$703=P331)*($C$4:$C$703&lt;C331))+SUMPRODUCT(($K$4:$K$703=K331)*($F$4:$F$703=F331)*($Z$4:$Z$703=1)*($P$4:$P$703=P331)*($C$4:$C$703=C331)*($D$4:$D$703&lt;D331)),0)</f>
        <v>0</v>
      </c>
      <c r="AC331" s="11" t="n">
        <f aca="false">IF(AND(Z331=1,AA331&gt;0,AB331&gt;1),P331,0)</f>
        <v>0</v>
      </c>
    </row>
    <row r="332" customFormat="false" ht="15" hidden="false" customHeight="false" outlineLevel="0" collapsed="false">
      <c r="A332" s="4" t="s">
        <v>563</v>
      </c>
      <c r="B332" s="4" t="s">
        <v>93</v>
      </c>
      <c r="C332" s="4" t="n">
        <v>11</v>
      </c>
      <c r="D332" s="4" t="n">
        <v>329</v>
      </c>
      <c r="E332" s="4" t="s">
        <v>233</v>
      </c>
      <c r="F332" s="4" t="n">
        <v>17</v>
      </c>
      <c r="G332" s="4" t="n">
        <v>13</v>
      </c>
      <c r="H332" s="4" t="n">
        <v>391.35</v>
      </c>
      <c r="I332" s="13" t="b">
        <f aca="false">FALSE()</f>
        <v>0</v>
      </c>
      <c r="K332" s="4" t="s">
        <v>559</v>
      </c>
      <c r="L332" s="4" t="n">
        <v>63.4</v>
      </c>
      <c r="M332" s="11" t="n">
        <f aca="false">IFERROR(MATCH(Controls!$B$3&amp;"|"&amp;B332,'Scenario inputs'!$A$4:$A$213,0),0)</f>
        <v>142</v>
      </c>
      <c r="N332" s="8" t="b">
        <f aca="false">IF(M332=0,FALSE(),F332&lt;Controls!$B$12)</f>
        <v>1</v>
      </c>
      <c r="O332" s="11" t="n">
        <f aca="false">IF(N332,IF(INDEX('Scenario inputs'!$E$4:$E$213,M332)=0,1,INDEX('Scenario inputs'!$F$4:$M$213,M332,MIN(MAX(F332-G332,0),INDEX('Scenario inputs'!$E$4:$E$213,M332)-1)+1)),0)</f>
        <v>1</v>
      </c>
      <c r="P332" s="11" t="n">
        <f aca="false">H332*O332</f>
        <v>391.35</v>
      </c>
      <c r="Q332" s="0" t="str">
        <f aca="false">IF(M332=0,"",IF(ISNUMBER(INDEX('Scenario inputs'!$N$4:$N$213,M332)),INDEX('Scenario inputs'!$N$4:$N$213,M332),""))</f>
        <v/>
      </c>
      <c r="R332" s="0" t="str">
        <f aca="false">IF(NOT(N332),"",IF(OR(E332="cash",E332="revenue"),E332,IF(E332="avoided_cost",IF(AND(I332,LEN(TRIM(J332))&gt;0),"avoided_cost_realised","avoided_cost_beside"),IF(ISNUMBER(Q332),"capacity_converted","capacity_hours"))))</f>
        <v>capacity_hours</v>
      </c>
      <c r="S332" s="11" t="n">
        <f aca="false">IF(OR(R332="",R332="capacity_hours"),0,IF(R332="capacity_converted",P332*Q332,P332))</f>
        <v>0</v>
      </c>
      <c r="T332" s="11" t="n">
        <f aca="false">IF(OR(R332="cash",R332="revenue",R332="avoided_cost_realised",R332="capacity_converted"),1,0)</f>
        <v>0</v>
      </c>
      <c r="U332" s="11" t="n">
        <f aca="false">IF(AND(N332,R332&lt;&gt;"capacity_hours",LEN(K332)&gt;0),1,0)</f>
        <v>0</v>
      </c>
      <c r="V332" s="11" t="n">
        <f aca="false">IF(U332=1,SUMPRODUCT(($K$4:$K$703=K332)*($F$4:$F$703=F332)*($U$4:$U$703=1)*($B$4:$B$703&lt;&gt;B332)),0)</f>
        <v>0</v>
      </c>
      <c r="W332" s="11" t="n">
        <f aca="false">IF(AND(U332=1,V332&gt;0),1+SUMPRODUCT(($K$4:$K$703=K332)*($F$4:$F$703=F332)*($U$4:$U$703=1)*($S$4:$S$703&gt;S332))+SUMPRODUCT(($K$4:$K$703=K332)*($F$4:$F$703=F332)*($U$4:$U$703=1)*($S$4:$S$703=S332)*($T$4:$T$703&gt;T332))+SUMPRODUCT(($K$4:$K$703=K332)*($F$4:$F$703=F332)*($U$4:$U$703=1)*($S$4:$S$703=S332)*($T$4:$T$703=T332)*($C$4:$C$703&lt;C332))+SUMPRODUCT(($K$4:$K$703=K332)*($F$4:$F$703=F332)*($U$4:$U$703=1)*($S$4:$S$703=S332)*($T$4:$T$703=T332)*($C$4:$C$703=C332)*($D$4:$D$703&lt;D332)),0)</f>
        <v>0</v>
      </c>
      <c r="X332" s="11" t="n">
        <f aca="false">IF(AND(U332=1,V332&gt;0,W332&gt;1),S332,0)</f>
        <v>0</v>
      </c>
      <c r="Y332" s="11" t="n">
        <f aca="false">IF(T332=1,X332/(1+Controls!$B$11)^F332,0)</f>
        <v>0</v>
      </c>
      <c r="Z332" s="11" t="n">
        <f aca="false">IF(AND(N332,E332="capacity",LEN(K332)&gt;0),1,0)</f>
        <v>1</v>
      </c>
      <c r="AA332" s="11" t="n">
        <f aca="false">IF(Z332=1,SUMPRODUCT(($K$4:$K$703=K332)*($F$4:$F$703=F332)*($Z$4:$Z$703=1)*($B$4:$B$703&lt;&gt;B332)),0)</f>
        <v>0</v>
      </c>
      <c r="AB332" s="11" t="n">
        <f aca="false">IF(AND(Z332=1,AA332&gt;0),1+SUMPRODUCT(($K$4:$K$703=K332)*($F$4:$F$703=F332)*($Z$4:$Z$703=1)*($P$4:$P$703&gt;P332))+SUMPRODUCT(($K$4:$K$703=K332)*($F$4:$F$703=F332)*($Z$4:$Z$703=1)*($P$4:$P$703=P332)*($C$4:$C$703&lt;C332))+SUMPRODUCT(($K$4:$K$703=K332)*($F$4:$F$703=F332)*($Z$4:$Z$703=1)*($P$4:$P$703=P332)*($C$4:$C$703=C332)*($D$4:$D$703&lt;D332)),0)</f>
        <v>0</v>
      </c>
      <c r="AC332" s="11" t="n">
        <f aca="false">IF(AND(Z332=1,AA332&gt;0,AB332&gt;1),P332,0)</f>
        <v>0</v>
      </c>
    </row>
    <row r="333" customFormat="false" ht="15" hidden="false" customHeight="false" outlineLevel="0" collapsed="false">
      <c r="A333" s="4" t="s">
        <v>564</v>
      </c>
      <c r="B333" s="4" t="s">
        <v>93</v>
      </c>
      <c r="C333" s="4" t="n">
        <v>11</v>
      </c>
      <c r="D333" s="4" t="n">
        <v>330</v>
      </c>
      <c r="E333" s="4" t="s">
        <v>233</v>
      </c>
      <c r="F333" s="4" t="n">
        <v>18</v>
      </c>
      <c r="G333" s="4" t="n">
        <v>13</v>
      </c>
      <c r="H333" s="4" t="n">
        <v>391.35</v>
      </c>
      <c r="I333" s="13" t="b">
        <f aca="false">FALSE()</f>
        <v>0</v>
      </c>
      <c r="K333" s="4" t="s">
        <v>559</v>
      </c>
      <c r="L333" s="4" t="n">
        <v>63.4</v>
      </c>
      <c r="M333" s="11" t="n">
        <f aca="false">IFERROR(MATCH(Controls!$B$3&amp;"|"&amp;B333,'Scenario inputs'!$A$4:$A$213,0),0)</f>
        <v>142</v>
      </c>
      <c r="N333" s="8" t="b">
        <f aca="false">IF(M333=0,FALSE(),F333&lt;Controls!$B$12)</f>
        <v>1</v>
      </c>
      <c r="O333" s="11" t="n">
        <f aca="false">IF(N333,IF(INDEX('Scenario inputs'!$E$4:$E$213,M333)=0,1,INDEX('Scenario inputs'!$F$4:$M$213,M333,MIN(MAX(F333-G333,0),INDEX('Scenario inputs'!$E$4:$E$213,M333)-1)+1)),0)</f>
        <v>1</v>
      </c>
      <c r="P333" s="11" t="n">
        <f aca="false">H333*O333</f>
        <v>391.35</v>
      </c>
      <c r="Q333" s="0" t="str">
        <f aca="false">IF(M333=0,"",IF(ISNUMBER(INDEX('Scenario inputs'!$N$4:$N$213,M333)),INDEX('Scenario inputs'!$N$4:$N$213,M333),""))</f>
        <v/>
      </c>
      <c r="R333" s="0" t="str">
        <f aca="false">IF(NOT(N333),"",IF(OR(E333="cash",E333="revenue"),E333,IF(E333="avoided_cost",IF(AND(I333,LEN(TRIM(J333))&gt;0),"avoided_cost_realised","avoided_cost_beside"),IF(ISNUMBER(Q333),"capacity_converted","capacity_hours"))))</f>
        <v>capacity_hours</v>
      </c>
      <c r="S333" s="11" t="n">
        <f aca="false">IF(OR(R333="",R333="capacity_hours"),0,IF(R333="capacity_converted",P333*Q333,P333))</f>
        <v>0</v>
      </c>
      <c r="T333" s="11" t="n">
        <f aca="false">IF(OR(R333="cash",R333="revenue",R333="avoided_cost_realised",R333="capacity_converted"),1,0)</f>
        <v>0</v>
      </c>
      <c r="U333" s="11" t="n">
        <f aca="false">IF(AND(N333,R333&lt;&gt;"capacity_hours",LEN(K333)&gt;0),1,0)</f>
        <v>0</v>
      </c>
      <c r="V333" s="11" t="n">
        <f aca="false">IF(U333=1,SUMPRODUCT(($K$4:$K$703=K333)*($F$4:$F$703=F333)*($U$4:$U$703=1)*($B$4:$B$703&lt;&gt;B333)),0)</f>
        <v>0</v>
      </c>
      <c r="W333" s="11" t="n">
        <f aca="false">IF(AND(U333=1,V333&gt;0),1+SUMPRODUCT(($K$4:$K$703=K333)*($F$4:$F$703=F333)*($U$4:$U$703=1)*($S$4:$S$703&gt;S333))+SUMPRODUCT(($K$4:$K$703=K333)*($F$4:$F$703=F333)*($U$4:$U$703=1)*($S$4:$S$703=S333)*($T$4:$T$703&gt;T333))+SUMPRODUCT(($K$4:$K$703=K333)*($F$4:$F$703=F333)*($U$4:$U$703=1)*($S$4:$S$703=S333)*($T$4:$T$703=T333)*($C$4:$C$703&lt;C333))+SUMPRODUCT(($K$4:$K$703=K333)*($F$4:$F$703=F333)*($U$4:$U$703=1)*($S$4:$S$703=S333)*($T$4:$T$703=T333)*($C$4:$C$703=C333)*($D$4:$D$703&lt;D333)),0)</f>
        <v>0</v>
      </c>
      <c r="X333" s="11" t="n">
        <f aca="false">IF(AND(U333=1,V333&gt;0,W333&gt;1),S333,0)</f>
        <v>0</v>
      </c>
      <c r="Y333" s="11" t="n">
        <f aca="false">IF(T333=1,X333/(1+Controls!$B$11)^F333,0)</f>
        <v>0</v>
      </c>
      <c r="Z333" s="11" t="n">
        <f aca="false">IF(AND(N333,E333="capacity",LEN(K333)&gt;0),1,0)</f>
        <v>1</v>
      </c>
      <c r="AA333" s="11" t="n">
        <f aca="false">IF(Z333=1,SUMPRODUCT(($K$4:$K$703=K333)*($F$4:$F$703=F333)*($Z$4:$Z$703=1)*($B$4:$B$703&lt;&gt;B333)),0)</f>
        <v>0</v>
      </c>
      <c r="AB333" s="11" t="n">
        <f aca="false">IF(AND(Z333=1,AA333&gt;0),1+SUMPRODUCT(($K$4:$K$703=K333)*($F$4:$F$703=F333)*($Z$4:$Z$703=1)*($P$4:$P$703&gt;P333))+SUMPRODUCT(($K$4:$K$703=K333)*($F$4:$F$703=F333)*($Z$4:$Z$703=1)*($P$4:$P$703=P333)*($C$4:$C$703&lt;C333))+SUMPRODUCT(($K$4:$K$703=K333)*($F$4:$F$703=F333)*($Z$4:$Z$703=1)*($P$4:$P$703=P333)*($C$4:$C$703=C333)*($D$4:$D$703&lt;D333)),0)</f>
        <v>0</v>
      </c>
      <c r="AC333" s="11" t="n">
        <f aca="false">IF(AND(Z333=1,AA333&gt;0,AB333&gt;1),P333,0)</f>
        <v>0</v>
      </c>
    </row>
    <row r="334" customFormat="false" ht="15" hidden="false" customHeight="false" outlineLevel="0" collapsed="false">
      <c r="A334" s="4" t="s">
        <v>565</v>
      </c>
      <c r="B334" s="4" t="s">
        <v>93</v>
      </c>
      <c r="C334" s="4" t="n">
        <v>11</v>
      </c>
      <c r="D334" s="4" t="n">
        <v>331</v>
      </c>
      <c r="E334" s="4" t="s">
        <v>233</v>
      </c>
      <c r="F334" s="4" t="n">
        <v>19</v>
      </c>
      <c r="G334" s="4" t="n">
        <v>13</v>
      </c>
      <c r="H334" s="4" t="n">
        <v>391.35</v>
      </c>
      <c r="I334" s="13" t="b">
        <f aca="false">FALSE()</f>
        <v>0</v>
      </c>
      <c r="K334" s="4" t="s">
        <v>559</v>
      </c>
      <c r="L334" s="4" t="n">
        <v>63.4</v>
      </c>
      <c r="M334" s="11" t="n">
        <f aca="false">IFERROR(MATCH(Controls!$B$3&amp;"|"&amp;B334,'Scenario inputs'!$A$4:$A$213,0),0)</f>
        <v>142</v>
      </c>
      <c r="N334" s="8" t="b">
        <f aca="false">IF(M334=0,FALSE(),F334&lt;Controls!$B$12)</f>
        <v>1</v>
      </c>
      <c r="O334" s="11" t="n">
        <f aca="false">IF(N334,IF(INDEX('Scenario inputs'!$E$4:$E$213,M334)=0,1,INDEX('Scenario inputs'!$F$4:$M$213,M334,MIN(MAX(F334-G334,0),INDEX('Scenario inputs'!$E$4:$E$213,M334)-1)+1)),0)</f>
        <v>1</v>
      </c>
      <c r="P334" s="11" t="n">
        <f aca="false">H334*O334</f>
        <v>391.35</v>
      </c>
      <c r="Q334" s="0" t="str">
        <f aca="false">IF(M334=0,"",IF(ISNUMBER(INDEX('Scenario inputs'!$N$4:$N$213,M334)),INDEX('Scenario inputs'!$N$4:$N$213,M334),""))</f>
        <v/>
      </c>
      <c r="R334" s="0" t="str">
        <f aca="false">IF(NOT(N334),"",IF(OR(E334="cash",E334="revenue"),E334,IF(E334="avoided_cost",IF(AND(I334,LEN(TRIM(J334))&gt;0),"avoided_cost_realised","avoided_cost_beside"),IF(ISNUMBER(Q334),"capacity_converted","capacity_hours"))))</f>
        <v>capacity_hours</v>
      </c>
      <c r="S334" s="11" t="n">
        <f aca="false">IF(OR(R334="",R334="capacity_hours"),0,IF(R334="capacity_converted",P334*Q334,P334))</f>
        <v>0</v>
      </c>
      <c r="T334" s="11" t="n">
        <f aca="false">IF(OR(R334="cash",R334="revenue",R334="avoided_cost_realised",R334="capacity_converted"),1,0)</f>
        <v>0</v>
      </c>
      <c r="U334" s="11" t="n">
        <f aca="false">IF(AND(N334,R334&lt;&gt;"capacity_hours",LEN(K334)&gt;0),1,0)</f>
        <v>0</v>
      </c>
      <c r="V334" s="11" t="n">
        <f aca="false">IF(U334=1,SUMPRODUCT(($K$4:$K$703=K334)*($F$4:$F$703=F334)*($U$4:$U$703=1)*($B$4:$B$703&lt;&gt;B334)),0)</f>
        <v>0</v>
      </c>
      <c r="W334" s="11" t="n">
        <f aca="false">IF(AND(U334=1,V334&gt;0),1+SUMPRODUCT(($K$4:$K$703=K334)*($F$4:$F$703=F334)*($U$4:$U$703=1)*($S$4:$S$703&gt;S334))+SUMPRODUCT(($K$4:$K$703=K334)*($F$4:$F$703=F334)*($U$4:$U$703=1)*($S$4:$S$703=S334)*($T$4:$T$703&gt;T334))+SUMPRODUCT(($K$4:$K$703=K334)*($F$4:$F$703=F334)*($U$4:$U$703=1)*($S$4:$S$703=S334)*($T$4:$T$703=T334)*($C$4:$C$703&lt;C334))+SUMPRODUCT(($K$4:$K$703=K334)*($F$4:$F$703=F334)*($U$4:$U$703=1)*($S$4:$S$703=S334)*($T$4:$T$703=T334)*($C$4:$C$703=C334)*($D$4:$D$703&lt;D334)),0)</f>
        <v>0</v>
      </c>
      <c r="X334" s="11" t="n">
        <f aca="false">IF(AND(U334=1,V334&gt;0,W334&gt;1),S334,0)</f>
        <v>0</v>
      </c>
      <c r="Y334" s="11" t="n">
        <f aca="false">IF(T334=1,X334/(1+Controls!$B$11)^F334,0)</f>
        <v>0</v>
      </c>
      <c r="Z334" s="11" t="n">
        <f aca="false">IF(AND(N334,E334="capacity",LEN(K334)&gt;0),1,0)</f>
        <v>1</v>
      </c>
      <c r="AA334" s="11" t="n">
        <f aca="false">IF(Z334=1,SUMPRODUCT(($K$4:$K$703=K334)*($F$4:$F$703=F334)*($Z$4:$Z$703=1)*($B$4:$B$703&lt;&gt;B334)),0)</f>
        <v>0</v>
      </c>
      <c r="AB334" s="11" t="n">
        <f aca="false">IF(AND(Z334=1,AA334&gt;0),1+SUMPRODUCT(($K$4:$K$703=K334)*($F$4:$F$703=F334)*($Z$4:$Z$703=1)*($P$4:$P$703&gt;P334))+SUMPRODUCT(($K$4:$K$703=K334)*($F$4:$F$703=F334)*($Z$4:$Z$703=1)*($P$4:$P$703=P334)*($C$4:$C$703&lt;C334))+SUMPRODUCT(($K$4:$K$703=K334)*($F$4:$F$703=F334)*($Z$4:$Z$703=1)*($P$4:$P$703=P334)*($C$4:$C$703=C334)*($D$4:$D$703&lt;D334)),0)</f>
        <v>0</v>
      </c>
      <c r="AC334" s="11" t="n">
        <f aca="false">IF(AND(Z334=1,AA334&gt;0,AB334&gt;1),P334,0)</f>
        <v>0</v>
      </c>
    </row>
    <row r="335" customFormat="false" ht="15" hidden="false" customHeight="false" outlineLevel="0" collapsed="false">
      <c r="A335" s="4" t="s">
        <v>566</v>
      </c>
      <c r="B335" s="4" t="s">
        <v>93</v>
      </c>
      <c r="C335" s="4" t="n">
        <v>11</v>
      </c>
      <c r="D335" s="4" t="n">
        <v>332</v>
      </c>
      <c r="E335" s="4" t="s">
        <v>233</v>
      </c>
      <c r="F335" s="4" t="n">
        <v>20</v>
      </c>
      <c r="G335" s="4" t="n">
        <v>13</v>
      </c>
      <c r="H335" s="4" t="n">
        <v>391.35</v>
      </c>
      <c r="I335" s="13" t="b">
        <f aca="false">FALSE()</f>
        <v>0</v>
      </c>
      <c r="K335" s="4" t="s">
        <v>559</v>
      </c>
      <c r="L335" s="4" t="n">
        <v>63.4</v>
      </c>
      <c r="M335" s="11" t="n">
        <f aca="false">IFERROR(MATCH(Controls!$B$3&amp;"|"&amp;B335,'Scenario inputs'!$A$4:$A$213,0),0)</f>
        <v>142</v>
      </c>
      <c r="N335" s="8" t="b">
        <f aca="false">IF(M335=0,FALSE(),F335&lt;Controls!$B$12)</f>
        <v>1</v>
      </c>
      <c r="O335" s="11" t="n">
        <f aca="false">IF(N335,IF(INDEX('Scenario inputs'!$E$4:$E$213,M335)=0,1,INDEX('Scenario inputs'!$F$4:$M$213,M335,MIN(MAX(F335-G335,0),INDEX('Scenario inputs'!$E$4:$E$213,M335)-1)+1)),0)</f>
        <v>1</v>
      </c>
      <c r="P335" s="11" t="n">
        <f aca="false">H335*O335</f>
        <v>391.35</v>
      </c>
      <c r="Q335" s="0" t="str">
        <f aca="false">IF(M335=0,"",IF(ISNUMBER(INDEX('Scenario inputs'!$N$4:$N$213,M335)),INDEX('Scenario inputs'!$N$4:$N$213,M335),""))</f>
        <v/>
      </c>
      <c r="R335" s="0" t="str">
        <f aca="false">IF(NOT(N335),"",IF(OR(E335="cash",E335="revenue"),E335,IF(E335="avoided_cost",IF(AND(I335,LEN(TRIM(J335))&gt;0),"avoided_cost_realised","avoided_cost_beside"),IF(ISNUMBER(Q335),"capacity_converted","capacity_hours"))))</f>
        <v>capacity_hours</v>
      </c>
      <c r="S335" s="11" t="n">
        <f aca="false">IF(OR(R335="",R335="capacity_hours"),0,IF(R335="capacity_converted",P335*Q335,P335))</f>
        <v>0</v>
      </c>
      <c r="T335" s="11" t="n">
        <f aca="false">IF(OR(R335="cash",R335="revenue",R335="avoided_cost_realised",R335="capacity_converted"),1,0)</f>
        <v>0</v>
      </c>
      <c r="U335" s="11" t="n">
        <f aca="false">IF(AND(N335,R335&lt;&gt;"capacity_hours",LEN(K335)&gt;0),1,0)</f>
        <v>0</v>
      </c>
      <c r="V335" s="11" t="n">
        <f aca="false">IF(U335=1,SUMPRODUCT(($K$4:$K$703=K335)*($F$4:$F$703=F335)*($U$4:$U$703=1)*($B$4:$B$703&lt;&gt;B335)),0)</f>
        <v>0</v>
      </c>
      <c r="W335" s="11" t="n">
        <f aca="false">IF(AND(U335=1,V335&gt;0),1+SUMPRODUCT(($K$4:$K$703=K335)*($F$4:$F$703=F335)*($U$4:$U$703=1)*($S$4:$S$703&gt;S335))+SUMPRODUCT(($K$4:$K$703=K335)*($F$4:$F$703=F335)*($U$4:$U$703=1)*($S$4:$S$703=S335)*($T$4:$T$703&gt;T335))+SUMPRODUCT(($K$4:$K$703=K335)*($F$4:$F$703=F335)*($U$4:$U$703=1)*($S$4:$S$703=S335)*($T$4:$T$703=T335)*($C$4:$C$703&lt;C335))+SUMPRODUCT(($K$4:$K$703=K335)*($F$4:$F$703=F335)*($U$4:$U$703=1)*($S$4:$S$703=S335)*($T$4:$T$703=T335)*($C$4:$C$703=C335)*($D$4:$D$703&lt;D335)),0)</f>
        <v>0</v>
      </c>
      <c r="X335" s="11" t="n">
        <f aca="false">IF(AND(U335=1,V335&gt;0,W335&gt;1),S335,0)</f>
        <v>0</v>
      </c>
      <c r="Y335" s="11" t="n">
        <f aca="false">IF(T335=1,X335/(1+Controls!$B$11)^F335,0)</f>
        <v>0</v>
      </c>
      <c r="Z335" s="11" t="n">
        <f aca="false">IF(AND(N335,E335="capacity",LEN(K335)&gt;0),1,0)</f>
        <v>1</v>
      </c>
      <c r="AA335" s="11" t="n">
        <f aca="false">IF(Z335=1,SUMPRODUCT(($K$4:$K$703=K335)*($F$4:$F$703=F335)*($Z$4:$Z$703=1)*($B$4:$B$703&lt;&gt;B335)),0)</f>
        <v>0</v>
      </c>
      <c r="AB335" s="11" t="n">
        <f aca="false">IF(AND(Z335=1,AA335&gt;0),1+SUMPRODUCT(($K$4:$K$703=K335)*($F$4:$F$703=F335)*($Z$4:$Z$703=1)*($P$4:$P$703&gt;P335))+SUMPRODUCT(($K$4:$K$703=K335)*($F$4:$F$703=F335)*($Z$4:$Z$703=1)*($P$4:$P$703=P335)*($C$4:$C$703&lt;C335))+SUMPRODUCT(($K$4:$K$703=K335)*($F$4:$F$703=F335)*($Z$4:$Z$703=1)*($P$4:$P$703=P335)*($C$4:$C$703=C335)*($D$4:$D$703&lt;D335)),0)</f>
        <v>0</v>
      </c>
      <c r="AC335" s="11" t="n">
        <f aca="false">IF(AND(Z335=1,AA335&gt;0,AB335&gt;1),P335,0)</f>
        <v>0</v>
      </c>
    </row>
    <row r="336" customFormat="false" ht="15" hidden="false" customHeight="false" outlineLevel="0" collapsed="false">
      <c r="A336" s="4" t="s">
        <v>567</v>
      </c>
      <c r="B336" s="4" t="s">
        <v>93</v>
      </c>
      <c r="C336" s="4" t="n">
        <v>11</v>
      </c>
      <c r="D336" s="4" t="n">
        <v>333</v>
      </c>
      <c r="E336" s="4" t="s">
        <v>233</v>
      </c>
      <c r="F336" s="4" t="n">
        <v>21</v>
      </c>
      <c r="G336" s="4" t="n">
        <v>13</v>
      </c>
      <c r="H336" s="4" t="n">
        <v>391.35</v>
      </c>
      <c r="I336" s="13" t="b">
        <f aca="false">FALSE()</f>
        <v>0</v>
      </c>
      <c r="K336" s="4" t="s">
        <v>559</v>
      </c>
      <c r="L336" s="4" t="n">
        <v>63.4</v>
      </c>
      <c r="M336" s="11" t="n">
        <f aca="false">IFERROR(MATCH(Controls!$B$3&amp;"|"&amp;B336,'Scenario inputs'!$A$4:$A$213,0),0)</f>
        <v>142</v>
      </c>
      <c r="N336" s="8" t="b">
        <f aca="false">IF(M336=0,FALSE(),F336&lt;Controls!$B$12)</f>
        <v>1</v>
      </c>
      <c r="O336" s="11" t="n">
        <f aca="false">IF(N336,IF(INDEX('Scenario inputs'!$E$4:$E$213,M336)=0,1,INDEX('Scenario inputs'!$F$4:$M$213,M336,MIN(MAX(F336-G336,0),INDEX('Scenario inputs'!$E$4:$E$213,M336)-1)+1)),0)</f>
        <v>1</v>
      </c>
      <c r="P336" s="11" t="n">
        <f aca="false">H336*O336</f>
        <v>391.35</v>
      </c>
      <c r="Q336" s="0" t="str">
        <f aca="false">IF(M336=0,"",IF(ISNUMBER(INDEX('Scenario inputs'!$N$4:$N$213,M336)),INDEX('Scenario inputs'!$N$4:$N$213,M336),""))</f>
        <v/>
      </c>
      <c r="R336" s="0" t="str">
        <f aca="false">IF(NOT(N336),"",IF(OR(E336="cash",E336="revenue"),E336,IF(E336="avoided_cost",IF(AND(I336,LEN(TRIM(J336))&gt;0),"avoided_cost_realised","avoided_cost_beside"),IF(ISNUMBER(Q336),"capacity_converted","capacity_hours"))))</f>
        <v>capacity_hours</v>
      </c>
      <c r="S336" s="11" t="n">
        <f aca="false">IF(OR(R336="",R336="capacity_hours"),0,IF(R336="capacity_converted",P336*Q336,P336))</f>
        <v>0</v>
      </c>
      <c r="T336" s="11" t="n">
        <f aca="false">IF(OR(R336="cash",R336="revenue",R336="avoided_cost_realised",R336="capacity_converted"),1,0)</f>
        <v>0</v>
      </c>
      <c r="U336" s="11" t="n">
        <f aca="false">IF(AND(N336,R336&lt;&gt;"capacity_hours",LEN(K336)&gt;0),1,0)</f>
        <v>0</v>
      </c>
      <c r="V336" s="11" t="n">
        <f aca="false">IF(U336=1,SUMPRODUCT(($K$4:$K$703=K336)*($F$4:$F$703=F336)*($U$4:$U$703=1)*($B$4:$B$703&lt;&gt;B336)),0)</f>
        <v>0</v>
      </c>
      <c r="W336" s="11" t="n">
        <f aca="false">IF(AND(U336=1,V336&gt;0),1+SUMPRODUCT(($K$4:$K$703=K336)*($F$4:$F$703=F336)*($U$4:$U$703=1)*($S$4:$S$703&gt;S336))+SUMPRODUCT(($K$4:$K$703=K336)*($F$4:$F$703=F336)*($U$4:$U$703=1)*($S$4:$S$703=S336)*($T$4:$T$703&gt;T336))+SUMPRODUCT(($K$4:$K$703=K336)*($F$4:$F$703=F336)*($U$4:$U$703=1)*($S$4:$S$703=S336)*($T$4:$T$703=T336)*($C$4:$C$703&lt;C336))+SUMPRODUCT(($K$4:$K$703=K336)*($F$4:$F$703=F336)*($U$4:$U$703=1)*($S$4:$S$703=S336)*($T$4:$T$703=T336)*($C$4:$C$703=C336)*($D$4:$D$703&lt;D336)),0)</f>
        <v>0</v>
      </c>
      <c r="X336" s="11" t="n">
        <f aca="false">IF(AND(U336=1,V336&gt;0,W336&gt;1),S336,0)</f>
        <v>0</v>
      </c>
      <c r="Y336" s="11" t="n">
        <f aca="false">IF(T336=1,X336/(1+Controls!$B$11)^F336,0)</f>
        <v>0</v>
      </c>
      <c r="Z336" s="11" t="n">
        <f aca="false">IF(AND(N336,E336="capacity",LEN(K336)&gt;0),1,0)</f>
        <v>1</v>
      </c>
      <c r="AA336" s="11" t="n">
        <f aca="false">IF(Z336=1,SUMPRODUCT(($K$4:$K$703=K336)*($F$4:$F$703=F336)*($Z$4:$Z$703=1)*($B$4:$B$703&lt;&gt;B336)),0)</f>
        <v>0</v>
      </c>
      <c r="AB336" s="11" t="n">
        <f aca="false">IF(AND(Z336=1,AA336&gt;0),1+SUMPRODUCT(($K$4:$K$703=K336)*($F$4:$F$703=F336)*($Z$4:$Z$703=1)*($P$4:$P$703&gt;P336))+SUMPRODUCT(($K$4:$K$703=K336)*($F$4:$F$703=F336)*($Z$4:$Z$703=1)*($P$4:$P$703=P336)*($C$4:$C$703&lt;C336))+SUMPRODUCT(($K$4:$K$703=K336)*($F$4:$F$703=F336)*($Z$4:$Z$703=1)*($P$4:$P$703=P336)*($C$4:$C$703=C336)*($D$4:$D$703&lt;D336)),0)</f>
        <v>0</v>
      </c>
      <c r="AC336" s="11" t="n">
        <f aca="false">IF(AND(Z336=1,AA336&gt;0,AB336&gt;1),P336,0)</f>
        <v>0</v>
      </c>
    </row>
    <row r="337" customFormat="false" ht="15" hidden="false" customHeight="false" outlineLevel="0" collapsed="false">
      <c r="A337" s="4" t="s">
        <v>568</v>
      </c>
      <c r="B337" s="4" t="s">
        <v>93</v>
      </c>
      <c r="C337" s="4" t="n">
        <v>11</v>
      </c>
      <c r="D337" s="4" t="n">
        <v>334</v>
      </c>
      <c r="E337" s="4" t="s">
        <v>233</v>
      </c>
      <c r="F337" s="4" t="n">
        <v>22</v>
      </c>
      <c r="G337" s="4" t="n">
        <v>13</v>
      </c>
      <c r="H337" s="4" t="n">
        <v>391.35</v>
      </c>
      <c r="I337" s="13" t="b">
        <f aca="false">FALSE()</f>
        <v>0</v>
      </c>
      <c r="K337" s="4" t="s">
        <v>559</v>
      </c>
      <c r="L337" s="4" t="n">
        <v>63.4</v>
      </c>
      <c r="M337" s="11" t="n">
        <f aca="false">IFERROR(MATCH(Controls!$B$3&amp;"|"&amp;B337,'Scenario inputs'!$A$4:$A$213,0),0)</f>
        <v>142</v>
      </c>
      <c r="N337" s="8" t="b">
        <f aca="false">IF(M337=0,FALSE(),F337&lt;Controls!$B$12)</f>
        <v>1</v>
      </c>
      <c r="O337" s="11" t="n">
        <f aca="false">IF(N337,IF(INDEX('Scenario inputs'!$E$4:$E$213,M337)=0,1,INDEX('Scenario inputs'!$F$4:$M$213,M337,MIN(MAX(F337-G337,0),INDEX('Scenario inputs'!$E$4:$E$213,M337)-1)+1)),0)</f>
        <v>1</v>
      </c>
      <c r="P337" s="11" t="n">
        <f aca="false">H337*O337</f>
        <v>391.35</v>
      </c>
      <c r="Q337" s="0" t="str">
        <f aca="false">IF(M337=0,"",IF(ISNUMBER(INDEX('Scenario inputs'!$N$4:$N$213,M337)),INDEX('Scenario inputs'!$N$4:$N$213,M337),""))</f>
        <v/>
      </c>
      <c r="R337" s="0" t="str">
        <f aca="false">IF(NOT(N337),"",IF(OR(E337="cash",E337="revenue"),E337,IF(E337="avoided_cost",IF(AND(I337,LEN(TRIM(J337))&gt;0),"avoided_cost_realised","avoided_cost_beside"),IF(ISNUMBER(Q337),"capacity_converted","capacity_hours"))))</f>
        <v>capacity_hours</v>
      </c>
      <c r="S337" s="11" t="n">
        <f aca="false">IF(OR(R337="",R337="capacity_hours"),0,IF(R337="capacity_converted",P337*Q337,P337))</f>
        <v>0</v>
      </c>
      <c r="T337" s="11" t="n">
        <f aca="false">IF(OR(R337="cash",R337="revenue",R337="avoided_cost_realised",R337="capacity_converted"),1,0)</f>
        <v>0</v>
      </c>
      <c r="U337" s="11" t="n">
        <f aca="false">IF(AND(N337,R337&lt;&gt;"capacity_hours",LEN(K337)&gt;0),1,0)</f>
        <v>0</v>
      </c>
      <c r="V337" s="11" t="n">
        <f aca="false">IF(U337=1,SUMPRODUCT(($K$4:$K$703=K337)*($F$4:$F$703=F337)*($U$4:$U$703=1)*($B$4:$B$703&lt;&gt;B337)),0)</f>
        <v>0</v>
      </c>
      <c r="W337" s="11" t="n">
        <f aca="false">IF(AND(U337=1,V337&gt;0),1+SUMPRODUCT(($K$4:$K$703=K337)*($F$4:$F$703=F337)*($U$4:$U$703=1)*($S$4:$S$703&gt;S337))+SUMPRODUCT(($K$4:$K$703=K337)*($F$4:$F$703=F337)*($U$4:$U$703=1)*($S$4:$S$703=S337)*($T$4:$T$703&gt;T337))+SUMPRODUCT(($K$4:$K$703=K337)*($F$4:$F$703=F337)*($U$4:$U$703=1)*($S$4:$S$703=S337)*($T$4:$T$703=T337)*($C$4:$C$703&lt;C337))+SUMPRODUCT(($K$4:$K$703=K337)*($F$4:$F$703=F337)*($U$4:$U$703=1)*($S$4:$S$703=S337)*($T$4:$T$703=T337)*($C$4:$C$703=C337)*($D$4:$D$703&lt;D337)),0)</f>
        <v>0</v>
      </c>
      <c r="X337" s="11" t="n">
        <f aca="false">IF(AND(U337=1,V337&gt;0,W337&gt;1),S337,0)</f>
        <v>0</v>
      </c>
      <c r="Y337" s="11" t="n">
        <f aca="false">IF(T337=1,X337/(1+Controls!$B$11)^F337,0)</f>
        <v>0</v>
      </c>
      <c r="Z337" s="11" t="n">
        <f aca="false">IF(AND(N337,E337="capacity",LEN(K337)&gt;0),1,0)</f>
        <v>1</v>
      </c>
      <c r="AA337" s="11" t="n">
        <f aca="false">IF(Z337=1,SUMPRODUCT(($K$4:$K$703=K337)*($F$4:$F$703=F337)*($Z$4:$Z$703=1)*($B$4:$B$703&lt;&gt;B337)),0)</f>
        <v>0</v>
      </c>
      <c r="AB337" s="11" t="n">
        <f aca="false">IF(AND(Z337=1,AA337&gt;0),1+SUMPRODUCT(($K$4:$K$703=K337)*($F$4:$F$703=F337)*($Z$4:$Z$703=1)*($P$4:$P$703&gt;P337))+SUMPRODUCT(($K$4:$K$703=K337)*($F$4:$F$703=F337)*($Z$4:$Z$703=1)*($P$4:$P$703=P337)*($C$4:$C$703&lt;C337))+SUMPRODUCT(($K$4:$K$703=K337)*($F$4:$F$703=F337)*($Z$4:$Z$703=1)*($P$4:$P$703=P337)*($C$4:$C$703=C337)*($D$4:$D$703&lt;D337)),0)</f>
        <v>0</v>
      </c>
      <c r="AC337" s="11" t="n">
        <f aca="false">IF(AND(Z337=1,AA337&gt;0,AB337&gt;1),P337,0)</f>
        <v>0</v>
      </c>
    </row>
    <row r="338" customFormat="false" ht="15" hidden="false" customHeight="false" outlineLevel="0" collapsed="false">
      <c r="A338" s="4" t="s">
        <v>569</v>
      </c>
      <c r="B338" s="4" t="s">
        <v>93</v>
      </c>
      <c r="C338" s="4" t="n">
        <v>11</v>
      </c>
      <c r="D338" s="4" t="n">
        <v>335</v>
      </c>
      <c r="E338" s="4" t="s">
        <v>233</v>
      </c>
      <c r="F338" s="4" t="n">
        <v>23</v>
      </c>
      <c r="G338" s="4" t="n">
        <v>13</v>
      </c>
      <c r="H338" s="4" t="n">
        <v>391.35</v>
      </c>
      <c r="I338" s="13" t="b">
        <f aca="false">FALSE()</f>
        <v>0</v>
      </c>
      <c r="K338" s="4" t="s">
        <v>559</v>
      </c>
      <c r="L338" s="4" t="n">
        <v>63.4</v>
      </c>
      <c r="M338" s="11" t="n">
        <f aca="false">IFERROR(MATCH(Controls!$B$3&amp;"|"&amp;B338,'Scenario inputs'!$A$4:$A$213,0),0)</f>
        <v>142</v>
      </c>
      <c r="N338" s="8" t="b">
        <f aca="false">IF(M338=0,FALSE(),F338&lt;Controls!$B$12)</f>
        <v>1</v>
      </c>
      <c r="O338" s="11" t="n">
        <f aca="false">IF(N338,IF(INDEX('Scenario inputs'!$E$4:$E$213,M338)=0,1,INDEX('Scenario inputs'!$F$4:$M$213,M338,MIN(MAX(F338-G338,0),INDEX('Scenario inputs'!$E$4:$E$213,M338)-1)+1)),0)</f>
        <v>1</v>
      </c>
      <c r="P338" s="11" t="n">
        <f aca="false">H338*O338</f>
        <v>391.35</v>
      </c>
      <c r="Q338" s="0" t="str">
        <f aca="false">IF(M338=0,"",IF(ISNUMBER(INDEX('Scenario inputs'!$N$4:$N$213,M338)),INDEX('Scenario inputs'!$N$4:$N$213,M338),""))</f>
        <v/>
      </c>
      <c r="R338" s="0" t="str">
        <f aca="false">IF(NOT(N338),"",IF(OR(E338="cash",E338="revenue"),E338,IF(E338="avoided_cost",IF(AND(I338,LEN(TRIM(J338))&gt;0),"avoided_cost_realised","avoided_cost_beside"),IF(ISNUMBER(Q338),"capacity_converted","capacity_hours"))))</f>
        <v>capacity_hours</v>
      </c>
      <c r="S338" s="11" t="n">
        <f aca="false">IF(OR(R338="",R338="capacity_hours"),0,IF(R338="capacity_converted",P338*Q338,P338))</f>
        <v>0</v>
      </c>
      <c r="T338" s="11" t="n">
        <f aca="false">IF(OR(R338="cash",R338="revenue",R338="avoided_cost_realised",R338="capacity_converted"),1,0)</f>
        <v>0</v>
      </c>
      <c r="U338" s="11" t="n">
        <f aca="false">IF(AND(N338,R338&lt;&gt;"capacity_hours",LEN(K338)&gt;0),1,0)</f>
        <v>0</v>
      </c>
      <c r="V338" s="11" t="n">
        <f aca="false">IF(U338=1,SUMPRODUCT(($K$4:$K$703=K338)*($F$4:$F$703=F338)*($U$4:$U$703=1)*($B$4:$B$703&lt;&gt;B338)),0)</f>
        <v>0</v>
      </c>
      <c r="W338" s="11" t="n">
        <f aca="false">IF(AND(U338=1,V338&gt;0),1+SUMPRODUCT(($K$4:$K$703=K338)*($F$4:$F$703=F338)*($U$4:$U$703=1)*($S$4:$S$703&gt;S338))+SUMPRODUCT(($K$4:$K$703=K338)*($F$4:$F$703=F338)*($U$4:$U$703=1)*($S$4:$S$703=S338)*($T$4:$T$703&gt;T338))+SUMPRODUCT(($K$4:$K$703=K338)*($F$4:$F$703=F338)*($U$4:$U$703=1)*($S$4:$S$703=S338)*($T$4:$T$703=T338)*($C$4:$C$703&lt;C338))+SUMPRODUCT(($K$4:$K$703=K338)*($F$4:$F$703=F338)*($U$4:$U$703=1)*($S$4:$S$703=S338)*($T$4:$T$703=T338)*($C$4:$C$703=C338)*($D$4:$D$703&lt;D338)),0)</f>
        <v>0</v>
      </c>
      <c r="X338" s="11" t="n">
        <f aca="false">IF(AND(U338=1,V338&gt;0,W338&gt;1),S338,0)</f>
        <v>0</v>
      </c>
      <c r="Y338" s="11" t="n">
        <f aca="false">IF(T338=1,X338/(1+Controls!$B$11)^F338,0)</f>
        <v>0</v>
      </c>
      <c r="Z338" s="11" t="n">
        <f aca="false">IF(AND(N338,E338="capacity",LEN(K338)&gt;0),1,0)</f>
        <v>1</v>
      </c>
      <c r="AA338" s="11" t="n">
        <f aca="false">IF(Z338=1,SUMPRODUCT(($K$4:$K$703=K338)*($F$4:$F$703=F338)*($Z$4:$Z$703=1)*($B$4:$B$703&lt;&gt;B338)),0)</f>
        <v>0</v>
      </c>
      <c r="AB338" s="11" t="n">
        <f aca="false">IF(AND(Z338=1,AA338&gt;0),1+SUMPRODUCT(($K$4:$K$703=K338)*($F$4:$F$703=F338)*($Z$4:$Z$703=1)*($P$4:$P$703&gt;P338))+SUMPRODUCT(($K$4:$K$703=K338)*($F$4:$F$703=F338)*($Z$4:$Z$703=1)*($P$4:$P$703=P338)*($C$4:$C$703&lt;C338))+SUMPRODUCT(($K$4:$K$703=K338)*($F$4:$F$703=F338)*($Z$4:$Z$703=1)*($P$4:$P$703=P338)*($C$4:$C$703=C338)*($D$4:$D$703&lt;D338)),0)</f>
        <v>0</v>
      </c>
      <c r="AC338" s="11" t="n">
        <f aca="false">IF(AND(Z338=1,AA338&gt;0,AB338&gt;1),P338,0)</f>
        <v>0</v>
      </c>
    </row>
    <row r="339" customFormat="false" ht="15" hidden="false" customHeight="false" outlineLevel="0" collapsed="false">
      <c r="A339" s="4" t="s">
        <v>570</v>
      </c>
      <c r="B339" s="4" t="s">
        <v>93</v>
      </c>
      <c r="C339" s="4" t="n">
        <v>11</v>
      </c>
      <c r="D339" s="4" t="n">
        <v>336</v>
      </c>
      <c r="E339" s="4" t="s">
        <v>233</v>
      </c>
      <c r="F339" s="4" t="n">
        <v>24</v>
      </c>
      <c r="G339" s="4" t="n">
        <v>13</v>
      </c>
      <c r="H339" s="4" t="n">
        <v>391.35</v>
      </c>
      <c r="I339" s="13" t="b">
        <f aca="false">FALSE()</f>
        <v>0</v>
      </c>
      <c r="K339" s="4" t="s">
        <v>559</v>
      </c>
      <c r="L339" s="4" t="n">
        <v>63.4</v>
      </c>
      <c r="M339" s="11" t="n">
        <f aca="false">IFERROR(MATCH(Controls!$B$3&amp;"|"&amp;B339,'Scenario inputs'!$A$4:$A$213,0),0)</f>
        <v>142</v>
      </c>
      <c r="N339" s="8" t="b">
        <f aca="false">IF(M339=0,FALSE(),F339&lt;Controls!$B$12)</f>
        <v>1</v>
      </c>
      <c r="O339" s="11" t="n">
        <f aca="false">IF(N339,IF(INDEX('Scenario inputs'!$E$4:$E$213,M339)=0,1,INDEX('Scenario inputs'!$F$4:$M$213,M339,MIN(MAX(F339-G339,0),INDEX('Scenario inputs'!$E$4:$E$213,M339)-1)+1)),0)</f>
        <v>1</v>
      </c>
      <c r="P339" s="11" t="n">
        <f aca="false">H339*O339</f>
        <v>391.35</v>
      </c>
      <c r="Q339" s="0" t="str">
        <f aca="false">IF(M339=0,"",IF(ISNUMBER(INDEX('Scenario inputs'!$N$4:$N$213,M339)),INDEX('Scenario inputs'!$N$4:$N$213,M339),""))</f>
        <v/>
      </c>
      <c r="R339" s="0" t="str">
        <f aca="false">IF(NOT(N339),"",IF(OR(E339="cash",E339="revenue"),E339,IF(E339="avoided_cost",IF(AND(I339,LEN(TRIM(J339))&gt;0),"avoided_cost_realised","avoided_cost_beside"),IF(ISNUMBER(Q339),"capacity_converted","capacity_hours"))))</f>
        <v>capacity_hours</v>
      </c>
      <c r="S339" s="11" t="n">
        <f aca="false">IF(OR(R339="",R339="capacity_hours"),0,IF(R339="capacity_converted",P339*Q339,P339))</f>
        <v>0</v>
      </c>
      <c r="T339" s="11" t="n">
        <f aca="false">IF(OR(R339="cash",R339="revenue",R339="avoided_cost_realised",R339="capacity_converted"),1,0)</f>
        <v>0</v>
      </c>
      <c r="U339" s="11" t="n">
        <f aca="false">IF(AND(N339,R339&lt;&gt;"capacity_hours",LEN(K339)&gt;0),1,0)</f>
        <v>0</v>
      </c>
      <c r="V339" s="11" t="n">
        <f aca="false">IF(U339=1,SUMPRODUCT(($K$4:$K$703=K339)*($F$4:$F$703=F339)*($U$4:$U$703=1)*($B$4:$B$703&lt;&gt;B339)),0)</f>
        <v>0</v>
      </c>
      <c r="W339" s="11" t="n">
        <f aca="false">IF(AND(U339=1,V339&gt;0),1+SUMPRODUCT(($K$4:$K$703=K339)*($F$4:$F$703=F339)*($U$4:$U$703=1)*($S$4:$S$703&gt;S339))+SUMPRODUCT(($K$4:$K$703=K339)*($F$4:$F$703=F339)*($U$4:$U$703=1)*($S$4:$S$703=S339)*($T$4:$T$703&gt;T339))+SUMPRODUCT(($K$4:$K$703=K339)*($F$4:$F$703=F339)*($U$4:$U$703=1)*($S$4:$S$703=S339)*($T$4:$T$703=T339)*($C$4:$C$703&lt;C339))+SUMPRODUCT(($K$4:$K$703=K339)*($F$4:$F$703=F339)*($U$4:$U$703=1)*($S$4:$S$703=S339)*($T$4:$T$703=T339)*($C$4:$C$703=C339)*($D$4:$D$703&lt;D339)),0)</f>
        <v>0</v>
      </c>
      <c r="X339" s="11" t="n">
        <f aca="false">IF(AND(U339=1,V339&gt;0,W339&gt;1),S339,0)</f>
        <v>0</v>
      </c>
      <c r="Y339" s="11" t="n">
        <f aca="false">IF(T339=1,X339/(1+Controls!$B$11)^F339,0)</f>
        <v>0</v>
      </c>
      <c r="Z339" s="11" t="n">
        <f aca="false">IF(AND(N339,E339="capacity",LEN(K339)&gt;0),1,0)</f>
        <v>1</v>
      </c>
      <c r="AA339" s="11" t="n">
        <f aca="false">IF(Z339=1,SUMPRODUCT(($K$4:$K$703=K339)*($F$4:$F$703=F339)*($Z$4:$Z$703=1)*($B$4:$B$703&lt;&gt;B339)),0)</f>
        <v>0</v>
      </c>
      <c r="AB339" s="11" t="n">
        <f aca="false">IF(AND(Z339=1,AA339&gt;0),1+SUMPRODUCT(($K$4:$K$703=K339)*($F$4:$F$703=F339)*($Z$4:$Z$703=1)*($P$4:$P$703&gt;P339))+SUMPRODUCT(($K$4:$K$703=K339)*($F$4:$F$703=F339)*($Z$4:$Z$703=1)*($P$4:$P$703=P339)*($C$4:$C$703&lt;C339))+SUMPRODUCT(($K$4:$K$703=K339)*($F$4:$F$703=F339)*($Z$4:$Z$703=1)*($P$4:$P$703=P339)*($C$4:$C$703=C339)*($D$4:$D$703&lt;D339)),0)</f>
        <v>0</v>
      </c>
      <c r="AC339" s="11" t="n">
        <f aca="false">IF(AND(Z339=1,AA339&gt;0,AB339&gt;1),P339,0)</f>
        <v>0</v>
      </c>
    </row>
    <row r="340" customFormat="false" ht="15" hidden="false" customHeight="false" outlineLevel="0" collapsed="false">
      <c r="A340" s="4" t="s">
        <v>571</v>
      </c>
      <c r="B340" s="4" t="s">
        <v>94</v>
      </c>
      <c r="C340" s="4" t="n">
        <v>12</v>
      </c>
      <c r="D340" s="4" t="n">
        <v>337</v>
      </c>
      <c r="E340" s="4" t="s">
        <v>113</v>
      </c>
      <c r="F340" s="4" t="n">
        <v>17</v>
      </c>
      <c r="G340" s="4" t="n">
        <v>17</v>
      </c>
      <c r="H340" s="4" t="n">
        <v>124800</v>
      </c>
      <c r="I340" s="13" t="b">
        <f aca="false">FALSE()</f>
        <v>0</v>
      </c>
      <c r="K340" s="4" t="s">
        <v>572</v>
      </c>
      <c r="L340" s="4" t="n">
        <v>685.57</v>
      </c>
      <c r="M340" s="11" t="n">
        <f aca="false">IFERROR(MATCH(Controls!$B$3&amp;"|"&amp;B340,'Scenario inputs'!$A$4:$A$213,0),0)</f>
        <v>143</v>
      </c>
      <c r="N340" s="8" t="b">
        <f aca="false">IF(M340=0,FALSE(),F340&lt;Controls!$B$12)</f>
        <v>1</v>
      </c>
      <c r="O340" s="11" t="n">
        <f aca="false">IF(N340,IF(INDEX('Scenario inputs'!$E$4:$E$213,M340)=0,1,INDEX('Scenario inputs'!$F$4:$M$213,M340,MIN(MAX(F340-G340,0),INDEX('Scenario inputs'!$E$4:$E$213,M340)-1)+1)),0)</f>
        <v>0.066667</v>
      </c>
      <c r="P340" s="11" t="n">
        <f aca="false">H340*O340</f>
        <v>8320.0416</v>
      </c>
      <c r="Q340" s="0" t="str">
        <f aca="false">IF(M340=0,"",IF(ISNUMBER(INDEX('Scenario inputs'!$N$4:$N$213,M340)),INDEX('Scenario inputs'!$N$4:$N$213,M340),""))</f>
        <v/>
      </c>
      <c r="R340" s="0" t="str">
        <f aca="false">IF(NOT(N340),"",IF(OR(E340="cash",E340="revenue"),E340,IF(E340="avoided_cost",IF(AND(I340,LEN(TRIM(J340))&gt;0),"avoided_cost_realised","avoided_cost_beside"),IF(ISNUMBER(Q340),"capacity_converted","capacity_hours"))))</f>
        <v>revenue</v>
      </c>
      <c r="S340" s="11" t="n">
        <f aca="false">IF(OR(R340="",R340="capacity_hours"),0,IF(R340="capacity_converted",P340*Q340,P340))</f>
        <v>8320.0416</v>
      </c>
      <c r="T340" s="11" t="n">
        <f aca="false">IF(OR(R340="cash",R340="revenue",R340="avoided_cost_realised",R340="capacity_converted"),1,0)</f>
        <v>1</v>
      </c>
      <c r="U340" s="11" t="n">
        <f aca="false">IF(AND(N340,R340&lt;&gt;"capacity_hours",LEN(K340)&gt;0),1,0)</f>
        <v>1</v>
      </c>
      <c r="V340" s="11" t="n">
        <f aca="false">IF(U340=1,SUMPRODUCT(($K$4:$K$703=K340)*($F$4:$F$703=F340)*($U$4:$U$703=1)*($B$4:$B$703&lt;&gt;B340)),0)</f>
        <v>0</v>
      </c>
      <c r="W340" s="11" t="n">
        <f aca="false">IF(AND(U340=1,V340&gt;0),1+SUMPRODUCT(($K$4:$K$703=K340)*($F$4:$F$703=F340)*($U$4:$U$703=1)*($S$4:$S$703&gt;S340))+SUMPRODUCT(($K$4:$K$703=K340)*($F$4:$F$703=F340)*($U$4:$U$703=1)*($S$4:$S$703=S340)*($T$4:$T$703&gt;T340))+SUMPRODUCT(($K$4:$K$703=K340)*($F$4:$F$703=F340)*($U$4:$U$703=1)*($S$4:$S$703=S340)*($T$4:$T$703=T340)*($C$4:$C$703&lt;C340))+SUMPRODUCT(($K$4:$K$703=K340)*($F$4:$F$703=F340)*($U$4:$U$703=1)*($S$4:$S$703=S340)*($T$4:$T$703=T340)*($C$4:$C$703=C340)*($D$4:$D$703&lt;D340)),0)</f>
        <v>0</v>
      </c>
      <c r="X340" s="11" t="n">
        <f aca="false">IF(AND(U340=1,V340&gt;0,W340&gt;1),S340,0)</f>
        <v>0</v>
      </c>
      <c r="Y340" s="11" t="n">
        <f aca="false">IF(T340=1,X340/(1+Controls!$B$11)^F340,0)</f>
        <v>0</v>
      </c>
      <c r="Z340" s="11" t="n">
        <f aca="false">IF(AND(N340,E340="capacity",LEN(K340)&gt;0),1,0)</f>
        <v>0</v>
      </c>
      <c r="AA340" s="11" t="n">
        <f aca="false">IF(Z340=1,SUMPRODUCT(($K$4:$K$703=K340)*($F$4:$F$703=F340)*($Z$4:$Z$703=1)*($B$4:$B$703&lt;&gt;B340)),0)</f>
        <v>0</v>
      </c>
      <c r="AB340" s="11" t="n">
        <f aca="false">IF(AND(Z340=1,AA340&gt;0),1+SUMPRODUCT(($K$4:$K$703=K340)*($F$4:$F$703=F340)*($Z$4:$Z$703=1)*($P$4:$P$703&gt;P340))+SUMPRODUCT(($K$4:$K$703=K340)*($F$4:$F$703=F340)*($Z$4:$Z$703=1)*($P$4:$P$703=P340)*($C$4:$C$703&lt;C340))+SUMPRODUCT(($K$4:$K$703=K340)*($F$4:$F$703=F340)*($Z$4:$Z$703=1)*($P$4:$P$703=P340)*($C$4:$C$703=C340)*($D$4:$D$703&lt;D340)),0)</f>
        <v>0</v>
      </c>
      <c r="AC340" s="11" t="n">
        <f aca="false">IF(AND(Z340=1,AA340&gt;0,AB340&gt;1),P340,0)</f>
        <v>0</v>
      </c>
    </row>
    <row r="341" customFormat="false" ht="15" hidden="false" customHeight="false" outlineLevel="0" collapsed="false">
      <c r="A341" s="4" t="s">
        <v>573</v>
      </c>
      <c r="B341" s="4" t="s">
        <v>94</v>
      </c>
      <c r="C341" s="4" t="n">
        <v>12</v>
      </c>
      <c r="D341" s="4" t="n">
        <v>338</v>
      </c>
      <c r="E341" s="4" t="s">
        <v>113</v>
      </c>
      <c r="F341" s="4" t="n">
        <v>18</v>
      </c>
      <c r="G341" s="4" t="n">
        <v>17</v>
      </c>
      <c r="H341" s="4" t="n">
        <v>124800</v>
      </c>
      <c r="I341" s="13" t="b">
        <f aca="false">FALSE()</f>
        <v>0</v>
      </c>
      <c r="K341" s="4" t="s">
        <v>572</v>
      </c>
      <c r="L341" s="4" t="n">
        <v>2056.7</v>
      </c>
      <c r="M341" s="11" t="n">
        <f aca="false">IFERROR(MATCH(Controls!$B$3&amp;"|"&amp;B341,'Scenario inputs'!$A$4:$A$213,0),0)</f>
        <v>143</v>
      </c>
      <c r="N341" s="8" t="b">
        <f aca="false">IF(M341=0,FALSE(),F341&lt;Controls!$B$12)</f>
        <v>1</v>
      </c>
      <c r="O341" s="11" t="n">
        <f aca="false">IF(N341,IF(INDEX('Scenario inputs'!$E$4:$E$213,M341)=0,1,INDEX('Scenario inputs'!$F$4:$M$213,M341,MIN(MAX(F341-G341,0),INDEX('Scenario inputs'!$E$4:$E$213,M341)-1)+1)),0)</f>
        <v>0.2</v>
      </c>
      <c r="P341" s="11" t="n">
        <f aca="false">H341*O341</f>
        <v>24960</v>
      </c>
      <c r="Q341" s="0" t="str">
        <f aca="false">IF(M341=0,"",IF(ISNUMBER(INDEX('Scenario inputs'!$N$4:$N$213,M341)),INDEX('Scenario inputs'!$N$4:$N$213,M341),""))</f>
        <v/>
      </c>
      <c r="R341" s="0" t="str">
        <f aca="false">IF(NOT(N341),"",IF(OR(E341="cash",E341="revenue"),E341,IF(E341="avoided_cost",IF(AND(I341,LEN(TRIM(J341))&gt;0),"avoided_cost_realised","avoided_cost_beside"),IF(ISNUMBER(Q341),"capacity_converted","capacity_hours"))))</f>
        <v>revenue</v>
      </c>
      <c r="S341" s="11" t="n">
        <f aca="false">IF(OR(R341="",R341="capacity_hours"),0,IF(R341="capacity_converted",P341*Q341,P341))</f>
        <v>24960</v>
      </c>
      <c r="T341" s="11" t="n">
        <f aca="false">IF(OR(R341="cash",R341="revenue",R341="avoided_cost_realised",R341="capacity_converted"),1,0)</f>
        <v>1</v>
      </c>
      <c r="U341" s="11" t="n">
        <f aca="false">IF(AND(N341,R341&lt;&gt;"capacity_hours",LEN(K341)&gt;0),1,0)</f>
        <v>1</v>
      </c>
      <c r="V341" s="11" t="n">
        <f aca="false">IF(U341=1,SUMPRODUCT(($K$4:$K$703=K341)*($F$4:$F$703=F341)*($U$4:$U$703=1)*($B$4:$B$703&lt;&gt;B341)),0)</f>
        <v>0</v>
      </c>
      <c r="W341" s="11" t="n">
        <f aca="false">IF(AND(U341=1,V341&gt;0),1+SUMPRODUCT(($K$4:$K$703=K341)*($F$4:$F$703=F341)*($U$4:$U$703=1)*($S$4:$S$703&gt;S341))+SUMPRODUCT(($K$4:$K$703=K341)*($F$4:$F$703=F341)*($U$4:$U$703=1)*($S$4:$S$703=S341)*($T$4:$T$703&gt;T341))+SUMPRODUCT(($K$4:$K$703=K341)*($F$4:$F$703=F341)*($U$4:$U$703=1)*($S$4:$S$703=S341)*($T$4:$T$703=T341)*($C$4:$C$703&lt;C341))+SUMPRODUCT(($K$4:$K$703=K341)*($F$4:$F$703=F341)*($U$4:$U$703=1)*($S$4:$S$703=S341)*($T$4:$T$703=T341)*($C$4:$C$703=C341)*($D$4:$D$703&lt;D341)),0)</f>
        <v>0</v>
      </c>
      <c r="X341" s="11" t="n">
        <f aca="false">IF(AND(U341=1,V341&gt;0,W341&gt;1),S341,0)</f>
        <v>0</v>
      </c>
      <c r="Y341" s="11" t="n">
        <f aca="false">IF(T341=1,X341/(1+Controls!$B$11)^F341,0)</f>
        <v>0</v>
      </c>
      <c r="Z341" s="11" t="n">
        <f aca="false">IF(AND(N341,E341="capacity",LEN(K341)&gt;0),1,0)</f>
        <v>0</v>
      </c>
      <c r="AA341" s="11" t="n">
        <f aca="false">IF(Z341=1,SUMPRODUCT(($K$4:$K$703=K341)*($F$4:$F$703=F341)*($Z$4:$Z$703=1)*($B$4:$B$703&lt;&gt;B341)),0)</f>
        <v>0</v>
      </c>
      <c r="AB341" s="11" t="n">
        <f aca="false">IF(AND(Z341=1,AA341&gt;0),1+SUMPRODUCT(($K$4:$K$703=K341)*($F$4:$F$703=F341)*($Z$4:$Z$703=1)*($P$4:$P$703&gt;P341))+SUMPRODUCT(($K$4:$K$703=K341)*($F$4:$F$703=F341)*($Z$4:$Z$703=1)*($P$4:$P$703=P341)*($C$4:$C$703&lt;C341))+SUMPRODUCT(($K$4:$K$703=K341)*($F$4:$F$703=F341)*($Z$4:$Z$703=1)*($P$4:$P$703=P341)*($C$4:$C$703=C341)*($D$4:$D$703&lt;D341)),0)</f>
        <v>0</v>
      </c>
      <c r="AC341" s="11" t="n">
        <f aca="false">IF(AND(Z341=1,AA341&gt;0,AB341&gt;1),P341,0)</f>
        <v>0</v>
      </c>
    </row>
    <row r="342" customFormat="false" ht="15" hidden="false" customHeight="false" outlineLevel="0" collapsed="false">
      <c r="A342" s="4" t="s">
        <v>574</v>
      </c>
      <c r="B342" s="4" t="s">
        <v>94</v>
      </c>
      <c r="C342" s="4" t="n">
        <v>12</v>
      </c>
      <c r="D342" s="4" t="n">
        <v>339</v>
      </c>
      <c r="E342" s="4" t="s">
        <v>113</v>
      </c>
      <c r="F342" s="4" t="n">
        <v>19</v>
      </c>
      <c r="G342" s="4" t="n">
        <v>17</v>
      </c>
      <c r="H342" s="4" t="n">
        <v>124800</v>
      </c>
      <c r="I342" s="13" t="b">
        <f aca="false">FALSE()</f>
        <v>0</v>
      </c>
      <c r="K342" s="4" t="s">
        <v>572</v>
      </c>
      <c r="L342" s="4" t="n">
        <v>4113.41</v>
      </c>
      <c r="M342" s="11" t="n">
        <f aca="false">IFERROR(MATCH(Controls!$B$3&amp;"|"&amp;B342,'Scenario inputs'!$A$4:$A$213,0),0)</f>
        <v>143</v>
      </c>
      <c r="N342" s="8" t="b">
        <f aca="false">IF(M342=0,FALSE(),F342&lt;Controls!$B$12)</f>
        <v>1</v>
      </c>
      <c r="O342" s="11" t="n">
        <f aca="false">IF(N342,IF(INDEX('Scenario inputs'!$E$4:$E$213,M342)=0,1,INDEX('Scenario inputs'!$F$4:$M$213,M342,MIN(MAX(F342-G342,0),INDEX('Scenario inputs'!$E$4:$E$213,M342)-1)+1)),0)</f>
        <v>0.4</v>
      </c>
      <c r="P342" s="11" t="n">
        <f aca="false">H342*O342</f>
        <v>49920</v>
      </c>
      <c r="Q342" s="0" t="str">
        <f aca="false">IF(M342=0,"",IF(ISNUMBER(INDEX('Scenario inputs'!$N$4:$N$213,M342)),INDEX('Scenario inputs'!$N$4:$N$213,M342),""))</f>
        <v/>
      </c>
      <c r="R342" s="0" t="str">
        <f aca="false">IF(NOT(N342),"",IF(OR(E342="cash",E342="revenue"),E342,IF(E342="avoided_cost",IF(AND(I342,LEN(TRIM(J342))&gt;0),"avoided_cost_realised","avoided_cost_beside"),IF(ISNUMBER(Q342),"capacity_converted","capacity_hours"))))</f>
        <v>revenue</v>
      </c>
      <c r="S342" s="11" t="n">
        <f aca="false">IF(OR(R342="",R342="capacity_hours"),0,IF(R342="capacity_converted",P342*Q342,P342))</f>
        <v>49920</v>
      </c>
      <c r="T342" s="11" t="n">
        <f aca="false">IF(OR(R342="cash",R342="revenue",R342="avoided_cost_realised",R342="capacity_converted"),1,0)</f>
        <v>1</v>
      </c>
      <c r="U342" s="11" t="n">
        <f aca="false">IF(AND(N342,R342&lt;&gt;"capacity_hours",LEN(K342)&gt;0),1,0)</f>
        <v>1</v>
      </c>
      <c r="V342" s="11" t="n">
        <f aca="false">IF(U342=1,SUMPRODUCT(($K$4:$K$703=K342)*($F$4:$F$703=F342)*($U$4:$U$703=1)*($B$4:$B$703&lt;&gt;B342)),0)</f>
        <v>0</v>
      </c>
      <c r="W342" s="11" t="n">
        <f aca="false">IF(AND(U342=1,V342&gt;0),1+SUMPRODUCT(($K$4:$K$703=K342)*($F$4:$F$703=F342)*($U$4:$U$703=1)*($S$4:$S$703&gt;S342))+SUMPRODUCT(($K$4:$K$703=K342)*($F$4:$F$703=F342)*($U$4:$U$703=1)*($S$4:$S$703=S342)*($T$4:$T$703&gt;T342))+SUMPRODUCT(($K$4:$K$703=K342)*($F$4:$F$703=F342)*($U$4:$U$703=1)*($S$4:$S$703=S342)*($T$4:$T$703=T342)*($C$4:$C$703&lt;C342))+SUMPRODUCT(($K$4:$K$703=K342)*($F$4:$F$703=F342)*($U$4:$U$703=1)*($S$4:$S$703=S342)*($T$4:$T$703=T342)*($C$4:$C$703=C342)*($D$4:$D$703&lt;D342)),0)</f>
        <v>0</v>
      </c>
      <c r="X342" s="11" t="n">
        <f aca="false">IF(AND(U342=1,V342&gt;0,W342&gt;1),S342,0)</f>
        <v>0</v>
      </c>
      <c r="Y342" s="11" t="n">
        <f aca="false">IF(T342=1,X342/(1+Controls!$B$11)^F342,0)</f>
        <v>0</v>
      </c>
      <c r="Z342" s="11" t="n">
        <f aca="false">IF(AND(N342,E342="capacity",LEN(K342)&gt;0),1,0)</f>
        <v>0</v>
      </c>
      <c r="AA342" s="11" t="n">
        <f aca="false">IF(Z342=1,SUMPRODUCT(($K$4:$K$703=K342)*($F$4:$F$703=F342)*($Z$4:$Z$703=1)*($B$4:$B$703&lt;&gt;B342)),0)</f>
        <v>0</v>
      </c>
      <c r="AB342" s="11" t="n">
        <f aca="false">IF(AND(Z342=1,AA342&gt;0),1+SUMPRODUCT(($K$4:$K$703=K342)*($F$4:$F$703=F342)*($Z$4:$Z$703=1)*($P$4:$P$703&gt;P342))+SUMPRODUCT(($K$4:$K$703=K342)*($F$4:$F$703=F342)*($Z$4:$Z$703=1)*($P$4:$P$703=P342)*($C$4:$C$703&lt;C342))+SUMPRODUCT(($K$4:$K$703=K342)*($F$4:$F$703=F342)*($Z$4:$Z$703=1)*($P$4:$P$703=P342)*($C$4:$C$703=C342)*($D$4:$D$703&lt;D342)),0)</f>
        <v>0</v>
      </c>
      <c r="AC342" s="11" t="n">
        <f aca="false">IF(AND(Z342=1,AA342&gt;0,AB342&gt;1),P342,0)</f>
        <v>0</v>
      </c>
    </row>
    <row r="343" customFormat="false" ht="15" hidden="false" customHeight="false" outlineLevel="0" collapsed="false">
      <c r="A343" s="4" t="s">
        <v>575</v>
      </c>
      <c r="B343" s="4" t="s">
        <v>94</v>
      </c>
      <c r="C343" s="4" t="n">
        <v>12</v>
      </c>
      <c r="D343" s="4" t="n">
        <v>340</v>
      </c>
      <c r="E343" s="4" t="s">
        <v>113</v>
      </c>
      <c r="F343" s="4" t="n">
        <v>20</v>
      </c>
      <c r="G343" s="4" t="n">
        <v>17</v>
      </c>
      <c r="H343" s="4" t="n">
        <v>124800</v>
      </c>
      <c r="I343" s="13" t="b">
        <f aca="false">FALSE()</f>
        <v>0</v>
      </c>
      <c r="K343" s="4" t="s">
        <v>572</v>
      </c>
      <c r="L343" s="4" t="n">
        <v>6855.68</v>
      </c>
      <c r="M343" s="11" t="n">
        <f aca="false">IFERROR(MATCH(Controls!$B$3&amp;"|"&amp;B343,'Scenario inputs'!$A$4:$A$213,0),0)</f>
        <v>143</v>
      </c>
      <c r="N343" s="8" t="b">
        <f aca="false">IF(M343=0,FALSE(),F343&lt;Controls!$B$12)</f>
        <v>1</v>
      </c>
      <c r="O343" s="11" t="n">
        <f aca="false">IF(N343,IF(INDEX('Scenario inputs'!$E$4:$E$213,M343)=0,1,INDEX('Scenario inputs'!$F$4:$M$213,M343,MIN(MAX(F343-G343,0),INDEX('Scenario inputs'!$E$4:$E$213,M343)-1)+1)),0)</f>
        <v>0.666667</v>
      </c>
      <c r="P343" s="11" t="n">
        <f aca="false">H343*O343</f>
        <v>83200.0416</v>
      </c>
      <c r="Q343" s="0" t="str">
        <f aca="false">IF(M343=0,"",IF(ISNUMBER(INDEX('Scenario inputs'!$N$4:$N$213,M343)),INDEX('Scenario inputs'!$N$4:$N$213,M343),""))</f>
        <v/>
      </c>
      <c r="R343" s="0" t="str">
        <f aca="false">IF(NOT(N343),"",IF(OR(E343="cash",E343="revenue"),E343,IF(E343="avoided_cost",IF(AND(I343,LEN(TRIM(J343))&gt;0),"avoided_cost_realised","avoided_cost_beside"),IF(ISNUMBER(Q343),"capacity_converted","capacity_hours"))))</f>
        <v>revenue</v>
      </c>
      <c r="S343" s="11" t="n">
        <f aca="false">IF(OR(R343="",R343="capacity_hours"),0,IF(R343="capacity_converted",P343*Q343,P343))</f>
        <v>83200.0416</v>
      </c>
      <c r="T343" s="11" t="n">
        <f aca="false">IF(OR(R343="cash",R343="revenue",R343="avoided_cost_realised",R343="capacity_converted"),1,0)</f>
        <v>1</v>
      </c>
      <c r="U343" s="11" t="n">
        <f aca="false">IF(AND(N343,R343&lt;&gt;"capacity_hours",LEN(K343)&gt;0),1,0)</f>
        <v>1</v>
      </c>
      <c r="V343" s="11" t="n">
        <f aca="false">IF(U343=1,SUMPRODUCT(($K$4:$K$703=K343)*($F$4:$F$703=F343)*($U$4:$U$703=1)*($B$4:$B$703&lt;&gt;B343)),0)</f>
        <v>0</v>
      </c>
      <c r="W343" s="11" t="n">
        <f aca="false">IF(AND(U343=1,V343&gt;0),1+SUMPRODUCT(($K$4:$K$703=K343)*($F$4:$F$703=F343)*($U$4:$U$703=1)*($S$4:$S$703&gt;S343))+SUMPRODUCT(($K$4:$K$703=K343)*($F$4:$F$703=F343)*($U$4:$U$703=1)*($S$4:$S$703=S343)*($T$4:$T$703&gt;T343))+SUMPRODUCT(($K$4:$K$703=K343)*($F$4:$F$703=F343)*($U$4:$U$703=1)*($S$4:$S$703=S343)*($T$4:$T$703=T343)*($C$4:$C$703&lt;C343))+SUMPRODUCT(($K$4:$K$703=K343)*($F$4:$F$703=F343)*($U$4:$U$703=1)*($S$4:$S$703=S343)*($T$4:$T$703=T343)*($C$4:$C$703=C343)*($D$4:$D$703&lt;D343)),0)</f>
        <v>0</v>
      </c>
      <c r="X343" s="11" t="n">
        <f aca="false">IF(AND(U343=1,V343&gt;0,W343&gt;1),S343,0)</f>
        <v>0</v>
      </c>
      <c r="Y343" s="11" t="n">
        <f aca="false">IF(T343=1,X343/(1+Controls!$B$11)^F343,0)</f>
        <v>0</v>
      </c>
      <c r="Z343" s="11" t="n">
        <f aca="false">IF(AND(N343,E343="capacity",LEN(K343)&gt;0),1,0)</f>
        <v>0</v>
      </c>
      <c r="AA343" s="11" t="n">
        <f aca="false">IF(Z343=1,SUMPRODUCT(($K$4:$K$703=K343)*($F$4:$F$703=F343)*($Z$4:$Z$703=1)*($B$4:$B$703&lt;&gt;B343)),0)</f>
        <v>0</v>
      </c>
      <c r="AB343" s="11" t="n">
        <f aca="false">IF(AND(Z343=1,AA343&gt;0),1+SUMPRODUCT(($K$4:$K$703=K343)*($F$4:$F$703=F343)*($Z$4:$Z$703=1)*($P$4:$P$703&gt;P343))+SUMPRODUCT(($K$4:$K$703=K343)*($F$4:$F$703=F343)*($Z$4:$Z$703=1)*($P$4:$P$703=P343)*($C$4:$C$703&lt;C343))+SUMPRODUCT(($K$4:$K$703=K343)*($F$4:$F$703=F343)*($Z$4:$Z$703=1)*($P$4:$P$703=P343)*($C$4:$C$703=C343)*($D$4:$D$703&lt;D343)),0)</f>
        <v>0</v>
      </c>
      <c r="AC343" s="11" t="n">
        <f aca="false">IF(AND(Z343=1,AA343&gt;0,AB343&gt;1),P343,0)</f>
        <v>0</v>
      </c>
    </row>
    <row r="344" customFormat="false" ht="15" hidden="false" customHeight="false" outlineLevel="0" collapsed="false">
      <c r="A344" s="4" t="s">
        <v>576</v>
      </c>
      <c r="B344" s="4" t="s">
        <v>94</v>
      </c>
      <c r="C344" s="4" t="n">
        <v>12</v>
      </c>
      <c r="D344" s="4" t="n">
        <v>341</v>
      </c>
      <c r="E344" s="4" t="s">
        <v>113</v>
      </c>
      <c r="F344" s="4" t="n">
        <v>21</v>
      </c>
      <c r="G344" s="4" t="n">
        <v>17</v>
      </c>
      <c r="H344" s="4" t="n">
        <v>124800</v>
      </c>
      <c r="I344" s="13" t="b">
        <f aca="false">FALSE()</f>
        <v>0</v>
      </c>
      <c r="K344" s="4" t="s">
        <v>572</v>
      </c>
      <c r="L344" s="4" t="n">
        <v>10283.52</v>
      </c>
      <c r="M344" s="11" t="n">
        <f aca="false">IFERROR(MATCH(Controls!$B$3&amp;"|"&amp;B344,'Scenario inputs'!$A$4:$A$213,0),0)</f>
        <v>143</v>
      </c>
      <c r="N344" s="8" t="b">
        <f aca="false">IF(M344=0,FALSE(),F344&lt;Controls!$B$12)</f>
        <v>1</v>
      </c>
      <c r="O344" s="11" t="n">
        <f aca="false">IF(N344,IF(INDEX('Scenario inputs'!$E$4:$E$213,M344)=0,1,INDEX('Scenario inputs'!$F$4:$M$213,M344,MIN(MAX(F344-G344,0),INDEX('Scenario inputs'!$E$4:$E$213,M344)-1)+1)),0)</f>
        <v>1</v>
      </c>
      <c r="P344" s="11" t="n">
        <f aca="false">H344*O344</f>
        <v>124800</v>
      </c>
      <c r="Q344" s="0" t="str">
        <f aca="false">IF(M344=0,"",IF(ISNUMBER(INDEX('Scenario inputs'!$N$4:$N$213,M344)),INDEX('Scenario inputs'!$N$4:$N$213,M344),""))</f>
        <v/>
      </c>
      <c r="R344" s="0" t="str">
        <f aca="false">IF(NOT(N344),"",IF(OR(E344="cash",E344="revenue"),E344,IF(E344="avoided_cost",IF(AND(I344,LEN(TRIM(J344))&gt;0),"avoided_cost_realised","avoided_cost_beside"),IF(ISNUMBER(Q344),"capacity_converted","capacity_hours"))))</f>
        <v>revenue</v>
      </c>
      <c r="S344" s="11" t="n">
        <f aca="false">IF(OR(R344="",R344="capacity_hours"),0,IF(R344="capacity_converted",P344*Q344,P344))</f>
        <v>124800</v>
      </c>
      <c r="T344" s="11" t="n">
        <f aca="false">IF(OR(R344="cash",R344="revenue",R344="avoided_cost_realised",R344="capacity_converted"),1,0)</f>
        <v>1</v>
      </c>
      <c r="U344" s="11" t="n">
        <f aca="false">IF(AND(N344,R344&lt;&gt;"capacity_hours",LEN(K344)&gt;0),1,0)</f>
        <v>1</v>
      </c>
      <c r="V344" s="11" t="n">
        <f aca="false">IF(U344=1,SUMPRODUCT(($K$4:$K$703=K344)*($F$4:$F$703=F344)*($U$4:$U$703=1)*($B$4:$B$703&lt;&gt;B344)),0)</f>
        <v>0</v>
      </c>
      <c r="W344" s="11" t="n">
        <f aca="false">IF(AND(U344=1,V344&gt;0),1+SUMPRODUCT(($K$4:$K$703=K344)*($F$4:$F$703=F344)*($U$4:$U$703=1)*($S$4:$S$703&gt;S344))+SUMPRODUCT(($K$4:$K$703=K344)*($F$4:$F$703=F344)*($U$4:$U$703=1)*($S$4:$S$703=S344)*($T$4:$T$703&gt;T344))+SUMPRODUCT(($K$4:$K$703=K344)*($F$4:$F$703=F344)*($U$4:$U$703=1)*($S$4:$S$703=S344)*($T$4:$T$703=T344)*($C$4:$C$703&lt;C344))+SUMPRODUCT(($K$4:$K$703=K344)*($F$4:$F$703=F344)*($U$4:$U$703=1)*($S$4:$S$703=S344)*($T$4:$T$703=T344)*($C$4:$C$703=C344)*($D$4:$D$703&lt;D344)),0)</f>
        <v>0</v>
      </c>
      <c r="X344" s="11" t="n">
        <f aca="false">IF(AND(U344=1,V344&gt;0,W344&gt;1),S344,0)</f>
        <v>0</v>
      </c>
      <c r="Y344" s="11" t="n">
        <f aca="false">IF(T344=1,X344/(1+Controls!$B$11)^F344,0)</f>
        <v>0</v>
      </c>
      <c r="Z344" s="11" t="n">
        <f aca="false">IF(AND(N344,E344="capacity",LEN(K344)&gt;0),1,0)</f>
        <v>0</v>
      </c>
      <c r="AA344" s="11" t="n">
        <f aca="false">IF(Z344=1,SUMPRODUCT(($K$4:$K$703=K344)*($F$4:$F$703=F344)*($Z$4:$Z$703=1)*($B$4:$B$703&lt;&gt;B344)),0)</f>
        <v>0</v>
      </c>
      <c r="AB344" s="11" t="n">
        <f aca="false">IF(AND(Z344=1,AA344&gt;0),1+SUMPRODUCT(($K$4:$K$703=K344)*($F$4:$F$703=F344)*($Z$4:$Z$703=1)*($P$4:$P$703&gt;P344))+SUMPRODUCT(($K$4:$K$703=K344)*($F$4:$F$703=F344)*($Z$4:$Z$703=1)*($P$4:$P$703=P344)*($C$4:$C$703&lt;C344))+SUMPRODUCT(($K$4:$K$703=K344)*($F$4:$F$703=F344)*($Z$4:$Z$703=1)*($P$4:$P$703=P344)*($C$4:$C$703=C344)*($D$4:$D$703&lt;D344)),0)</f>
        <v>0</v>
      </c>
      <c r="AC344" s="11" t="n">
        <f aca="false">IF(AND(Z344=1,AA344&gt;0,AB344&gt;1),P344,0)</f>
        <v>0</v>
      </c>
    </row>
    <row r="345" customFormat="false" ht="15" hidden="false" customHeight="false" outlineLevel="0" collapsed="false">
      <c r="A345" s="4" t="s">
        <v>577</v>
      </c>
      <c r="B345" s="4" t="s">
        <v>94</v>
      </c>
      <c r="C345" s="4" t="n">
        <v>12</v>
      </c>
      <c r="D345" s="4" t="n">
        <v>342</v>
      </c>
      <c r="E345" s="4" t="s">
        <v>113</v>
      </c>
      <c r="F345" s="4" t="n">
        <v>22</v>
      </c>
      <c r="G345" s="4" t="n">
        <v>17</v>
      </c>
      <c r="H345" s="4" t="n">
        <v>124800</v>
      </c>
      <c r="I345" s="13" t="b">
        <f aca="false">FALSE()</f>
        <v>0</v>
      </c>
      <c r="K345" s="4" t="s">
        <v>572</v>
      </c>
      <c r="L345" s="4" t="n">
        <v>10283.52</v>
      </c>
      <c r="M345" s="11" t="n">
        <f aca="false">IFERROR(MATCH(Controls!$B$3&amp;"|"&amp;B345,'Scenario inputs'!$A$4:$A$213,0),0)</f>
        <v>143</v>
      </c>
      <c r="N345" s="8" t="b">
        <f aca="false">IF(M345=0,FALSE(),F345&lt;Controls!$B$12)</f>
        <v>1</v>
      </c>
      <c r="O345" s="11" t="n">
        <f aca="false">IF(N345,IF(INDEX('Scenario inputs'!$E$4:$E$213,M345)=0,1,INDEX('Scenario inputs'!$F$4:$M$213,M345,MIN(MAX(F345-G345,0),INDEX('Scenario inputs'!$E$4:$E$213,M345)-1)+1)),0)</f>
        <v>1</v>
      </c>
      <c r="P345" s="11" t="n">
        <f aca="false">H345*O345</f>
        <v>124800</v>
      </c>
      <c r="Q345" s="0" t="str">
        <f aca="false">IF(M345=0,"",IF(ISNUMBER(INDEX('Scenario inputs'!$N$4:$N$213,M345)),INDEX('Scenario inputs'!$N$4:$N$213,M345),""))</f>
        <v/>
      </c>
      <c r="R345" s="0" t="str">
        <f aca="false">IF(NOT(N345),"",IF(OR(E345="cash",E345="revenue"),E345,IF(E345="avoided_cost",IF(AND(I345,LEN(TRIM(J345))&gt;0),"avoided_cost_realised","avoided_cost_beside"),IF(ISNUMBER(Q345),"capacity_converted","capacity_hours"))))</f>
        <v>revenue</v>
      </c>
      <c r="S345" s="11" t="n">
        <f aca="false">IF(OR(R345="",R345="capacity_hours"),0,IF(R345="capacity_converted",P345*Q345,P345))</f>
        <v>124800</v>
      </c>
      <c r="T345" s="11" t="n">
        <f aca="false">IF(OR(R345="cash",R345="revenue",R345="avoided_cost_realised",R345="capacity_converted"),1,0)</f>
        <v>1</v>
      </c>
      <c r="U345" s="11" t="n">
        <f aca="false">IF(AND(N345,R345&lt;&gt;"capacity_hours",LEN(K345)&gt;0),1,0)</f>
        <v>1</v>
      </c>
      <c r="V345" s="11" t="n">
        <f aca="false">IF(U345=1,SUMPRODUCT(($K$4:$K$703=K345)*($F$4:$F$703=F345)*($U$4:$U$703=1)*($B$4:$B$703&lt;&gt;B345)),0)</f>
        <v>0</v>
      </c>
      <c r="W345" s="11" t="n">
        <f aca="false">IF(AND(U345=1,V345&gt;0),1+SUMPRODUCT(($K$4:$K$703=K345)*($F$4:$F$703=F345)*($U$4:$U$703=1)*($S$4:$S$703&gt;S345))+SUMPRODUCT(($K$4:$K$703=K345)*($F$4:$F$703=F345)*($U$4:$U$703=1)*($S$4:$S$703=S345)*($T$4:$T$703&gt;T345))+SUMPRODUCT(($K$4:$K$703=K345)*($F$4:$F$703=F345)*($U$4:$U$703=1)*($S$4:$S$703=S345)*($T$4:$T$703=T345)*($C$4:$C$703&lt;C345))+SUMPRODUCT(($K$4:$K$703=K345)*($F$4:$F$703=F345)*($U$4:$U$703=1)*($S$4:$S$703=S345)*($T$4:$T$703=T345)*($C$4:$C$703=C345)*($D$4:$D$703&lt;D345)),0)</f>
        <v>0</v>
      </c>
      <c r="X345" s="11" t="n">
        <f aca="false">IF(AND(U345=1,V345&gt;0,W345&gt;1),S345,0)</f>
        <v>0</v>
      </c>
      <c r="Y345" s="11" t="n">
        <f aca="false">IF(T345=1,X345/(1+Controls!$B$11)^F345,0)</f>
        <v>0</v>
      </c>
      <c r="Z345" s="11" t="n">
        <f aca="false">IF(AND(N345,E345="capacity",LEN(K345)&gt;0),1,0)</f>
        <v>0</v>
      </c>
      <c r="AA345" s="11" t="n">
        <f aca="false">IF(Z345=1,SUMPRODUCT(($K$4:$K$703=K345)*($F$4:$F$703=F345)*($Z$4:$Z$703=1)*($B$4:$B$703&lt;&gt;B345)),0)</f>
        <v>0</v>
      </c>
      <c r="AB345" s="11" t="n">
        <f aca="false">IF(AND(Z345=1,AA345&gt;0),1+SUMPRODUCT(($K$4:$K$703=K345)*($F$4:$F$703=F345)*($Z$4:$Z$703=1)*($P$4:$P$703&gt;P345))+SUMPRODUCT(($K$4:$K$703=K345)*($F$4:$F$703=F345)*($Z$4:$Z$703=1)*($P$4:$P$703=P345)*($C$4:$C$703&lt;C345))+SUMPRODUCT(($K$4:$K$703=K345)*($F$4:$F$703=F345)*($Z$4:$Z$703=1)*($P$4:$P$703=P345)*($C$4:$C$703=C345)*($D$4:$D$703&lt;D345)),0)</f>
        <v>0</v>
      </c>
      <c r="AC345" s="11" t="n">
        <f aca="false">IF(AND(Z345=1,AA345&gt;0,AB345&gt;1),P345,0)</f>
        <v>0</v>
      </c>
    </row>
    <row r="346" customFormat="false" ht="15" hidden="false" customHeight="false" outlineLevel="0" collapsed="false">
      <c r="A346" s="4" t="s">
        <v>578</v>
      </c>
      <c r="B346" s="4" t="s">
        <v>94</v>
      </c>
      <c r="C346" s="4" t="n">
        <v>12</v>
      </c>
      <c r="D346" s="4" t="n">
        <v>343</v>
      </c>
      <c r="E346" s="4" t="s">
        <v>113</v>
      </c>
      <c r="F346" s="4" t="n">
        <v>23</v>
      </c>
      <c r="G346" s="4" t="n">
        <v>17</v>
      </c>
      <c r="H346" s="4" t="n">
        <v>124800</v>
      </c>
      <c r="I346" s="13" t="b">
        <f aca="false">FALSE()</f>
        <v>0</v>
      </c>
      <c r="K346" s="4" t="s">
        <v>572</v>
      </c>
      <c r="L346" s="4" t="n">
        <v>10283.52</v>
      </c>
      <c r="M346" s="11" t="n">
        <f aca="false">IFERROR(MATCH(Controls!$B$3&amp;"|"&amp;B346,'Scenario inputs'!$A$4:$A$213,0),0)</f>
        <v>143</v>
      </c>
      <c r="N346" s="8" t="b">
        <f aca="false">IF(M346=0,FALSE(),F346&lt;Controls!$B$12)</f>
        <v>1</v>
      </c>
      <c r="O346" s="11" t="n">
        <f aca="false">IF(N346,IF(INDEX('Scenario inputs'!$E$4:$E$213,M346)=0,1,INDEX('Scenario inputs'!$F$4:$M$213,M346,MIN(MAX(F346-G346,0),INDEX('Scenario inputs'!$E$4:$E$213,M346)-1)+1)),0)</f>
        <v>1</v>
      </c>
      <c r="P346" s="11" t="n">
        <f aca="false">H346*O346</f>
        <v>124800</v>
      </c>
      <c r="Q346" s="0" t="str">
        <f aca="false">IF(M346=0,"",IF(ISNUMBER(INDEX('Scenario inputs'!$N$4:$N$213,M346)),INDEX('Scenario inputs'!$N$4:$N$213,M346),""))</f>
        <v/>
      </c>
      <c r="R346" s="0" t="str">
        <f aca="false">IF(NOT(N346),"",IF(OR(E346="cash",E346="revenue"),E346,IF(E346="avoided_cost",IF(AND(I346,LEN(TRIM(J346))&gt;0),"avoided_cost_realised","avoided_cost_beside"),IF(ISNUMBER(Q346),"capacity_converted","capacity_hours"))))</f>
        <v>revenue</v>
      </c>
      <c r="S346" s="11" t="n">
        <f aca="false">IF(OR(R346="",R346="capacity_hours"),0,IF(R346="capacity_converted",P346*Q346,P346))</f>
        <v>124800</v>
      </c>
      <c r="T346" s="11" t="n">
        <f aca="false">IF(OR(R346="cash",R346="revenue",R346="avoided_cost_realised",R346="capacity_converted"),1,0)</f>
        <v>1</v>
      </c>
      <c r="U346" s="11" t="n">
        <f aca="false">IF(AND(N346,R346&lt;&gt;"capacity_hours",LEN(K346)&gt;0),1,0)</f>
        <v>1</v>
      </c>
      <c r="V346" s="11" t="n">
        <f aca="false">IF(U346=1,SUMPRODUCT(($K$4:$K$703=K346)*($F$4:$F$703=F346)*($U$4:$U$703=1)*($B$4:$B$703&lt;&gt;B346)),0)</f>
        <v>0</v>
      </c>
      <c r="W346" s="11" t="n">
        <f aca="false">IF(AND(U346=1,V346&gt;0),1+SUMPRODUCT(($K$4:$K$703=K346)*($F$4:$F$703=F346)*($U$4:$U$703=1)*($S$4:$S$703&gt;S346))+SUMPRODUCT(($K$4:$K$703=K346)*($F$4:$F$703=F346)*($U$4:$U$703=1)*($S$4:$S$703=S346)*($T$4:$T$703&gt;T346))+SUMPRODUCT(($K$4:$K$703=K346)*($F$4:$F$703=F346)*($U$4:$U$703=1)*($S$4:$S$703=S346)*($T$4:$T$703=T346)*($C$4:$C$703&lt;C346))+SUMPRODUCT(($K$4:$K$703=K346)*($F$4:$F$703=F346)*($U$4:$U$703=1)*($S$4:$S$703=S346)*($T$4:$T$703=T346)*($C$4:$C$703=C346)*($D$4:$D$703&lt;D346)),0)</f>
        <v>0</v>
      </c>
      <c r="X346" s="11" t="n">
        <f aca="false">IF(AND(U346=1,V346&gt;0,W346&gt;1),S346,0)</f>
        <v>0</v>
      </c>
      <c r="Y346" s="11" t="n">
        <f aca="false">IF(T346=1,X346/(1+Controls!$B$11)^F346,0)</f>
        <v>0</v>
      </c>
      <c r="Z346" s="11" t="n">
        <f aca="false">IF(AND(N346,E346="capacity",LEN(K346)&gt;0),1,0)</f>
        <v>0</v>
      </c>
      <c r="AA346" s="11" t="n">
        <f aca="false">IF(Z346=1,SUMPRODUCT(($K$4:$K$703=K346)*($F$4:$F$703=F346)*($Z$4:$Z$703=1)*($B$4:$B$703&lt;&gt;B346)),0)</f>
        <v>0</v>
      </c>
      <c r="AB346" s="11" t="n">
        <f aca="false">IF(AND(Z346=1,AA346&gt;0),1+SUMPRODUCT(($K$4:$K$703=K346)*($F$4:$F$703=F346)*($Z$4:$Z$703=1)*($P$4:$P$703&gt;P346))+SUMPRODUCT(($K$4:$K$703=K346)*($F$4:$F$703=F346)*($Z$4:$Z$703=1)*($P$4:$P$703=P346)*($C$4:$C$703&lt;C346))+SUMPRODUCT(($K$4:$K$703=K346)*($F$4:$F$703=F346)*($Z$4:$Z$703=1)*($P$4:$P$703=P346)*($C$4:$C$703=C346)*($D$4:$D$703&lt;D346)),0)</f>
        <v>0</v>
      </c>
      <c r="AC346" s="11" t="n">
        <f aca="false">IF(AND(Z346=1,AA346&gt;0,AB346&gt;1),P346,0)</f>
        <v>0</v>
      </c>
    </row>
    <row r="347" customFormat="false" ht="15" hidden="false" customHeight="false" outlineLevel="0" collapsed="false">
      <c r="A347" s="4" t="s">
        <v>579</v>
      </c>
      <c r="B347" s="4" t="s">
        <v>94</v>
      </c>
      <c r="C347" s="4" t="n">
        <v>12</v>
      </c>
      <c r="D347" s="4" t="n">
        <v>344</v>
      </c>
      <c r="E347" s="4" t="s">
        <v>113</v>
      </c>
      <c r="F347" s="4" t="n">
        <v>24</v>
      </c>
      <c r="G347" s="4" t="n">
        <v>17</v>
      </c>
      <c r="H347" s="4" t="n">
        <v>124800</v>
      </c>
      <c r="I347" s="13" t="b">
        <f aca="false">FALSE()</f>
        <v>0</v>
      </c>
      <c r="K347" s="4" t="s">
        <v>572</v>
      </c>
      <c r="L347" s="4" t="n">
        <v>10283.52</v>
      </c>
      <c r="M347" s="11" t="n">
        <f aca="false">IFERROR(MATCH(Controls!$B$3&amp;"|"&amp;B347,'Scenario inputs'!$A$4:$A$213,0),0)</f>
        <v>143</v>
      </c>
      <c r="N347" s="8" t="b">
        <f aca="false">IF(M347=0,FALSE(),F347&lt;Controls!$B$12)</f>
        <v>1</v>
      </c>
      <c r="O347" s="11" t="n">
        <f aca="false">IF(N347,IF(INDEX('Scenario inputs'!$E$4:$E$213,M347)=0,1,INDEX('Scenario inputs'!$F$4:$M$213,M347,MIN(MAX(F347-G347,0),INDEX('Scenario inputs'!$E$4:$E$213,M347)-1)+1)),0)</f>
        <v>1</v>
      </c>
      <c r="P347" s="11" t="n">
        <f aca="false">H347*O347</f>
        <v>124800</v>
      </c>
      <c r="Q347" s="0" t="str">
        <f aca="false">IF(M347=0,"",IF(ISNUMBER(INDEX('Scenario inputs'!$N$4:$N$213,M347)),INDEX('Scenario inputs'!$N$4:$N$213,M347),""))</f>
        <v/>
      </c>
      <c r="R347" s="0" t="str">
        <f aca="false">IF(NOT(N347),"",IF(OR(E347="cash",E347="revenue"),E347,IF(E347="avoided_cost",IF(AND(I347,LEN(TRIM(J347))&gt;0),"avoided_cost_realised","avoided_cost_beside"),IF(ISNUMBER(Q347),"capacity_converted","capacity_hours"))))</f>
        <v>revenue</v>
      </c>
      <c r="S347" s="11" t="n">
        <f aca="false">IF(OR(R347="",R347="capacity_hours"),0,IF(R347="capacity_converted",P347*Q347,P347))</f>
        <v>124800</v>
      </c>
      <c r="T347" s="11" t="n">
        <f aca="false">IF(OR(R347="cash",R347="revenue",R347="avoided_cost_realised",R347="capacity_converted"),1,0)</f>
        <v>1</v>
      </c>
      <c r="U347" s="11" t="n">
        <f aca="false">IF(AND(N347,R347&lt;&gt;"capacity_hours",LEN(K347)&gt;0),1,0)</f>
        <v>1</v>
      </c>
      <c r="V347" s="11" t="n">
        <f aca="false">IF(U347=1,SUMPRODUCT(($K$4:$K$703=K347)*($F$4:$F$703=F347)*($U$4:$U$703=1)*($B$4:$B$703&lt;&gt;B347)),0)</f>
        <v>0</v>
      </c>
      <c r="W347" s="11" t="n">
        <f aca="false">IF(AND(U347=1,V347&gt;0),1+SUMPRODUCT(($K$4:$K$703=K347)*($F$4:$F$703=F347)*($U$4:$U$703=1)*($S$4:$S$703&gt;S347))+SUMPRODUCT(($K$4:$K$703=K347)*($F$4:$F$703=F347)*($U$4:$U$703=1)*($S$4:$S$703=S347)*($T$4:$T$703&gt;T347))+SUMPRODUCT(($K$4:$K$703=K347)*($F$4:$F$703=F347)*($U$4:$U$703=1)*($S$4:$S$703=S347)*($T$4:$T$703=T347)*($C$4:$C$703&lt;C347))+SUMPRODUCT(($K$4:$K$703=K347)*($F$4:$F$703=F347)*($U$4:$U$703=1)*($S$4:$S$703=S347)*($T$4:$T$703=T347)*($C$4:$C$703=C347)*($D$4:$D$703&lt;D347)),0)</f>
        <v>0</v>
      </c>
      <c r="X347" s="11" t="n">
        <f aca="false">IF(AND(U347=1,V347&gt;0,W347&gt;1),S347,0)</f>
        <v>0</v>
      </c>
      <c r="Y347" s="11" t="n">
        <f aca="false">IF(T347=1,X347/(1+Controls!$B$11)^F347,0)</f>
        <v>0</v>
      </c>
      <c r="Z347" s="11" t="n">
        <f aca="false">IF(AND(N347,E347="capacity",LEN(K347)&gt;0),1,0)</f>
        <v>0</v>
      </c>
      <c r="AA347" s="11" t="n">
        <f aca="false">IF(Z347=1,SUMPRODUCT(($K$4:$K$703=K347)*($F$4:$F$703=F347)*($Z$4:$Z$703=1)*($B$4:$B$703&lt;&gt;B347)),0)</f>
        <v>0</v>
      </c>
      <c r="AB347" s="11" t="n">
        <f aca="false">IF(AND(Z347=1,AA347&gt;0),1+SUMPRODUCT(($K$4:$K$703=K347)*($F$4:$F$703=F347)*($Z$4:$Z$703=1)*($P$4:$P$703&gt;P347))+SUMPRODUCT(($K$4:$K$703=K347)*($F$4:$F$703=F347)*($Z$4:$Z$703=1)*($P$4:$P$703=P347)*($C$4:$C$703&lt;C347))+SUMPRODUCT(($K$4:$K$703=K347)*($F$4:$F$703=F347)*($Z$4:$Z$703=1)*($P$4:$P$703=P347)*($C$4:$C$703=C347)*($D$4:$D$703&lt;D347)),0)</f>
        <v>0</v>
      </c>
      <c r="AC347" s="11" t="n">
        <f aca="false">IF(AND(Z347=1,AA347&gt;0,AB347&gt;1),P347,0)</f>
        <v>0</v>
      </c>
    </row>
    <row r="348" customFormat="false" ht="15" hidden="false" customHeight="false" outlineLevel="0" collapsed="false">
      <c r="A348" s="4" t="s">
        <v>580</v>
      </c>
      <c r="B348" s="4" t="s">
        <v>94</v>
      </c>
      <c r="C348" s="4" t="n">
        <v>12</v>
      </c>
      <c r="D348" s="4" t="n">
        <v>345</v>
      </c>
      <c r="E348" s="4" t="s">
        <v>113</v>
      </c>
      <c r="F348" s="4" t="n">
        <v>25</v>
      </c>
      <c r="G348" s="4" t="n">
        <v>17</v>
      </c>
      <c r="H348" s="4" t="n">
        <v>124800</v>
      </c>
      <c r="I348" s="13" t="b">
        <f aca="false">FALSE()</f>
        <v>0</v>
      </c>
      <c r="K348" s="4" t="s">
        <v>572</v>
      </c>
      <c r="L348" s="4" t="n">
        <v>10283.52</v>
      </c>
      <c r="M348" s="11" t="n">
        <f aca="false">IFERROR(MATCH(Controls!$B$3&amp;"|"&amp;B348,'Scenario inputs'!$A$4:$A$213,0),0)</f>
        <v>143</v>
      </c>
      <c r="N348" s="8" t="b">
        <f aca="false">IF(M348=0,FALSE(),F348&lt;Controls!$B$12)</f>
        <v>1</v>
      </c>
      <c r="O348" s="11" t="n">
        <f aca="false">IF(N348,IF(INDEX('Scenario inputs'!$E$4:$E$213,M348)=0,1,INDEX('Scenario inputs'!$F$4:$M$213,M348,MIN(MAX(F348-G348,0),INDEX('Scenario inputs'!$E$4:$E$213,M348)-1)+1)),0)</f>
        <v>1</v>
      </c>
      <c r="P348" s="11" t="n">
        <f aca="false">H348*O348</f>
        <v>124800</v>
      </c>
      <c r="Q348" s="0" t="str">
        <f aca="false">IF(M348=0,"",IF(ISNUMBER(INDEX('Scenario inputs'!$N$4:$N$213,M348)),INDEX('Scenario inputs'!$N$4:$N$213,M348),""))</f>
        <v/>
      </c>
      <c r="R348" s="0" t="str">
        <f aca="false">IF(NOT(N348),"",IF(OR(E348="cash",E348="revenue"),E348,IF(E348="avoided_cost",IF(AND(I348,LEN(TRIM(J348))&gt;0),"avoided_cost_realised","avoided_cost_beside"),IF(ISNUMBER(Q348),"capacity_converted","capacity_hours"))))</f>
        <v>revenue</v>
      </c>
      <c r="S348" s="11" t="n">
        <f aca="false">IF(OR(R348="",R348="capacity_hours"),0,IF(R348="capacity_converted",P348*Q348,P348))</f>
        <v>124800</v>
      </c>
      <c r="T348" s="11" t="n">
        <f aca="false">IF(OR(R348="cash",R348="revenue",R348="avoided_cost_realised",R348="capacity_converted"),1,0)</f>
        <v>1</v>
      </c>
      <c r="U348" s="11" t="n">
        <f aca="false">IF(AND(N348,R348&lt;&gt;"capacity_hours",LEN(K348)&gt;0),1,0)</f>
        <v>1</v>
      </c>
      <c r="V348" s="11" t="n">
        <f aca="false">IF(U348=1,SUMPRODUCT(($K$4:$K$703=K348)*($F$4:$F$703=F348)*($U$4:$U$703=1)*($B$4:$B$703&lt;&gt;B348)),0)</f>
        <v>0</v>
      </c>
      <c r="W348" s="11" t="n">
        <f aca="false">IF(AND(U348=1,V348&gt;0),1+SUMPRODUCT(($K$4:$K$703=K348)*($F$4:$F$703=F348)*($U$4:$U$703=1)*($S$4:$S$703&gt;S348))+SUMPRODUCT(($K$4:$K$703=K348)*($F$4:$F$703=F348)*($U$4:$U$703=1)*($S$4:$S$703=S348)*($T$4:$T$703&gt;T348))+SUMPRODUCT(($K$4:$K$703=K348)*($F$4:$F$703=F348)*($U$4:$U$703=1)*($S$4:$S$703=S348)*($T$4:$T$703=T348)*($C$4:$C$703&lt;C348))+SUMPRODUCT(($K$4:$K$703=K348)*($F$4:$F$703=F348)*($U$4:$U$703=1)*($S$4:$S$703=S348)*($T$4:$T$703=T348)*($C$4:$C$703=C348)*($D$4:$D$703&lt;D348)),0)</f>
        <v>0</v>
      </c>
      <c r="X348" s="11" t="n">
        <f aca="false">IF(AND(U348=1,V348&gt;0,W348&gt;1),S348,0)</f>
        <v>0</v>
      </c>
      <c r="Y348" s="11" t="n">
        <f aca="false">IF(T348=1,X348/(1+Controls!$B$11)^F348,0)</f>
        <v>0</v>
      </c>
      <c r="Z348" s="11" t="n">
        <f aca="false">IF(AND(N348,E348="capacity",LEN(K348)&gt;0),1,0)</f>
        <v>0</v>
      </c>
      <c r="AA348" s="11" t="n">
        <f aca="false">IF(Z348=1,SUMPRODUCT(($K$4:$K$703=K348)*($F$4:$F$703=F348)*($Z$4:$Z$703=1)*($B$4:$B$703&lt;&gt;B348)),0)</f>
        <v>0</v>
      </c>
      <c r="AB348" s="11" t="n">
        <f aca="false">IF(AND(Z348=1,AA348&gt;0),1+SUMPRODUCT(($K$4:$K$703=K348)*($F$4:$F$703=F348)*($Z$4:$Z$703=1)*($P$4:$P$703&gt;P348))+SUMPRODUCT(($K$4:$K$703=K348)*($F$4:$F$703=F348)*($Z$4:$Z$703=1)*($P$4:$P$703=P348)*($C$4:$C$703&lt;C348))+SUMPRODUCT(($K$4:$K$703=K348)*($F$4:$F$703=F348)*($Z$4:$Z$703=1)*($P$4:$P$703=P348)*($C$4:$C$703=C348)*($D$4:$D$703&lt;D348)),0)</f>
        <v>0</v>
      </c>
      <c r="AC348" s="11" t="n">
        <f aca="false">IF(AND(Z348=1,AA348&gt;0,AB348&gt;1),P348,0)</f>
        <v>0</v>
      </c>
    </row>
    <row r="349" customFormat="false" ht="15" hidden="false" customHeight="false" outlineLevel="0" collapsed="false">
      <c r="A349" s="4" t="s">
        <v>581</v>
      </c>
      <c r="B349" s="4" t="s">
        <v>94</v>
      </c>
      <c r="C349" s="4" t="n">
        <v>12</v>
      </c>
      <c r="D349" s="4" t="n">
        <v>346</v>
      </c>
      <c r="E349" s="4" t="s">
        <v>113</v>
      </c>
      <c r="F349" s="4" t="n">
        <v>26</v>
      </c>
      <c r="G349" s="4" t="n">
        <v>17</v>
      </c>
      <c r="H349" s="4" t="n">
        <v>124800</v>
      </c>
      <c r="I349" s="13" t="b">
        <f aca="false">FALSE()</f>
        <v>0</v>
      </c>
      <c r="K349" s="4" t="s">
        <v>572</v>
      </c>
      <c r="L349" s="4" t="n">
        <v>10283.52</v>
      </c>
      <c r="M349" s="11" t="n">
        <f aca="false">IFERROR(MATCH(Controls!$B$3&amp;"|"&amp;B349,'Scenario inputs'!$A$4:$A$213,0),0)</f>
        <v>143</v>
      </c>
      <c r="N349" s="8" t="b">
        <f aca="false">IF(M349=0,FALSE(),F349&lt;Controls!$B$12)</f>
        <v>1</v>
      </c>
      <c r="O349" s="11" t="n">
        <f aca="false">IF(N349,IF(INDEX('Scenario inputs'!$E$4:$E$213,M349)=0,1,INDEX('Scenario inputs'!$F$4:$M$213,M349,MIN(MAX(F349-G349,0),INDEX('Scenario inputs'!$E$4:$E$213,M349)-1)+1)),0)</f>
        <v>1</v>
      </c>
      <c r="P349" s="11" t="n">
        <f aca="false">H349*O349</f>
        <v>124800</v>
      </c>
      <c r="Q349" s="0" t="str">
        <f aca="false">IF(M349=0,"",IF(ISNUMBER(INDEX('Scenario inputs'!$N$4:$N$213,M349)),INDEX('Scenario inputs'!$N$4:$N$213,M349),""))</f>
        <v/>
      </c>
      <c r="R349" s="0" t="str">
        <f aca="false">IF(NOT(N349),"",IF(OR(E349="cash",E349="revenue"),E349,IF(E349="avoided_cost",IF(AND(I349,LEN(TRIM(J349))&gt;0),"avoided_cost_realised","avoided_cost_beside"),IF(ISNUMBER(Q349),"capacity_converted","capacity_hours"))))</f>
        <v>revenue</v>
      </c>
      <c r="S349" s="11" t="n">
        <f aca="false">IF(OR(R349="",R349="capacity_hours"),0,IF(R349="capacity_converted",P349*Q349,P349))</f>
        <v>124800</v>
      </c>
      <c r="T349" s="11" t="n">
        <f aca="false">IF(OR(R349="cash",R349="revenue",R349="avoided_cost_realised",R349="capacity_converted"),1,0)</f>
        <v>1</v>
      </c>
      <c r="U349" s="11" t="n">
        <f aca="false">IF(AND(N349,R349&lt;&gt;"capacity_hours",LEN(K349)&gt;0),1,0)</f>
        <v>1</v>
      </c>
      <c r="V349" s="11" t="n">
        <f aca="false">IF(U349=1,SUMPRODUCT(($K$4:$K$703=K349)*($F$4:$F$703=F349)*($U$4:$U$703=1)*($B$4:$B$703&lt;&gt;B349)),0)</f>
        <v>0</v>
      </c>
      <c r="W349" s="11" t="n">
        <f aca="false">IF(AND(U349=1,V349&gt;0),1+SUMPRODUCT(($K$4:$K$703=K349)*($F$4:$F$703=F349)*($U$4:$U$703=1)*($S$4:$S$703&gt;S349))+SUMPRODUCT(($K$4:$K$703=K349)*($F$4:$F$703=F349)*($U$4:$U$703=1)*($S$4:$S$703=S349)*($T$4:$T$703&gt;T349))+SUMPRODUCT(($K$4:$K$703=K349)*($F$4:$F$703=F349)*($U$4:$U$703=1)*($S$4:$S$703=S349)*($T$4:$T$703=T349)*($C$4:$C$703&lt;C349))+SUMPRODUCT(($K$4:$K$703=K349)*($F$4:$F$703=F349)*($U$4:$U$703=1)*($S$4:$S$703=S349)*($T$4:$T$703=T349)*($C$4:$C$703=C349)*($D$4:$D$703&lt;D349)),0)</f>
        <v>0</v>
      </c>
      <c r="X349" s="11" t="n">
        <f aca="false">IF(AND(U349=1,V349&gt;0,W349&gt;1),S349,0)</f>
        <v>0</v>
      </c>
      <c r="Y349" s="11" t="n">
        <f aca="false">IF(T349=1,X349/(1+Controls!$B$11)^F349,0)</f>
        <v>0</v>
      </c>
      <c r="Z349" s="11" t="n">
        <f aca="false">IF(AND(N349,E349="capacity",LEN(K349)&gt;0),1,0)</f>
        <v>0</v>
      </c>
      <c r="AA349" s="11" t="n">
        <f aca="false">IF(Z349=1,SUMPRODUCT(($K$4:$K$703=K349)*($F$4:$F$703=F349)*($Z$4:$Z$703=1)*($B$4:$B$703&lt;&gt;B349)),0)</f>
        <v>0</v>
      </c>
      <c r="AB349" s="11" t="n">
        <f aca="false">IF(AND(Z349=1,AA349&gt;0),1+SUMPRODUCT(($K$4:$K$703=K349)*($F$4:$F$703=F349)*($Z$4:$Z$703=1)*($P$4:$P$703&gt;P349))+SUMPRODUCT(($K$4:$K$703=K349)*($F$4:$F$703=F349)*($Z$4:$Z$703=1)*($P$4:$P$703=P349)*($C$4:$C$703&lt;C349))+SUMPRODUCT(($K$4:$K$703=K349)*($F$4:$F$703=F349)*($Z$4:$Z$703=1)*($P$4:$P$703=P349)*($C$4:$C$703=C349)*($D$4:$D$703&lt;D349)),0)</f>
        <v>0</v>
      </c>
      <c r="AC349" s="11" t="n">
        <f aca="false">IF(AND(Z349=1,AA349&gt;0,AB349&gt;1),P349,0)</f>
        <v>0</v>
      </c>
    </row>
    <row r="350" customFormat="false" ht="15" hidden="false" customHeight="false" outlineLevel="0" collapsed="false">
      <c r="A350" s="4" t="s">
        <v>582</v>
      </c>
      <c r="B350" s="4" t="s">
        <v>94</v>
      </c>
      <c r="C350" s="4" t="n">
        <v>12</v>
      </c>
      <c r="D350" s="4" t="n">
        <v>347</v>
      </c>
      <c r="E350" s="4" t="s">
        <v>113</v>
      </c>
      <c r="F350" s="4" t="n">
        <v>27</v>
      </c>
      <c r="G350" s="4" t="n">
        <v>17</v>
      </c>
      <c r="H350" s="4" t="n">
        <v>124800</v>
      </c>
      <c r="I350" s="13" t="b">
        <f aca="false">FALSE()</f>
        <v>0</v>
      </c>
      <c r="K350" s="4" t="s">
        <v>572</v>
      </c>
      <c r="L350" s="4" t="n">
        <v>10283.52</v>
      </c>
      <c r="M350" s="11" t="n">
        <f aca="false">IFERROR(MATCH(Controls!$B$3&amp;"|"&amp;B350,'Scenario inputs'!$A$4:$A$213,0),0)</f>
        <v>143</v>
      </c>
      <c r="N350" s="8" t="b">
        <f aca="false">IF(M350=0,FALSE(),F350&lt;Controls!$B$12)</f>
        <v>1</v>
      </c>
      <c r="O350" s="11" t="n">
        <f aca="false">IF(N350,IF(INDEX('Scenario inputs'!$E$4:$E$213,M350)=0,1,INDEX('Scenario inputs'!$F$4:$M$213,M350,MIN(MAX(F350-G350,0),INDEX('Scenario inputs'!$E$4:$E$213,M350)-1)+1)),0)</f>
        <v>1</v>
      </c>
      <c r="P350" s="11" t="n">
        <f aca="false">H350*O350</f>
        <v>124800</v>
      </c>
      <c r="Q350" s="0" t="str">
        <f aca="false">IF(M350=0,"",IF(ISNUMBER(INDEX('Scenario inputs'!$N$4:$N$213,M350)),INDEX('Scenario inputs'!$N$4:$N$213,M350),""))</f>
        <v/>
      </c>
      <c r="R350" s="0" t="str">
        <f aca="false">IF(NOT(N350),"",IF(OR(E350="cash",E350="revenue"),E350,IF(E350="avoided_cost",IF(AND(I350,LEN(TRIM(J350))&gt;0),"avoided_cost_realised","avoided_cost_beside"),IF(ISNUMBER(Q350),"capacity_converted","capacity_hours"))))</f>
        <v>revenue</v>
      </c>
      <c r="S350" s="11" t="n">
        <f aca="false">IF(OR(R350="",R350="capacity_hours"),0,IF(R350="capacity_converted",P350*Q350,P350))</f>
        <v>124800</v>
      </c>
      <c r="T350" s="11" t="n">
        <f aca="false">IF(OR(R350="cash",R350="revenue",R350="avoided_cost_realised",R350="capacity_converted"),1,0)</f>
        <v>1</v>
      </c>
      <c r="U350" s="11" t="n">
        <f aca="false">IF(AND(N350,R350&lt;&gt;"capacity_hours",LEN(K350)&gt;0),1,0)</f>
        <v>1</v>
      </c>
      <c r="V350" s="11" t="n">
        <f aca="false">IF(U350=1,SUMPRODUCT(($K$4:$K$703=K350)*($F$4:$F$703=F350)*($U$4:$U$703=1)*($B$4:$B$703&lt;&gt;B350)),0)</f>
        <v>0</v>
      </c>
      <c r="W350" s="11" t="n">
        <f aca="false">IF(AND(U350=1,V350&gt;0),1+SUMPRODUCT(($K$4:$K$703=K350)*($F$4:$F$703=F350)*($U$4:$U$703=1)*($S$4:$S$703&gt;S350))+SUMPRODUCT(($K$4:$K$703=K350)*($F$4:$F$703=F350)*($U$4:$U$703=1)*($S$4:$S$703=S350)*($T$4:$T$703&gt;T350))+SUMPRODUCT(($K$4:$K$703=K350)*($F$4:$F$703=F350)*($U$4:$U$703=1)*($S$4:$S$703=S350)*($T$4:$T$703=T350)*($C$4:$C$703&lt;C350))+SUMPRODUCT(($K$4:$K$703=K350)*($F$4:$F$703=F350)*($U$4:$U$703=1)*($S$4:$S$703=S350)*($T$4:$T$703=T350)*($C$4:$C$703=C350)*($D$4:$D$703&lt;D350)),0)</f>
        <v>0</v>
      </c>
      <c r="X350" s="11" t="n">
        <f aca="false">IF(AND(U350=1,V350&gt;0,W350&gt;1),S350,0)</f>
        <v>0</v>
      </c>
      <c r="Y350" s="11" t="n">
        <f aca="false">IF(T350=1,X350/(1+Controls!$B$11)^F350,0)</f>
        <v>0</v>
      </c>
      <c r="Z350" s="11" t="n">
        <f aca="false">IF(AND(N350,E350="capacity",LEN(K350)&gt;0),1,0)</f>
        <v>0</v>
      </c>
      <c r="AA350" s="11" t="n">
        <f aca="false">IF(Z350=1,SUMPRODUCT(($K$4:$K$703=K350)*($F$4:$F$703=F350)*($Z$4:$Z$703=1)*($B$4:$B$703&lt;&gt;B350)),0)</f>
        <v>0</v>
      </c>
      <c r="AB350" s="11" t="n">
        <f aca="false">IF(AND(Z350=1,AA350&gt;0),1+SUMPRODUCT(($K$4:$K$703=K350)*($F$4:$F$703=F350)*($Z$4:$Z$703=1)*($P$4:$P$703&gt;P350))+SUMPRODUCT(($K$4:$K$703=K350)*($F$4:$F$703=F350)*($Z$4:$Z$703=1)*($P$4:$P$703=P350)*($C$4:$C$703&lt;C350))+SUMPRODUCT(($K$4:$K$703=K350)*($F$4:$F$703=F350)*($Z$4:$Z$703=1)*($P$4:$P$703=P350)*($C$4:$C$703=C350)*($D$4:$D$703&lt;D350)),0)</f>
        <v>0</v>
      </c>
      <c r="AC350" s="11" t="n">
        <f aca="false">IF(AND(Z350=1,AA350&gt;0,AB350&gt;1),P350,0)</f>
        <v>0</v>
      </c>
    </row>
    <row r="351" customFormat="false" ht="15" hidden="false" customHeight="false" outlineLevel="0" collapsed="false">
      <c r="A351" s="4" t="s">
        <v>583</v>
      </c>
      <c r="B351" s="4" t="s">
        <v>94</v>
      </c>
      <c r="C351" s="4" t="n">
        <v>12</v>
      </c>
      <c r="D351" s="4" t="n">
        <v>348</v>
      </c>
      <c r="E351" s="4" t="s">
        <v>113</v>
      </c>
      <c r="F351" s="4" t="n">
        <v>28</v>
      </c>
      <c r="G351" s="4" t="n">
        <v>17</v>
      </c>
      <c r="H351" s="4" t="n">
        <v>124800</v>
      </c>
      <c r="I351" s="13" t="b">
        <f aca="false">FALSE()</f>
        <v>0</v>
      </c>
      <c r="K351" s="4" t="s">
        <v>572</v>
      </c>
      <c r="L351" s="4" t="n">
        <v>10283.52</v>
      </c>
      <c r="M351" s="11" t="n">
        <f aca="false">IFERROR(MATCH(Controls!$B$3&amp;"|"&amp;B351,'Scenario inputs'!$A$4:$A$213,0),0)</f>
        <v>143</v>
      </c>
      <c r="N351" s="8" t="b">
        <f aca="false">IF(M351=0,FALSE(),F351&lt;Controls!$B$12)</f>
        <v>1</v>
      </c>
      <c r="O351" s="11" t="n">
        <f aca="false">IF(N351,IF(INDEX('Scenario inputs'!$E$4:$E$213,M351)=0,1,INDEX('Scenario inputs'!$F$4:$M$213,M351,MIN(MAX(F351-G351,0),INDEX('Scenario inputs'!$E$4:$E$213,M351)-1)+1)),0)</f>
        <v>1</v>
      </c>
      <c r="P351" s="11" t="n">
        <f aca="false">H351*O351</f>
        <v>124800</v>
      </c>
      <c r="Q351" s="0" t="str">
        <f aca="false">IF(M351=0,"",IF(ISNUMBER(INDEX('Scenario inputs'!$N$4:$N$213,M351)),INDEX('Scenario inputs'!$N$4:$N$213,M351),""))</f>
        <v/>
      </c>
      <c r="R351" s="0" t="str">
        <f aca="false">IF(NOT(N351),"",IF(OR(E351="cash",E351="revenue"),E351,IF(E351="avoided_cost",IF(AND(I351,LEN(TRIM(J351))&gt;0),"avoided_cost_realised","avoided_cost_beside"),IF(ISNUMBER(Q351),"capacity_converted","capacity_hours"))))</f>
        <v>revenue</v>
      </c>
      <c r="S351" s="11" t="n">
        <f aca="false">IF(OR(R351="",R351="capacity_hours"),0,IF(R351="capacity_converted",P351*Q351,P351))</f>
        <v>124800</v>
      </c>
      <c r="T351" s="11" t="n">
        <f aca="false">IF(OR(R351="cash",R351="revenue",R351="avoided_cost_realised",R351="capacity_converted"),1,0)</f>
        <v>1</v>
      </c>
      <c r="U351" s="11" t="n">
        <f aca="false">IF(AND(N351,R351&lt;&gt;"capacity_hours",LEN(K351)&gt;0),1,0)</f>
        <v>1</v>
      </c>
      <c r="V351" s="11" t="n">
        <f aca="false">IF(U351=1,SUMPRODUCT(($K$4:$K$703=K351)*($F$4:$F$703=F351)*($U$4:$U$703=1)*($B$4:$B$703&lt;&gt;B351)),0)</f>
        <v>0</v>
      </c>
      <c r="W351" s="11" t="n">
        <f aca="false">IF(AND(U351=1,V351&gt;0),1+SUMPRODUCT(($K$4:$K$703=K351)*($F$4:$F$703=F351)*($U$4:$U$703=1)*($S$4:$S$703&gt;S351))+SUMPRODUCT(($K$4:$K$703=K351)*($F$4:$F$703=F351)*($U$4:$U$703=1)*($S$4:$S$703=S351)*($T$4:$T$703&gt;T351))+SUMPRODUCT(($K$4:$K$703=K351)*($F$4:$F$703=F351)*($U$4:$U$703=1)*($S$4:$S$703=S351)*($T$4:$T$703=T351)*($C$4:$C$703&lt;C351))+SUMPRODUCT(($K$4:$K$703=K351)*($F$4:$F$703=F351)*($U$4:$U$703=1)*($S$4:$S$703=S351)*($T$4:$T$703=T351)*($C$4:$C$703=C351)*($D$4:$D$703&lt;D351)),0)</f>
        <v>0</v>
      </c>
      <c r="X351" s="11" t="n">
        <f aca="false">IF(AND(U351=1,V351&gt;0,W351&gt;1),S351,0)</f>
        <v>0</v>
      </c>
      <c r="Y351" s="11" t="n">
        <f aca="false">IF(T351=1,X351/(1+Controls!$B$11)^F351,0)</f>
        <v>0</v>
      </c>
      <c r="Z351" s="11" t="n">
        <f aca="false">IF(AND(N351,E351="capacity",LEN(K351)&gt;0),1,0)</f>
        <v>0</v>
      </c>
      <c r="AA351" s="11" t="n">
        <f aca="false">IF(Z351=1,SUMPRODUCT(($K$4:$K$703=K351)*($F$4:$F$703=F351)*($Z$4:$Z$703=1)*($B$4:$B$703&lt;&gt;B351)),0)</f>
        <v>0</v>
      </c>
      <c r="AB351" s="11" t="n">
        <f aca="false">IF(AND(Z351=1,AA351&gt;0),1+SUMPRODUCT(($K$4:$K$703=K351)*($F$4:$F$703=F351)*($Z$4:$Z$703=1)*($P$4:$P$703&gt;P351))+SUMPRODUCT(($K$4:$K$703=K351)*($F$4:$F$703=F351)*($Z$4:$Z$703=1)*($P$4:$P$703=P351)*($C$4:$C$703&lt;C351))+SUMPRODUCT(($K$4:$K$703=K351)*($F$4:$F$703=F351)*($Z$4:$Z$703=1)*($P$4:$P$703=P351)*($C$4:$C$703=C351)*($D$4:$D$703&lt;D351)),0)</f>
        <v>0</v>
      </c>
      <c r="AC351" s="11" t="n">
        <f aca="false">IF(AND(Z351=1,AA351&gt;0,AB351&gt;1),P351,0)</f>
        <v>0</v>
      </c>
    </row>
    <row r="352" customFormat="false" ht="15" hidden="false" customHeight="false" outlineLevel="0" collapsed="false">
      <c r="A352" s="4" t="s">
        <v>584</v>
      </c>
      <c r="B352" s="4" t="s">
        <v>94</v>
      </c>
      <c r="C352" s="4" t="n">
        <v>12</v>
      </c>
      <c r="D352" s="4" t="n">
        <v>349</v>
      </c>
      <c r="E352" s="4" t="s">
        <v>205</v>
      </c>
      <c r="F352" s="4" t="n">
        <v>18</v>
      </c>
      <c r="G352" s="4" t="n">
        <v>18</v>
      </c>
      <c r="H352" s="4" t="n">
        <v>37450</v>
      </c>
      <c r="I352" s="13" t="b">
        <f aca="false">FALSE()</f>
        <v>0</v>
      </c>
      <c r="K352" s="4" t="s">
        <v>585</v>
      </c>
      <c r="L352" s="4" t="n">
        <v>492.84</v>
      </c>
      <c r="M352" s="11" t="n">
        <f aca="false">IFERROR(MATCH(Controls!$B$3&amp;"|"&amp;B352,'Scenario inputs'!$A$4:$A$213,0),0)</f>
        <v>143</v>
      </c>
      <c r="N352" s="8" t="b">
        <f aca="false">IF(M352=0,FALSE(),F352&lt;Controls!$B$12)</f>
        <v>1</v>
      </c>
      <c r="O352" s="11" t="n">
        <f aca="false">IF(N352,IF(INDEX('Scenario inputs'!$E$4:$E$213,M352)=0,1,INDEX('Scenario inputs'!$F$4:$M$213,M352,MIN(MAX(F352-G352,0),INDEX('Scenario inputs'!$E$4:$E$213,M352)-1)+1)),0)</f>
        <v>0.066667</v>
      </c>
      <c r="P352" s="11" t="n">
        <f aca="false">H352*O352</f>
        <v>2496.67915</v>
      </c>
      <c r="Q352" s="0" t="str">
        <f aca="false">IF(M352=0,"",IF(ISNUMBER(INDEX('Scenario inputs'!$N$4:$N$213,M352)),INDEX('Scenario inputs'!$N$4:$N$213,M352),""))</f>
        <v/>
      </c>
      <c r="R352" s="0" t="str">
        <f aca="false">IF(NOT(N352),"",IF(OR(E352="cash",E352="revenue"),E352,IF(E352="avoided_cost",IF(AND(I352,LEN(TRIM(J352))&gt;0),"avoided_cost_realised","avoided_cost_beside"),IF(ISNUMBER(Q352),"capacity_converted","capacity_hours"))))</f>
        <v>avoided_cost_beside</v>
      </c>
      <c r="S352" s="11" t="n">
        <f aca="false">IF(OR(R352="",R352="capacity_hours"),0,IF(R352="capacity_converted",P352*Q352,P352))</f>
        <v>2496.67915</v>
      </c>
      <c r="T352" s="11" t="n">
        <f aca="false">IF(OR(R352="cash",R352="revenue",R352="avoided_cost_realised",R352="capacity_converted"),1,0)</f>
        <v>0</v>
      </c>
      <c r="U352" s="11" t="n">
        <f aca="false">IF(AND(N352,R352&lt;&gt;"capacity_hours",LEN(K352)&gt;0),1,0)</f>
        <v>1</v>
      </c>
      <c r="V352" s="11" t="n">
        <f aca="false">IF(U352=1,SUMPRODUCT(($K$4:$K$703=K352)*($F$4:$F$703=F352)*($U$4:$U$703=1)*($B$4:$B$703&lt;&gt;B352)),0)</f>
        <v>0</v>
      </c>
      <c r="W352" s="11" t="n">
        <f aca="false">IF(AND(U352=1,V352&gt;0),1+SUMPRODUCT(($K$4:$K$703=K352)*($F$4:$F$703=F352)*($U$4:$U$703=1)*($S$4:$S$703&gt;S352))+SUMPRODUCT(($K$4:$K$703=K352)*($F$4:$F$703=F352)*($U$4:$U$703=1)*($S$4:$S$703=S352)*($T$4:$T$703&gt;T352))+SUMPRODUCT(($K$4:$K$703=K352)*($F$4:$F$703=F352)*($U$4:$U$703=1)*($S$4:$S$703=S352)*($T$4:$T$703=T352)*($C$4:$C$703&lt;C352))+SUMPRODUCT(($K$4:$K$703=K352)*($F$4:$F$703=F352)*($U$4:$U$703=1)*($S$4:$S$703=S352)*($T$4:$T$703=T352)*($C$4:$C$703=C352)*($D$4:$D$703&lt;D352)),0)</f>
        <v>0</v>
      </c>
      <c r="X352" s="11" t="n">
        <f aca="false">IF(AND(U352=1,V352&gt;0,W352&gt;1),S352,0)</f>
        <v>0</v>
      </c>
      <c r="Y352" s="11" t="n">
        <f aca="false">IF(T352=1,X352/(1+Controls!$B$11)^F352,0)</f>
        <v>0</v>
      </c>
      <c r="Z352" s="11" t="n">
        <f aca="false">IF(AND(N352,E352="capacity",LEN(K352)&gt;0),1,0)</f>
        <v>0</v>
      </c>
      <c r="AA352" s="11" t="n">
        <f aca="false">IF(Z352=1,SUMPRODUCT(($K$4:$K$703=K352)*($F$4:$F$703=F352)*($Z$4:$Z$703=1)*($B$4:$B$703&lt;&gt;B352)),0)</f>
        <v>0</v>
      </c>
      <c r="AB352" s="11" t="n">
        <f aca="false">IF(AND(Z352=1,AA352&gt;0),1+SUMPRODUCT(($K$4:$K$703=K352)*($F$4:$F$703=F352)*($Z$4:$Z$703=1)*($P$4:$P$703&gt;P352))+SUMPRODUCT(($K$4:$K$703=K352)*($F$4:$F$703=F352)*($Z$4:$Z$703=1)*($P$4:$P$703=P352)*($C$4:$C$703&lt;C352))+SUMPRODUCT(($K$4:$K$703=K352)*($F$4:$F$703=F352)*($Z$4:$Z$703=1)*($P$4:$P$703=P352)*($C$4:$C$703=C352)*($D$4:$D$703&lt;D352)),0)</f>
        <v>0</v>
      </c>
      <c r="AC352" s="11" t="n">
        <f aca="false">IF(AND(Z352=1,AA352&gt;0,AB352&gt;1),P352,0)</f>
        <v>0</v>
      </c>
    </row>
    <row r="353" customFormat="false" ht="15" hidden="false" customHeight="false" outlineLevel="0" collapsed="false">
      <c r="A353" s="4" t="s">
        <v>586</v>
      </c>
      <c r="B353" s="4" t="s">
        <v>94</v>
      </c>
      <c r="C353" s="4" t="n">
        <v>12</v>
      </c>
      <c r="D353" s="4" t="n">
        <v>350</v>
      </c>
      <c r="E353" s="4" t="s">
        <v>205</v>
      </c>
      <c r="F353" s="4" t="n">
        <v>19</v>
      </c>
      <c r="G353" s="4" t="n">
        <v>18</v>
      </c>
      <c r="H353" s="4" t="n">
        <v>37450</v>
      </c>
      <c r="I353" s="13" t="b">
        <f aca="false">FALSE()</f>
        <v>0</v>
      </c>
      <c r="K353" s="4" t="s">
        <v>585</v>
      </c>
      <c r="L353" s="4" t="n">
        <v>1478.53</v>
      </c>
      <c r="M353" s="11" t="n">
        <f aca="false">IFERROR(MATCH(Controls!$B$3&amp;"|"&amp;B353,'Scenario inputs'!$A$4:$A$213,0),0)</f>
        <v>143</v>
      </c>
      <c r="N353" s="8" t="b">
        <f aca="false">IF(M353=0,FALSE(),F353&lt;Controls!$B$12)</f>
        <v>1</v>
      </c>
      <c r="O353" s="11" t="n">
        <f aca="false">IF(N353,IF(INDEX('Scenario inputs'!$E$4:$E$213,M353)=0,1,INDEX('Scenario inputs'!$F$4:$M$213,M353,MIN(MAX(F353-G353,0),INDEX('Scenario inputs'!$E$4:$E$213,M353)-1)+1)),0)</f>
        <v>0.2</v>
      </c>
      <c r="P353" s="11" t="n">
        <f aca="false">H353*O353</f>
        <v>7490</v>
      </c>
      <c r="Q353" s="0" t="str">
        <f aca="false">IF(M353=0,"",IF(ISNUMBER(INDEX('Scenario inputs'!$N$4:$N$213,M353)),INDEX('Scenario inputs'!$N$4:$N$213,M353),""))</f>
        <v/>
      </c>
      <c r="R353" s="0" t="str">
        <f aca="false">IF(NOT(N353),"",IF(OR(E353="cash",E353="revenue"),E353,IF(E353="avoided_cost",IF(AND(I353,LEN(TRIM(J353))&gt;0),"avoided_cost_realised","avoided_cost_beside"),IF(ISNUMBER(Q353),"capacity_converted","capacity_hours"))))</f>
        <v>avoided_cost_beside</v>
      </c>
      <c r="S353" s="11" t="n">
        <f aca="false">IF(OR(R353="",R353="capacity_hours"),0,IF(R353="capacity_converted",P353*Q353,P353))</f>
        <v>7490</v>
      </c>
      <c r="T353" s="11" t="n">
        <f aca="false">IF(OR(R353="cash",R353="revenue",R353="avoided_cost_realised",R353="capacity_converted"),1,0)</f>
        <v>0</v>
      </c>
      <c r="U353" s="11" t="n">
        <f aca="false">IF(AND(N353,R353&lt;&gt;"capacity_hours",LEN(K353)&gt;0),1,0)</f>
        <v>1</v>
      </c>
      <c r="V353" s="11" t="n">
        <f aca="false">IF(U353=1,SUMPRODUCT(($K$4:$K$703=K353)*($F$4:$F$703=F353)*($U$4:$U$703=1)*($B$4:$B$703&lt;&gt;B353)),0)</f>
        <v>0</v>
      </c>
      <c r="W353" s="11" t="n">
        <f aca="false">IF(AND(U353=1,V353&gt;0),1+SUMPRODUCT(($K$4:$K$703=K353)*($F$4:$F$703=F353)*($U$4:$U$703=1)*($S$4:$S$703&gt;S353))+SUMPRODUCT(($K$4:$K$703=K353)*($F$4:$F$703=F353)*($U$4:$U$703=1)*($S$4:$S$703=S353)*($T$4:$T$703&gt;T353))+SUMPRODUCT(($K$4:$K$703=K353)*($F$4:$F$703=F353)*($U$4:$U$703=1)*($S$4:$S$703=S353)*($T$4:$T$703=T353)*($C$4:$C$703&lt;C353))+SUMPRODUCT(($K$4:$K$703=K353)*($F$4:$F$703=F353)*($U$4:$U$703=1)*($S$4:$S$703=S353)*($T$4:$T$703=T353)*($C$4:$C$703=C353)*($D$4:$D$703&lt;D353)),0)</f>
        <v>0</v>
      </c>
      <c r="X353" s="11" t="n">
        <f aca="false">IF(AND(U353=1,V353&gt;0,W353&gt;1),S353,0)</f>
        <v>0</v>
      </c>
      <c r="Y353" s="11" t="n">
        <f aca="false">IF(T353=1,X353/(1+Controls!$B$11)^F353,0)</f>
        <v>0</v>
      </c>
      <c r="Z353" s="11" t="n">
        <f aca="false">IF(AND(N353,E353="capacity",LEN(K353)&gt;0),1,0)</f>
        <v>0</v>
      </c>
      <c r="AA353" s="11" t="n">
        <f aca="false">IF(Z353=1,SUMPRODUCT(($K$4:$K$703=K353)*($F$4:$F$703=F353)*($Z$4:$Z$703=1)*($B$4:$B$703&lt;&gt;B353)),0)</f>
        <v>0</v>
      </c>
      <c r="AB353" s="11" t="n">
        <f aca="false">IF(AND(Z353=1,AA353&gt;0),1+SUMPRODUCT(($K$4:$K$703=K353)*($F$4:$F$703=F353)*($Z$4:$Z$703=1)*($P$4:$P$703&gt;P353))+SUMPRODUCT(($K$4:$K$703=K353)*($F$4:$F$703=F353)*($Z$4:$Z$703=1)*($P$4:$P$703=P353)*($C$4:$C$703&lt;C353))+SUMPRODUCT(($K$4:$K$703=K353)*($F$4:$F$703=F353)*($Z$4:$Z$703=1)*($P$4:$P$703=P353)*($C$4:$C$703=C353)*($D$4:$D$703&lt;D353)),0)</f>
        <v>0</v>
      </c>
      <c r="AC353" s="11" t="n">
        <f aca="false">IF(AND(Z353=1,AA353&gt;0,AB353&gt;1),P353,0)</f>
        <v>0</v>
      </c>
    </row>
    <row r="354" customFormat="false" ht="15" hidden="false" customHeight="false" outlineLevel="0" collapsed="false">
      <c r="A354" s="4" t="s">
        <v>587</v>
      </c>
      <c r="B354" s="4" t="s">
        <v>94</v>
      </c>
      <c r="C354" s="4" t="n">
        <v>12</v>
      </c>
      <c r="D354" s="4" t="n">
        <v>351</v>
      </c>
      <c r="E354" s="4" t="s">
        <v>205</v>
      </c>
      <c r="F354" s="4" t="n">
        <v>20</v>
      </c>
      <c r="G354" s="4" t="n">
        <v>18</v>
      </c>
      <c r="H354" s="4" t="n">
        <v>37450</v>
      </c>
      <c r="I354" s="13" t="b">
        <f aca="false">FALSE()</f>
        <v>0</v>
      </c>
      <c r="K354" s="4" t="s">
        <v>585</v>
      </c>
      <c r="L354" s="4" t="n">
        <v>2957.05</v>
      </c>
      <c r="M354" s="11" t="n">
        <f aca="false">IFERROR(MATCH(Controls!$B$3&amp;"|"&amp;B354,'Scenario inputs'!$A$4:$A$213,0),0)</f>
        <v>143</v>
      </c>
      <c r="N354" s="8" t="b">
        <f aca="false">IF(M354=0,FALSE(),F354&lt;Controls!$B$12)</f>
        <v>1</v>
      </c>
      <c r="O354" s="11" t="n">
        <f aca="false">IF(N354,IF(INDEX('Scenario inputs'!$E$4:$E$213,M354)=0,1,INDEX('Scenario inputs'!$F$4:$M$213,M354,MIN(MAX(F354-G354,0),INDEX('Scenario inputs'!$E$4:$E$213,M354)-1)+1)),0)</f>
        <v>0.4</v>
      </c>
      <c r="P354" s="11" t="n">
        <f aca="false">H354*O354</f>
        <v>14980</v>
      </c>
      <c r="Q354" s="0" t="str">
        <f aca="false">IF(M354=0,"",IF(ISNUMBER(INDEX('Scenario inputs'!$N$4:$N$213,M354)),INDEX('Scenario inputs'!$N$4:$N$213,M354),""))</f>
        <v/>
      </c>
      <c r="R354" s="0" t="str">
        <f aca="false">IF(NOT(N354),"",IF(OR(E354="cash",E354="revenue"),E354,IF(E354="avoided_cost",IF(AND(I354,LEN(TRIM(J354))&gt;0),"avoided_cost_realised","avoided_cost_beside"),IF(ISNUMBER(Q354),"capacity_converted","capacity_hours"))))</f>
        <v>avoided_cost_beside</v>
      </c>
      <c r="S354" s="11" t="n">
        <f aca="false">IF(OR(R354="",R354="capacity_hours"),0,IF(R354="capacity_converted",P354*Q354,P354))</f>
        <v>14980</v>
      </c>
      <c r="T354" s="11" t="n">
        <f aca="false">IF(OR(R354="cash",R354="revenue",R354="avoided_cost_realised",R354="capacity_converted"),1,0)</f>
        <v>0</v>
      </c>
      <c r="U354" s="11" t="n">
        <f aca="false">IF(AND(N354,R354&lt;&gt;"capacity_hours",LEN(K354)&gt;0),1,0)</f>
        <v>1</v>
      </c>
      <c r="V354" s="11" t="n">
        <f aca="false">IF(U354=1,SUMPRODUCT(($K$4:$K$703=K354)*($F$4:$F$703=F354)*($U$4:$U$703=1)*($B$4:$B$703&lt;&gt;B354)),0)</f>
        <v>0</v>
      </c>
      <c r="W354" s="11" t="n">
        <f aca="false">IF(AND(U354=1,V354&gt;0),1+SUMPRODUCT(($K$4:$K$703=K354)*($F$4:$F$703=F354)*($U$4:$U$703=1)*($S$4:$S$703&gt;S354))+SUMPRODUCT(($K$4:$K$703=K354)*($F$4:$F$703=F354)*($U$4:$U$703=1)*($S$4:$S$703=S354)*($T$4:$T$703&gt;T354))+SUMPRODUCT(($K$4:$K$703=K354)*($F$4:$F$703=F354)*($U$4:$U$703=1)*($S$4:$S$703=S354)*($T$4:$T$703=T354)*($C$4:$C$703&lt;C354))+SUMPRODUCT(($K$4:$K$703=K354)*($F$4:$F$703=F354)*($U$4:$U$703=1)*($S$4:$S$703=S354)*($T$4:$T$703=T354)*($C$4:$C$703=C354)*($D$4:$D$703&lt;D354)),0)</f>
        <v>0</v>
      </c>
      <c r="X354" s="11" t="n">
        <f aca="false">IF(AND(U354=1,V354&gt;0,W354&gt;1),S354,0)</f>
        <v>0</v>
      </c>
      <c r="Y354" s="11" t="n">
        <f aca="false">IF(T354=1,X354/(1+Controls!$B$11)^F354,0)</f>
        <v>0</v>
      </c>
      <c r="Z354" s="11" t="n">
        <f aca="false">IF(AND(N354,E354="capacity",LEN(K354)&gt;0),1,0)</f>
        <v>0</v>
      </c>
      <c r="AA354" s="11" t="n">
        <f aca="false">IF(Z354=1,SUMPRODUCT(($K$4:$K$703=K354)*($F$4:$F$703=F354)*($Z$4:$Z$703=1)*($B$4:$B$703&lt;&gt;B354)),0)</f>
        <v>0</v>
      </c>
      <c r="AB354" s="11" t="n">
        <f aca="false">IF(AND(Z354=1,AA354&gt;0),1+SUMPRODUCT(($K$4:$K$703=K354)*($F$4:$F$703=F354)*($Z$4:$Z$703=1)*($P$4:$P$703&gt;P354))+SUMPRODUCT(($K$4:$K$703=K354)*($F$4:$F$703=F354)*($Z$4:$Z$703=1)*($P$4:$P$703=P354)*($C$4:$C$703&lt;C354))+SUMPRODUCT(($K$4:$K$703=K354)*($F$4:$F$703=F354)*($Z$4:$Z$703=1)*($P$4:$P$703=P354)*($C$4:$C$703=C354)*($D$4:$D$703&lt;D354)),0)</f>
        <v>0</v>
      </c>
      <c r="AC354" s="11" t="n">
        <f aca="false">IF(AND(Z354=1,AA354&gt;0,AB354&gt;1),P354,0)</f>
        <v>0</v>
      </c>
    </row>
    <row r="355" customFormat="false" ht="15" hidden="false" customHeight="false" outlineLevel="0" collapsed="false">
      <c r="A355" s="4" t="s">
        <v>588</v>
      </c>
      <c r="B355" s="4" t="s">
        <v>94</v>
      </c>
      <c r="C355" s="4" t="n">
        <v>12</v>
      </c>
      <c r="D355" s="4" t="n">
        <v>352</v>
      </c>
      <c r="E355" s="4" t="s">
        <v>205</v>
      </c>
      <c r="F355" s="4" t="n">
        <v>21</v>
      </c>
      <c r="G355" s="4" t="n">
        <v>18</v>
      </c>
      <c r="H355" s="4" t="n">
        <v>37450</v>
      </c>
      <c r="I355" s="13" t="b">
        <f aca="false">FALSE()</f>
        <v>0</v>
      </c>
      <c r="K355" s="4" t="s">
        <v>585</v>
      </c>
      <c r="L355" s="4" t="n">
        <v>4928.42</v>
      </c>
      <c r="M355" s="11" t="n">
        <f aca="false">IFERROR(MATCH(Controls!$B$3&amp;"|"&amp;B355,'Scenario inputs'!$A$4:$A$213,0),0)</f>
        <v>143</v>
      </c>
      <c r="N355" s="8" t="b">
        <f aca="false">IF(M355=0,FALSE(),F355&lt;Controls!$B$12)</f>
        <v>1</v>
      </c>
      <c r="O355" s="11" t="n">
        <f aca="false">IF(N355,IF(INDEX('Scenario inputs'!$E$4:$E$213,M355)=0,1,INDEX('Scenario inputs'!$F$4:$M$213,M355,MIN(MAX(F355-G355,0),INDEX('Scenario inputs'!$E$4:$E$213,M355)-1)+1)),0)</f>
        <v>0.666667</v>
      </c>
      <c r="P355" s="11" t="n">
        <f aca="false">H355*O355</f>
        <v>24966.67915</v>
      </c>
      <c r="Q355" s="0" t="str">
        <f aca="false">IF(M355=0,"",IF(ISNUMBER(INDEX('Scenario inputs'!$N$4:$N$213,M355)),INDEX('Scenario inputs'!$N$4:$N$213,M355),""))</f>
        <v/>
      </c>
      <c r="R355" s="0" t="str">
        <f aca="false">IF(NOT(N355),"",IF(OR(E355="cash",E355="revenue"),E355,IF(E355="avoided_cost",IF(AND(I355,LEN(TRIM(J355))&gt;0),"avoided_cost_realised","avoided_cost_beside"),IF(ISNUMBER(Q355),"capacity_converted","capacity_hours"))))</f>
        <v>avoided_cost_beside</v>
      </c>
      <c r="S355" s="11" t="n">
        <f aca="false">IF(OR(R355="",R355="capacity_hours"),0,IF(R355="capacity_converted",P355*Q355,P355))</f>
        <v>24966.67915</v>
      </c>
      <c r="T355" s="11" t="n">
        <f aca="false">IF(OR(R355="cash",R355="revenue",R355="avoided_cost_realised",R355="capacity_converted"),1,0)</f>
        <v>0</v>
      </c>
      <c r="U355" s="11" t="n">
        <f aca="false">IF(AND(N355,R355&lt;&gt;"capacity_hours",LEN(K355)&gt;0),1,0)</f>
        <v>1</v>
      </c>
      <c r="V355" s="11" t="n">
        <f aca="false">IF(U355=1,SUMPRODUCT(($K$4:$K$703=K355)*($F$4:$F$703=F355)*($U$4:$U$703=1)*($B$4:$B$703&lt;&gt;B355)),0)</f>
        <v>0</v>
      </c>
      <c r="W355" s="11" t="n">
        <f aca="false">IF(AND(U355=1,V355&gt;0),1+SUMPRODUCT(($K$4:$K$703=K355)*($F$4:$F$703=F355)*($U$4:$U$703=1)*($S$4:$S$703&gt;S355))+SUMPRODUCT(($K$4:$K$703=K355)*($F$4:$F$703=F355)*($U$4:$U$703=1)*($S$4:$S$703=S355)*($T$4:$T$703&gt;T355))+SUMPRODUCT(($K$4:$K$703=K355)*($F$4:$F$703=F355)*($U$4:$U$703=1)*($S$4:$S$703=S355)*($T$4:$T$703=T355)*($C$4:$C$703&lt;C355))+SUMPRODUCT(($K$4:$K$703=K355)*($F$4:$F$703=F355)*($U$4:$U$703=1)*($S$4:$S$703=S355)*($T$4:$T$703=T355)*($C$4:$C$703=C355)*($D$4:$D$703&lt;D355)),0)</f>
        <v>0</v>
      </c>
      <c r="X355" s="11" t="n">
        <f aca="false">IF(AND(U355=1,V355&gt;0,W355&gt;1),S355,0)</f>
        <v>0</v>
      </c>
      <c r="Y355" s="11" t="n">
        <f aca="false">IF(T355=1,X355/(1+Controls!$B$11)^F355,0)</f>
        <v>0</v>
      </c>
      <c r="Z355" s="11" t="n">
        <f aca="false">IF(AND(N355,E355="capacity",LEN(K355)&gt;0),1,0)</f>
        <v>0</v>
      </c>
      <c r="AA355" s="11" t="n">
        <f aca="false">IF(Z355=1,SUMPRODUCT(($K$4:$K$703=K355)*($F$4:$F$703=F355)*($Z$4:$Z$703=1)*($B$4:$B$703&lt;&gt;B355)),0)</f>
        <v>0</v>
      </c>
      <c r="AB355" s="11" t="n">
        <f aca="false">IF(AND(Z355=1,AA355&gt;0),1+SUMPRODUCT(($K$4:$K$703=K355)*($F$4:$F$703=F355)*($Z$4:$Z$703=1)*($P$4:$P$703&gt;P355))+SUMPRODUCT(($K$4:$K$703=K355)*($F$4:$F$703=F355)*($Z$4:$Z$703=1)*($P$4:$P$703=P355)*($C$4:$C$703&lt;C355))+SUMPRODUCT(($K$4:$K$703=K355)*($F$4:$F$703=F355)*($Z$4:$Z$703=1)*($P$4:$P$703=P355)*($C$4:$C$703=C355)*($D$4:$D$703&lt;D355)),0)</f>
        <v>0</v>
      </c>
      <c r="AC355" s="11" t="n">
        <f aca="false">IF(AND(Z355=1,AA355&gt;0,AB355&gt;1),P355,0)</f>
        <v>0</v>
      </c>
    </row>
    <row r="356" customFormat="false" ht="15" hidden="false" customHeight="false" outlineLevel="0" collapsed="false">
      <c r="A356" s="4" t="s">
        <v>589</v>
      </c>
      <c r="B356" s="4" t="s">
        <v>94</v>
      </c>
      <c r="C356" s="4" t="n">
        <v>12</v>
      </c>
      <c r="D356" s="4" t="n">
        <v>353</v>
      </c>
      <c r="E356" s="4" t="s">
        <v>205</v>
      </c>
      <c r="F356" s="4" t="n">
        <v>22</v>
      </c>
      <c r="G356" s="4" t="n">
        <v>18</v>
      </c>
      <c r="H356" s="4" t="n">
        <v>37450</v>
      </c>
      <c r="I356" s="13" t="b">
        <f aca="false">FALSE()</f>
        <v>0</v>
      </c>
      <c r="K356" s="4" t="s">
        <v>585</v>
      </c>
      <c r="L356" s="4" t="n">
        <v>7392.63</v>
      </c>
      <c r="M356" s="11" t="n">
        <f aca="false">IFERROR(MATCH(Controls!$B$3&amp;"|"&amp;B356,'Scenario inputs'!$A$4:$A$213,0),0)</f>
        <v>143</v>
      </c>
      <c r="N356" s="8" t="b">
        <f aca="false">IF(M356=0,FALSE(),F356&lt;Controls!$B$12)</f>
        <v>1</v>
      </c>
      <c r="O356" s="11" t="n">
        <f aca="false">IF(N356,IF(INDEX('Scenario inputs'!$E$4:$E$213,M356)=0,1,INDEX('Scenario inputs'!$F$4:$M$213,M356,MIN(MAX(F356-G356,0),INDEX('Scenario inputs'!$E$4:$E$213,M356)-1)+1)),0)</f>
        <v>1</v>
      </c>
      <c r="P356" s="11" t="n">
        <f aca="false">H356*O356</f>
        <v>37450</v>
      </c>
      <c r="Q356" s="0" t="str">
        <f aca="false">IF(M356=0,"",IF(ISNUMBER(INDEX('Scenario inputs'!$N$4:$N$213,M356)),INDEX('Scenario inputs'!$N$4:$N$213,M356),""))</f>
        <v/>
      </c>
      <c r="R356" s="0" t="str">
        <f aca="false">IF(NOT(N356),"",IF(OR(E356="cash",E356="revenue"),E356,IF(E356="avoided_cost",IF(AND(I356,LEN(TRIM(J356))&gt;0),"avoided_cost_realised","avoided_cost_beside"),IF(ISNUMBER(Q356),"capacity_converted","capacity_hours"))))</f>
        <v>avoided_cost_beside</v>
      </c>
      <c r="S356" s="11" t="n">
        <f aca="false">IF(OR(R356="",R356="capacity_hours"),0,IF(R356="capacity_converted",P356*Q356,P356))</f>
        <v>37450</v>
      </c>
      <c r="T356" s="11" t="n">
        <f aca="false">IF(OR(R356="cash",R356="revenue",R356="avoided_cost_realised",R356="capacity_converted"),1,0)</f>
        <v>0</v>
      </c>
      <c r="U356" s="11" t="n">
        <f aca="false">IF(AND(N356,R356&lt;&gt;"capacity_hours",LEN(K356)&gt;0),1,0)</f>
        <v>1</v>
      </c>
      <c r="V356" s="11" t="n">
        <f aca="false">IF(U356=1,SUMPRODUCT(($K$4:$K$703=K356)*($F$4:$F$703=F356)*($U$4:$U$703=1)*($B$4:$B$703&lt;&gt;B356)),0)</f>
        <v>0</v>
      </c>
      <c r="W356" s="11" t="n">
        <f aca="false">IF(AND(U356=1,V356&gt;0),1+SUMPRODUCT(($K$4:$K$703=K356)*($F$4:$F$703=F356)*($U$4:$U$703=1)*($S$4:$S$703&gt;S356))+SUMPRODUCT(($K$4:$K$703=K356)*($F$4:$F$703=F356)*($U$4:$U$703=1)*($S$4:$S$703=S356)*($T$4:$T$703&gt;T356))+SUMPRODUCT(($K$4:$K$703=K356)*($F$4:$F$703=F356)*($U$4:$U$703=1)*($S$4:$S$703=S356)*($T$4:$T$703=T356)*($C$4:$C$703&lt;C356))+SUMPRODUCT(($K$4:$K$703=K356)*($F$4:$F$703=F356)*($U$4:$U$703=1)*($S$4:$S$703=S356)*($T$4:$T$703=T356)*($C$4:$C$703=C356)*($D$4:$D$703&lt;D356)),0)</f>
        <v>0</v>
      </c>
      <c r="X356" s="11" t="n">
        <f aca="false">IF(AND(U356=1,V356&gt;0,W356&gt;1),S356,0)</f>
        <v>0</v>
      </c>
      <c r="Y356" s="11" t="n">
        <f aca="false">IF(T356=1,X356/(1+Controls!$B$11)^F356,0)</f>
        <v>0</v>
      </c>
      <c r="Z356" s="11" t="n">
        <f aca="false">IF(AND(N356,E356="capacity",LEN(K356)&gt;0),1,0)</f>
        <v>0</v>
      </c>
      <c r="AA356" s="11" t="n">
        <f aca="false">IF(Z356=1,SUMPRODUCT(($K$4:$K$703=K356)*($F$4:$F$703=F356)*($Z$4:$Z$703=1)*($B$4:$B$703&lt;&gt;B356)),0)</f>
        <v>0</v>
      </c>
      <c r="AB356" s="11" t="n">
        <f aca="false">IF(AND(Z356=1,AA356&gt;0),1+SUMPRODUCT(($K$4:$K$703=K356)*($F$4:$F$703=F356)*($Z$4:$Z$703=1)*($P$4:$P$703&gt;P356))+SUMPRODUCT(($K$4:$K$703=K356)*($F$4:$F$703=F356)*($Z$4:$Z$703=1)*($P$4:$P$703=P356)*($C$4:$C$703&lt;C356))+SUMPRODUCT(($K$4:$K$703=K356)*($F$4:$F$703=F356)*($Z$4:$Z$703=1)*($P$4:$P$703=P356)*($C$4:$C$703=C356)*($D$4:$D$703&lt;D356)),0)</f>
        <v>0</v>
      </c>
      <c r="AC356" s="11" t="n">
        <f aca="false">IF(AND(Z356=1,AA356&gt;0,AB356&gt;1),P356,0)</f>
        <v>0</v>
      </c>
    </row>
    <row r="357" customFormat="false" ht="15" hidden="false" customHeight="false" outlineLevel="0" collapsed="false">
      <c r="A357" s="4" t="s">
        <v>590</v>
      </c>
      <c r="B357" s="4" t="s">
        <v>94</v>
      </c>
      <c r="C357" s="4" t="n">
        <v>12</v>
      </c>
      <c r="D357" s="4" t="n">
        <v>354</v>
      </c>
      <c r="E357" s="4" t="s">
        <v>205</v>
      </c>
      <c r="F357" s="4" t="n">
        <v>23</v>
      </c>
      <c r="G357" s="4" t="n">
        <v>18</v>
      </c>
      <c r="H357" s="4" t="n">
        <v>37450</v>
      </c>
      <c r="I357" s="13" t="b">
        <f aca="false">FALSE()</f>
        <v>0</v>
      </c>
      <c r="K357" s="4" t="s">
        <v>585</v>
      </c>
      <c r="L357" s="4" t="n">
        <v>7392.63</v>
      </c>
      <c r="M357" s="11" t="n">
        <f aca="false">IFERROR(MATCH(Controls!$B$3&amp;"|"&amp;B357,'Scenario inputs'!$A$4:$A$213,0),0)</f>
        <v>143</v>
      </c>
      <c r="N357" s="8" t="b">
        <f aca="false">IF(M357=0,FALSE(),F357&lt;Controls!$B$12)</f>
        <v>1</v>
      </c>
      <c r="O357" s="11" t="n">
        <f aca="false">IF(N357,IF(INDEX('Scenario inputs'!$E$4:$E$213,M357)=0,1,INDEX('Scenario inputs'!$F$4:$M$213,M357,MIN(MAX(F357-G357,0),INDEX('Scenario inputs'!$E$4:$E$213,M357)-1)+1)),0)</f>
        <v>1</v>
      </c>
      <c r="P357" s="11" t="n">
        <f aca="false">H357*O357</f>
        <v>37450</v>
      </c>
      <c r="Q357" s="0" t="str">
        <f aca="false">IF(M357=0,"",IF(ISNUMBER(INDEX('Scenario inputs'!$N$4:$N$213,M357)),INDEX('Scenario inputs'!$N$4:$N$213,M357),""))</f>
        <v/>
      </c>
      <c r="R357" s="0" t="str">
        <f aca="false">IF(NOT(N357),"",IF(OR(E357="cash",E357="revenue"),E357,IF(E357="avoided_cost",IF(AND(I357,LEN(TRIM(J357))&gt;0),"avoided_cost_realised","avoided_cost_beside"),IF(ISNUMBER(Q357),"capacity_converted","capacity_hours"))))</f>
        <v>avoided_cost_beside</v>
      </c>
      <c r="S357" s="11" t="n">
        <f aca="false">IF(OR(R357="",R357="capacity_hours"),0,IF(R357="capacity_converted",P357*Q357,P357))</f>
        <v>37450</v>
      </c>
      <c r="T357" s="11" t="n">
        <f aca="false">IF(OR(R357="cash",R357="revenue",R357="avoided_cost_realised",R357="capacity_converted"),1,0)</f>
        <v>0</v>
      </c>
      <c r="U357" s="11" t="n">
        <f aca="false">IF(AND(N357,R357&lt;&gt;"capacity_hours",LEN(K357)&gt;0),1,0)</f>
        <v>1</v>
      </c>
      <c r="V357" s="11" t="n">
        <f aca="false">IF(U357=1,SUMPRODUCT(($K$4:$K$703=K357)*($F$4:$F$703=F357)*($U$4:$U$703=1)*($B$4:$B$703&lt;&gt;B357)),0)</f>
        <v>0</v>
      </c>
      <c r="W357" s="11" t="n">
        <f aca="false">IF(AND(U357=1,V357&gt;0),1+SUMPRODUCT(($K$4:$K$703=K357)*($F$4:$F$703=F357)*($U$4:$U$703=1)*($S$4:$S$703&gt;S357))+SUMPRODUCT(($K$4:$K$703=K357)*($F$4:$F$703=F357)*($U$4:$U$703=1)*($S$4:$S$703=S357)*($T$4:$T$703&gt;T357))+SUMPRODUCT(($K$4:$K$703=K357)*($F$4:$F$703=F357)*($U$4:$U$703=1)*($S$4:$S$703=S357)*($T$4:$T$703=T357)*($C$4:$C$703&lt;C357))+SUMPRODUCT(($K$4:$K$703=K357)*($F$4:$F$703=F357)*($U$4:$U$703=1)*($S$4:$S$703=S357)*($T$4:$T$703=T357)*($C$4:$C$703=C357)*($D$4:$D$703&lt;D357)),0)</f>
        <v>0</v>
      </c>
      <c r="X357" s="11" t="n">
        <f aca="false">IF(AND(U357=1,V357&gt;0,W357&gt;1),S357,0)</f>
        <v>0</v>
      </c>
      <c r="Y357" s="11" t="n">
        <f aca="false">IF(T357=1,X357/(1+Controls!$B$11)^F357,0)</f>
        <v>0</v>
      </c>
      <c r="Z357" s="11" t="n">
        <f aca="false">IF(AND(N357,E357="capacity",LEN(K357)&gt;0),1,0)</f>
        <v>0</v>
      </c>
      <c r="AA357" s="11" t="n">
        <f aca="false">IF(Z357=1,SUMPRODUCT(($K$4:$K$703=K357)*($F$4:$F$703=F357)*($Z$4:$Z$703=1)*($B$4:$B$703&lt;&gt;B357)),0)</f>
        <v>0</v>
      </c>
      <c r="AB357" s="11" t="n">
        <f aca="false">IF(AND(Z357=1,AA357&gt;0),1+SUMPRODUCT(($K$4:$K$703=K357)*($F$4:$F$703=F357)*($Z$4:$Z$703=1)*($P$4:$P$703&gt;P357))+SUMPRODUCT(($K$4:$K$703=K357)*($F$4:$F$703=F357)*($Z$4:$Z$703=1)*($P$4:$P$703=P357)*($C$4:$C$703&lt;C357))+SUMPRODUCT(($K$4:$K$703=K357)*($F$4:$F$703=F357)*($Z$4:$Z$703=1)*($P$4:$P$703=P357)*($C$4:$C$703=C357)*($D$4:$D$703&lt;D357)),0)</f>
        <v>0</v>
      </c>
      <c r="AC357" s="11" t="n">
        <f aca="false">IF(AND(Z357=1,AA357&gt;0,AB357&gt;1),P357,0)</f>
        <v>0</v>
      </c>
    </row>
    <row r="358" customFormat="false" ht="15" hidden="false" customHeight="false" outlineLevel="0" collapsed="false">
      <c r="A358" s="4" t="s">
        <v>591</v>
      </c>
      <c r="B358" s="4" t="s">
        <v>94</v>
      </c>
      <c r="C358" s="4" t="n">
        <v>12</v>
      </c>
      <c r="D358" s="4" t="n">
        <v>355</v>
      </c>
      <c r="E358" s="4" t="s">
        <v>205</v>
      </c>
      <c r="F358" s="4" t="n">
        <v>24</v>
      </c>
      <c r="G358" s="4" t="n">
        <v>18</v>
      </c>
      <c r="H358" s="4" t="n">
        <v>37450</v>
      </c>
      <c r="I358" s="13" t="b">
        <f aca="false">FALSE()</f>
        <v>0</v>
      </c>
      <c r="K358" s="4" t="s">
        <v>585</v>
      </c>
      <c r="L358" s="4" t="n">
        <v>7392.63</v>
      </c>
      <c r="M358" s="11" t="n">
        <f aca="false">IFERROR(MATCH(Controls!$B$3&amp;"|"&amp;B358,'Scenario inputs'!$A$4:$A$213,0),0)</f>
        <v>143</v>
      </c>
      <c r="N358" s="8" t="b">
        <f aca="false">IF(M358=0,FALSE(),F358&lt;Controls!$B$12)</f>
        <v>1</v>
      </c>
      <c r="O358" s="11" t="n">
        <f aca="false">IF(N358,IF(INDEX('Scenario inputs'!$E$4:$E$213,M358)=0,1,INDEX('Scenario inputs'!$F$4:$M$213,M358,MIN(MAX(F358-G358,0),INDEX('Scenario inputs'!$E$4:$E$213,M358)-1)+1)),0)</f>
        <v>1</v>
      </c>
      <c r="P358" s="11" t="n">
        <f aca="false">H358*O358</f>
        <v>37450</v>
      </c>
      <c r="Q358" s="0" t="str">
        <f aca="false">IF(M358=0,"",IF(ISNUMBER(INDEX('Scenario inputs'!$N$4:$N$213,M358)),INDEX('Scenario inputs'!$N$4:$N$213,M358),""))</f>
        <v/>
      </c>
      <c r="R358" s="0" t="str">
        <f aca="false">IF(NOT(N358),"",IF(OR(E358="cash",E358="revenue"),E358,IF(E358="avoided_cost",IF(AND(I358,LEN(TRIM(J358))&gt;0),"avoided_cost_realised","avoided_cost_beside"),IF(ISNUMBER(Q358),"capacity_converted","capacity_hours"))))</f>
        <v>avoided_cost_beside</v>
      </c>
      <c r="S358" s="11" t="n">
        <f aca="false">IF(OR(R358="",R358="capacity_hours"),0,IF(R358="capacity_converted",P358*Q358,P358))</f>
        <v>37450</v>
      </c>
      <c r="T358" s="11" t="n">
        <f aca="false">IF(OR(R358="cash",R358="revenue",R358="avoided_cost_realised",R358="capacity_converted"),1,0)</f>
        <v>0</v>
      </c>
      <c r="U358" s="11" t="n">
        <f aca="false">IF(AND(N358,R358&lt;&gt;"capacity_hours",LEN(K358)&gt;0),1,0)</f>
        <v>1</v>
      </c>
      <c r="V358" s="11" t="n">
        <f aca="false">IF(U358=1,SUMPRODUCT(($K$4:$K$703=K358)*($F$4:$F$703=F358)*($U$4:$U$703=1)*($B$4:$B$703&lt;&gt;B358)),0)</f>
        <v>0</v>
      </c>
      <c r="W358" s="11" t="n">
        <f aca="false">IF(AND(U358=1,V358&gt;0),1+SUMPRODUCT(($K$4:$K$703=K358)*($F$4:$F$703=F358)*($U$4:$U$703=1)*($S$4:$S$703&gt;S358))+SUMPRODUCT(($K$4:$K$703=K358)*($F$4:$F$703=F358)*($U$4:$U$703=1)*($S$4:$S$703=S358)*($T$4:$T$703&gt;T358))+SUMPRODUCT(($K$4:$K$703=K358)*($F$4:$F$703=F358)*($U$4:$U$703=1)*($S$4:$S$703=S358)*($T$4:$T$703=T358)*($C$4:$C$703&lt;C358))+SUMPRODUCT(($K$4:$K$703=K358)*($F$4:$F$703=F358)*($U$4:$U$703=1)*($S$4:$S$703=S358)*($T$4:$T$703=T358)*($C$4:$C$703=C358)*($D$4:$D$703&lt;D358)),0)</f>
        <v>0</v>
      </c>
      <c r="X358" s="11" t="n">
        <f aca="false">IF(AND(U358=1,V358&gt;0,W358&gt;1),S358,0)</f>
        <v>0</v>
      </c>
      <c r="Y358" s="11" t="n">
        <f aca="false">IF(T358=1,X358/(1+Controls!$B$11)^F358,0)</f>
        <v>0</v>
      </c>
      <c r="Z358" s="11" t="n">
        <f aca="false">IF(AND(N358,E358="capacity",LEN(K358)&gt;0),1,0)</f>
        <v>0</v>
      </c>
      <c r="AA358" s="11" t="n">
        <f aca="false">IF(Z358=1,SUMPRODUCT(($K$4:$K$703=K358)*($F$4:$F$703=F358)*($Z$4:$Z$703=1)*($B$4:$B$703&lt;&gt;B358)),0)</f>
        <v>0</v>
      </c>
      <c r="AB358" s="11" t="n">
        <f aca="false">IF(AND(Z358=1,AA358&gt;0),1+SUMPRODUCT(($K$4:$K$703=K358)*($F$4:$F$703=F358)*($Z$4:$Z$703=1)*($P$4:$P$703&gt;P358))+SUMPRODUCT(($K$4:$K$703=K358)*($F$4:$F$703=F358)*($Z$4:$Z$703=1)*($P$4:$P$703=P358)*($C$4:$C$703&lt;C358))+SUMPRODUCT(($K$4:$K$703=K358)*($F$4:$F$703=F358)*($Z$4:$Z$703=1)*($P$4:$P$703=P358)*($C$4:$C$703=C358)*($D$4:$D$703&lt;D358)),0)</f>
        <v>0</v>
      </c>
      <c r="AC358" s="11" t="n">
        <f aca="false">IF(AND(Z358=1,AA358&gt;0,AB358&gt;1),P358,0)</f>
        <v>0</v>
      </c>
    </row>
    <row r="359" customFormat="false" ht="15" hidden="false" customHeight="false" outlineLevel="0" collapsed="false">
      <c r="A359" s="4" t="s">
        <v>592</v>
      </c>
      <c r="B359" s="4" t="s">
        <v>94</v>
      </c>
      <c r="C359" s="4" t="n">
        <v>12</v>
      </c>
      <c r="D359" s="4" t="n">
        <v>356</v>
      </c>
      <c r="E359" s="4" t="s">
        <v>205</v>
      </c>
      <c r="F359" s="4" t="n">
        <v>25</v>
      </c>
      <c r="G359" s="4" t="n">
        <v>18</v>
      </c>
      <c r="H359" s="4" t="n">
        <v>37450</v>
      </c>
      <c r="I359" s="13" t="b">
        <f aca="false">FALSE()</f>
        <v>0</v>
      </c>
      <c r="K359" s="4" t="s">
        <v>585</v>
      </c>
      <c r="L359" s="4" t="n">
        <v>7392.63</v>
      </c>
      <c r="M359" s="11" t="n">
        <f aca="false">IFERROR(MATCH(Controls!$B$3&amp;"|"&amp;B359,'Scenario inputs'!$A$4:$A$213,0),0)</f>
        <v>143</v>
      </c>
      <c r="N359" s="8" t="b">
        <f aca="false">IF(M359=0,FALSE(),F359&lt;Controls!$B$12)</f>
        <v>1</v>
      </c>
      <c r="O359" s="11" t="n">
        <f aca="false">IF(N359,IF(INDEX('Scenario inputs'!$E$4:$E$213,M359)=0,1,INDEX('Scenario inputs'!$F$4:$M$213,M359,MIN(MAX(F359-G359,0),INDEX('Scenario inputs'!$E$4:$E$213,M359)-1)+1)),0)</f>
        <v>1</v>
      </c>
      <c r="P359" s="11" t="n">
        <f aca="false">H359*O359</f>
        <v>37450</v>
      </c>
      <c r="Q359" s="0" t="str">
        <f aca="false">IF(M359=0,"",IF(ISNUMBER(INDEX('Scenario inputs'!$N$4:$N$213,M359)),INDEX('Scenario inputs'!$N$4:$N$213,M359),""))</f>
        <v/>
      </c>
      <c r="R359" s="0" t="str">
        <f aca="false">IF(NOT(N359),"",IF(OR(E359="cash",E359="revenue"),E359,IF(E359="avoided_cost",IF(AND(I359,LEN(TRIM(J359))&gt;0),"avoided_cost_realised","avoided_cost_beside"),IF(ISNUMBER(Q359),"capacity_converted","capacity_hours"))))</f>
        <v>avoided_cost_beside</v>
      </c>
      <c r="S359" s="11" t="n">
        <f aca="false">IF(OR(R359="",R359="capacity_hours"),0,IF(R359="capacity_converted",P359*Q359,P359))</f>
        <v>37450</v>
      </c>
      <c r="T359" s="11" t="n">
        <f aca="false">IF(OR(R359="cash",R359="revenue",R359="avoided_cost_realised",R359="capacity_converted"),1,0)</f>
        <v>0</v>
      </c>
      <c r="U359" s="11" t="n">
        <f aca="false">IF(AND(N359,R359&lt;&gt;"capacity_hours",LEN(K359)&gt;0),1,0)</f>
        <v>1</v>
      </c>
      <c r="V359" s="11" t="n">
        <f aca="false">IF(U359=1,SUMPRODUCT(($K$4:$K$703=K359)*($F$4:$F$703=F359)*($U$4:$U$703=1)*($B$4:$B$703&lt;&gt;B359)),0)</f>
        <v>0</v>
      </c>
      <c r="W359" s="11" t="n">
        <f aca="false">IF(AND(U359=1,V359&gt;0),1+SUMPRODUCT(($K$4:$K$703=K359)*($F$4:$F$703=F359)*($U$4:$U$703=1)*($S$4:$S$703&gt;S359))+SUMPRODUCT(($K$4:$K$703=K359)*($F$4:$F$703=F359)*($U$4:$U$703=1)*($S$4:$S$703=S359)*($T$4:$T$703&gt;T359))+SUMPRODUCT(($K$4:$K$703=K359)*($F$4:$F$703=F359)*($U$4:$U$703=1)*($S$4:$S$703=S359)*($T$4:$T$703=T359)*($C$4:$C$703&lt;C359))+SUMPRODUCT(($K$4:$K$703=K359)*($F$4:$F$703=F359)*($U$4:$U$703=1)*($S$4:$S$703=S359)*($T$4:$T$703=T359)*($C$4:$C$703=C359)*($D$4:$D$703&lt;D359)),0)</f>
        <v>0</v>
      </c>
      <c r="X359" s="11" t="n">
        <f aca="false">IF(AND(U359=1,V359&gt;0,W359&gt;1),S359,0)</f>
        <v>0</v>
      </c>
      <c r="Y359" s="11" t="n">
        <f aca="false">IF(T359=1,X359/(1+Controls!$B$11)^F359,0)</f>
        <v>0</v>
      </c>
      <c r="Z359" s="11" t="n">
        <f aca="false">IF(AND(N359,E359="capacity",LEN(K359)&gt;0),1,0)</f>
        <v>0</v>
      </c>
      <c r="AA359" s="11" t="n">
        <f aca="false">IF(Z359=1,SUMPRODUCT(($K$4:$K$703=K359)*($F$4:$F$703=F359)*($Z$4:$Z$703=1)*($B$4:$B$703&lt;&gt;B359)),0)</f>
        <v>0</v>
      </c>
      <c r="AB359" s="11" t="n">
        <f aca="false">IF(AND(Z359=1,AA359&gt;0),1+SUMPRODUCT(($K$4:$K$703=K359)*($F$4:$F$703=F359)*($Z$4:$Z$703=1)*($P$4:$P$703&gt;P359))+SUMPRODUCT(($K$4:$K$703=K359)*($F$4:$F$703=F359)*($Z$4:$Z$703=1)*($P$4:$P$703=P359)*($C$4:$C$703&lt;C359))+SUMPRODUCT(($K$4:$K$703=K359)*($F$4:$F$703=F359)*($Z$4:$Z$703=1)*($P$4:$P$703=P359)*($C$4:$C$703=C359)*($D$4:$D$703&lt;D359)),0)</f>
        <v>0</v>
      </c>
      <c r="AC359" s="11" t="n">
        <f aca="false">IF(AND(Z359=1,AA359&gt;0,AB359&gt;1),P359,0)</f>
        <v>0</v>
      </c>
    </row>
    <row r="360" customFormat="false" ht="15" hidden="false" customHeight="false" outlineLevel="0" collapsed="false">
      <c r="A360" s="4" t="s">
        <v>593</v>
      </c>
      <c r="B360" s="4" t="s">
        <v>94</v>
      </c>
      <c r="C360" s="4" t="n">
        <v>12</v>
      </c>
      <c r="D360" s="4" t="n">
        <v>357</v>
      </c>
      <c r="E360" s="4" t="s">
        <v>205</v>
      </c>
      <c r="F360" s="4" t="n">
        <v>26</v>
      </c>
      <c r="G360" s="4" t="n">
        <v>18</v>
      </c>
      <c r="H360" s="4" t="n">
        <v>37450</v>
      </c>
      <c r="I360" s="13" t="b">
        <f aca="false">FALSE()</f>
        <v>0</v>
      </c>
      <c r="K360" s="4" t="s">
        <v>585</v>
      </c>
      <c r="L360" s="4" t="n">
        <v>7392.63</v>
      </c>
      <c r="M360" s="11" t="n">
        <f aca="false">IFERROR(MATCH(Controls!$B$3&amp;"|"&amp;B360,'Scenario inputs'!$A$4:$A$213,0),0)</f>
        <v>143</v>
      </c>
      <c r="N360" s="8" t="b">
        <f aca="false">IF(M360=0,FALSE(),F360&lt;Controls!$B$12)</f>
        <v>1</v>
      </c>
      <c r="O360" s="11" t="n">
        <f aca="false">IF(N360,IF(INDEX('Scenario inputs'!$E$4:$E$213,M360)=0,1,INDEX('Scenario inputs'!$F$4:$M$213,M360,MIN(MAX(F360-G360,0),INDEX('Scenario inputs'!$E$4:$E$213,M360)-1)+1)),0)</f>
        <v>1</v>
      </c>
      <c r="P360" s="11" t="n">
        <f aca="false">H360*O360</f>
        <v>37450</v>
      </c>
      <c r="Q360" s="0" t="str">
        <f aca="false">IF(M360=0,"",IF(ISNUMBER(INDEX('Scenario inputs'!$N$4:$N$213,M360)),INDEX('Scenario inputs'!$N$4:$N$213,M360),""))</f>
        <v/>
      </c>
      <c r="R360" s="0" t="str">
        <f aca="false">IF(NOT(N360),"",IF(OR(E360="cash",E360="revenue"),E360,IF(E360="avoided_cost",IF(AND(I360,LEN(TRIM(J360))&gt;0),"avoided_cost_realised","avoided_cost_beside"),IF(ISNUMBER(Q360),"capacity_converted","capacity_hours"))))</f>
        <v>avoided_cost_beside</v>
      </c>
      <c r="S360" s="11" t="n">
        <f aca="false">IF(OR(R360="",R360="capacity_hours"),0,IF(R360="capacity_converted",P360*Q360,P360))</f>
        <v>37450</v>
      </c>
      <c r="T360" s="11" t="n">
        <f aca="false">IF(OR(R360="cash",R360="revenue",R360="avoided_cost_realised",R360="capacity_converted"),1,0)</f>
        <v>0</v>
      </c>
      <c r="U360" s="11" t="n">
        <f aca="false">IF(AND(N360,R360&lt;&gt;"capacity_hours",LEN(K360)&gt;0),1,0)</f>
        <v>1</v>
      </c>
      <c r="V360" s="11" t="n">
        <f aca="false">IF(U360=1,SUMPRODUCT(($K$4:$K$703=K360)*($F$4:$F$703=F360)*($U$4:$U$703=1)*($B$4:$B$703&lt;&gt;B360)),0)</f>
        <v>0</v>
      </c>
      <c r="W360" s="11" t="n">
        <f aca="false">IF(AND(U360=1,V360&gt;0),1+SUMPRODUCT(($K$4:$K$703=K360)*($F$4:$F$703=F360)*($U$4:$U$703=1)*($S$4:$S$703&gt;S360))+SUMPRODUCT(($K$4:$K$703=K360)*($F$4:$F$703=F360)*($U$4:$U$703=1)*($S$4:$S$703=S360)*($T$4:$T$703&gt;T360))+SUMPRODUCT(($K$4:$K$703=K360)*($F$4:$F$703=F360)*($U$4:$U$703=1)*($S$4:$S$703=S360)*($T$4:$T$703=T360)*($C$4:$C$703&lt;C360))+SUMPRODUCT(($K$4:$K$703=K360)*($F$4:$F$703=F360)*($U$4:$U$703=1)*($S$4:$S$703=S360)*($T$4:$T$703=T360)*($C$4:$C$703=C360)*($D$4:$D$703&lt;D360)),0)</f>
        <v>0</v>
      </c>
      <c r="X360" s="11" t="n">
        <f aca="false">IF(AND(U360=1,V360&gt;0,W360&gt;1),S360,0)</f>
        <v>0</v>
      </c>
      <c r="Y360" s="11" t="n">
        <f aca="false">IF(T360=1,X360/(1+Controls!$B$11)^F360,0)</f>
        <v>0</v>
      </c>
      <c r="Z360" s="11" t="n">
        <f aca="false">IF(AND(N360,E360="capacity",LEN(K360)&gt;0),1,0)</f>
        <v>0</v>
      </c>
      <c r="AA360" s="11" t="n">
        <f aca="false">IF(Z360=1,SUMPRODUCT(($K$4:$K$703=K360)*($F$4:$F$703=F360)*($Z$4:$Z$703=1)*($B$4:$B$703&lt;&gt;B360)),0)</f>
        <v>0</v>
      </c>
      <c r="AB360" s="11" t="n">
        <f aca="false">IF(AND(Z360=1,AA360&gt;0),1+SUMPRODUCT(($K$4:$K$703=K360)*($F$4:$F$703=F360)*($Z$4:$Z$703=1)*($P$4:$P$703&gt;P360))+SUMPRODUCT(($K$4:$K$703=K360)*($F$4:$F$703=F360)*($Z$4:$Z$703=1)*($P$4:$P$703=P360)*($C$4:$C$703&lt;C360))+SUMPRODUCT(($K$4:$K$703=K360)*($F$4:$F$703=F360)*($Z$4:$Z$703=1)*($P$4:$P$703=P360)*($C$4:$C$703=C360)*($D$4:$D$703&lt;D360)),0)</f>
        <v>0</v>
      </c>
      <c r="AC360" s="11" t="n">
        <f aca="false">IF(AND(Z360=1,AA360&gt;0,AB360&gt;1),P360,0)</f>
        <v>0</v>
      </c>
    </row>
    <row r="361" customFormat="false" ht="15" hidden="false" customHeight="false" outlineLevel="0" collapsed="false">
      <c r="A361" s="4" t="s">
        <v>594</v>
      </c>
      <c r="B361" s="4" t="s">
        <v>94</v>
      </c>
      <c r="C361" s="4" t="n">
        <v>12</v>
      </c>
      <c r="D361" s="4" t="n">
        <v>358</v>
      </c>
      <c r="E361" s="4" t="s">
        <v>205</v>
      </c>
      <c r="F361" s="4" t="n">
        <v>27</v>
      </c>
      <c r="G361" s="4" t="n">
        <v>18</v>
      </c>
      <c r="H361" s="4" t="n">
        <v>37450</v>
      </c>
      <c r="I361" s="13" t="b">
        <f aca="false">FALSE()</f>
        <v>0</v>
      </c>
      <c r="K361" s="4" t="s">
        <v>585</v>
      </c>
      <c r="L361" s="4" t="n">
        <v>7392.63</v>
      </c>
      <c r="M361" s="11" t="n">
        <f aca="false">IFERROR(MATCH(Controls!$B$3&amp;"|"&amp;B361,'Scenario inputs'!$A$4:$A$213,0),0)</f>
        <v>143</v>
      </c>
      <c r="N361" s="8" t="b">
        <f aca="false">IF(M361=0,FALSE(),F361&lt;Controls!$B$12)</f>
        <v>1</v>
      </c>
      <c r="O361" s="11" t="n">
        <f aca="false">IF(N361,IF(INDEX('Scenario inputs'!$E$4:$E$213,M361)=0,1,INDEX('Scenario inputs'!$F$4:$M$213,M361,MIN(MAX(F361-G361,0),INDEX('Scenario inputs'!$E$4:$E$213,M361)-1)+1)),0)</f>
        <v>1</v>
      </c>
      <c r="P361" s="11" t="n">
        <f aca="false">H361*O361</f>
        <v>37450</v>
      </c>
      <c r="Q361" s="0" t="str">
        <f aca="false">IF(M361=0,"",IF(ISNUMBER(INDEX('Scenario inputs'!$N$4:$N$213,M361)),INDEX('Scenario inputs'!$N$4:$N$213,M361),""))</f>
        <v/>
      </c>
      <c r="R361" s="0" t="str">
        <f aca="false">IF(NOT(N361),"",IF(OR(E361="cash",E361="revenue"),E361,IF(E361="avoided_cost",IF(AND(I361,LEN(TRIM(J361))&gt;0),"avoided_cost_realised","avoided_cost_beside"),IF(ISNUMBER(Q361),"capacity_converted","capacity_hours"))))</f>
        <v>avoided_cost_beside</v>
      </c>
      <c r="S361" s="11" t="n">
        <f aca="false">IF(OR(R361="",R361="capacity_hours"),0,IF(R361="capacity_converted",P361*Q361,P361))</f>
        <v>37450</v>
      </c>
      <c r="T361" s="11" t="n">
        <f aca="false">IF(OR(R361="cash",R361="revenue",R361="avoided_cost_realised",R361="capacity_converted"),1,0)</f>
        <v>0</v>
      </c>
      <c r="U361" s="11" t="n">
        <f aca="false">IF(AND(N361,R361&lt;&gt;"capacity_hours",LEN(K361)&gt;0),1,0)</f>
        <v>1</v>
      </c>
      <c r="V361" s="11" t="n">
        <f aca="false">IF(U361=1,SUMPRODUCT(($K$4:$K$703=K361)*($F$4:$F$703=F361)*($U$4:$U$703=1)*($B$4:$B$703&lt;&gt;B361)),0)</f>
        <v>0</v>
      </c>
      <c r="W361" s="11" t="n">
        <f aca="false">IF(AND(U361=1,V361&gt;0),1+SUMPRODUCT(($K$4:$K$703=K361)*($F$4:$F$703=F361)*($U$4:$U$703=1)*($S$4:$S$703&gt;S361))+SUMPRODUCT(($K$4:$K$703=K361)*($F$4:$F$703=F361)*($U$4:$U$703=1)*($S$4:$S$703=S361)*($T$4:$T$703&gt;T361))+SUMPRODUCT(($K$4:$K$703=K361)*($F$4:$F$703=F361)*($U$4:$U$703=1)*($S$4:$S$703=S361)*($T$4:$T$703=T361)*($C$4:$C$703&lt;C361))+SUMPRODUCT(($K$4:$K$703=K361)*($F$4:$F$703=F361)*($U$4:$U$703=1)*($S$4:$S$703=S361)*($T$4:$T$703=T361)*($C$4:$C$703=C361)*($D$4:$D$703&lt;D361)),0)</f>
        <v>0</v>
      </c>
      <c r="X361" s="11" t="n">
        <f aca="false">IF(AND(U361=1,V361&gt;0,W361&gt;1),S361,0)</f>
        <v>0</v>
      </c>
      <c r="Y361" s="11" t="n">
        <f aca="false">IF(T361=1,X361/(1+Controls!$B$11)^F361,0)</f>
        <v>0</v>
      </c>
      <c r="Z361" s="11" t="n">
        <f aca="false">IF(AND(N361,E361="capacity",LEN(K361)&gt;0),1,0)</f>
        <v>0</v>
      </c>
      <c r="AA361" s="11" t="n">
        <f aca="false">IF(Z361=1,SUMPRODUCT(($K$4:$K$703=K361)*($F$4:$F$703=F361)*($Z$4:$Z$703=1)*($B$4:$B$703&lt;&gt;B361)),0)</f>
        <v>0</v>
      </c>
      <c r="AB361" s="11" t="n">
        <f aca="false">IF(AND(Z361=1,AA361&gt;0),1+SUMPRODUCT(($K$4:$K$703=K361)*($F$4:$F$703=F361)*($Z$4:$Z$703=1)*($P$4:$P$703&gt;P361))+SUMPRODUCT(($K$4:$K$703=K361)*($F$4:$F$703=F361)*($Z$4:$Z$703=1)*($P$4:$P$703=P361)*($C$4:$C$703&lt;C361))+SUMPRODUCT(($K$4:$K$703=K361)*($F$4:$F$703=F361)*($Z$4:$Z$703=1)*($P$4:$P$703=P361)*($C$4:$C$703=C361)*($D$4:$D$703&lt;D361)),0)</f>
        <v>0</v>
      </c>
      <c r="AC361" s="11" t="n">
        <f aca="false">IF(AND(Z361=1,AA361&gt;0,AB361&gt;1),P361,0)</f>
        <v>0</v>
      </c>
    </row>
    <row r="362" customFormat="false" ht="15" hidden="false" customHeight="false" outlineLevel="0" collapsed="false">
      <c r="A362" s="4" t="s">
        <v>595</v>
      </c>
      <c r="B362" s="4" t="s">
        <v>94</v>
      </c>
      <c r="C362" s="4" t="n">
        <v>12</v>
      </c>
      <c r="D362" s="4" t="n">
        <v>359</v>
      </c>
      <c r="E362" s="4" t="s">
        <v>205</v>
      </c>
      <c r="F362" s="4" t="n">
        <v>28</v>
      </c>
      <c r="G362" s="4" t="n">
        <v>18</v>
      </c>
      <c r="H362" s="4" t="n">
        <v>37450</v>
      </c>
      <c r="I362" s="13" t="b">
        <f aca="false">FALSE()</f>
        <v>0</v>
      </c>
      <c r="K362" s="4" t="s">
        <v>585</v>
      </c>
      <c r="L362" s="4" t="n">
        <v>7392.63</v>
      </c>
      <c r="M362" s="11" t="n">
        <f aca="false">IFERROR(MATCH(Controls!$B$3&amp;"|"&amp;B362,'Scenario inputs'!$A$4:$A$213,0),0)</f>
        <v>143</v>
      </c>
      <c r="N362" s="8" t="b">
        <f aca="false">IF(M362=0,FALSE(),F362&lt;Controls!$B$12)</f>
        <v>1</v>
      </c>
      <c r="O362" s="11" t="n">
        <f aca="false">IF(N362,IF(INDEX('Scenario inputs'!$E$4:$E$213,M362)=0,1,INDEX('Scenario inputs'!$F$4:$M$213,M362,MIN(MAX(F362-G362,0),INDEX('Scenario inputs'!$E$4:$E$213,M362)-1)+1)),0)</f>
        <v>1</v>
      </c>
      <c r="P362" s="11" t="n">
        <f aca="false">H362*O362</f>
        <v>37450</v>
      </c>
      <c r="Q362" s="0" t="str">
        <f aca="false">IF(M362=0,"",IF(ISNUMBER(INDEX('Scenario inputs'!$N$4:$N$213,M362)),INDEX('Scenario inputs'!$N$4:$N$213,M362),""))</f>
        <v/>
      </c>
      <c r="R362" s="0" t="str">
        <f aca="false">IF(NOT(N362),"",IF(OR(E362="cash",E362="revenue"),E362,IF(E362="avoided_cost",IF(AND(I362,LEN(TRIM(J362))&gt;0),"avoided_cost_realised","avoided_cost_beside"),IF(ISNUMBER(Q362),"capacity_converted","capacity_hours"))))</f>
        <v>avoided_cost_beside</v>
      </c>
      <c r="S362" s="11" t="n">
        <f aca="false">IF(OR(R362="",R362="capacity_hours"),0,IF(R362="capacity_converted",P362*Q362,P362))</f>
        <v>37450</v>
      </c>
      <c r="T362" s="11" t="n">
        <f aca="false">IF(OR(R362="cash",R362="revenue",R362="avoided_cost_realised",R362="capacity_converted"),1,0)</f>
        <v>0</v>
      </c>
      <c r="U362" s="11" t="n">
        <f aca="false">IF(AND(N362,R362&lt;&gt;"capacity_hours",LEN(K362)&gt;0),1,0)</f>
        <v>1</v>
      </c>
      <c r="V362" s="11" t="n">
        <f aca="false">IF(U362=1,SUMPRODUCT(($K$4:$K$703=K362)*($F$4:$F$703=F362)*($U$4:$U$703=1)*($B$4:$B$703&lt;&gt;B362)),0)</f>
        <v>0</v>
      </c>
      <c r="W362" s="11" t="n">
        <f aca="false">IF(AND(U362=1,V362&gt;0),1+SUMPRODUCT(($K$4:$K$703=K362)*($F$4:$F$703=F362)*($U$4:$U$703=1)*($S$4:$S$703&gt;S362))+SUMPRODUCT(($K$4:$K$703=K362)*($F$4:$F$703=F362)*($U$4:$U$703=1)*($S$4:$S$703=S362)*($T$4:$T$703&gt;T362))+SUMPRODUCT(($K$4:$K$703=K362)*($F$4:$F$703=F362)*($U$4:$U$703=1)*($S$4:$S$703=S362)*($T$4:$T$703=T362)*($C$4:$C$703&lt;C362))+SUMPRODUCT(($K$4:$K$703=K362)*($F$4:$F$703=F362)*($U$4:$U$703=1)*($S$4:$S$703=S362)*($T$4:$T$703=T362)*($C$4:$C$703=C362)*($D$4:$D$703&lt;D362)),0)</f>
        <v>0</v>
      </c>
      <c r="X362" s="11" t="n">
        <f aca="false">IF(AND(U362=1,V362&gt;0,W362&gt;1),S362,0)</f>
        <v>0</v>
      </c>
      <c r="Y362" s="11" t="n">
        <f aca="false">IF(T362=1,X362/(1+Controls!$B$11)^F362,0)</f>
        <v>0</v>
      </c>
      <c r="Z362" s="11" t="n">
        <f aca="false">IF(AND(N362,E362="capacity",LEN(K362)&gt;0),1,0)</f>
        <v>0</v>
      </c>
      <c r="AA362" s="11" t="n">
        <f aca="false">IF(Z362=1,SUMPRODUCT(($K$4:$K$703=K362)*($F$4:$F$703=F362)*($Z$4:$Z$703=1)*($B$4:$B$703&lt;&gt;B362)),0)</f>
        <v>0</v>
      </c>
      <c r="AB362" s="11" t="n">
        <f aca="false">IF(AND(Z362=1,AA362&gt;0),1+SUMPRODUCT(($K$4:$K$703=K362)*($F$4:$F$703=F362)*($Z$4:$Z$703=1)*($P$4:$P$703&gt;P362))+SUMPRODUCT(($K$4:$K$703=K362)*($F$4:$F$703=F362)*($Z$4:$Z$703=1)*($P$4:$P$703=P362)*($C$4:$C$703&lt;C362))+SUMPRODUCT(($K$4:$K$703=K362)*($F$4:$F$703=F362)*($Z$4:$Z$703=1)*($P$4:$P$703=P362)*($C$4:$C$703=C362)*($D$4:$D$703&lt;D362)),0)</f>
        <v>0</v>
      </c>
      <c r="AC362" s="11" t="n">
        <f aca="false">IF(AND(Z362=1,AA362&gt;0,AB362&gt;1),P362,0)</f>
        <v>0</v>
      </c>
    </row>
    <row r="363" customFormat="false" ht="15" hidden="false" customHeight="false" outlineLevel="0" collapsed="false">
      <c r="A363" s="4" t="s">
        <v>596</v>
      </c>
      <c r="B363" s="4" t="s">
        <v>94</v>
      </c>
      <c r="C363" s="4" t="n">
        <v>12</v>
      </c>
      <c r="D363" s="4" t="n">
        <v>360</v>
      </c>
      <c r="E363" s="4" t="s">
        <v>233</v>
      </c>
      <c r="F363" s="4" t="n">
        <v>18</v>
      </c>
      <c r="G363" s="4" t="n">
        <v>18</v>
      </c>
      <c r="H363" s="4" t="n">
        <v>2690.36</v>
      </c>
      <c r="I363" s="13" t="b">
        <f aca="false">FALSE()</f>
        <v>0</v>
      </c>
      <c r="K363" s="4" t="s">
        <v>597</v>
      </c>
      <c r="L363" s="4" t="n">
        <v>33.4</v>
      </c>
      <c r="M363" s="11" t="n">
        <f aca="false">IFERROR(MATCH(Controls!$B$3&amp;"|"&amp;B363,'Scenario inputs'!$A$4:$A$213,0),0)</f>
        <v>143</v>
      </c>
      <c r="N363" s="8" t="b">
        <f aca="false">IF(M363=0,FALSE(),F363&lt;Controls!$B$12)</f>
        <v>1</v>
      </c>
      <c r="O363" s="11" t="n">
        <f aca="false">IF(N363,IF(INDEX('Scenario inputs'!$E$4:$E$213,M363)=0,1,INDEX('Scenario inputs'!$F$4:$M$213,M363,MIN(MAX(F363-G363,0),INDEX('Scenario inputs'!$E$4:$E$213,M363)-1)+1)),0)</f>
        <v>0.066667</v>
      </c>
      <c r="P363" s="11" t="n">
        <f aca="false">H363*O363</f>
        <v>179.35823012</v>
      </c>
      <c r="Q363" s="0" t="str">
        <f aca="false">IF(M363=0,"",IF(ISNUMBER(INDEX('Scenario inputs'!$N$4:$N$213,M363)),INDEX('Scenario inputs'!$N$4:$N$213,M363),""))</f>
        <v/>
      </c>
      <c r="R363" s="0" t="str">
        <f aca="false">IF(NOT(N363),"",IF(OR(E363="cash",E363="revenue"),E363,IF(E363="avoided_cost",IF(AND(I363,LEN(TRIM(J363))&gt;0),"avoided_cost_realised","avoided_cost_beside"),IF(ISNUMBER(Q363),"capacity_converted","capacity_hours"))))</f>
        <v>capacity_hours</v>
      </c>
      <c r="S363" s="11" t="n">
        <f aca="false">IF(OR(R363="",R363="capacity_hours"),0,IF(R363="capacity_converted",P363*Q363,P363))</f>
        <v>0</v>
      </c>
      <c r="T363" s="11" t="n">
        <f aca="false">IF(OR(R363="cash",R363="revenue",R363="avoided_cost_realised",R363="capacity_converted"),1,0)</f>
        <v>0</v>
      </c>
      <c r="U363" s="11" t="n">
        <f aca="false">IF(AND(N363,R363&lt;&gt;"capacity_hours",LEN(K363)&gt;0),1,0)</f>
        <v>0</v>
      </c>
      <c r="V363" s="11" t="n">
        <f aca="false">IF(U363=1,SUMPRODUCT(($K$4:$K$703=K363)*($F$4:$F$703=F363)*($U$4:$U$703=1)*($B$4:$B$703&lt;&gt;B363)),0)</f>
        <v>0</v>
      </c>
      <c r="W363" s="11" t="n">
        <f aca="false">IF(AND(U363=1,V363&gt;0),1+SUMPRODUCT(($K$4:$K$703=K363)*($F$4:$F$703=F363)*($U$4:$U$703=1)*($S$4:$S$703&gt;S363))+SUMPRODUCT(($K$4:$K$703=K363)*($F$4:$F$703=F363)*($U$4:$U$703=1)*($S$4:$S$703=S363)*($T$4:$T$703&gt;T363))+SUMPRODUCT(($K$4:$K$703=K363)*($F$4:$F$703=F363)*($U$4:$U$703=1)*($S$4:$S$703=S363)*($T$4:$T$703=T363)*($C$4:$C$703&lt;C363))+SUMPRODUCT(($K$4:$K$703=K363)*($F$4:$F$703=F363)*($U$4:$U$703=1)*($S$4:$S$703=S363)*($T$4:$T$703=T363)*($C$4:$C$703=C363)*($D$4:$D$703&lt;D363)),0)</f>
        <v>0</v>
      </c>
      <c r="X363" s="11" t="n">
        <f aca="false">IF(AND(U363=1,V363&gt;0,W363&gt;1),S363,0)</f>
        <v>0</v>
      </c>
      <c r="Y363" s="11" t="n">
        <f aca="false">IF(T363=1,X363/(1+Controls!$B$11)^F363,0)</f>
        <v>0</v>
      </c>
      <c r="Z363" s="11" t="n">
        <f aca="false">IF(AND(N363,E363="capacity",LEN(K363)&gt;0),1,0)</f>
        <v>1</v>
      </c>
      <c r="AA363" s="11" t="n">
        <f aca="false">IF(Z363=1,SUMPRODUCT(($K$4:$K$703=K363)*($F$4:$F$703=F363)*($Z$4:$Z$703=1)*($B$4:$B$703&lt;&gt;B363)),0)</f>
        <v>0</v>
      </c>
      <c r="AB363" s="11" t="n">
        <f aca="false">IF(AND(Z363=1,AA363&gt;0),1+SUMPRODUCT(($K$4:$K$703=K363)*($F$4:$F$703=F363)*($Z$4:$Z$703=1)*($P$4:$P$703&gt;P363))+SUMPRODUCT(($K$4:$K$703=K363)*($F$4:$F$703=F363)*($Z$4:$Z$703=1)*($P$4:$P$703=P363)*($C$4:$C$703&lt;C363))+SUMPRODUCT(($K$4:$K$703=K363)*($F$4:$F$703=F363)*($Z$4:$Z$703=1)*($P$4:$P$703=P363)*($C$4:$C$703=C363)*($D$4:$D$703&lt;D363)),0)</f>
        <v>0</v>
      </c>
      <c r="AC363" s="11" t="n">
        <f aca="false">IF(AND(Z363=1,AA363&gt;0,AB363&gt;1),P363,0)</f>
        <v>0</v>
      </c>
    </row>
    <row r="364" customFormat="false" ht="15" hidden="false" customHeight="false" outlineLevel="0" collapsed="false">
      <c r="A364" s="4" t="s">
        <v>598</v>
      </c>
      <c r="B364" s="4" t="s">
        <v>94</v>
      </c>
      <c r="C364" s="4" t="n">
        <v>12</v>
      </c>
      <c r="D364" s="4" t="n">
        <v>361</v>
      </c>
      <c r="E364" s="4" t="s">
        <v>233</v>
      </c>
      <c r="F364" s="4" t="n">
        <v>19</v>
      </c>
      <c r="G364" s="4" t="n">
        <v>18</v>
      </c>
      <c r="H364" s="4" t="n">
        <v>2690.36</v>
      </c>
      <c r="I364" s="13" t="b">
        <f aca="false">FALSE()</f>
        <v>0</v>
      </c>
      <c r="K364" s="4" t="s">
        <v>597</v>
      </c>
      <c r="L364" s="4" t="n">
        <v>100.19</v>
      </c>
      <c r="M364" s="11" t="n">
        <f aca="false">IFERROR(MATCH(Controls!$B$3&amp;"|"&amp;B364,'Scenario inputs'!$A$4:$A$213,0),0)</f>
        <v>143</v>
      </c>
      <c r="N364" s="8" t="b">
        <f aca="false">IF(M364=0,FALSE(),F364&lt;Controls!$B$12)</f>
        <v>1</v>
      </c>
      <c r="O364" s="11" t="n">
        <f aca="false">IF(N364,IF(INDEX('Scenario inputs'!$E$4:$E$213,M364)=0,1,INDEX('Scenario inputs'!$F$4:$M$213,M364,MIN(MAX(F364-G364,0),INDEX('Scenario inputs'!$E$4:$E$213,M364)-1)+1)),0)</f>
        <v>0.2</v>
      </c>
      <c r="P364" s="11" t="n">
        <f aca="false">H364*O364</f>
        <v>538.072</v>
      </c>
      <c r="Q364" s="0" t="str">
        <f aca="false">IF(M364=0,"",IF(ISNUMBER(INDEX('Scenario inputs'!$N$4:$N$213,M364)),INDEX('Scenario inputs'!$N$4:$N$213,M364),""))</f>
        <v/>
      </c>
      <c r="R364" s="0" t="str">
        <f aca="false">IF(NOT(N364),"",IF(OR(E364="cash",E364="revenue"),E364,IF(E364="avoided_cost",IF(AND(I364,LEN(TRIM(J364))&gt;0),"avoided_cost_realised","avoided_cost_beside"),IF(ISNUMBER(Q364),"capacity_converted","capacity_hours"))))</f>
        <v>capacity_hours</v>
      </c>
      <c r="S364" s="11" t="n">
        <f aca="false">IF(OR(R364="",R364="capacity_hours"),0,IF(R364="capacity_converted",P364*Q364,P364))</f>
        <v>0</v>
      </c>
      <c r="T364" s="11" t="n">
        <f aca="false">IF(OR(R364="cash",R364="revenue",R364="avoided_cost_realised",R364="capacity_converted"),1,0)</f>
        <v>0</v>
      </c>
      <c r="U364" s="11" t="n">
        <f aca="false">IF(AND(N364,R364&lt;&gt;"capacity_hours",LEN(K364)&gt;0),1,0)</f>
        <v>0</v>
      </c>
      <c r="V364" s="11" t="n">
        <f aca="false">IF(U364=1,SUMPRODUCT(($K$4:$K$703=K364)*($F$4:$F$703=F364)*($U$4:$U$703=1)*($B$4:$B$703&lt;&gt;B364)),0)</f>
        <v>0</v>
      </c>
      <c r="W364" s="11" t="n">
        <f aca="false">IF(AND(U364=1,V364&gt;0),1+SUMPRODUCT(($K$4:$K$703=K364)*($F$4:$F$703=F364)*($U$4:$U$703=1)*($S$4:$S$703&gt;S364))+SUMPRODUCT(($K$4:$K$703=K364)*($F$4:$F$703=F364)*($U$4:$U$703=1)*($S$4:$S$703=S364)*($T$4:$T$703&gt;T364))+SUMPRODUCT(($K$4:$K$703=K364)*($F$4:$F$703=F364)*($U$4:$U$703=1)*($S$4:$S$703=S364)*($T$4:$T$703=T364)*($C$4:$C$703&lt;C364))+SUMPRODUCT(($K$4:$K$703=K364)*($F$4:$F$703=F364)*($U$4:$U$703=1)*($S$4:$S$703=S364)*($T$4:$T$703=T364)*($C$4:$C$703=C364)*($D$4:$D$703&lt;D364)),0)</f>
        <v>0</v>
      </c>
      <c r="X364" s="11" t="n">
        <f aca="false">IF(AND(U364=1,V364&gt;0,W364&gt;1),S364,0)</f>
        <v>0</v>
      </c>
      <c r="Y364" s="11" t="n">
        <f aca="false">IF(T364=1,X364/(1+Controls!$B$11)^F364,0)</f>
        <v>0</v>
      </c>
      <c r="Z364" s="11" t="n">
        <f aca="false">IF(AND(N364,E364="capacity",LEN(K364)&gt;0),1,0)</f>
        <v>1</v>
      </c>
      <c r="AA364" s="11" t="n">
        <f aca="false">IF(Z364=1,SUMPRODUCT(($K$4:$K$703=K364)*($F$4:$F$703=F364)*($Z$4:$Z$703=1)*($B$4:$B$703&lt;&gt;B364)),0)</f>
        <v>0</v>
      </c>
      <c r="AB364" s="11" t="n">
        <f aca="false">IF(AND(Z364=1,AA364&gt;0),1+SUMPRODUCT(($K$4:$K$703=K364)*($F$4:$F$703=F364)*($Z$4:$Z$703=1)*($P$4:$P$703&gt;P364))+SUMPRODUCT(($K$4:$K$703=K364)*($F$4:$F$703=F364)*($Z$4:$Z$703=1)*($P$4:$P$703=P364)*($C$4:$C$703&lt;C364))+SUMPRODUCT(($K$4:$K$703=K364)*($F$4:$F$703=F364)*($Z$4:$Z$703=1)*($P$4:$P$703=P364)*($C$4:$C$703=C364)*($D$4:$D$703&lt;D364)),0)</f>
        <v>0</v>
      </c>
      <c r="AC364" s="11" t="n">
        <f aca="false">IF(AND(Z364=1,AA364&gt;0,AB364&gt;1),P364,0)</f>
        <v>0</v>
      </c>
    </row>
    <row r="365" customFormat="false" ht="15" hidden="false" customHeight="false" outlineLevel="0" collapsed="false">
      <c r="A365" s="4" t="s">
        <v>599</v>
      </c>
      <c r="B365" s="4" t="s">
        <v>94</v>
      </c>
      <c r="C365" s="4" t="n">
        <v>12</v>
      </c>
      <c r="D365" s="4" t="n">
        <v>362</v>
      </c>
      <c r="E365" s="4" t="s">
        <v>233</v>
      </c>
      <c r="F365" s="4" t="n">
        <v>20</v>
      </c>
      <c r="G365" s="4" t="n">
        <v>18</v>
      </c>
      <c r="H365" s="4" t="n">
        <v>2690.36</v>
      </c>
      <c r="I365" s="13" t="b">
        <f aca="false">FALSE()</f>
        <v>0</v>
      </c>
      <c r="K365" s="4" t="s">
        <v>597</v>
      </c>
      <c r="L365" s="4" t="n">
        <v>200.38</v>
      </c>
      <c r="M365" s="11" t="n">
        <f aca="false">IFERROR(MATCH(Controls!$B$3&amp;"|"&amp;B365,'Scenario inputs'!$A$4:$A$213,0),0)</f>
        <v>143</v>
      </c>
      <c r="N365" s="8" t="b">
        <f aca="false">IF(M365=0,FALSE(),F365&lt;Controls!$B$12)</f>
        <v>1</v>
      </c>
      <c r="O365" s="11" t="n">
        <f aca="false">IF(N365,IF(INDEX('Scenario inputs'!$E$4:$E$213,M365)=0,1,INDEX('Scenario inputs'!$F$4:$M$213,M365,MIN(MAX(F365-G365,0),INDEX('Scenario inputs'!$E$4:$E$213,M365)-1)+1)),0)</f>
        <v>0.4</v>
      </c>
      <c r="P365" s="11" t="n">
        <f aca="false">H365*O365</f>
        <v>1076.144</v>
      </c>
      <c r="Q365" s="0" t="str">
        <f aca="false">IF(M365=0,"",IF(ISNUMBER(INDEX('Scenario inputs'!$N$4:$N$213,M365)),INDEX('Scenario inputs'!$N$4:$N$213,M365),""))</f>
        <v/>
      </c>
      <c r="R365" s="0" t="str">
        <f aca="false">IF(NOT(N365),"",IF(OR(E365="cash",E365="revenue"),E365,IF(E365="avoided_cost",IF(AND(I365,LEN(TRIM(J365))&gt;0),"avoided_cost_realised","avoided_cost_beside"),IF(ISNUMBER(Q365),"capacity_converted","capacity_hours"))))</f>
        <v>capacity_hours</v>
      </c>
      <c r="S365" s="11" t="n">
        <f aca="false">IF(OR(R365="",R365="capacity_hours"),0,IF(R365="capacity_converted",P365*Q365,P365))</f>
        <v>0</v>
      </c>
      <c r="T365" s="11" t="n">
        <f aca="false">IF(OR(R365="cash",R365="revenue",R365="avoided_cost_realised",R365="capacity_converted"),1,0)</f>
        <v>0</v>
      </c>
      <c r="U365" s="11" t="n">
        <f aca="false">IF(AND(N365,R365&lt;&gt;"capacity_hours",LEN(K365)&gt;0),1,0)</f>
        <v>0</v>
      </c>
      <c r="V365" s="11" t="n">
        <f aca="false">IF(U365=1,SUMPRODUCT(($K$4:$K$703=K365)*($F$4:$F$703=F365)*($U$4:$U$703=1)*($B$4:$B$703&lt;&gt;B365)),0)</f>
        <v>0</v>
      </c>
      <c r="W365" s="11" t="n">
        <f aca="false">IF(AND(U365=1,V365&gt;0),1+SUMPRODUCT(($K$4:$K$703=K365)*($F$4:$F$703=F365)*($U$4:$U$703=1)*($S$4:$S$703&gt;S365))+SUMPRODUCT(($K$4:$K$703=K365)*($F$4:$F$703=F365)*($U$4:$U$703=1)*($S$4:$S$703=S365)*($T$4:$T$703&gt;T365))+SUMPRODUCT(($K$4:$K$703=K365)*($F$4:$F$703=F365)*($U$4:$U$703=1)*($S$4:$S$703=S365)*($T$4:$T$703=T365)*($C$4:$C$703&lt;C365))+SUMPRODUCT(($K$4:$K$703=K365)*($F$4:$F$703=F365)*($U$4:$U$703=1)*($S$4:$S$703=S365)*($T$4:$T$703=T365)*($C$4:$C$703=C365)*($D$4:$D$703&lt;D365)),0)</f>
        <v>0</v>
      </c>
      <c r="X365" s="11" t="n">
        <f aca="false">IF(AND(U365=1,V365&gt;0,W365&gt;1),S365,0)</f>
        <v>0</v>
      </c>
      <c r="Y365" s="11" t="n">
        <f aca="false">IF(T365=1,X365/(1+Controls!$B$11)^F365,0)</f>
        <v>0</v>
      </c>
      <c r="Z365" s="11" t="n">
        <f aca="false">IF(AND(N365,E365="capacity",LEN(K365)&gt;0),1,0)</f>
        <v>1</v>
      </c>
      <c r="AA365" s="11" t="n">
        <f aca="false">IF(Z365=1,SUMPRODUCT(($K$4:$K$703=K365)*($F$4:$F$703=F365)*($Z$4:$Z$703=1)*($B$4:$B$703&lt;&gt;B365)),0)</f>
        <v>0</v>
      </c>
      <c r="AB365" s="11" t="n">
        <f aca="false">IF(AND(Z365=1,AA365&gt;0),1+SUMPRODUCT(($K$4:$K$703=K365)*($F$4:$F$703=F365)*($Z$4:$Z$703=1)*($P$4:$P$703&gt;P365))+SUMPRODUCT(($K$4:$K$703=K365)*($F$4:$F$703=F365)*($Z$4:$Z$703=1)*($P$4:$P$703=P365)*($C$4:$C$703&lt;C365))+SUMPRODUCT(($K$4:$K$703=K365)*($F$4:$F$703=F365)*($Z$4:$Z$703=1)*($P$4:$P$703=P365)*($C$4:$C$703=C365)*($D$4:$D$703&lt;D365)),0)</f>
        <v>0</v>
      </c>
      <c r="AC365" s="11" t="n">
        <f aca="false">IF(AND(Z365=1,AA365&gt;0,AB365&gt;1),P365,0)</f>
        <v>0</v>
      </c>
    </row>
    <row r="366" customFormat="false" ht="15" hidden="false" customHeight="false" outlineLevel="0" collapsed="false">
      <c r="A366" s="4" t="s">
        <v>600</v>
      </c>
      <c r="B366" s="4" t="s">
        <v>94</v>
      </c>
      <c r="C366" s="4" t="n">
        <v>12</v>
      </c>
      <c r="D366" s="4" t="n">
        <v>363</v>
      </c>
      <c r="E366" s="4" t="s">
        <v>233</v>
      </c>
      <c r="F366" s="4" t="n">
        <v>21</v>
      </c>
      <c r="G366" s="4" t="n">
        <v>18</v>
      </c>
      <c r="H366" s="4" t="n">
        <v>2690.36</v>
      </c>
      <c r="I366" s="13" t="b">
        <f aca="false">FALSE()</f>
        <v>0</v>
      </c>
      <c r="K366" s="4" t="s">
        <v>597</v>
      </c>
      <c r="L366" s="4" t="n">
        <v>333.96</v>
      </c>
      <c r="M366" s="11" t="n">
        <f aca="false">IFERROR(MATCH(Controls!$B$3&amp;"|"&amp;B366,'Scenario inputs'!$A$4:$A$213,0),0)</f>
        <v>143</v>
      </c>
      <c r="N366" s="8" t="b">
        <f aca="false">IF(M366=0,FALSE(),F366&lt;Controls!$B$12)</f>
        <v>1</v>
      </c>
      <c r="O366" s="11" t="n">
        <f aca="false">IF(N366,IF(INDEX('Scenario inputs'!$E$4:$E$213,M366)=0,1,INDEX('Scenario inputs'!$F$4:$M$213,M366,MIN(MAX(F366-G366,0),INDEX('Scenario inputs'!$E$4:$E$213,M366)-1)+1)),0)</f>
        <v>0.666667</v>
      </c>
      <c r="P366" s="11" t="n">
        <f aca="false">H366*O366</f>
        <v>1793.57423012</v>
      </c>
      <c r="Q366" s="0" t="str">
        <f aca="false">IF(M366=0,"",IF(ISNUMBER(INDEX('Scenario inputs'!$N$4:$N$213,M366)),INDEX('Scenario inputs'!$N$4:$N$213,M366),""))</f>
        <v/>
      </c>
      <c r="R366" s="0" t="str">
        <f aca="false">IF(NOT(N366),"",IF(OR(E366="cash",E366="revenue"),E366,IF(E366="avoided_cost",IF(AND(I366,LEN(TRIM(J366))&gt;0),"avoided_cost_realised","avoided_cost_beside"),IF(ISNUMBER(Q366),"capacity_converted","capacity_hours"))))</f>
        <v>capacity_hours</v>
      </c>
      <c r="S366" s="11" t="n">
        <f aca="false">IF(OR(R366="",R366="capacity_hours"),0,IF(R366="capacity_converted",P366*Q366,P366))</f>
        <v>0</v>
      </c>
      <c r="T366" s="11" t="n">
        <f aca="false">IF(OR(R366="cash",R366="revenue",R366="avoided_cost_realised",R366="capacity_converted"),1,0)</f>
        <v>0</v>
      </c>
      <c r="U366" s="11" t="n">
        <f aca="false">IF(AND(N366,R366&lt;&gt;"capacity_hours",LEN(K366)&gt;0),1,0)</f>
        <v>0</v>
      </c>
      <c r="V366" s="11" t="n">
        <f aca="false">IF(U366=1,SUMPRODUCT(($K$4:$K$703=K366)*($F$4:$F$703=F366)*($U$4:$U$703=1)*($B$4:$B$703&lt;&gt;B366)),0)</f>
        <v>0</v>
      </c>
      <c r="W366" s="11" t="n">
        <f aca="false">IF(AND(U366=1,V366&gt;0),1+SUMPRODUCT(($K$4:$K$703=K366)*($F$4:$F$703=F366)*($U$4:$U$703=1)*($S$4:$S$703&gt;S366))+SUMPRODUCT(($K$4:$K$703=K366)*($F$4:$F$703=F366)*($U$4:$U$703=1)*($S$4:$S$703=S366)*($T$4:$T$703&gt;T366))+SUMPRODUCT(($K$4:$K$703=K366)*($F$4:$F$703=F366)*($U$4:$U$703=1)*($S$4:$S$703=S366)*($T$4:$T$703=T366)*($C$4:$C$703&lt;C366))+SUMPRODUCT(($K$4:$K$703=K366)*($F$4:$F$703=F366)*($U$4:$U$703=1)*($S$4:$S$703=S366)*($T$4:$T$703=T366)*($C$4:$C$703=C366)*($D$4:$D$703&lt;D366)),0)</f>
        <v>0</v>
      </c>
      <c r="X366" s="11" t="n">
        <f aca="false">IF(AND(U366=1,V366&gt;0,W366&gt;1),S366,0)</f>
        <v>0</v>
      </c>
      <c r="Y366" s="11" t="n">
        <f aca="false">IF(T366=1,X366/(1+Controls!$B$11)^F366,0)</f>
        <v>0</v>
      </c>
      <c r="Z366" s="11" t="n">
        <f aca="false">IF(AND(N366,E366="capacity",LEN(K366)&gt;0),1,0)</f>
        <v>1</v>
      </c>
      <c r="AA366" s="11" t="n">
        <f aca="false">IF(Z366=1,SUMPRODUCT(($K$4:$K$703=K366)*($F$4:$F$703=F366)*($Z$4:$Z$703=1)*($B$4:$B$703&lt;&gt;B366)),0)</f>
        <v>0</v>
      </c>
      <c r="AB366" s="11" t="n">
        <f aca="false">IF(AND(Z366=1,AA366&gt;0),1+SUMPRODUCT(($K$4:$K$703=K366)*($F$4:$F$703=F366)*($Z$4:$Z$703=1)*($P$4:$P$703&gt;P366))+SUMPRODUCT(($K$4:$K$703=K366)*($F$4:$F$703=F366)*($Z$4:$Z$703=1)*($P$4:$P$703=P366)*($C$4:$C$703&lt;C366))+SUMPRODUCT(($K$4:$K$703=K366)*($F$4:$F$703=F366)*($Z$4:$Z$703=1)*($P$4:$P$703=P366)*($C$4:$C$703=C366)*($D$4:$D$703&lt;D366)),0)</f>
        <v>0</v>
      </c>
      <c r="AC366" s="11" t="n">
        <f aca="false">IF(AND(Z366=1,AA366&gt;0,AB366&gt;1),P366,0)</f>
        <v>0</v>
      </c>
    </row>
    <row r="367" customFormat="false" ht="15" hidden="false" customHeight="false" outlineLevel="0" collapsed="false">
      <c r="A367" s="4" t="s">
        <v>601</v>
      </c>
      <c r="B367" s="4" t="s">
        <v>94</v>
      </c>
      <c r="C367" s="4" t="n">
        <v>12</v>
      </c>
      <c r="D367" s="4" t="n">
        <v>364</v>
      </c>
      <c r="E367" s="4" t="s">
        <v>233</v>
      </c>
      <c r="F367" s="4" t="n">
        <v>22</v>
      </c>
      <c r="G367" s="4" t="n">
        <v>18</v>
      </c>
      <c r="H367" s="4" t="n">
        <v>2690.36</v>
      </c>
      <c r="I367" s="13" t="b">
        <f aca="false">FALSE()</f>
        <v>0</v>
      </c>
      <c r="K367" s="4" t="s">
        <v>597</v>
      </c>
      <c r="L367" s="4" t="n">
        <v>500.95</v>
      </c>
      <c r="M367" s="11" t="n">
        <f aca="false">IFERROR(MATCH(Controls!$B$3&amp;"|"&amp;B367,'Scenario inputs'!$A$4:$A$213,0),0)</f>
        <v>143</v>
      </c>
      <c r="N367" s="8" t="b">
        <f aca="false">IF(M367=0,FALSE(),F367&lt;Controls!$B$12)</f>
        <v>1</v>
      </c>
      <c r="O367" s="11" t="n">
        <f aca="false">IF(N367,IF(INDEX('Scenario inputs'!$E$4:$E$213,M367)=0,1,INDEX('Scenario inputs'!$F$4:$M$213,M367,MIN(MAX(F367-G367,0),INDEX('Scenario inputs'!$E$4:$E$213,M367)-1)+1)),0)</f>
        <v>1</v>
      </c>
      <c r="P367" s="11" t="n">
        <f aca="false">H367*O367</f>
        <v>2690.36</v>
      </c>
      <c r="Q367" s="0" t="str">
        <f aca="false">IF(M367=0,"",IF(ISNUMBER(INDEX('Scenario inputs'!$N$4:$N$213,M367)),INDEX('Scenario inputs'!$N$4:$N$213,M367),""))</f>
        <v/>
      </c>
      <c r="R367" s="0" t="str">
        <f aca="false">IF(NOT(N367),"",IF(OR(E367="cash",E367="revenue"),E367,IF(E367="avoided_cost",IF(AND(I367,LEN(TRIM(J367))&gt;0),"avoided_cost_realised","avoided_cost_beside"),IF(ISNUMBER(Q367),"capacity_converted","capacity_hours"))))</f>
        <v>capacity_hours</v>
      </c>
      <c r="S367" s="11" t="n">
        <f aca="false">IF(OR(R367="",R367="capacity_hours"),0,IF(R367="capacity_converted",P367*Q367,P367))</f>
        <v>0</v>
      </c>
      <c r="T367" s="11" t="n">
        <f aca="false">IF(OR(R367="cash",R367="revenue",R367="avoided_cost_realised",R367="capacity_converted"),1,0)</f>
        <v>0</v>
      </c>
      <c r="U367" s="11" t="n">
        <f aca="false">IF(AND(N367,R367&lt;&gt;"capacity_hours",LEN(K367)&gt;0),1,0)</f>
        <v>0</v>
      </c>
      <c r="V367" s="11" t="n">
        <f aca="false">IF(U367=1,SUMPRODUCT(($K$4:$K$703=K367)*($F$4:$F$703=F367)*($U$4:$U$703=1)*($B$4:$B$703&lt;&gt;B367)),0)</f>
        <v>0</v>
      </c>
      <c r="W367" s="11" t="n">
        <f aca="false">IF(AND(U367=1,V367&gt;0),1+SUMPRODUCT(($K$4:$K$703=K367)*($F$4:$F$703=F367)*($U$4:$U$703=1)*($S$4:$S$703&gt;S367))+SUMPRODUCT(($K$4:$K$703=K367)*($F$4:$F$703=F367)*($U$4:$U$703=1)*($S$4:$S$703=S367)*($T$4:$T$703&gt;T367))+SUMPRODUCT(($K$4:$K$703=K367)*($F$4:$F$703=F367)*($U$4:$U$703=1)*($S$4:$S$703=S367)*($T$4:$T$703=T367)*($C$4:$C$703&lt;C367))+SUMPRODUCT(($K$4:$K$703=K367)*($F$4:$F$703=F367)*($U$4:$U$703=1)*($S$4:$S$703=S367)*($T$4:$T$703=T367)*($C$4:$C$703=C367)*($D$4:$D$703&lt;D367)),0)</f>
        <v>0</v>
      </c>
      <c r="X367" s="11" t="n">
        <f aca="false">IF(AND(U367=1,V367&gt;0,W367&gt;1),S367,0)</f>
        <v>0</v>
      </c>
      <c r="Y367" s="11" t="n">
        <f aca="false">IF(T367=1,X367/(1+Controls!$B$11)^F367,0)</f>
        <v>0</v>
      </c>
      <c r="Z367" s="11" t="n">
        <f aca="false">IF(AND(N367,E367="capacity",LEN(K367)&gt;0),1,0)</f>
        <v>1</v>
      </c>
      <c r="AA367" s="11" t="n">
        <f aca="false">IF(Z367=1,SUMPRODUCT(($K$4:$K$703=K367)*($F$4:$F$703=F367)*($Z$4:$Z$703=1)*($B$4:$B$703&lt;&gt;B367)),0)</f>
        <v>0</v>
      </c>
      <c r="AB367" s="11" t="n">
        <f aca="false">IF(AND(Z367=1,AA367&gt;0),1+SUMPRODUCT(($K$4:$K$703=K367)*($F$4:$F$703=F367)*($Z$4:$Z$703=1)*($P$4:$P$703&gt;P367))+SUMPRODUCT(($K$4:$K$703=K367)*($F$4:$F$703=F367)*($Z$4:$Z$703=1)*($P$4:$P$703=P367)*($C$4:$C$703&lt;C367))+SUMPRODUCT(($K$4:$K$703=K367)*($F$4:$F$703=F367)*($Z$4:$Z$703=1)*($P$4:$P$703=P367)*($C$4:$C$703=C367)*($D$4:$D$703&lt;D367)),0)</f>
        <v>0</v>
      </c>
      <c r="AC367" s="11" t="n">
        <f aca="false">IF(AND(Z367=1,AA367&gt;0,AB367&gt;1),P367,0)</f>
        <v>0</v>
      </c>
    </row>
    <row r="368" customFormat="false" ht="15" hidden="false" customHeight="false" outlineLevel="0" collapsed="false">
      <c r="A368" s="4" t="s">
        <v>602</v>
      </c>
      <c r="B368" s="4" t="s">
        <v>94</v>
      </c>
      <c r="C368" s="4" t="n">
        <v>12</v>
      </c>
      <c r="D368" s="4" t="n">
        <v>365</v>
      </c>
      <c r="E368" s="4" t="s">
        <v>233</v>
      </c>
      <c r="F368" s="4" t="n">
        <v>23</v>
      </c>
      <c r="G368" s="4" t="n">
        <v>18</v>
      </c>
      <c r="H368" s="4" t="n">
        <v>2690.36</v>
      </c>
      <c r="I368" s="13" t="b">
        <f aca="false">FALSE()</f>
        <v>0</v>
      </c>
      <c r="K368" s="4" t="s">
        <v>597</v>
      </c>
      <c r="L368" s="4" t="n">
        <v>500.95</v>
      </c>
      <c r="M368" s="11" t="n">
        <f aca="false">IFERROR(MATCH(Controls!$B$3&amp;"|"&amp;B368,'Scenario inputs'!$A$4:$A$213,0),0)</f>
        <v>143</v>
      </c>
      <c r="N368" s="8" t="b">
        <f aca="false">IF(M368=0,FALSE(),F368&lt;Controls!$B$12)</f>
        <v>1</v>
      </c>
      <c r="O368" s="11" t="n">
        <f aca="false">IF(N368,IF(INDEX('Scenario inputs'!$E$4:$E$213,M368)=0,1,INDEX('Scenario inputs'!$F$4:$M$213,M368,MIN(MAX(F368-G368,0),INDEX('Scenario inputs'!$E$4:$E$213,M368)-1)+1)),0)</f>
        <v>1</v>
      </c>
      <c r="P368" s="11" t="n">
        <f aca="false">H368*O368</f>
        <v>2690.36</v>
      </c>
      <c r="Q368" s="0" t="str">
        <f aca="false">IF(M368=0,"",IF(ISNUMBER(INDEX('Scenario inputs'!$N$4:$N$213,M368)),INDEX('Scenario inputs'!$N$4:$N$213,M368),""))</f>
        <v/>
      </c>
      <c r="R368" s="0" t="str">
        <f aca="false">IF(NOT(N368),"",IF(OR(E368="cash",E368="revenue"),E368,IF(E368="avoided_cost",IF(AND(I368,LEN(TRIM(J368))&gt;0),"avoided_cost_realised","avoided_cost_beside"),IF(ISNUMBER(Q368),"capacity_converted","capacity_hours"))))</f>
        <v>capacity_hours</v>
      </c>
      <c r="S368" s="11" t="n">
        <f aca="false">IF(OR(R368="",R368="capacity_hours"),0,IF(R368="capacity_converted",P368*Q368,P368))</f>
        <v>0</v>
      </c>
      <c r="T368" s="11" t="n">
        <f aca="false">IF(OR(R368="cash",R368="revenue",R368="avoided_cost_realised",R368="capacity_converted"),1,0)</f>
        <v>0</v>
      </c>
      <c r="U368" s="11" t="n">
        <f aca="false">IF(AND(N368,R368&lt;&gt;"capacity_hours",LEN(K368)&gt;0),1,0)</f>
        <v>0</v>
      </c>
      <c r="V368" s="11" t="n">
        <f aca="false">IF(U368=1,SUMPRODUCT(($K$4:$K$703=K368)*($F$4:$F$703=F368)*($U$4:$U$703=1)*($B$4:$B$703&lt;&gt;B368)),0)</f>
        <v>0</v>
      </c>
      <c r="W368" s="11" t="n">
        <f aca="false">IF(AND(U368=1,V368&gt;0),1+SUMPRODUCT(($K$4:$K$703=K368)*($F$4:$F$703=F368)*($U$4:$U$703=1)*($S$4:$S$703&gt;S368))+SUMPRODUCT(($K$4:$K$703=K368)*($F$4:$F$703=F368)*($U$4:$U$703=1)*($S$4:$S$703=S368)*($T$4:$T$703&gt;T368))+SUMPRODUCT(($K$4:$K$703=K368)*($F$4:$F$703=F368)*($U$4:$U$703=1)*($S$4:$S$703=S368)*($T$4:$T$703=T368)*($C$4:$C$703&lt;C368))+SUMPRODUCT(($K$4:$K$703=K368)*($F$4:$F$703=F368)*($U$4:$U$703=1)*($S$4:$S$703=S368)*($T$4:$T$703=T368)*($C$4:$C$703=C368)*($D$4:$D$703&lt;D368)),0)</f>
        <v>0</v>
      </c>
      <c r="X368" s="11" t="n">
        <f aca="false">IF(AND(U368=1,V368&gt;0,W368&gt;1),S368,0)</f>
        <v>0</v>
      </c>
      <c r="Y368" s="11" t="n">
        <f aca="false">IF(T368=1,X368/(1+Controls!$B$11)^F368,0)</f>
        <v>0</v>
      </c>
      <c r="Z368" s="11" t="n">
        <f aca="false">IF(AND(N368,E368="capacity",LEN(K368)&gt;0),1,0)</f>
        <v>1</v>
      </c>
      <c r="AA368" s="11" t="n">
        <f aca="false">IF(Z368=1,SUMPRODUCT(($K$4:$K$703=K368)*($F$4:$F$703=F368)*($Z$4:$Z$703=1)*($B$4:$B$703&lt;&gt;B368)),0)</f>
        <v>0</v>
      </c>
      <c r="AB368" s="11" t="n">
        <f aca="false">IF(AND(Z368=1,AA368&gt;0),1+SUMPRODUCT(($K$4:$K$703=K368)*($F$4:$F$703=F368)*($Z$4:$Z$703=1)*($P$4:$P$703&gt;P368))+SUMPRODUCT(($K$4:$K$703=K368)*($F$4:$F$703=F368)*($Z$4:$Z$703=1)*($P$4:$P$703=P368)*($C$4:$C$703&lt;C368))+SUMPRODUCT(($K$4:$K$703=K368)*($F$4:$F$703=F368)*($Z$4:$Z$703=1)*($P$4:$P$703=P368)*($C$4:$C$703=C368)*($D$4:$D$703&lt;D368)),0)</f>
        <v>0</v>
      </c>
      <c r="AC368" s="11" t="n">
        <f aca="false">IF(AND(Z368=1,AA368&gt;0,AB368&gt;1),P368,0)</f>
        <v>0</v>
      </c>
    </row>
    <row r="369" customFormat="false" ht="15" hidden="false" customHeight="false" outlineLevel="0" collapsed="false">
      <c r="A369" s="4" t="s">
        <v>603</v>
      </c>
      <c r="B369" s="4" t="s">
        <v>94</v>
      </c>
      <c r="C369" s="4" t="n">
        <v>12</v>
      </c>
      <c r="D369" s="4" t="n">
        <v>366</v>
      </c>
      <c r="E369" s="4" t="s">
        <v>233</v>
      </c>
      <c r="F369" s="4" t="n">
        <v>24</v>
      </c>
      <c r="G369" s="4" t="n">
        <v>18</v>
      </c>
      <c r="H369" s="4" t="n">
        <v>2690.36</v>
      </c>
      <c r="I369" s="13" t="b">
        <f aca="false">FALSE()</f>
        <v>0</v>
      </c>
      <c r="K369" s="4" t="s">
        <v>597</v>
      </c>
      <c r="L369" s="4" t="n">
        <v>500.95</v>
      </c>
      <c r="M369" s="11" t="n">
        <f aca="false">IFERROR(MATCH(Controls!$B$3&amp;"|"&amp;B369,'Scenario inputs'!$A$4:$A$213,0),0)</f>
        <v>143</v>
      </c>
      <c r="N369" s="8" t="b">
        <f aca="false">IF(M369=0,FALSE(),F369&lt;Controls!$B$12)</f>
        <v>1</v>
      </c>
      <c r="O369" s="11" t="n">
        <f aca="false">IF(N369,IF(INDEX('Scenario inputs'!$E$4:$E$213,M369)=0,1,INDEX('Scenario inputs'!$F$4:$M$213,M369,MIN(MAX(F369-G369,0),INDEX('Scenario inputs'!$E$4:$E$213,M369)-1)+1)),0)</f>
        <v>1</v>
      </c>
      <c r="P369" s="11" t="n">
        <f aca="false">H369*O369</f>
        <v>2690.36</v>
      </c>
      <c r="Q369" s="0" t="str">
        <f aca="false">IF(M369=0,"",IF(ISNUMBER(INDEX('Scenario inputs'!$N$4:$N$213,M369)),INDEX('Scenario inputs'!$N$4:$N$213,M369),""))</f>
        <v/>
      </c>
      <c r="R369" s="0" t="str">
        <f aca="false">IF(NOT(N369),"",IF(OR(E369="cash",E369="revenue"),E369,IF(E369="avoided_cost",IF(AND(I369,LEN(TRIM(J369))&gt;0),"avoided_cost_realised","avoided_cost_beside"),IF(ISNUMBER(Q369),"capacity_converted","capacity_hours"))))</f>
        <v>capacity_hours</v>
      </c>
      <c r="S369" s="11" t="n">
        <f aca="false">IF(OR(R369="",R369="capacity_hours"),0,IF(R369="capacity_converted",P369*Q369,P369))</f>
        <v>0</v>
      </c>
      <c r="T369" s="11" t="n">
        <f aca="false">IF(OR(R369="cash",R369="revenue",R369="avoided_cost_realised",R369="capacity_converted"),1,0)</f>
        <v>0</v>
      </c>
      <c r="U369" s="11" t="n">
        <f aca="false">IF(AND(N369,R369&lt;&gt;"capacity_hours",LEN(K369)&gt;0),1,0)</f>
        <v>0</v>
      </c>
      <c r="V369" s="11" t="n">
        <f aca="false">IF(U369=1,SUMPRODUCT(($K$4:$K$703=K369)*($F$4:$F$703=F369)*($U$4:$U$703=1)*($B$4:$B$703&lt;&gt;B369)),0)</f>
        <v>0</v>
      </c>
      <c r="W369" s="11" t="n">
        <f aca="false">IF(AND(U369=1,V369&gt;0),1+SUMPRODUCT(($K$4:$K$703=K369)*($F$4:$F$703=F369)*($U$4:$U$703=1)*($S$4:$S$703&gt;S369))+SUMPRODUCT(($K$4:$K$703=K369)*($F$4:$F$703=F369)*($U$4:$U$703=1)*($S$4:$S$703=S369)*($T$4:$T$703&gt;T369))+SUMPRODUCT(($K$4:$K$703=K369)*($F$4:$F$703=F369)*($U$4:$U$703=1)*($S$4:$S$703=S369)*($T$4:$T$703=T369)*($C$4:$C$703&lt;C369))+SUMPRODUCT(($K$4:$K$703=K369)*($F$4:$F$703=F369)*($U$4:$U$703=1)*($S$4:$S$703=S369)*($T$4:$T$703=T369)*($C$4:$C$703=C369)*($D$4:$D$703&lt;D369)),0)</f>
        <v>0</v>
      </c>
      <c r="X369" s="11" t="n">
        <f aca="false">IF(AND(U369=1,V369&gt;0,W369&gt;1),S369,0)</f>
        <v>0</v>
      </c>
      <c r="Y369" s="11" t="n">
        <f aca="false">IF(T369=1,X369/(1+Controls!$B$11)^F369,0)</f>
        <v>0</v>
      </c>
      <c r="Z369" s="11" t="n">
        <f aca="false">IF(AND(N369,E369="capacity",LEN(K369)&gt;0),1,0)</f>
        <v>1</v>
      </c>
      <c r="AA369" s="11" t="n">
        <f aca="false">IF(Z369=1,SUMPRODUCT(($K$4:$K$703=K369)*($F$4:$F$703=F369)*($Z$4:$Z$703=1)*($B$4:$B$703&lt;&gt;B369)),0)</f>
        <v>0</v>
      </c>
      <c r="AB369" s="11" t="n">
        <f aca="false">IF(AND(Z369=1,AA369&gt;0),1+SUMPRODUCT(($K$4:$K$703=K369)*($F$4:$F$703=F369)*($Z$4:$Z$703=1)*($P$4:$P$703&gt;P369))+SUMPRODUCT(($K$4:$K$703=K369)*($F$4:$F$703=F369)*($Z$4:$Z$703=1)*($P$4:$P$703=P369)*($C$4:$C$703&lt;C369))+SUMPRODUCT(($K$4:$K$703=K369)*($F$4:$F$703=F369)*($Z$4:$Z$703=1)*($P$4:$P$703=P369)*($C$4:$C$703=C369)*($D$4:$D$703&lt;D369)),0)</f>
        <v>0</v>
      </c>
      <c r="AC369" s="11" t="n">
        <f aca="false">IF(AND(Z369=1,AA369&gt;0,AB369&gt;1),P369,0)</f>
        <v>0</v>
      </c>
    </row>
    <row r="370" customFormat="false" ht="15" hidden="false" customHeight="false" outlineLevel="0" collapsed="false">
      <c r="A370" s="4" t="s">
        <v>604</v>
      </c>
      <c r="B370" s="4" t="s">
        <v>94</v>
      </c>
      <c r="C370" s="4" t="n">
        <v>12</v>
      </c>
      <c r="D370" s="4" t="n">
        <v>367</v>
      </c>
      <c r="E370" s="4" t="s">
        <v>233</v>
      </c>
      <c r="F370" s="4" t="n">
        <v>25</v>
      </c>
      <c r="G370" s="4" t="n">
        <v>18</v>
      </c>
      <c r="H370" s="4" t="n">
        <v>2690.36</v>
      </c>
      <c r="I370" s="13" t="b">
        <f aca="false">FALSE()</f>
        <v>0</v>
      </c>
      <c r="K370" s="4" t="s">
        <v>597</v>
      </c>
      <c r="L370" s="4" t="n">
        <v>500.95</v>
      </c>
      <c r="M370" s="11" t="n">
        <f aca="false">IFERROR(MATCH(Controls!$B$3&amp;"|"&amp;B370,'Scenario inputs'!$A$4:$A$213,0),0)</f>
        <v>143</v>
      </c>
      <c r="N370" s="8" t="b">
        <f aca="false">IF(M370=0,FALSE(),F370&lt;Controls!$B$12)</f>
        <v>1</v>
      </c>
      <c r="O370" s="11" t="n">
        <f aca="false">IF(N370,IF(INDEX('Scenario inputs'!$E$4:$E$213,M370)=0,1,INDEX('Scenario inputs'!$F$4:$M$213,M370,MIN(MAX(F370-G370,0),INDEX('Scenario inputs'!$E$4:$E$213,M370)-1)+1)),0)</f>
        <v>1</v>
      </c>
      <c r="P370" s="11" t="n">
        <f aca="false">H370*O370</f>
        <v>2690.36</v>
      </c>
      <c r="Q370" s="0" t="str">
        <f aca="false">IF(M370=0,"",IF(ISNUMBER(INDEX('Scenario inputs'!$N$4:$N$213,M370)),INDEX('Scenario inputs'!$N$4:$N$213,M370),""))</f>
        <v/>
      </c>
      <c r="R370" s="0" t="str">
        <f aca="false">IF(NOT(N370),"",IF(OR(E370="cash",E370="revenue"),E370,IF(E370="avoided_cost",IF(AND(I370,LEN(TRIM(J370))&gt;0),"avoided_cost_realised","avoided_cost_beside"),IF(ISNUMBER(Q370),"capacity_converted","capacity_hours"))))</f>
        <v>capacity_hours</v>
      </c>
      <c r="S370" s="11" t="n">
        <f aca="false">IF(OR(R370="",R370="capacity_hours"),0,IF(R370="capacity_converted",P370*Q370,P370))</f>
        <v>0</v>
      </c>
      <c r="T370" s="11" t="n">
        <f aca="false">IF(OR(R370="cash",R370="revenue",R370="avoided_cost_realised",R370="capacity_converted"),1,0)</f>
        <v>0</v>
      </c>
      <c r="U370" s="11" t="n">
        <f aca="false">IF(AND(N370,R370&lt;&gt;"capacity_hours",LEN(K370)&gt;0),1,0)</f>
        <v>0</v>
      </c>
      <c r="V370" s="11" t="n">
        <f aca="false">IF(U370=1,SUMPRODUCT(($K$4:$K$703=K370)*($F$4:$F$703=F370)*($U$4:$U$703=1)*($B$4:$B$703&lt;&gt;B370)),0)</f>
        <v>0</v>
      </c>
      <c r="W370" s="11" t="n">
        <f aca="false">IF(AND(U370=1,V370&gt;0),1+SUMPRODUCT(($K$4:$K$703=K370)*($F$4:$F$703=F370)*($U$4:$U$703=1)*($S$4:$S$703&gt;S370))+SUMPRODUCT(($K$4:$K$703=K370)*($F$4:$F$703=F370)*($U$4:$U$703=1)*($S$4:$S$703=S370)*($T$4:$T$703&gt;T370))+SUMPRODUCT(($K$4:$K$703=K370)*($F$4:$F$703=F370)*($U$4:$U$703=1)*($S$4:$S$703=S370)*($T$4:$T$703=T370)*($C$4:$C$703&lt;C370))+SUMPRODUCT(($K$4:$K$703=K370)*($F$4:$F$703=F370)*($U$4:$U$703=1)*($S$4:$S$703=S370)*($T$4:$T$703=T370)*($C$4:$C$703=C370)*($D$4:$D$703&lt;D370)),0)</f>
        <v>0</v>
      </c>
      <c r="X370" s="11" t="n">
        <f aca="false">IF(AND(U370=1,V370&gt;0,W370&gt;1),S370,0)</f>
        <v>0</v>
      </c>
      <c r="Y370" s="11" t="n">
        <f aca="false">IF(T370=1,X370/(1+Controls!$B$11)^F370,0)</f>
        <v>0</v>
      </c>
      <c r="Z370" s="11" t="n">
        <f aca="false">IF(AND(N370,E370="capacity",LEN(K370)&gt;0),1,0)</f>
        <v>1</v>
      </c>
      <c r="AA370" s="11" t="n">
        <f aca="false">IF(Z370=1,SUMPRODUCT(($K$4:$K$703=K370)*($F$4:$F$703=F370)*($Z$4:$Z$703=1)*($B$4:$B$703&lt;&gt;B370)),0)</f>
        <v>0</v>
      </c>
      <c r="AB370" s="11" t="n">
        <f aca="false">IF(AND(Z370=1,AA370&gt;0),1+SUMPRODUCT(($K$4:$K$703=K370)*($F$4:$F$703=F370)*($Z$4:$Z$703=1)*($P$4:$P$703&gt;P370))+SUMPRODUCT(($K$4:$K$703=K370)*($F$4:$F$703=F370)*($Z$4:$Z$703=1)*($P$4:$P$703=P370)*($C$4:$C$703&lt;C370))+SUMPRODUCT(($K$4:$K$703=K370)*($F$4:$F$703=F370)*($Z$4:$Z$703=1)*($P$4:$P$703=P370)*($C$4:$C$703=C370)*($D$4:$D$703&lt;D370)),0)</f>
        <v>0</v>
      </c>
      <c r="AC370" s="11" t="n">
        <f aca="false">IF(AND(Z370=1,AA370&gt;0,AB370&gt;1),P370,0)</f>
        <v>0</v>
      </c>
    </row>
    <row r="371" customFormat="false" ht="15" hidden="false" customHeight="false" outlineLevel="0" collapsed="false">
      <c r="A371" s="4" t="s">
        <v>605</v>
      </c>
      <c r="B371" s="4" t="s">
        <v>94</v>
      </c>
      <c r="C371" s="4" t="n">
        <v>12</v>
      </c>
      <c r="D371" s="4" t="n">
        <v>368</v>
      </c>
      <c r="E371" s="4" t="s">
        <v>233</v>
      </c>
      <c r="F371" s="4" t="n">
        <v>26</v>
      </c>
      <c r="G371" s="4" t="n">
        <v>18</v>
      </c>
      <c r="H371" s="4" t="n">
        <v>2690.36</v>
      </c>
      <c r="I371" s="13" t="b">
        <f aca="false">FALSE()</f>
        <v>0</v>
      </c>
      <c r="K371" s="4" t="s">
        <v>597</v>
      </c>
      <c r="L371" s="4" t="n">
        <v>500.95</v>
      </c>
      <c r="M371" s="11" t="n">
        <f aca="false">IFERROR(MATCH(Controls!$B$3&amp;"|"&amp;B371,'Scenario inputs'!$A$4:$A$213,0),0)</f>
        <v>143</v>
      </c>
      <c r="N371" s="8" t="b">
        <f aca="false">IF(M371=0,FALSE(),F371&lt;Controls!$B$12)</f>
        <v>1</v>
      </c>
      <c r="O371" s="11" t="n">
        <f aca="false">IF(N371,IF(INDEX('Scenario inputs'!$E$4:$E$213,M371)=0,1,INDEX('Scenario inputs'!$F$4:$M$213,M371,MIN(MAX(F371-G371,0),INDEX('Scenario inputs'!$E$4:$E$213,M371)-1)+1)),0)</f>
        <v>1</v>
      </c>
      <c r="P371" s="11" t="n">
        <f aca="false">H371*O371</f>
        <v>2690.36</v>
      </c>
      <c r="Q371" s="0" t="str">
        <f aca="false">IF(M371=0,"",IF(ISNUMBER(INDEX('Scenario inputs'!$N$4:$N$213,M371)),INDEX('Scenario inputs'!$N$4:$N$213,M371),""))</f>
        <v/>
      </c>
      <c r="R371" s="0" t="str">
        <f aca="false">IF(NOT(N371),"",IF(OR(E371="cash",E371="revenue"),E371,IF(E371="avoided_cost",IF(AND(I371,LEN(TRIM(J371))&gt;0),"avoided_cost_realised","avoided_cost_beside"),IF(ISNUMBER(Q371),"capacity_converted","capacity_hours"))))</f>
        <v>capacity_hours</v>
      </c>
      <c r="S371" s="11" t="n">
        <f aca="false">IF(OR(R371="",R371="capacity_hours"),0,IF(R371="capacity_converted",P371*Q371,P371))</f>
        <v>0</v>
      </c>
      <c r="T371" s="11" t="n">
        <f aca="false">IF(OR(R371="cash",R371="revenue",R371="avoided_cost_realised",R371="capacity_converted"),1,0)</f>
        <v>0</v>
      </c>
      <c r="U371" s="11" t="n">
        <f aca="false">IF(AND(N371,R371&lt;&gt;"capacity_hours",LEN(K371)&gt;0),1,0)</f>
        <v>0</v>
      </c>
      <c r="V371" s="11" t="n">
        <f aca="false">IF(U371=1,SUMPRODUCT(($K$4:$K$703=K371)*($F$4:$F$703=F371)*($U$4:$U$703=1)*($B$4:$B$703&lt;&gt;B371)),0)</f>
        <v>0</v>
      </c>
      <c r="W371" s="11" t="n">
        <f aca="false">IF(AND(U371=1,V371&gt;0),1+SUMPRODUCT(($K$4:$K$703=K371)*($F$4:$F$703=F371)*($U$4:$U$703=1)*($S$4:$S$703&gt;S371))+SUMPRODUCT(($K$4:$K$703=K371)*($F$4:$F$703=F371)*($U$4:$U$703=1)*($S$4:$S$703=S371)*($T$4:$T$703&gt;T371))+SUMPRODUCT(($K$4:$K$703=K371)*($F$4:$F$703=F371)*($U$4:$U$703=1)*($S$4:$S$703=S371)*($T$4:$T$703=T371)*($C$4:$C$703&lt;C371))+SUMPRODUCT(($K$4:$K$703=K371)*($F$4:$F$703=F371)*($U$4:$U$703=1)*($S$4:$S$703=S371)*($T$4:$T$703=T371)*($C$4:$C$703=C371)*($D$4:$D$703&lt;D371)),0)</f>
        <v>0</v>
      </c>
      <c r="X371" s="11" t="n">
        <f aca="false">IF(AND(U371=1,V371&gt;0,W371&gt;1),S371,0)</f>
        <v>0</v>
      </c>
      <c r="Y371" s="11" t="n">
        <f aca="false">IF(T371=1,X371/(1+Controls!$B$11)^F371,0)</f>
        <v>0</v>
      </c>
      <c r="Z371" s="11" t="n">
        <f aca="false">IF(AND(N371,E371="capacity",LEN(K371)&gt;0),1,0)</f>
        <v>1</v>
      </c>
      <c r="AA371" s="11" t="n">
        <f aca="false">IF(Z371=1,SUMPRODUCT(($K$4:$K$703=K371)*($F$4:$F$703=F371)*($Z$4:$Z$703=1)*($B$4:$B$703&lt;&gt;B371)),0)</f>
        <v>0</v>
      </c>
      <c r="AB371" s="11" t="n">
        <f aca="false">IF(AND(Z371=1,AA371&gt;0),1+SUMPRODUCT(($K$4:$K$703=K371)*($F$4:$F$703=F371)*($Z$4:$Z$703=1)*($P$4:$P$703&gt;P371))+SUMPRODUCT(($K$4:$K$703=K371)*($F$4:$F$703=F371)*($Z$4:$Z$703=1)*($P$4:$P$703=P371)*($C$4:$C$703&lt;C371))+SUMPRODUCT(($K$4:$K$703=K371)*($F$4:$F$703=F371)*($Z$4:$Z$703=1)*($P$4:$P$703=P371)*($C$4:$C$703=C371)*($D$4:$D$703&lt;D371)),0)</f>
        <v>0</v>
      </c>
      <c r="AC371" s="11" t="n">
        <f aca="false">IF(AND(Z371=1,AA371&gt;0,AB371&gt;1),P371,0)</f>
        <v>0</v>
      </c>
    </row>
    <row r="372" customFormat="false" ht="15" hidden="false" customHeight="false" outlineLevel="0" collapsed="false">
      <c r="A372" s="4" t="s">
        <v>606</v>
      </c>
      <c r="B372" s="4" t="s">
        <v>94</v>
      </c>
      <c r="C372" s="4" t="n">
        <v>12</v>
      </c>
      <c r="D372" s="4" t="n">
        <v>369</v>
      </c>
      <c r="E372" s="4" t="s">
        <v>233</v>
      </c>
      <c r="F372" s="4" t="n">
        <v>27</v>
      </c>
      <c r="G372" s="4" t="n">
        <v>18</v>
      </c>
      <c r="H372" s="4" t="n">
        <v>2690.36</v>
      </c>
      <c r="I372" s="13" t="b">
        <f aca="false">FALSE()</f>
        <v>0</v>
      </c>
      <c r="K372" s="4" t="s">
        <v>597</v>
      </c>
      <c r="L372" s="4" t="n">
        <v>500.95</v>
      </c>
      <c r="M372" s="11" t="n">
        <f aca="false">IFERROR(MATCH(Controls!$B$3&amp;"|"&amp;B372,'Scenario inputs'!$A$4:$A$213,0),0)</f>
        <v>143</v>
      </c>
      <c r="N372" s="8" t="b">
        <f aca="false">IF(M372=0,FALSE(),F372&lt;Controls!$B$12)</f>
        <v>1</v>
      </c>
      <c r="O372" s="11" t="n">
        <f aca="false">IF(N372,IF(INDEX('Scenario inputs'!$E$4:$E$213,M372)=0,1,INDEX('Scenario inputs'!$F$4:$M$213,M372,MIN(MAX(F372-G372,0),INDEX('Scenario inputs'!$E$4:$E$213,M372)-1)+1)),0)</f>
        <v>1</v>
      </c>
      <c r="P372" s="11" t="n">
        <f aca="false">H372*O372</f>
        <v>2690.36</v>
      </c>
      <c r="Q372" s="0" t="str">
        <f aca="false">IF(M372=0,"",IF(ISNUMBER(INDEX('Scenario inputs'!$N$4:$N$213,M372)),INDEX('Scenario inputs'!$N$4:$N$213,M372),""))</f>
        <v/>
      </c>
      <c r="R372" s="0" t="str">
        <f aca="false">IF(NOT(N372),"",IF(OR(E372="cash",E372="revenue"),E372,IF(E372="avoided_cost",IF(AND(I372,LEN(TRIM(J372))&gt;0),"avoided_cost_realised","avoided_cost_beside"),IF(ISNUMBER(Q372),"capacity_converted","capacity_hours"))))</f>
        <v>capacity_hours</v>
      </c>
      <c r="S372" s="11" t="n">
        <f aca="false">IF(OR(R372="",R372="capacity_hours"),0,IF(R372="capacity_converted",P372*Q372,P372))</f>
        <v>0</v>
      </c>
      <c r="T372" s="11" t="n">
        <f aca="false">IF(OR(R372="cash",R372="revenue",R372="avoided_cost_realised",R372="capacity_converted"),1,0)</f>
        <v>0</v>
      </c>
      <c r="U372" s="11" t="n">
        <f aca="false">IF(AND(N372,R372&lt;&gt;"capacity_hours",LEN(K372)&gt;0),1,0)</f>
        <v>0</v>
      </c>
      <c r="V372" s="11" t="n">
        <f aca="false">IF(U372=1,SUMPRODUCT(($K$4:$K$703=K372)*($F$4:$F$703=F372)*($U$4:$U$703=1)*($B$4:$B$703&lt;&gt;B372)),0)</f>
        <v>0</v>
      </c>
      <c r="W372" s="11" t="n">
        <f aca="false">IF(AND(U372=1,V372&gt;0),1+SUMPRODUCT(($K$4:$K$703=K372)*($F$4:$F$703=F372)*($U$4:$U$703=1)*($S$4:$S$703&gt;S372))+SUMPRODUCT(($K$4:$K$703=K372)*($F$4:$F$703=F372)*($U$4:$U$703=1)*($S$4:$S$703=S372)*($T$4:$T$703&gt;T372))+SUMPRODUCT(($K$4:$K$703=K372)*($F$4:$F$703=F372)*($U$4:$U$703=1)*($S$4:$S$703=S372)*($T$4:$T$703=T372)*($C$4:$C$703&lt;C372))+SUMPRODUCT(($K$4:$K$703=K372)*($F$4:$F$703=F372)*($U$4:$U$703=1)*($S$4:$S$703=S372)*($T$4:$T$703=T372)*($C$4:$C$703=C372)*($D$4:$D$703&lt;D372)),0)</f>
        <v>0</v>
      </c>
      <c r="X372" s="11" t="n">
        <f aca="false">IF(AND(U372=1,V372&gt;0,W372&gt;1),S372,0)</f>
        <v>0</v>
      </c>
      <c r="Y372" s="11" t="n">
        <f aca="false">IF(T372=1,X372/(1+Controls!$B$11)^F372,0)</f>
        <v>0</v>
      </c>
      <c r="Z372" s="11" t="n">
        <f aca="false">IF(AND(N372,E372="capacity",LEN(K372)&gt;0),1,0)</f>
        <v>1</v>
      </c>
      <c r="AA372" s="11" t="n">
        <f aca="false">IF(Z372=1,SUMPRODUCT(($K$4:$K$703=K372)*($F$4:$F$703=F372)*($Z$4:$Z$703=1)*($B$4:$B$703&lt;&gt;B372)),0)</f>
        <v>0</v>
      </c>
      <c r="AB372" s="11" t="n">
        <f aca="false">IF(AND(Z372=1,AA372&gt;0),1+SUMPRODUCT(($K$4:$K$703=K372)*($F$4:$F$703=F372)*($Z$4:$Z$703=1)*($P$4:$P$703&gt;P372))+SUMPRODUCT(($K$4:$K$703=K372)*($F$4:$F$703=F372)*($Z$4:$Z$703=1)*($P$4:$P$703=P372)*($C$4:$C$703&lt;C372))+SUMPRODUCT(($K$4:$K$703=K372)*($F$4:$F$703=F372)*($Z$4:$Z$703=1)*($P$4:$P$703=P372)*($C$4:$C$703=C372)*($D$4:$D$703&lt;D372)),0)</f>
        <v>0</v>
      </c>
      <c r="AC372" s="11" t="n">
        <f aca="false">IF(AND(Z372=1,AA372&gt;0,AB372&gt;1),P372,0)</f>
        <v>0</v>
      </c>
    </row>
    <row r="373" customFormat="false" ht="15" hidden="false" customHeight="false" outlineLevel="0" collapsed="false">
      <c r="A373" s="4" t="s">
        <v>607</v>
      </c>
      <c r="B373" s="4" t="s">
        <v>94</v>
      </c>
      <c r="C373" s="4" t="n">
        <v>12</v>
      </c>
      <c r="D373" s="4" t="n">
        <v>370</v>
      </c>
      <c r="E373" s="4" t="s">
        <v>233</v>
      </c>
      <c r="F373" s="4" t="n">
        <v>28</v>
      </c>
      <c r="G373" s="4" t="n">
        <v>18</v>
      </c>
      <c r="H373" s="4" t="n">
        <v>2690.36</v>
      </c>
      <c r="I373" s="13" t="b">
        <f aca="false">FALSE()</f>
        <v>0</v>
      </c>
      <c r="K373" s="4" t="s">
        <v>597</v>
      </c>
      <c r="L373" s="4" t="n">
        <v>500.95</v>
      </c>
      <c r="M373" s="11" t="n">
        <f aca="false">IFERROR(MATCH(Controls!$B$3&amp;"|"&amp;B373,'Scenario inputs'!$A$4:$A$213,0),0)</f>
        <v>143</v>
      </c>
      <c r="N373" s="8" t="b">
        <f aca="false">IF(M373=0,FALSE(),F373&lt;Controls!$B$12)</f>
        <v>1</v>
      </c>
      <c r="O373" s="11" t="n">
        <f aca="false">IF(N373,IF(INDEX('Scenario inputs'!$E$4:$E$213,M373)=0,1,INDEX('Scenario inputs'!$F$4:$M$213,M373,MIN(MAX(F373-G373,0),INDEX('Scenario inputs'!$E$4:$E$213,M373)-1)+1)),0)</f>
        <v>1</v>
      </c>
      <c r="P373" s="11" t="n">
        <f aca="false">H373*O373</f>
        <v>2690.36</v>
      </c>
      <c r="Q373" s="0" t="str">
        <f aca="false">IF(M373=0,"",IF(ISNUMBER(INDEX('Scenario inputs'!$N$4:$N$213,M373)),INDEX('Scenario inputs'!$N$4:$N$213,M373),""))</f>
        <v/>
      </c>
      <c r="R373" s="0" t="str">
        <f aca="false">IF(NOT(N373),"",IF(OR(E373="cash",E373="revenue"),E373,IF(E373="avoided_cost",IF(AND(I373,LEN(TRIM(J373))&gt;0),"avoided_cost_realised","avoided_cost_beside"),IF(ISNUMBER(Q373),"capacity_converted","capacity_hours"))))</f>
        <v>capacity_hours</v>
      </c>
      <c r="S373" s="11" t="n">
        <f aca="false">IF(OR(R373="",R373="capacity_hours"),0,IF(R373="capacity_converted",P373*Q373,P373))</f>
        <v>0</v>
      </c>
      <c r="T373" s="11" t="n">
        <f aca="false">IF(OR(R373="cash",R373="revenue",R373="avoided_cost_realised",R373="capacity_converted"),1,0)</f>
        <v>0</v>
      </c>
      <c r="U373" s="11" t="n">
        <f aca="false">IF(AND(N373,R373&lt;&gt;"capacity_hours",LEN(K373)&gt;0),1,0)</f>
        <v>0</v>
      </c>
      <c r="V373" s="11" t="n">
        <f aca="false">IF(U373=1,SUMPRODUCT(($K$4:$K$703=K373)*($F$4:$F$703=F373)*($U$4:$U$703=1)*($B$4:$B$703&lt;&gt;B373)),0)</f>
        <v>0</v>
      </c>
      <c r="W373" s="11" t="n">
        <f aca="false">IF(AND(U373=1,V373&gt;0),1+SUMPRODUCT(($K$4:$K$703=K373)*($F$4:$F$703=F373)*($U$4:$U$703=1)*($S$4:$S$703&gt;S373))+SUMPRODUCT(($K$4:$K$703=K373)*($F$4:$F$703=F373)*($U$4:$U$703=1)*($S$4:$S$703=S373)*($T$4:$T$703&gt;T373))+SUMPRODUCT(($K$4:$K$703=K373)*($F$4:$F$703=F373)*($U$4:$U$703=1)*($S$4:$S$703=S373)*($T$4:$T$703=T373)*($C$4:$C$703&lt;C373))+SUMPRODUCT(($K$4:$K$703=K373)*($F$4:$F$703=F373)*($U$4:$U$703=1)*($S$4:$S$703=S373)*($T$4:$T$703=T373)*($C$4:$C$703=C373)*($D$4:$D$703&lt;D373)),0)</f>
        <v>0</v>
      </c>
      <c r="X373" s="11" t="n">
        <f aca="false">IF(AND(U373=1,V373&gt;0,W373&gt;1),S373,0)</f>
        <v>0</v>
      </c>
      <c r="Y373" s="11" t="n">
        <f aca="false">IF(T373=1,X373/(1+Controls!$B$11)^F373,0)</f>
        <v>0</v>
      </c>
      <c r="Z373" s="11" t="n">
        <f aca="false">IF(AND(N373,E373="capacity",LEN(K373)&gt;0),1,0)</f>
        <v>1</v>
      </c>
      <c r="AA373" s="11" t="n">
        <f aca="false">IF(Z373=1,SUMPRODUCT(($K$4:$K$703=K373)*($F$4:$F$703=F373)*($Z$4:$Z$703=1)*($B$4:$B$703&lt;&gt;B373)),0)</f>
        <v>0</v>
      </c>
      <c r="AB373" s="11" t="n">
        <f aca="false">IF(AND(Z373=1,AA373&gt;0),1+SUMPRODUCT(($K$4:$K$703=K373)*($F$4:$F$703=F373)*($Z$4:$Z$703=1)*($P$4:$P$703&gt;P373))+SUMPRODUCT(($K$4:$K$703=K373)*($F$4:$F$703=F373)*($Z$4:$Z$703=1)*($P$4:$P$703=P373)*($C$4:$C$703&lt;C373))+SUMPRODUCT(($K$4:$K$703=K373)*($F$4:$F$703=F373)*($Z$4:$Z$703=1)*($P$4:$P$703=P373)*($C$4:$C$703=C373)*($D$4:$D$703&lt;D373)),0)</f>
        <v>0</v>
      </c>
      <c r="AC373" s="11" t="n">
        <f aca="false">IF(AND(Z373=1,AA373&gt;0,AB373&gt;1),P373,0)</f>
        <v>0</v>
      </c>
    </row>
    <row r="374" customFormat="false" ht="15" hidden="false" customHeight="false" outlineLevel="0" collapsed="false">
      <c r="A374" s="4" t="s">
        <v>608</v>
      </c>
      <c r="B374" s="4" t="s">
        <v>95</v>
      </c>
      <c r="C374" s="4" t="n">
        <v>13</v>
      </c>
      <c r="D374" s="4" t="n">
        <v>371</v>
      </c>
      <c r="E374" s="4" t="s">
        <v>112</v>
      </c>
      <c r="F374" s="4" t="n">
        <v>1</v>
      </c>
      <c r="G374" s="4" t="n">
        <v>1</v>
      </c>
      <c r="H374" s="4" t="n">
        <v>192250</v>
      </c>
      <c r="I374" s="13" t="b">
        <f aca="false">FALSE()</f>
        <v>0</v>
      </c>
      <c r="K374" s="4" t="s">
        <v>609</v>
      </c>
      <c r="L374" s="4" t="n">
        <v>988.45</v>
      </c>
      <c r="M374" s="11" t="n">
        <f aca="false">IFERROR(MATCH(Controls!$B$3&amp;"|"&amp;B374,'Scenario inputs'!$A$4:$A$213,0),0)</f>
        <v>144</v>
      </c>
      <c r="N374" s="8" t="b">
        <f aca="false">IF(M374=0,FALSE(),F374&lt;Controls!$B$12)</f>
        <v>1</v>
      </c>
      <c r="O374" s="11" t="n">
        <f aca="false">IF(N374,IF(INDEX('Scenario inputs'!$E$4:$E$213,M374)=0,1,INDEX('Scenario inputs'!$F$4:$M$213,M374,MIN(MAX(F374-G374,0),INDEX('Scenario inputs'!$E$4:$E$213,M374)-1)+1)),0)</f>
        <v>0.027778</v>
      </c>
      <c r="P374" s="11" t="n">
        <f aca="false">H374*O374</f>
        <v>5340.3205</v>
      </c>
      <c r="Q374" s="11" t="n">
        <f aca="false">IF(M374=0,"",IF(ISNUMBER(INDEX('Scenario inputs'!$N$4:$N$213,M374)),INDEX('Scenario inputs'!$N$4:$N$213,M374),""))</f>
        <v>39.1</v>
      </c>
      <c r="R374" s="0" t="str">
        <f aca="false">IF(NOT(N374),"",IF(OR(E374="cash",E374="revenue"),E374,IF(E374="avoided_cost",IF(AND(I374,LEN(TRIM(J374))&gt;0),"avoided_cost_realised","avoided_cost_beside"),IF(ISNUMBER(Q374),"capacity_converted","capacity_hours"))))</f>
        <v>cash</v>
      </c>
      <c r="S374" s="11" t="n">
        <f aca="false">IF(OR(R374="",R374="capacity_hours"),0,IF(R374="capacity_converted",P374*Q374,P374))</f>
        <v>5340.3205</v>
      </c>
      <c r="T374" s="11" t="n">
        <f aca="false">IF(OR(R374="cash",R374="revenue",R374="avoided_cost_realised",R374="capacity_converted"),1,0)</f>
        <v>1</v>
      </c>
      <c r="U374" s="11" t="n">
        <f aca="false">IF(AND(N374,R374&lt;&gt;"capacity_hours",LEN(K374)&gt;0),1,0)</f>
        <v>1</v>
      </c>
      <c r="V374" s="11" t="n">
        <f aca="false">IF(U374=1,SUMPRODUCT(($K$4:$K$703=K374)*($F$4:$F$703=F374)*($U$4:$U$703=1)*($B$4:$B$703&lt;&gt;B374)),0)</f>
        <v>0</v>
      </c>
      <c r="W374" s="11" t="n">
        <f aca="false">IF(AND(U374=1,V374&gt;0),1+SUMPRODUCT(($K$4:$K$703=K374)*($F$4:$F$703=F374)*($U$4:$U$703=1)*($S$4:$S$703&gt;S374))+SUMPRODUCT(($K$4:$K$703=K374)*($F$4:$F$703=F374)*($U$4:$U$703=1)*($S$4:$S$703=S374)*($T$4:$T$703&gt;T374))+SUMPRODUCT(($K$4:$K$703=K374)*($F$4:$F$703=F374)*($U$4:$U$703=1)*($S$4:$S$703=S374)*($T$4:$T$703=T374)*($C$4:$C$703&lt;C374))+SUMPRODUCT(($K$4:$K$703=K374)*($F$4:$F$703=F374)*($U$4:$U$703=1)*($S$4:$S$703=S374)*($T$4:$T$703=T374)*($C$4:$C$703=C374)*($D$4:$D$703&lt;D374)),0)</f>
        <v>0</v>
      </c>
      <c r="X374" s="11" t="n">
        <f aca="false">IF(AND(U374=1,V374&gt;0,W374&gt;1),S374,0)</f>
        <v>0</v>
      </c>
      <c r="Y374" s="11" t="n">
        <f aca="false">IF(T374=1,X374/(1+Controls!$B$11)^F374,0)</f>
        <v>0</v>
      </c>
      <c r="Z374" s="11" t="n">
        <f aca="false">IF(AND(N374,E374="capacity",LEN(K374)&gt;0),1,0)</f>
        <v>0</v>
      </c>
      <c r="AA374" s="11" t="n">
        <f aca="false">IF(Z374=1,SUMPRODUCT(($K$4:$K$703=K374)*($F$4:$F$703=F374)*($Z$4:$Z$703=1)*($B$4:$B$703&lt;&gt;B374)),0)</f>
        <v>0</v>
      </c>
      <c r="AB374" s="11" t="n">
        <f aca="false">IF(AND(Z374=1,AA374&gt;0),1+SUMPRODUCT(($K$4:$K$703=K374)*($F$4:$F$703=F374)*($Z$4:$Z$703=1)*($P$4:$P$703&gt;P374))+SUMPRODUCT(($K$4:$K$703=K374)*($F$4:$F$703=F374)*($Z$4:$Z$703=1)*($P$4:$P$703=P374)*($C$4:$C$703&lt;C374))+SUMPRODUCT(($K$4:$K$703=K374)*($F$4:$F$703=F374)*($Z$4:$Z$703=1)*($P$4:$P$703=P374)*($C$4:$C$703=C374)*($D$4:$D$703&lt;D374)),0)</f>
        <v>0</v>
      </c>
      <c r="AC374" s="11" t="n">
        <f aca="false">IF(AND(Z374=1,AA374&gt;0,AB374&gt;1),P374,0)</f>
        <v>0</v>
      </c>
    </row>
    <row r="375" customFormat="false" ht="15" hidden="false" customHeight="false" outlineLevel="0" collapsed="false">
      <c r="A375" s="4" t="s">
        <v>610</v>
      </c>
      <c r="B375" s="4" t="s">
        <v>95</v>
      </c>
      <c r="C375" s="4" t="n">
        <v>13</v>
      </c>
      <c r="D375" s="4" t="n">
        <v>372</v>
      </c>
      <c r="E375" s="4" t="s">
        <v>112</v>
      </c>
      <c r="F375" s="4" t="n">
        <v>2</v>
      </c>
      <c r="G375" s="4" t="n">
        <v>1</v>
      </c>
      <c r="H375" s="4" t="n">
        <v>192250</v>
      </c>
      <c r="I375" s="13" t="b">
        <f aca="false">FALSE()</f>
        <v>0</v>
      </c>
      <c r="K375" s="4" t="s">
        <v>609</v>
      </c>
      <c r="L375" s="4" t="n">
        <v>2818.53</v>
      </c>
      <c r="M375" s="11" t="n">
        <f aca="false">IFERROR(MATCH(Controls!$B$3&amp;"|"&amp;B375,'Scenario inputs'!$A$4:$A$213,0),0)</f>
        <v>144</v>
      </c>
      <c r="N375" s="8" t="b">
        <f aca="false">IF(M375=0,FALSE(),F375&lt;Controls!$B$12)</f>
        <v>1</v>
      </c>
      <c r="O375" s="11" t="n">
        <f aca="false">IF(N375,IF(INDEX('Scenario inputs'!$E$4:$E$213,M375)=0,1,INDEX('Scenario inputs'!$F$4:$M$213,M375,MIN(MAX(F375-G375,0),INDEX('Scenario inputs'!$E$4:$E$213,M375)-1)+1)),0)</f>
        <v>0.083333</v>
      </c>
      <c r="P375" s="11" t="n">
        <f aca="false">H375*O375</f>
        <v>16020.76925</v>
      </c>
      <c r="Q375" s="11" t="n">
        <f aca="false">IF(M375=0,"",IF(ISNUMBER(INDEX('Scenario inputs'!$N$4:$N$213,M375)),INDEX('Scenario inputs'!$N$4:$N$213,M375),""))</f>
        <v>39.1</v>
      </c>
      <c r="R375" s="0" t="str">
        <f aca="false">IF(NOT(N375),"",IF(OR(E375="cash",E375="revenue"),E375,IF(E375="avoided_cost",IF(AND(I375,LEN(TRIM(J375))&gt;0),"avoided_cost_realised","avoided_cost_beside"),IF(ISNUMBER(Q375),"capacity_converted","capacity_hours"))))</f>
        <v>cash</v>
      </c>
      <c r="S375" s="11" t="n">
        <f aca="false">IF(OR(R375="",R375="capacity_hours"),0,IF(R375="capacity_converted",P375*Q375,P375))</f>
        <v>16020.76925</v>
      </c>
      <c r="T375" s="11" t="n">
        <f aca="false">IF(OR(R375="cash",R375="revenue",R375="avoided_cost_realised",R375="capacity_converted"),1,0)</f>
        <v>1</v>
      </c>
      <c r="U375" s="11" t="n">
        <f aca="false">IF(AND(N375,R375&lt;&gt;"capacity_hours",LEN(K375)&gt;0),1,0)</f>
        <v>1</v>
      </c>
      <c r="V375" s="11" t="n">
        <f aca="false">IF(U375=1,SUMPRODUCT(($K$4:$K$703=K375)*($F$4:$F$703=F375)*($U$4:$U$703=1)*($B$4:$B$703&lt;&gt;B375)),0)</f>
        <v>0</v>
      </c>
      <c r="W375" s="11" t="n">
        <f aca="false">IF(AND(U375=1,V375&gt;0),1+SUMPRODUCT(($K$4:$K$703=K375)*($F$4:$F$703=F375)*($U$4:$U$703=1)*($S$4:$S$703&gt;S375))+SUMPRODUCT(($K$4:$K$703=K375)*($F$4:$F$703=F375)*($U$4:$U$703=1)*($S$4:$S$703=S375)*($T$4:$T$703&gt;T375))+SUMPRODUCT(($K$4:$K$703=K375)*($F$4:$F$703=F375)*($U$4:$U$703=1)*($S$4:$S$703=S375)*($T$4:$T$703=T375)*($C$4:$C$703&lt;C375))+SUMPRODUCT(($K$4:$K$703=K375)*($F$4:$F$703=F375)*($U$4:$U$703=1)*($S$4:$S$703=S375)*($T$4:$T$703=T375)*($C$4:$C$703=C375)*($D$4:$D$703&lt;D375)),0)</f>
        <v>0</v>
      </c>
      <c r="X375" s="11" t="n">
        <f aca="false">IF(AND(U375=1,V375&gt;0,W375&gt;1),S375,0)</f>
        <v>0</v>
      </c>
      <c r="Y375" s="11" t="n">
        <f aca="false">IF(T375=1,X375/(1+Controls!$B$11)^F375,0)</f>
        <v>0</v>
      </c>
      <c r="Z375" s="11" t="n">
        <f aca="false">IF(AND(N375,E375="capacity",LEN(K375)&gt;0),1,0)</f>
        <v>0</v>
      </c>
      <c r="AA375" s="11" t="n">
        <f aca="false">IF(Z375=1,SUMPRODUCT(($K$4:$K$703=K375)*($F$4:$F$703=F375)*($Z$4:$Z$703=1)*($B$4:$B$703&lt;&gt;B375)),0)</f>
        <v>0</v>
      </c>
      <c r="AB375" s="11" t="n">
        <f aca="false">IF(AND(Z375=1,AA375&gt;0),1+SUMPRODUCT(($K$4:$K$703=K375)*($F$4:$F$703=F375)*($Z$4:$Z$703=1)*($P$4:$P$703&gt;P375))+SUMPRODUCT(($K$4:$K$703=K375)*($F$4:$F$703=F375)*($Z$4:$Z$703=1)*($P$4:$P$703=P375)*($C$4:$C$703&lt;C375))+SUMPRODUCT(($K$4:$K$703=K375)*($F$4:$F$703=F375)*($Z$4:$Z$703=1)*($P$4:$P$703=P375)*($C$4:$C$703=C375)*($D$4:$D$703&lt;D375)),0)</f>
        <v>0</v>
      </c>
      <c r="AC375" s="11" t="n">
        <f aca="false">IF(AND(Z375=1,AA375&gt;0,AB375&gt;1),P375,0)</f>
        <v>0</v>
      </c>
    </row>
    <row r="376" customFormat="false" ht="15" hidden="false" customHeight="false" outlineLevel="0" collapsed="false">
      <c r="A376" s="4" t="s">
        <v>611</v>
      </c>
      <c r="B376" s="4" t="s">
        <v>95</v>
      </c>
      <c r="C376" s="4" t="n">
        <v>13</v>
      </c>
      <c r="D376" s="4" t="n">
        <v>373</v>
      </c>
      <c r="E376" s="4" t="s">
        <v>112</v>
      </c>
      <c r="F376" s="4" t="n">
        <v>3</v>
      </c>
      <c r="G376" s="4" t="n">
        <v>1</v>
      </c>
      <c r="H376" s="4" t="n">
        <v>192250</v>
      </c>
      <c r="I376" s="13" t="b">
        <f aca="false">FALSE()</f>
        <v>0</v>
      </c>
      <c r="K376" s="4" t="s">
        <v>609</v>
      </c>
      <c r="L376" s="4" t="n">
        <v>5754.53</v>
      </c>
      <c r="M376" s="11" t="n">
        <f aca="false">IFERROR(MATCH(Controls!$B$3&amp;"|"&amp;B376,'Scenario inputs'!$A$4:$A$213,0),0)</f>
        <v>144</v>
      </c>
      <c r="N376" s="8" t="b">
        <f aca="false">IF(M376=0,FALSE(),F376&lt;Controls!$B$12)</f>
        <v>1</v>
      </c>
      <c r="O376" s="11" t="n">
        <f aca="false">IF(N376,IF(INDEX('Scenario inputs'!$E$4:$E$213,M376)=0,1,INDEX('Scenario inputs'!$F$4:$M$213,M376,MIN(MAX(F376-G376,0),INDEX('Scenario inputs'!$E$4:$E$213,M376)-1)+1)),0)</f>
        <v>0.166667</v>
      </c>
      <c r="P376" s="11" t="n">
        <f aca="false">H376*O376</f>
        <v>32041.73075</v>
      </c>
      <c r="Q376" s="11" t="n">
        <f aca="false">IF(M376=0,"",IF(ISNUMBER(INDEX('Scenario inputs'!$N$4:$N$213,M376)),INDEX('Scenario inputs'!$N$4:$N$213,M376),""))</f>
        <v>39.1</v>
      </c>
      <c r="R376" s="0" t="str">
        <f aca="false">IF(NOT(N376),"",IF(OR(E376="cash",E376="revenue"),E376,IF(E376="avoided_cost",IF(AND(I376,LEN(TRIM(J376))&gt;0),"avoided_cost_realised","avoided_cost_beside"),IF(ISNUMBER(Q376),"capacity_converted","capacity_hours"))))</f>
        <v>cash</v>
      </c>
      <c r="S376" s="11" t="n">
        <f aca="false">IF(OR(R376="",R376="capacity_hours"),0,IF(R376="capacity_converted",P376*Q376,P376))</f>
        <v>32041.73075</v>
      </c>
      <c r="T376" s="11" t="n">
        <f aca="false">IF(OR(R376="cash",R376="revenue",R376="avoided_cost_realised",R376="capacity_converted"),1,0)</f>
        <v>1</v>
      </c>
      <c r="U376" s="11" t="n">
        <f aca="false">IF(AND(N376,R376&lt;&gt;"capacity_hours",LEN(K376)&gt;0),1,0)</f>
        <v>1</v>
      </c>
      <c r="V376" s="11" t="n">
        <f aca="false">IF(U376=1,SUMPRODUCT(($K$4:$K$703=K376)*($F$4:$F$703=F376)*($U$4:$U$703=1)*($B$4:$B$703&lt;&gt;B376)),0)</f>
        <v>0</v>
      </c>
      <c r="W376" s="11" t="n">
        <f aca="false">IF(AND(U376=1,V376&gt;0),1+SUMPRODUCT(($K$4:$K$703=K376)*($F$4:$F$703=F376)*($U$4:$U$703=1)*($S$4:$S$703&gt;S376))+SUMPRODUCT(($K$4:$K$703=K376)*($F$4:$F$703=F376)*($U$4:$U$703=1)*($S$4:$S$703=S376)*($T$4:$T$703&gt;T376))+SUMPRODUCT(($K$4:$K$703=K376)*($F$4:$F$703=F376)*($U$4:$U$703=1)*($S$4:$S$703=S376)*($T$4:$T$703=T376)*($C$4:$C$703&lt;C376))+SUMPRODUCT(($K$4:$K$703=K376)*($F$4:$F$703=F376)*($U$4:$U$703=1)*($S$4:$S$703=S376)*($T$4:$T$703=T376)*($C$4:$C$703=C376)*($D$4:$D$703&lt;D376)),0)</f>
        <v>0</v>
      </c>
      <c r="X376" s="11" t="n">
        <f aca="false">IF(AND(U376=1,V376&gt;0,W376&gt;1),S376,0)</f>
        <v>0</v>
      </c>
      <c r="Y376" s="11" t="n">
        <f aca="false">IF(T376=1,X376/(1+Controls!$B$11)^F376,0)</f>
        <v>0</v>
      </c>
      <c r="Z376" s="11" t="n">
        <f aca="false">IF(AND(N376,E376="capacity",LEN(K376)&gt;0),1,0)</f>
        <v>0</v>
      </c>
      <c r="AA376" s="11" t="n">
        <f aca="false">IF(Z376=1,SUMPRODUCT(($K$4:$K$703=K376)*($F$4:$F$703=F376)*($Z$4:$Z$703=1)*($B$4:$B$703&lt;&gt;B376)),0)</f>
        <v>0</v>
      </c>
      <c r="AB376" s="11" t="n">
        <f aca="false">IF(AND(Z376=1,AA376&gt;0),1+SUMPRODUCT(($K$4:$K$703=K376)*($F$4:$F$703=F376)*($Z$4:$Z$703=1)*($P$4:$P$703&gt;P376))+SUMPRODUCT(($K$4:$K$703=K376)*($F$4:$F$703=F376)*($Z$4:$Z$703=1)*($P$4:$P$703=P376)*($C$4:$C$703&lt;C376))+SUMPRODUCT(($K$4:$K$703=K376)*($F$4:$F$703=F376)*($Z$4:$Z$703=1)*($P$4:$P$703=P376)*($C$4:$C$703=C376)*($D$4:$D$703&lt;D376)),0)</f>
        <v>0</v>
      </c>
      <c r="AC376" s="11" t="n">
        <f aca="false">IF(AND(Z376=1,AA376&gt;0,AB376&gt;1),P376,0)</f>
        <v>0</v>
      </c>
    </row>
    <row r="377" customFormat="false" ht="15" hidden="false" customHeight="false" outlineLevel="0" collapsed="false">
      <c r="A377" s="4" t="s">
        <v>612</v>
      </c>
      <c r="B377" s="4" t="s">
        <v>95</v>
      </c>
      <c r="C377" s="4" t="n">
        <v>13</v>
      </c>
      <c r="D377" s="4" t="n">
        <v>374</v>
      </c>
      <c r="E377" s="4" t="s">
        <v>112</v>
      </c>
      <c r="F377" s="4" t="n">
        <v>4</v>
      </c>
      <c r="G377" s="4" t="n">
        <v>1</v>
      </c>
      <c r="H377" s="4" t="n">
        <v>192250</v>
      </c>
      <c r="I377" s="13" t="b">
        <f aca="false">FALSE()</f>
        <v>0</v>
      </c>
      <c r="K377" s="4" t="s">
        <v>609</v>
      </c>
      <c r="L377" s="4" t="n">
        <v>9884.47</v>
      </c>
      <c r="M377" s="11" t="n">
        <f aca="false">IFERROR(MATCH(Controls!$B$3&amp;"|"&amp;B377,'Scenario inputs'!$A$4:$A$213,0),0)</f>
        <v>144</v>
      </c>
      <c r="N377" s="8" t="b">
        <f aca="false">IF(M377=0,FALSE(),F377&lt;Controls!$B$12)</f>
        <v>1</v>
      </c>
      <c r="O377" s="11" t="n">
        <f aca="false">IF(N377,IF(INDEX('Scenario inputs'!$E$4:$E$213,M377)=0,1,INDEX('Scenario inputs'!$F$4:$M$213,M377,MIN(MAX(F377-G377,0),INDEX('Scenario inputs'!$E$4:$E$213,M377)-1)+1)),0)</f>
        <v>0.277778</v>
      </c>
      <c r="P377" s="11" t="n">
        <f aca="false">H377*O377</f>
        <v>53402.8205</v>
      </c>
      <c r="Q377" s="11" t="n">
        <f aca="false">IF(M377=0,"",IF(ISNUMBER(INDEX('Scenario inputs'!$N$4:$N$213,M377)),INDEX('Scenario inputs'!$N$4:$N$213,M377),""))</f>
        <v>39.1</v>
      </c>
      <c r="R377" s="0" t="str">
        <f aca="false">IF(NOT(N377),"",IF(OR(E377="cash",E377="revenue"),E377,IF(E377="avoided_cost",IF(AND(I377,LEN(TRIM(J377))&gt;0),"avoided_cost_realised","avoided_cost_beside"),IF(ISNUMBER(Q377),"capacity_converted","capacity_hours"))))</f>
        <v>cash</v>
      </c>
      <c r="S377" s="11" t="n">
        <f aca="false">IF(OR(R377="",R377="capacity_hours"),0,IF(R377="capacity_converted",P377*Q377,P377))</f>
        <v>53402.8205</v>
      </c>
      <c r="T377" s="11" t="n">
        <f aca="false">IF(OR(R377="cash",R377="revenue",R377="avoided_cost_realised",R377="capacity_converted"),1,0)</f>
        <v>1</v>
      </c>
      <c r="U377" s="11" t="n">
        <f aca="false">IF(AND(N377,R377&lt;&gt;"capacity_hours",LEN(K377)&gt;0),1,0)</f>
        <v>1</v>
      </c>
      <c r="V377" s="11" t="n">
        <f aca="false">IF(U377=1,SUMPRODUCT(($K$4:$K$703=K377)*($F$4:$F$703=F377)*($U$4:$U$703=1)*($B$4:$B$703&lt;&gt;B377)),0)</f>
        <v>0</v>
      </c>
      <c r="W377" s="11" t="n">
        <f aca="false">IF(AND(U377=1,V377&gt;0),1+SUMPRODUCT(($K$4:$K$703=K377)*($F$4:$F$703=F377)*($U$4:$U$703=1)*($S$4:$S$703&gt;S377))+SUMPRODUCT(($K$4:$K$703=K377)*($F$4:$F$703=F377)*($U$4:$U$703=1)*($S$4:$S$703=S377)*($T$4:$T$703&gt;T377))+SUMPRODUCT(($K$4:$K$703=K377)*($F$4:$F$703=F377)*($U$4:$U$703=1)*($S$4:$S$703=S377)*($T$4:$T$703=T377)*($C$4:$C$703&lt;C377))+SUMPRODUCT(($K$4:$K$703=K377)*($F$4:$F$703=F377)*($U$4:$U$703=1)*($S$4:$S$703=S377)*($T$4:$T$703=T377)*($C$4:$C$703=C377)*($D$4:$D$703&lt;D377)),0)</f>
        <v>0</v>
      </c>
      <c r="X377" s="11" t="n">
        <f aca="false">IF(AND(U377=1,V377&gt;0,W377&gt;1),S377,0)</f>
        <v>0</v>
      </c>
      <c r="Y377" s="11" t="n">
        <f aca="false">IF(T377=1,X377/(1+Controls!$B$11)^F377,0)</f>
        <v>0</v>
      </c>
      <c r="Z377" s="11" t="n">
        <f aca="false">IF(AND(N377,E377="capacity",LEN(K377)&gt;0),1,0)</f>
        <v>0</v>
      </c>
      <c r="AA377" s="11" t="n">
        <f aca="false">IF(Z377=1,SUMPRODUCT(($K$4:$K$703=K377)*($F$4:$F$703=F377)*($Z$4:$Z$703=1)*($B$4:$B$703&lt;&gt;B377)),0)</f>
        <v>0</v>
      </c>
      <c r="AB377" s="11" t="n">
        <f aca="false">IF(AND(Z377=1,AA377&gt;0),1+SUMPRODUCT(($K$4:$K$703=K377)*($F$4:$F$703=F377)*($Z$4:$Z$703=1)*($P$4:$P$703&gt;P377))+SUMPRODUCT(($K$4:$K$703=K377)*($F$4:$F$703=F377)*($Z$4:$Z$703=1)*($P$4:$P$703=P377)*($C$4:$C$703&lt;C377))+SUMPRODUCT(($K$4:$K$703=K377)*($F$4:$F$703=F377)*($Z$4:$Z$703=1)*($P$4:$P$703=P377)*($C$4:$C$703=C377)*($D$4:$D$703&lt;D377)),0)</f>
        <v>0</v>
      </c>
      <c r="AC377" s="11" t="n">
        <f aca="false">IF(AND(Z377=1,AA377&gt;0,AB377&gt;1),P377,0)</f>
        <v>0</v>
      </c>
    </row>
    <row r="378" customFormat="false" ht="15" hidden="false" customHeight="false" outlineLevel="0" collapsed="false">
      <c r="A378" s="4" t="s">
        <v>613</v>
      </c>
      <c r="B378" s="4" t="s">
        <v>95</v>
      </c>
      <c r="C378" s="4" t="n">
        <v>13</v>
      </c>
      <c r="D378" s="4" t="n">
        <v>375</v>
      </c>
      <c r="E378" s="4" t="s">
        <v>112</v>
      </c>
      <c r="F378" s="4" t="n">
        <v>5</v>
      </c>
      <c r="G378" s="4" t="n">
        <v>1</v>
      </c>
      <c r="H378" s="4" t="n">
        <v>192250</v>
      </c>
      <c r="I378" s="13" t="b">
        <f aca="false">FALSE()</f>
        <v>0</v>
      </c>
      <c r="K378" s="4" t="s">
        <v>609</v>
      </c>
      <c r="L378" s="4" t="n">
        <v>14679.9</v>
      </c>
      <c r="M378" s="11" t="n">
        <f aca="false">IFERROR(MATCH(Controls!$B$3&amp;"|"&amp;B378,'Scenario inputs'!$A$4:$A$213,0),0)</f>
        <v>144</v>
      </c>
      <c r="N378" s="8" t="b">
        <f aca="false">IF(M378=0,FALSE(),F378&lt;Controls!$B$12)</f>
        <v>1</v>
      </c>
      <c r="O378" s="11" t="n">
        <f aca="false">IF(N378,IF(INDEX('Scenario inputs'!$E$4:$E$213,M378)=0,1,INDEX('Scenario inputs'!$F$4:$M$213,M378,MIN(MAX(F378-G378,0),INDEX('Scenario inputs'!$E$4:$E$213,M378)-1)+1)),0)</f>
        <v>0.416667</v>
      </c>
      <c r="P378" s="11" t="n">
        <f aca="false">H378*O378</f>
        <v>80104.23075</v>
      </c>
      <c r="Q378" s="11" t="n">
        <f aca="false">IF(M378=0,"",IF(ISNUMBER(INDEX('Scenario inputs'!$N$4:$N$213,M378)),INDEX('Scenario inputs'!$N$4:$N$213,M378),""))</f>
        <v>39.1</v>
      </c>
      <c r="R378" s="0" t="str">
        <f aca="false">IF(NOT(N378),"",IF(OR(E378="cash",E378="revenue"),E378,IF(E378="avoided_cost",IF(AND(I378,LEN(TRIM(J378))&gt;0),"avoided_cost_realised","avoided_cost_beside"),IF(ISNUMBER(Q378),"capacity_converted","capacity_hours"))))</f>
        <v>cash</v>
      </c>
      <c r="S378" s="11" t="n">
        <f aca="false">IF(OR(R378="",R378="capacity_hours"),0,IF(R378="capacity_converted",P378*Q378,P378))</f>
        <v>80104.23075</v>
      </c>
      <c r="T378" s="11" t="n">
        <f aca="false">IF(OR(R378="cash",R378="revenue",R378="avoided_cost_realised",R378="capacity_converted"),1,0)</f>
        <v>1</v>
      </c>
      <c r="U378" s="11" t="n">
        <f aca="false">IF(AND(N378,R378&lt;&gt;"capacity_hours",LEN(K378)&gt;0),1,0)</f>
        <v>1</v>
      </c>
      <c r="V378" s="11" t="n">
        <f aca="false">IF(U378=1,SUMPRODUCT(($K$4:$K$703=K378)*($F$4:$F$703=F378)*($U$4:$U$703=1)*($B$4:$B$703&lt;&gt;B378)),0)</f>
        <v>0</v>
      </c>
      <c r="W378" s="11" t="n">
        <f aca="false">IF(AND(U378=1,V378&gt;0),1+SUMPRODUCT(($K$4:$K$703=K378)*($F$4:$F$703=F378)*($U$4:$U$703=1)*($S$4:$S$703&gt;S378))+SUMPRODUCT(($K$4:$K$703=K378)*($F$4:$F$703=F378)*($U$4:$U$703=1)*($S$4:$S$703=S378)*($T$4:$T$703&gt;T378))+SUMPRODUCT(($K$4:$K$703=K378)*($F$4:$F$703=F378)*($U$4:$U$703=1)*($S$4:$S$703=S378)*($T$4:$T$703=T378)*($C$4:$C$703&lt;C378))+SUMPRODUCT(($K$4:$K$703=K378)*($F$4:$F$703=F378)*($U$4:$U$703=1)*($S$4:$S$703=S378)*($T$4:$T$703=T378)*($C$4:$C$703=C378)*($D$4:$D$703&lt;D378)),0)</f>
        <v>0</v>
      </c>
      <c r="X378" s="11" t="n">
        <f aca="false">IF(AND(U378=1,V378&gt;0,W378&gt;1),S378,0)</f>
        <v>0</v>
      </c>
      <c r="Y378" s="11" t="n">
        <f aca="false">IF(T378=1,X378/(1+Controls!$B$11)^F378,0)</f>
        <v>0</v>
      </c>
      <c r="Z378" s="11" t="n">
        <f aca="false">IF(AND(N378,E378="capacity",LEN(K378)&gt;0),1,0)</f>
        <v>0</v>
      </c>
      <c r="AA378" s="11" t="n">
        <f aca="false">IF(Z378=1,SUMPRODUCT(($K$4:$K$703=K378)*($F$4:$F$703=F378)*($Z$4:$Z$703=1)*($B$4:$B$703&lt;&gt;B378)),0)</f>
        <v>0</v>
      </c>
      <c r="AB378" s="11" t="n">
        <f aca="false">IF(AND(Z378=1,AA378&gt;0),1+SUMPRODUCT(($K$4:$K$703=K378)*($F$4:$F$703=F378)*($Z$4:$Z$703=1)*($P$4:$P$703&gt;P378))+SUMPRODUCT(($K$4:$K$703=K378)*($F$4:$F$703=F378)*($Z$4:$Z$703=1)*($P$4:$P$703=P378)*($C$4:$C$703&lt;C378))+SUMPRODUCT(($K$4:$K$703=K378)*($F$4:$F$703=F378)*($Z$4:$Z$703=1)*($P$4:$P$703=P378)*($C$4:$C$703=C378)*($D$4:$D$703&lt;D378)),0)</f>
        <v>0</v>
      </c>
      <c r="AC378" s="11" t="n">
        <f aca="false">IF(AND(Z378=1,AA378&gt;0,AB378&gt;1),P378,0)</f>
        <v>0</v>
      </c>
    </row>
    <row r="379" customFormat="false" ht="15" hidden="false" customHeight="false" outlineLevel="0" collapsed="false">
      <c r="A379" s="4" t="s">
        <v>614</v>
      </c>
      <c r="B379" s="4" t="s">
        <v>95</v>
      </c>
      <c r="C379" s="4" t="n">
        <v>13</v>
      </c>
      <c r="D379" s="4" t="n">
        <v>376</v>
      </c>
      <c r="E379" s="4" t="s">
        <v>112</v>
      </c>
      <c r="F379" s="4" t="n">
        <v>6</v>
      </c>
      <c r="G379" s="4" t="n">
        <v>1</v>
      </c>
      <c r="H379" s="4" t="n">
        <v>192250</v>
      </c>
      <c r="I379" s="13" t="b">
        <f aca="false">FALSE()</f>
        <v>0</v>
      </c>
      <c r="K379" s="4" t="s">
        <v>609</v>
      </c>
      <c r="L379" s="4" t="n">
        <v>20140.8</v>
      </c>
      <c r="M379" s="11" t="n">
        <f aca="false">IFERROR(MATCH(Controls!$B$3&amp;"|"&amp;B379,'Scenario inputs'!$A$4:$A$213,0),0)</f>
        <v>144</v>
      </c>
      <c r="N379" s="8" t="b">
        <f aca="false">IF(M379=0,FALSE(),F379&lt;Controls!$B$12)</f>
        <v>1</v>
      </c>
      <c r="O379" s="11" t="n">
        <f aca="false">IF(N379,IF(INDEX('Scenario inputs'!$E$4:$E$213,M379)=0,1,INDEX('Scenario inputs'!$F$4:$M$213,M379,MIN(MAX(F379-G379,0),INDEX('Scenario inputs'!$E$4:$E$213,M379)-1)+1)),0)</f>
        <v>0.583333</v>
      </c>
      <c r="P379" s="11" t="n">
        <f aca="false">H379*O379</f>
        <v>112145.76925</v>
      </c>
      <c r="Q379" s="11" t="n">
        <f aca="false">IF(M379=0,"",IF(ISNUMBER(INDEX('Scenario inputs'!$N$4:$N$213,M379)),INDEX('Scenario inputs'!$N$4:$N$213,M379),""))</f>
        <v>39.1</v>
      </c>
      <c r="R379" s="0" t="str">
        <f aca="false">IF(NOT(N379),"",IF(OR(E379="cash",E379="revenue"),E379,IF(E379="avoided_cost",IF(AND(I379,LEN(TRIM(J379))&gt;0),"avoided_cost_realised","avoided_cost_beside"),IF(ISNUMBER(Q379),"capacity_converted","capacity_hours"))))</f>
        <v>cash</v>
      </c>
      <c r="S379" s="11" t="n">
        <f aca="false">IF(OR(R379="",R379="capacity_hours"),0,IF(R379="capacity_converted",P379*Q379,P379))</f>
        <v>112145.76925</v>
      </c>
      <c r="T379" s="11" t="n">
        <f aca="false">IF(OR(R379="cash",R379="revenue",R379="avoided_cost_realised",R379="capacity_converted"),1,0)</f>
        <v>1</v>
      </c>
      <c r="U379" s="11" t="n">
        <f aca="false">IF(AND(N379,R379&lt;&gt;"capacity_hours",LEN(K379)&gt;0),1,0)</f>
        <v>1</v>
      </c>
      <c r="V379" s="11" t="n">
        <f aca="false">IF(U379=1,SUMPRODUCT(($K$4:$K$703=K379)*($F$4:$F$703=F379)*($U$4:$U$703=1)*($B$4:$B$703&lt;&gt;B379)),0)</f>
        <v>0</v>
      </c>
      <c r="W379" s="11" t="n">
        <f aca="false">IF(AND(U379=1,V379&gt;0),1+SUMPRODUCT(($K$4:$K$703=K379)*($F$4:$F$703=F379)*($U$4:$U$703=1)*($S$4:$S$703&gt;S379))+SUMPRODUCT(($K$4:$K$703=K379)*($F$4:$F$703=F379)*($U$4:$U$703=1)*($S$4:$S$703=S379)*($T$4:$T$703&gt;T379))+SUMPRODUCT(($K$4:$K$703=K379)*($F$4:$F$703=F379)*($U$4:$U$703=1)*($S$4:$S$703=S379)*($T$4:$T$703=T379)*($C$4:$C$703&lt;C379))+SUMPRODUCT(($K$4:$K$703=K379)*($F$4:$F$703=F379)*($U$4:$U$703=1)*($S$4:$S$703=S379)*($T$4:$T$703=T379)*($C$4:$C$703=C379)*($D$4:$D$703&lt;D379)),0)</f>
        <v>0</v>
      </c>
      <c r="X379" s="11" t="n">
        <f aca="false">IF(AND(U379=1,V379&gt;0,W379&gt;1),S379,0)</f>
        <v>0</v>
      </c>
      <c r="Y379" s="11" t="n">
        <f aca="false">IF(T379=1,X379/(1+Controls!$B$11)^F379,0)</f>
        <v>0</v>
      </c>
      <c r="Z379" s="11" t="n">
        <f aca="false">IF(AND(N379,E379="capacity",LEN(K379)&gt;0),1,0)</f>
        <v>0</v>
      </c>
      <c r="AA379" s="11" t="n">
        <f aca="false">IF(Z379=1,SUMPRODUCT(($K$4:$K$703=K379)*($F$4:$F$703=F379)*($Z$4:$Z$703=1)*($B$4:$B$703&lt;&gt;B379)),0)</f>
        <v>0</v>
      </c>
      <c r="AB379" s="11" t="n">
        <f aca="false">IF(AND(Z379=1,AA379&gt;0),1+SUMPRODUCT(($K$4:$K$703=K379)*($F$4:$F$703=F379)*($Z$4:$Z$703=1)*($P$4:$P$703&gt;P379))+SUMPRODUCT(($K$4:$K$703=K379)*($F$4:$F$703=F379)*($Z$4:$Z$703=1)*($P$4:$P$703=P379)*($C$4:$C$703&lt;C379))+SUMPRODUCT(($K$4:$K$703=K379)*($F$4:$F$703=F379)*($Z$4:$Z$703=1)*($P$4:$P$703=P379)*($C$4:$C$703=C379)*($D$4:$D$703&lt;D379)),0)</f>
        <v>0</v>
      </c>
      <c r="AC379" s="11" t="n">
        <f aca="false">IF(AND(Z379=1,AA379&gt;0,AB379&gt;1),P379,0)</f>
        <v>0</v>
      </c>
    </row>
    <row r="380" customFormat="false" ht="15" hidden="false" customHeight="false" outlineLevel="0" collapsed="false">
      <c r="A380" s="4" t="s">
        <v>615</v>
      </c>
      <c r="B380" s="4" t="s">
        <v>95</v>
      </c>
      <c r="C380" s="4" t="n">
        <v>13</v>
      </c>
      <c r="D380" s="4" t="n">
        <v>377</v>
      </c>
      <c r="E380" s="4" t="s">
        <v>112</v>
      </c>
      <c r="F380" s="4" t="n">
        <v>7</v>
      </c>
      <c r="G380" s="4" t="n">
        <v>1</v>
      </c>
      <c r="H380" s="4" t="n">
        <v>192250</v>
      </c>
      <c r="I380" s="13" t="b">
        <f aca="false">FALSE()</f>
        <v>0</v>
      </c>
      <c r="K380" s="4" t="s">
        <v>609</v>
      </c>
      <c r="L380" s="4" t="n">
        <v>28498.57</v>
      </c>
      <c r="M380" s="11" t="n">
        <f aca="false">IFERROR(MATCH(Controls!$B$3&amp;"|"&amp;B380,'Scenario inputs'!$A$4:$A$213,0),0)</f>
        <v>144</v>
      </c>
      <c r="N380" s="8" t="b">
        <f aca="false">IF(M380=0,FALSE(),F380&lt;Controls!$B$12)</f>
        <v>1</v>
      </c>
      <c r="O380" s="11" t="n">
        <f aca="false">IF(N380,IF(INDEX('Scenario inputs'!$E$4:$E$213,M380)=0,1,INDEX('Scenario inputs'!$F$4:$M$213,M380,MIN(MAX(F380-G380,0),INDEX('Scenario inputs'!$E$4:$E$213,M380)-1)+1)),0)</f>
        <v>0.777778</v>
      </c>
      <c r="P380" s="11" t="n">
        <f aca="false">H380*O380</f>
        <v>149527.8205</v>
      </c>
      <c r="Q380" s="11" t="n">
        <f aca="false">IF(M380=0,"",IF(ISNUMBER(INDEX('Scenario inputs'!$N$4:$N$213,M380)),INDEX('Scenario inputs'!$N$4:$N$213,M380),""))</f>
        <v>39.1</v>
      </c>
      <c r="R380" s="0" t="str">
        <f aca="false">IF(NOT(N380),"",IF(OR(E380="cash",E380="revenue"),E380,IF(E380="avoided_cost",IF(AND(I380,LEN(TRIM(J380))&gt;0),"avoided_cost_realised","avoided_cost_beside"),IF(ISNUMBER(Q380),"capacity_converted","capacity_hours"))))</f>
        <v>cash</v>
      </c>
      <c r="S380" s="11" t="n">
        <f aca="false">IF(OR(R380="",R380="capacity_hours"),0,IF(R380="capacity_converted",P380*Q380,P380))</f>
        <v>149527.8205</v>
      </c>
      <c r="T380" s="11" t="n">
        <f aca="false">IF(OR(R380="cash",R380="revenue",R380="avoided_cost_realised",R380="capacity_converted"),1,0)</f>
        <v>1</v>
      </c>
      <c r="U380" s="11" t="n">
        <f aca="false">IF(AND(N380,R380&lt;&gt;"capacity_hours",LEN(K380)&gt;0),1,0)</f>
        <v>1</v>
      </c>
      <c r="V380" s="11" t="n">
        <f aca="false">IF(U380=1,SUMPRODUCT(($K$4:$K$703=K380)*($F$4:$F$703=F380)*($U$4:$U$703=1)*($B$4:$B$703&lt;&gt;B380)),0)</f>
        <v>0</v>
      </c>
      <c r="W380" s="11" t="n">
        <f aca="false">IF(AND(U380=1,V380&gt;0),1+SUMPRODUCT(($K$4:$K$703=K380)*($F$4:$F$703=F380)*($U$4:$U$703=1)*($S$4:$S$703&gt;S380))+SUMPRODUCT(($K$4:$K$703=K380)*($F$4:$F$703=F380)*($U$4:$U$703=1)*($S$4:$S$703=S380)*($T$4:$T$703&gt;T380))+SUMPRODUCT(($K$4:$K$703=K380)*($F$4:$F$703=F380)*($U$4:$U$703=1)*($S$4:$S$703=S380)*($T$4:$T$703=T380)*($C$4:$C$703&lt;C380))+SUMPRODUCT(($K$4:$K$703=K380)*($F$4:$F$703=F380)*($U$4:$U$703=1)*($S$4:$S$703=S380)*($T$4:$T$703=T380)*($C$4:$C$703=C380)*($D$4:$D$703&lt;D380)),0)</f>
        <v>0</v>
      </c>
      <c r="X380" s="11" t="n">
        <f aca="false">IF(AND(U380=1,V380&gt;0,W380&gt;1),S380,0)</f>
        <v>0</v>
      </c>
      <c r="Y380" s="11" t="n">
        <f aca="false">IF(T380=1,X380/(1+Controls!$B$11)^F380,0)</f>
        <v>0</v>
      </c>
      <c r="Z380" s="11" t="n">
        <f aca="false">IF(AND(N380,E380="capacity",LEN(K380)&gt;0),1,0)</f>
        <v>0</v>
      </c>
      <c r="AA380" s="11" t="n">
        <f aca="false">IF(Z380=1,SUMPRODUCT(($K$4:$K$703=K380)*($F$4:$F$703=F380)*($Z$4:$Z$703=1)*($B$4:$B$703&lt;&gt;B380)),0)</f>
        <v>0</v>
      </c>
      <c r="AB380" s="11" t="n">
        <f aca="false">IF(AND(Z380=1,AA380&gt;0),1+SUMPRODUCT(($K$4:$K$703=K380)*($F$4:$F$703=F380)*($Z$4:$Z$703=1)*($P$4:$P$703&gt;P380))+SUMPRODUCT(($K$4:$K$703=K380)*($F$4:$F$703=F380)*($Z$4:$Z$703=1)*($P$4:$P$703=P380)*($C$4:$C$703&lt;C380))+SUMPRODUCT(($K$4:$K$703=K380)*($F$4:$F$703=F380)*($Z$4:$Z$703=1)*($P$4:$P$703=P380)*($C$4:$C$703=C380)*($D$4:$D$703&lt;D380)),0)</f>
        <v>0</v>
      </c>
      <c r="AC380" s="11" t="n">
        <f aca="false">IF(AND(Z380=1,AA380&gt;0,AB380&gt;1),P380,0)</f>
        <v>0</v>
      </c>
    </row>
    <row r="381" customFormat="false" ht="15" hidden="false" customHeight="false" outlineLevel="0" collapsed="false">
      <c r="A381" s="4" t="s">
        <v>616</v>
      </c>
      <c r="B381" s="4" t="s">
        <v>95</v>
      </c>
      <c r="C381" s="4" t="n">
        <v>13</v>
      </c>
      <c r="D381" s="4" t="n">
        <v>378</v>
      </c>
      <c r="E381" s="4" t="s">
        <v>112</v>
      </c>
      <c r="F381" s="4" t="n">
        <v>8</v>
      </c>
      <c r="G381" s="4" t="n">
        <v>1</v>
      </c>
      <c r="H381" s="4" t="n">
        <v>192250</v>
      </c>
      <c r="I381" s="13" t="b">
        <f aca="false">FALSE()</f>
        <v>0</v>
      </c>
      <c r="K381" s="4" t="s">
        <v>609</v>
      </c>
      <c r="L381" s="4" t="n">
        <v>34174.78</v>
      </c>
      <c r="M381" s="11" t="n">
        <f aca="false">IFERROR(MATCH(Controls!$B$3&amp;"|"&amp;B381,'Scenario inputs'!$A$4:$A$213,0),0)</f>
        <v>144</v>
      </c>
      <c r="N381" s="8" t="b">
        <f aca="false">IF(M381=0,FALSE(),F381&lt;Controls!$B$12)</f>
        <v>1</v>
      </c>
      <c r="O381" s="11" t="n">
        <f aca="false">IF(N381,IF(INDEX('Scenario inputs'!$E$4:$E$213,M381)=0,1,INDEX('Scenario inputs'!$F$4:$M$213,M381,MIN(MAX(F381-G381,0),INDEX('Scenario inputs'!$E$4:$E$213,M381)-1)+1)),0)</f>
        <v>1</v>
      </c>
      <c r="P381" s="11" t="n">
        <f aca="false">H381*O381</f>
        <v>192250</v>
      </c>
      <c r="Q381" s="11" t="n">
        <f aca="false">IF(M381=0,"",IF(ISNUMBER(INDEX('Scenario inputs'!$N$4:$N$213,M381)),INDEX('Scenario inputs'!$N$4:$N$213,M381),""))</f>
        <v>39.1</v>
      </c>
      <c r="R381" s="0" t="str">
        <f aca="false">IF(NOT(N381),"",IF(OR(E381="cash",E381="revenue"),E381,IF(E381="avoided_cost",IF(AND(I381,LEN(TRIM(J381))&gt;0),"avoided_cost_realised","avoided_cost_beside"),IF(ISNUMBER(Q381),"capacity_converted","capacity_hours"))))</f>
        <v>cash</v>
      </c>
      <c r="S381" s="11" t="n">
        <f aca="false">IF(OR(R381="",R381="capacity_hours"),0,IF(R381="capacity_converted",P381*Q381,P381))</f>
        <v>192250</v>
      </c>
      <c r="T381" s="11" t="n">
        <f aca="false">IF(OR(R381="cash",R381="revenue",R381="avoided_cost_realised",R381="capacity_converted"),1,0)</f>
        <v>1</v>
      </c>
      <c r="U381" s="11" t="n">
        <f aca="false">IF(AND(N381,R381&lt;&gt;"capacity_hours",LEN(K381)&gt;0),1,0)</f>
        <v>1</v>
      </c>
      <c r="V381" s="11" t="n">
        <f aca="false">IF(U381=1,SUMPRODUCT(($K$4:$K$703=K381)*($F$4:$F$703=F381)*($U$4:$U$703=1)*($B$4:$B$703&lt;&gt;B381)),0)</f>
        <v>0</v>
      </c>
      <c r="W381" s="11" t="n">
        <f aca="false">IF(AND(U381=1,V381&gt;0),1+SUMPRODUCT(($K$4:$K$703=K381)*($F$4:$F$703=F381)*($U$4:$U$703=1)*($S$4:$S$703&gt;S381))+SUMPRODUCT(($K$4:$K$703=K381)*($F$4:$F$703=F381)*($U$4:$U$703=1)*($S$4:$S$703=S381)*($T$4:$T$703&gt;T381))+SUMPRODUCT(($K$4:$K$703=K381)*($F$4:$F$703=F381)*($U$4:$U$703=1)*($S$4:$S$703=S381)*($T$4:$T$703=T381)*($C$4:$C$703&lt;C381))+SUMPRODUCT(($K$4:$K$703=K381)*($F$4:$F$703=F381)*($U$4:$U$703=1)*($S$4:$S$703=S381)*($T$4:$T$703=T381)*($C$4:$C$703=C381)*($D$4:$D$703&lt;D381)),0)</f>
        <v>0</v>
      </c>
      <c r="X381" s="11" t="n">
        <f aca="false">IF(AND(U381=1,V381&gt;0,W381&gt;1),S381,0)</f>
        <v>0</v>
      </c>
      <c r="Y381" s="11" t="n">
        <f aca="false">IF(T381=1,X381/(1+Controls!$B$11)^F381,0)</f>
        <v>0</v>
      </c>
      <c r="Z381" s="11" t="n">
        <f aca="false">IF(AND(N381,E381="capacity",LEN(K381)&gt;0),1,0)</f>
        <v>0</v>
      </c>
      <c r="AA381" s="11" t="n">
        <f aca="false">IF(Z381=1,SUMPRODUCT(($K$4:$K$703=K381)*($F$4:$F$703=F381)*($Z$4:$Z$703=1)*($B$4:$B$703&lt;&gt;B381)),0)</f>
        <v>0</v>
      </c>
      <c r="AB381" s="11" t="n">
        <f aca="false">IF(AND(Z381=1,AA381&gt;0),1+SUMPRODUCT(($K$4:$K$703=K381)*($F$4:$F$703=F381)*($Z$4:$Z$703=1)*($P$4:$P$703&gt;P381))+SUMPRODUCT(($K$4:$K$703=K381)*($F$4:$F$703=F381)*($Z$4:$Z$703=1)*($P$4:$P$703=P381)*($C$4:$C$703&lt;C381))+SUMPRODUCT(($K$4:$K$703=K381)*($F$4:$F$703=F381)*($Z$4:$Z$703=1)*($P$4:$P$703=P381)*($C$4:$C$703=C381)*($D$4:$D$703&lt;D381)),0)</f>
        <v>0</v>
      </c>
      <c r="AC381" s="11" t="n">
        <f aca="false">IF(AND(Z381=1,AA381&gt;0,AB381&gt;1),P381,0)</f>
        <v>0</v>
      </c>
    </row>
    <row r="382" customFormat="false" ht="15" hidden="false" customHeight="false" outlineLevel="0" collapsed="false">
      <c r="A382" s="4" t="s">
        <v>617</v>
      </c>
      <c r="B382" s="4" t="s">
        <v>95</v>
      </c>
      <c r="C382" s="4" t="n">
        <v>13</v>
      </c>
      <c r="D382" s="4" t="n">
        <v>379</v>
      </c>
      <c r="E382" s="4" t="s">
        <v>112</v>
      </c>
      <c r="F382" s="4" t="n">
        <v>9</v>
      </c>
      <c r="G382" s="4" t="n">
        <v>1</v>
      </c>
      <c r="H382" s="4" t="n">
        <v>192250</v>
      </c>
      <c r="I382" s="13" t="b">
        <f aca="false">FALSE()</f>
        <v>0</v>
      </c>
      <c r="K382" s="4" t="s">
        <v>609</v>
      </c>
      <c r="L382" s="4" t="n">
        <v>41449.1</v>
      </c>
      <c r="M382" s="11" t="n">
        <f aca="false">IFERROR(MATCH(Controls!$B$3&amp;"|"&amp;B382,'Scenario inputs'!$A$4:$A$213,0),0)</f>
        <v>144</v>
      </c>
      <c r="N382" s="8" t="b">
        <f aca="false">IF(M382=0,FALSE(),F382&lt;Controls!$B$12)</f>
        <v>1</v>
      </c>
      <c r="O382" s="11" t="n">
        <f aca="false">IF(N382,IF(INDEX('Scenario inputs'!$E$4:$E$213,M382)=0,1,INDEX('Scenario inputs'!$F$4:$M$213,M382,MIN(MAX(F382-G382,0),INDEX('Scenario inputs'!$E$4:$E$213,M382)-1)+1)),0)</f>
        <v>1</v>
      </c>
      <c r="P382" s="11" t="n">
        <f aca="false">H382*O382</f>
        <v>192250</v>
      </c>
      <c r="Q382" s="11" t="n">
        <f aca="false">IF(M382=0,"",IF(ISNUMBER(INDEX('Scenario inputs'!$N$4:$N$213,M382)),INDEX('Scenario inputs'!$N$4:$N$213,M382),""))</f>
        <v>39.1</v>
      </c>
      <c r="R382" s="0" t="str">
        <f aca="false">IF(NOT(N382),"",IF(OR(E382="cash",E382="revenue"),E382,IF(E382="avoided_cost",IF(AND(I382,LEN(TRIM(J382))&gt;0),"avoided_cost_realised","avoided_cost_beside"),IF(ISNUMBER(Q382),"capacity_converted","capacity_hours"))))</f>
        <v>cash</v>
      </c>
      <c r="S382" s="11" t="n">
        <f aca="false">IF(OR(R382="",R382="capacity_hours"),0,IF(R382="capacity_converted",P382*Q382,P382))</f>
        <v>192250</v>
      </c>
      <c r="T382" s="11" t="n">
        <f aca="false">IF(OR(R382="cash",R382="revenue",R382="avoided_cost_realised",R382="capacity_converted"),1,0)</f>
        <v>1</v>
      </c>
      <c r="U382" s="11" t="n">
        <f aca="false">IF(AND(N382,R382&lt;&gt;"capacity_hours",LEN(K382)&gt;0),1,0)</f>
        <v>1</v>
      </c>
      <c r="V382" s="11" t="n">
        <f aca="false">IF(U382=1,SUMPRODUCT(($K$4:$K$703=K382)*($F$4:$F$703=F382)*($U$4:$U$703=1)*($B$4:$B$703&lt;&gt;B382)),0)</f>
        <v>0</v>
      </c>
      <c r="W382" s="11" t="n">
        <f aca="false">IF(AND(U382=1,V382&gt;0),1+SUMPRODUCT(($K$4:$K$703=K382)*($F$4:$F$703=F382)*($U$4:$U$703=1)*($S$4:$S$703&gt;S382))+SUMPRODUCT(($K$4:$K$703=K382)*($F$4:$F$703=F382)*($U$4:$U$703=1)*($S$4:$S$703=S382)*($T$4:$T$703&gt;T382))+SUMPRODUCT(($K$4:$K$703=K382)*($F$4:$F$703=F382)*($U$4:$U$703=1)*($S$4:$S$703=S382)*($T$4:$T$703=T382)*($C$4:$C$703&lt;C382))+SUMPRODUCT(($K$4:$K$703=K382)*($F$4:$F$703=F382)*($U$4:$U$703=1)*($S$4:$S$703=S382)*($T$4:$T$703=T382)*($C$4:$C$703=C382)*($D$4:$D$703&lt;D382)),0)</f>
        <v>0</v>
      </c>
      <c r="X382" s="11" t="n">
        <f aca="false">IF(AND(U382=1,V382&gt;0,W382&gt;1),S382,0)</f>
        <v>0</v>
      </c>
      <c r="Y382" s="11" t="n">
        <f aca="false">IF(T382=1,X382/(1+Controls!$B$11)^F382,0)</f>
        <v>0</v>
      </c>
      <c r="Z382" s="11" t="n">
        <f aca="false">IF(AND(N382,E382="capacity",LEN(K382)&gt;0),1,0)</f>
        <v>0</v>
      </c>
      <c r="AA382" s="11" t="n">
        <f aca="false">IF(Z382=1,SUMPRODUCT(($K$4:$K$703=K382)*($F$4:$F$703=F382)*($Z$4:$Z$703=1)*($B$4:$B$703&lt;&gt;B382)),0)</f>
        <v>0</v>
      </c>
      <c r="AB382" s="11" t="n">
        <f aca="false">IF(AND(Z382=1,AA382&gt;0),1+SUMPRODUCT(($K$4:$K$703=K382)*($F$4:$F$703=F382)*($Z$4:$Z$703=1)*($P$4:$P$703&gt;P382))+SUMPRODUCT(($K$4:$K$703=K382)*($F$4:$F$703=F382)*($Z$4:$Z$703=1)*($P$4:$P$703=P382)*($C$4:$C$703&lt;C382))+SUMPRODUCT(($K$4:$K$703=K382)*($F$4:$F$703=F382)*($Z$4:$Z$703=1)*($P$4:$P$703=P382)*($C$4:$C$703=C382)*($D$4:$D$703&lt;D382)),0)</f>
        <v>0</v>
      </c>
      <c r="AC382" s="11" t="n">
        <f aca="false">IF(AND(Z382=1,AA382&gt;0,AB382&gt;1),P382,0)</f>
        <v>0</v>
      </c>
    </row>
    <row r="383" customFormat="false" ht="15" hidden="false" customHeight="false" outlineLevel="0" collapsed="false">
      <c r="A383" s="4" t="s">
        <v>618</v>
      </c>
      <c r="B383" s="4" t="s">
        <v>95</v>
      </c>
      <c r="C383" s="4" t="n">
        <v>13</v>
      </c>
      <c r="D383" s="4" t="n">
        <v>380</v>
      </c>
      <c r="E383" s="4" t="s">
        <v>112</v>
      </c>
      <c r="F383" s="4" t="n">
        <v>10</v>
      </c>
      <c r="G383" s="4" t="n">
        <v>1</v>
      </c>
      <c r="H383" s="4" t="n">
        <v>192250</v>
      </c>
      <c r="I383" s="13" t="b">
        <f aca="false">FALSE()</f>
        <v>0</v>
      </c>
      <c r="K383" s="4" t="s">
        <v>609</v>
      </c>
      <c r="L383" s="4" t="n">
        <v>41449.1</v>
      </c>
      <c r="M383" s="11" t="n">
        <f aca="false">IFERROR(MATCH(Controls!$B$3&amp;"|"&amp;B383,'Scenario inputs'!$A$4:$A$213,0),0)</f>
        <v>144</v>
      </c>
      <c r="N383" s="8" t="b">
        <f aca="false">IF(M383=0,FALSE(),F383&lt;Controls!$B$12)</f>
        <v>1</v>
      </c>
      <c r="O383" s="11" t="n">
        <f aca="false">IF(N383,IF(INDEX('Scenario inputs'!$E$4:$E$213,M383)=0,1,INDEX('Scenario inputs'!$F$4:$M$213,M383,MIN(MAX(F383-G383,0),INDEX('Scenario inputs'!$E$4:$E$213,M383)-1)+1)),0)</f>
        <v>1</v>
      </c>
      <c r="P383" s="11" t="n">
        <f aca="false">H383*O383</f>
        <v>192250</v>
      </c>
      <c r="Q383" s="11" t="n">
        <f aca="false">IF(M383=0,"",IF(ISNUMBER(INDEX('Scenario inputs'!$N$4:$N$213,M383)),INDEX('Scenario inputs'!$N$4:$N$213,M383),""))</f>
        <v>39.1</v>
      </c>
      <c r="R383" s="0" t="str">
        <f aca="false">IF(NOT(N383),"",IF(OR(E383="cash",E383="revenue"),E383,IF(E383="avoided_cost",IF(AND(I383,LEN(TRIM(J383))&gt;0),"avoided_cost_realised","avoided_cost_beside"),IF(ISNUMBER(Q383),"capacity_converted","capacity_hours"))))</f>
        <v>cash</v>
      </c>
      <c r="S383" s="11" t="n">
        <f aca="false">IF(OR(R383="",R383="capacity_hours"),0,IF(R383="capacity_converted",P383*Q383,P383))</f>
        <v>192250</v>
      </c>
      <c r="T383" s="11" t="n">
        <f aca="false">IF(OR(R383="cash",R383="revenue",R383="avoided_cost_realised",R383="capacity_converted"),1,0)</f>
        <v>1</v>
      </c>
      <c r="U383" s="11" t="n">
        <f aca="false">IF(AND(N383,R383&lt;&gt;"capacity_hours",LEN(K383)&gt;0),1,0)</f>
        <v>1</v>
      </c>
      <c r="V383" s="11" t="n">
        <f aca="false">IF(U383=1,SUMPRODUCT(($K$4:$K$703=K383)*($F$4:$F$703=F383)*($U$4:$U$703=1)*($B$4:$B$703&lt;&gt;B383)),0)</f>
        <v>0</v>
      </c>
      <c r="W383" s="11" t="n">
        <f aca="false">IF(AND(U383=1,V383&gt;0),1+SUMPRODUCT(($K$4:$K$703=K383)*($F$4:$F$703=F383)*($U$4:$U$703=1)*($S$4:$S$703&gt;S383))+SUMPRODUCT(($K$4:$K$703=K383)*($F$4:$F$703=F383)*($U$4:$U$703=1)*($S$4:$S$703=S383)*($T$4:$T$703&gt;T383))+SUMPRODUCT(($K$4:$K$703=K383)*($F$4:$F$703=F383)*($U$4:$U$703=1)*($S$4:$S$703=S383)*($T$4:$T$703=T383)*($C$4:$C$703&lt;C383))+SUMPRODUCT(($K$4:$K$703=K383)*($F$4:$F$703=F383)*($U$4:$U$703=1)*($S$4:$S$703=S383)*($T$4:$T$703=T383)*($C$4:$C$703=C383)*($D$4:$D$703&lt;D383)),0)</f>
        <v>0</v>
      </c>
      <c r="X383" s="11" t="n">
        <f aca="false">IF(AND(U383=1,V383&gt;0,W383&gt;1),S383,0)</f>
        <v>0</v>
      </c>
      <c r="Y383" s="11" t="n">
        <f aca="false">IF(T383=1,X383/(1+Controls!$B$11)^F383,0)</f>
        <v>0</v>
      </c>
      <c r="Z383" s="11" t="n">
        <f aca="false">IF(AND(N383,E383="capacity",LEN(K383)&gt;0),1,0)</f>
        <v>0</v>
      </c>
      <c r="AA383" s="11" t="n">
        <f aca="false">IF(Z383=1,SUMPRODUCT(($K$4:$K$703=K383)*($F$4:$F$703=F383)*($Z$4:$Z$703=1)*($B$4:$B$703&lt;&gt;B383)),0)</f>
        <v>0</v>
      </c>
      <c r="AB383" s="11" t="n">
        <f aca="false">IF(AND(Z383=1,AA383&gt;0),1+SUMPRODUCT(($K$4:$K$703=K383)*($F$4:$F$703=F383)*($Z$4:$Z$703=1)*($P$4:$P$703&gt;P383))+SUMPRODUCT(($K$4:$K$703=K383)*($F$4:$F$703=F383)*($Z$4:$Z$703=1)*($P$4:$P$703=P383)*($C$4:$C$703&lt;C383))+SUMPRODUCT(($K$4:$K$703=K383)*($F$4:$F$703=F383)*($Z$4:$Z$703=1)*($P$4:$P$703=P383)*($C$4:$C$703=C383)*($D$4:$D$703&lt;D383)),0)</f>
        <v>0</v>
      </c>
      <c r="AC383" s="11" t="n">
        <f aca="false">IF(AND(Z383=1,AA383&gt;0,AB383&gt;1),P383,0)</f>
        <v>0</v>
      </c>
    </row>
    <row r="384" customFormat="false" ht="15" hidden="false" customHeight="false" outlineLevel="0" collapsed="false">
      <c r="A384" s="4" t="s">
        <v>619</v>
      </c>
      <c r="B384" s="4" t="s">
        <v>95</v>
      </c>
      <c r="C384" s="4" t="n">
        <v>13</v>
      </c>
      <c r="D384" s="4" t="n">
        <v>381</v>
      </c>
      <c r="E384" s="4" t="s">
        <v>112</v>
      </c>
      <c r="F384" s="4" t="n">
        <v>11</v>
      </c>
      <c r="G384" s="4" t="n">
        <v>1</v>
      </c>
      <c r="H384" s="4" t="n">
        <v>192250</v>
      </c>
      <c r="I384" s="13" t="b">
        <f aca="false">FALSE()</f>
        <v>0</v>
      </c>
      <c r="K384" s="4" t="s">
        <v>609</v>
      </c>
      <c r="L384" s="4" t="n">
        <v>41449.1</v>
      </c>
      <c r="M384" s="11" t="n">
        <f aca="false">IFERROR(MATCH(Controls!$B$3&amp;"|"&amp;B384,'Scenario inputs'!$A$4:$A$213,0),0)</f>
        <v>144</v>
      </c>
      <c r="N384" s="8" t="b">
        <f aca="false">IF(M384=0,FALSE(),F384&lt;Controls!$B$12)</f>
        <v>1</v>
      </c>
      <c r="O384" s="11" t="n">
        <f aca="false">IF(N384,IF(INDEX('Scenario inputs'!$E$4:$E$213,M384)=0,1,INDEX('Scenario inputs'!$F$4:$M$213,M384,MIN(MAX(F384-G384,0),INDEX('Scenario inputs'!$E$4:$E$213,M384)-1)+1)),0)</f>
        <v>1</v>
      </c>
      <c r="P384" s="11" t="n">
        <f aca="false">H384*O384</f>
        <v>192250</v>
      </c>
      <c r="Q384" s="11" t="n">
        <f aca="false">IF(M384=0,"",IF(ISNUMBER(INDEX('Scenario inputs'!$N$4:$N$213,M384)),INDEX('Scenario inputs'!$N$4:$N$213,M384),""))</f>
        <v>39.1</v>
      </c>
      <c r="R384" s="0" t="str">
        <f aca="false">IF(NOT(N384),"",IF(OR(E384="cash",E384="revenue"),E384,IF(E384="avoided_cost",IF(AND(I384,LEN(TRIM(J384))&gt;0),"avoided_cost_realised","avoided_cost_beside"),IF(ISNUMBER(Q384),"capacity_converted","capacity_hours"))))</f>
        <v>cash</v>
      </c>
      <c r="S384" s="11" t="n">
        <f aca="false">IF(OR(R384="",R384="capacity_hours"),0,IF(R384="capacity_converted",P384*Q384,P384))</f>
        <v>192250</v>
      </c>
      <c r="T384" s="11" t="n">
        <f aca="false">IF(OR(R384="cash",R384="revenue",R384="avoided_cost_realised",R384="capacity_converted"),1,0)</f>
        <v>1</v>
      </c>
      <c r="U384" s="11" t="n">
        <f aca="false">IF(AND(N384,R384&lt;&gt;"capacity_hours",LEN(K384)&gt;0),1,0)</f>
        <v>1</v>
      </c>
      <c r="V384" s="11" t="n">
        <f aca="false">IF(U384=1,SUMPRODUCT(($K$4:$K$703=K384)*($F$4:$F$703=F384)*($U$4:$U$703=1)*($B$4:$B$703&lt;&gt;B384)),0)</f>
        <v>0</v>
      </c>
      <c r="W384" s="11" t="n">
        <f aca="false">IF(AND(U384=1,V384&gt;0),1+SUMPRODUCT(($K$4:$K$703=K384)*($F$4:$F$703=F384)*($U$4:$U$703=1)*($S$4:$S$703&gt;S384))+SUMPRODUCT(($K$4:$K$703=K384)*($F$4:$F$703=F384)*($U$4:$U$703=1)*($S$4:$S$703=S384)*($T$4:$T$703&gt;T384))+SUMPRODUCT(($K$4:$K$703=K384)*($F$4:$F$703=F384)*($U$4:$U$703=1)*($S$4:$S$703=S384)*($T$4:$T$703=T384)*($C$4:$C$703&lt;C384))+SUMPRODUCT(($K$4:$K$703=K384)*($F$4:$F$703=F384)*($U$4:$U$703=1)*($S$4:$S$703=S384)*($T$4:$T$703=T384)*($C$4:$C$703=C384)*($D$4:$D$703&lt;D384)),0)</f>
        <v>0</v>
      </c>
      <c r="X384" s="11" t="n">
        <f aca="false">IF(AND(U384=1,V384&gt;0,W384&gt;1),S384,0)</f>
        <v>0</v>
      </c>
      <c r="Y384" s="11" t="n">
        <f aca="false">IF(T384=1,X384/(1+Controls!$B$11)^F384,0)</f>
        <v>0</v>
      </c>
      <c r="Z384" s="11" t="n">
        <f aca="false">IF(AND(N384,E384="capacity",LEN(K384)&gt;0),1,0)</f>
        <v>0</v>
      </c>
      <c r="AA384" s="11" t="n">
        <f aca="false">IF(Z384=1,SUMPRODUCT(($K$4:$K$703=K384)*($F$4:$F$703=F384)*($Z$4:$Z$703=1)*($B$4:$B$703&lt;&gt;B384)),0)</f>
        <v>0</v>
      </c>
      <c r="AB384" s="11" t="n">
        <f aca="false">IF(AND(Z384=1,AA384&gt;0),1+SUMPRODUCT(($K$4:$K$703=K384)*($F$4:$F$703=F384)*($Z$4:$Z$703=1)*($P$4:$P$703&gt;P384))+SUMPRODUCT(($K$4:$K$703=K384)*($F$4:$F$703=F384)*($Z$4:$Z$703=1)*($P$4:$P$703=P384)*($C$4:$C$703&lt;C384))+SUMPRODUCT(($K$4:$K$703=K384)*($F$4:$F$703=F384)*($Z$4:$Z$703=1)*($P$4:$P$703=P384)*($C$4:$C$703=C384)*($D$4:$D$703&lt;D384)),0)</f>
        <v>0</v>
      </c>
      <c r="AC384" s="11" t="n">
        <f aca="false">IF(AND(Z384=1,AA384&gt;0,AB384&gt;1),P384,0)</f>
        <v>0</v>
      </c>
    </row>
    <row r="385" customFormat="false" ht="15" hidden="false" customHeight="false" outlineLevel="0" collapsed="false">
      <c r="A385" s="4" t="s">
        <v>620</v>
      </c>
      <c r="B385" s="4" t="s">
        <v>95</v>
      </c>
      <c r="C385" s="4" t="n">
        <v>13</v>
      </c>
      <c r="D385" s="4" t="n">
        <v>382</v>
      </c>
      <c r="E385" s="4" t="s">
        <v>112</v>
      </c>
      <c r="F385" s="4" t="n">
        <v>12</v>
      </c>
      <c r="G385" s="4" t="n">
        <v>1</v>
      </c>
      <c r="H385" s="4" t="n">
        <v>192250</v>
      </c>
      <c r="I385" s="13" t="b">
        <f aca="false">FALSE()</f>
        <v>0</v>
      </c>
      <c r="K385" s="4" t="s">
        <v>609</v>
      </c>
      <c r="L385" s="4" t="n">
        <v>41449.1</v>
      </c>
      <c r="M385" s="11" t="n">
        <f aca="false">IFERROR(MATCH(Controls!$B$3&amp;"|"&amp;B385,'Scenario inputs'!$A$4:$A$213,0),0)</f>
        <v>144</v>
      </c>
      <c r="N385" s="8" t="b">
        <f aca="false">IF(M385=0,FALSE(),F385&lt;Controls!$B$12)</f>
        <v>1</v>
      </c>
      <c r="O385" s="11" t="n">
        <f aca="false">IF(N385,IF(INDEX('Scenario inputs'!$E$4:$E$213,M385)=0,1,INDEX('Scenario inputs'!$F$4:$M$213,M385,MIN(MAX(F385-G385,0),INDEX('Scenario inputs'!$E$4:$E$213,M385)-1)+1)),0)</f>
        <v>1</v>
      </c>
      <c r="P385" s="11" t="n">
        <f aca="false">H385*O385</f>
        <v>192250</v>
      </c>
      <c r="Q385" s="11" t="n">
        <f aca="false">IF(M385=0,"",IF(ISNUMBER(INDEX('Scenario inputs'!$N$4:$N$213,M385)),INDEX('Scenario inputs'!$N$4:$N$213,M385),""))</f>
        <v>39.1</v>
      </c>
      <c r="R385" s="0" t="str">
        <f aca="false">IF(NOT(N385),"",IF(OR(E385="cash",E385="revenue"),E385,IF(E385="avoided_cost",IF(AND(I385,LEN(TRIM(J385))&gt;0),"avoided_cost_realised","avoided_cost_beside"),IF(ISNUMBER(Q385),"capacity_converted","capacity_hours"))))</f>
        <v>cash</v>
      </c>
      <c r="S385" s="11" t="n">
        <f aca="false">IF(OR(R385="",R385="capacity_hours"),0,IF(R385="capacity_converted",P385*Q385,P385))</f>
        <v>192250</v>
      </c>
      <c r="T385" s="11" t="n">
        <f aca="false">IF(OR(R385="cash",R385="revenue",R385="avoided_cost_realised",R385="capacity_converted"),1,0)</f>
        <v>1</v>
      </c>
      <c r="U385" s="11" t="n">
        <f aca="false">IF(AND(N385,R385&lt;&gt;"capacity_hours",LEN(K385)&gt;0),1,0)</f>
        <v>1</v>
      </c>
      <c r="V385" s="11" t="n">
        <f aca="false">IF(U385=1,SUMPRODUCT(($K$4:$K$703=K385)*($F$4:$F$703=F385)*($U$4:$U$703=1)*($B$4:$B$703&lt;&gt;B385)),0)</f>
        <v>0</v>
      </c>
      <c r="W385" s="11" t="n">
        <f aca="false">IF(AND(U385=1,V385&gt;0),1+SUMPRODUCT(($K$4:$K$703=K385)*($F$4:$F$703=F385)*($U$4:$U$703=1)*($S$4:$S$703&gt;S385))+SUMPRODUCT(($K$4:$K$703=K385)*($F$4:$F$703=F385)*($U$4:$U$703=1)*($S$4:$S$703=S385)*($T$4:$T$703&gt;T385))+SUMPRODUCT(($K$4:$K$703=K385)*($F$4:$F$703=F385)*($U$4:$U$703=1)*($S$4:$S$703=S385)*($T$4:$T$703=T385)*($C$4:$C$703&lt;C385))+SUMPRODUCT(($K$4:$K$703=K385)*($F$4:$F$703=F385)*($U$4:$U$703=1)*($S$4:$S$703=S385)*($T$4:$T$703=T385)*($C$4:$C$703=C385)*($D$4:$D$703&lt;D385)),0)</f>
        <v>0</v>
      </c>
      <c r="X385" s="11" t="n">
        <f aca="false">IF(AND(U385=1,V385&gt;0,W385&gt;1),S385,0)</f>
        <v>0</v>
      </c>
      <c r="Y385" s="11" t="n">
        <f aca="false">IF(T385=1,X385/(1+Controls!$B$11)^F385,0)</f>
        <v>0</v>
      </c>
      <c r="Z385" s="11" t="n">
        <f aca="false">IF(AND(N385,E385="capacity",LEN(K385)&gt;0),1,0)</f>
        <v>0</v>
      </c>
      <c r="AA385" s="11" t="n">
        <f aca="false">IF(Z385=1,SUMPRODUCT(($K$4:$K$703=K385)*($F$4:$F$703=F385)*($Z$4:$Z$703=1)*($B$4:$B$703&lt;&gt;B385)),0)</f>
        <v>0</v>
      </c>
      <c r="AB385" s="11" t="n">
        <f aca="false">IF(AND(Z385=1,AA385&gt;0),1+SUMPRODUCT(($K$4:$K$703=K385)*($F$4:$F$703=F385)*($Z$4:$Z$703=1)*($P$4:$P$703&gt;P385))+SUMPRODUCT(($K$4:$K$703=K385)*($F$4:$F$703=F385)*($Z$4:$Z$703=1)*($P$4:$P$703=P385)*($C$4:$C$703&lt;C385))+SUMPRODUCT(($K$4:$K$703=K385)*($F$4:$F$703=F385)*($Z$4:$Z$703=1)*($P$4:$P$703=P385)*($C$4:$C$703=C385)*($D$4:$D$703&lt;D385)),0)</f>
        <v>0</v>
      </c>
      <c r="AC385" s="11" t="n">
        <f aca="false">IF(AND(Z385=1,AA385&gt;0,AB385&gt;1),P385,0)</f>
        <v>0</v>
      </c>
    </row>
    <row r="386" customFormat="false" ht="15" hidden="false" customHeight="false" outlineLevel="0" collapsed="false">
      <c r="A386" s="4" t="s">
        <v>621</v>
      </c>
      <c r="B386" s="4" t="s">
        <v>95</v>
      </c>
      <c r="C386" s="4" t="n">
        <v>13</v>
      </c>
      <c r="D386" s="4" t="n">
        <v>383</v>
      </c>
      <c r="E386" s="4" t="s">
        <v>205</v>
      </c>
      <c r="F386" s="4" t="n">
        <v>2</v>
      </c>
      <c r="G386" s="4" t="n">
        <v>2</v>
      </c>
      <c r="H386" s="4" t="n">
        <v>103500</v>
      </c>
      <c r="I386" s="13" t="b">
        <f aca="false">TRUE()</f>
        <v>1</v>
      </c>
      <c r="J386" s="4" t="s">
        <v>622</v>
      </c>
      <c r="K386" s="4" t="s">
        <v>623</v>
      </c>
      <c r="L386" s="4" t="n">
        <v>299.12</v>
      </c>
      <c r="M386" s="11" t="n">
        <f aca="false">IFERROR(MATCH(Controls!$B$3&amp;"|"&amp;B386,'Scenario inputs'!$A$4:$A$213,0),0)</f>
        <v>144</v>
      </c>
      <c r="N386" s="8" t="b">
        <f aca="false">IF(M386=0,FALSE(),F386&lt;Controls!$B$12)</f>
        <v>1</v>
      </c>
      <c r="O386" s="11" t="n">
        <f aca="false">IF(N386,IF(INDEX('Scenario inputs'!$E$4:$E$213,M386)=0,1,INDEX('Scenario inputs'!$F$4:$M$213,M386,MIN(MAX(F386-G386,0),INDEX('Scenario inputs'!$E$4:$E$213,M386)-1)+1)),0)</f>
        <v>0.027778</v>
      </c>
      <c r="P386" s="11" t="n">
        <f aca="false">H386*O386</f>
        <v>2875.023</v>
      </c>
      <c r="Q386" s="11" t="n">
        <f aca="false">IF(M386=0,"",IF(ISNUMBER(INDEX('Scenario inputs'!$N$4:$N$213,M386)),INDEX('Scenario inputs'!$N$4:$N$213,M386),""))</f>
        <v>39.1</v>
      </c>
      <c r="R386" s="0" t="str">
        <f aca="false">IF(NOT(N386),"",IF(OR(E386="cash",E386="revenue"),E386,IF(E386="avoided_cost",IF(AND(I386,LEN(TRIM(J386))&gt;0),"avoided_cost_realised","avoided_cost_beside"),IF(ISNUMBER(Q386),"capacity_converted","capacity_hours"))))</f>
        <v>avoided_cost_realised</v>
      </c>
      <c r="S386" s="11" t="n">
        <f aca="false">IF(OR(R386="",R386="capacity_hours"),0,IF(R386="capacity_converted",P386*Q386,P386))</f>
        <v>2875.023</v>
      </c>
      <c r="T386" s="11" t="n">
        <f aca="false">IF(OR(R386="cash",R386="revenue",R386="avoided_cost_realised",R386="capacity_converted"),1,0)</f>
        <v>1</v>
      </c>
      <c r="U386" s="11" t="n">
        <f aca="false">IF(AND(N386,R386&lt;&gt;"capacity_hours",LEN(K386)&gt;0),1,0)</f>
        <v>1</v>
      </c>
      <c r="V386" s="11" t="n">
        <f aca="false">IF(U386=1,SUMPRODUCT(($K$4:$K$703=K386)*($F$4:$F$703=F386)*($U$4:$U$703=1)*($B$4:$B$703&lt;&gt;B386)),0)</f>
        <v>0</v>
      </c>
      <c r="W386" s="11" t="n">
        <f aca="false">IF(AND(U386=1,V386&gt;0),1+SUMPRODUCT(($K$4:$K$703=K386)*($F$4:$F$703=F386)*($U$4:$U$703=1)*($S$4:$S$703&gt;S386))+SUMPRODUCT(($K$4:$K$703=K386)*($F$4:$F$703=F386)*($U$4:$U$703=1)*($S$4:$S$703=S386)*($T$4:$T$703&gt;T386))+SUMPRODUCT(($K$4:$K$703=K386)*($F$4:$F$703=F386)*($U$4:$U$703=1)*($S$4:$S$703=S386)*($T$4:$T$703=T386)*($C$4:$C$703&lt;C386))+SUMPRODUCT(($K$4:$K$703=K386)*($F$4:$F$703=F386)*($U$4:$U$703=1)*($S$4:$S$703=S386)*($T$4:$T$703=T386)*($C$4:$C$703=C386)*($D$4:$D$703&lt;D386)),0)</f>
        <v>0</v>
      </c>
      <c r="X386" s="11" t="n">
        <f aca="false">IF(AND(U386=1,V386&gt;0,W386&gt;1),S386,0)</f>
        <v>0</v>
      </c>
      <c r="Y386" s="11" t="n">
        <f aca="false">IF(T386=1,X386/(1+Controls!$B$11)^F386,0)</f>
        <v>0</v>
      </c>
      <c r="Z386" s="11" t="n">
        <f aca="false">IF(AND(N386,E386="capacity",LEN(K386)&gt;0),1,0)</f>
        <v>0</v>
      </c>
      <c r="AA386" s="11" t="n">
        <f aca="false">IF(Z386=1,SUMPRODUCT(($K$4:$K$703=K386)*($F$4:$F$703=F386)*($Z$4:$Z$703=1)*($B$4:$B$703&lt;&gt;B386)),0)</f>
        <v>0</v>
      </c>
      <c r="AB386" s="11" t="n">
        <f aca="false">IF(AND(Z386=1,AA386&gt;0),1+SUMPRODUCT(($K$4:$K$703=K386)*($F$4:$F$703=F386)*($Z$4:$Z$703=1)*($P$4:$P$703&gt;P386))+SUMPRODUCT(($K$4:$K$703=K386)*($F$4:$F$703=F386)*($Z$4:$Z$703=1)*($P$4:$P$703=P386)*($C$4:$C$703&lt;C386))+SUMPRODUCT(($K$4:$K$703=K386)*($F$4:$F$703=F386)*($Z$4:$Z$703=1)*($P$4:$P$703=P386)*($C$4:$C$703=C386)*($D$4:$D$703&lt;D386)),0)</f>
        <v>0</v>
      </c>
      <c r="AC386" s="11" t="n">
        <f aca="false">IF(AND(Z386=1,AA386&gt;0,AB386&gt;1),P386,0)</f>
        <v>0</v>
      </c>
    </row>
    <row r="387" customFormat="false" ht="15" hidden="false" customHeight="false" outlineLevel="0" collapsed="false">
      <c r="A387" s="4" t="s">
        <v>624</v>
      </c>
      <c r="B387" s="4" t="s">
        <v>95</v>
      </c>
      <c r="C387" s="4" t="n">
        <v>13</v>
      </c>
      <c r="D387" s="4" t="n">
        <v>384</v>
      </c>
      <c r="E387" s="4" t="s">
        <v>205</v>
      </c>
      <c r="F387" s="4" t="n">
        <v>3</v>
      </c>
      <c r="G387" s="4" t="n">
        <v>2</v>
      </c>
      <c r="H387" s="4" t="n">
        <v>103500</v>
      </c>
      <c r="I387" s="13" t="b">
        <f aca="false">TRUE()</f>
        <v>1</v>
      </c>
      <c r="J387" s="4" t="s">
        <v>622</v>
      </c>
      <c r="K387" s="4" t="s">
        <v>623</v>
      </c>
      <c r="L387" s="4" t="n">
        <v>888.54</v>
      </c>
      <c r="M387" s="11" t="n">
        <f aca="false">IFERROR(MATCH(Controls!$B$3&amp;"|"&amp;B387,'Scenario inputs'!$A$4:$A$213,0),0)</f>
        <v>144</v>
      </c>
      <c r="N387" s="8" t="b">
        <f aca="false">IF(M387=0,FALSE(),F387&lt;Controls!$B$12)</f>
        <v>1</v>
      </c>
      <c r="O387" s="11" t="n">
        <f aca="false">IF(N387,IF(INDEX('Scenario inputs'!$E$4:$E$213,M387)=0,1,INDEX('Scenario inputs'!$F$4:$M$213,M387,MIN(MAX(F387-G387,0),INDEX('Scenario inputs'!$E$4:$E$213,M387)-1)+1)),0)</f>
        <v>0.083333</v>
      </c>
      <c r="P387" s="11" t="n">
        <f aca="false">H387*O387</f>
        <v>8624.9655</v>
      </c>
      <c r="Q387" s="11" t="n">
        <f aca="false">IF(M387=0,"",IF(ISNUMBER(INDEX('Scenario inputs'!$N$4:$N$213,M387)),INDEX('Scenario inputs'!$N$4:$N$213,M387),""))</f>
        <v>39.1</v>
      </c>
      <c r="R387" s="0" t="str">
        <f aca="false">IF(NOT(N387),"",IF(OR(E387="cash",E387="revenue"),E387,IF(E387="avoided_cost",IF(AND(I387,LEN(TRIM(J387))&gt;0),"avoided_cost_realised","avoided_cost_beside"),IF(ISNUMBER(Q387),"capacity_converted","capacity_hours"))))</f>
        <v>avoided_cost_realised</v>
      </c>
      <c r="S387" s="11" t="n">
        <f aca="false">IF(OR(R387="",R387="capacity_hours"),0,IF(R387="capacity_converted",P387*Q387,P387))</f>
        <v>8624.9655</v>
      </c>
      <c r="T387" s="11" t="n">
        <f aca="false">IF(OR(R387="cash",R387="revenue",R387="avoided_cost_realised",R387="capacity_converted"),1,0)</f>
        <v>1</v>
      </c>
      <c r="U387" s="11" t="n">
        <f aca="false">IF(AND(N387,R387&lt;&gt;"capacity_hours",LEN(K387)&gt;0),1,0)</f>
        <v>1</v>
      </c>
      <c r="V387" s="11" t="n">
        <f aca="false">IF(U387=1,SUMPRODUCT(($K$4:$K$703=K387)*($F$4:$F$703=F387)*($U$4:$U$703=1)*($B$4:$B$703&lt;&gt;B387)),0)</f>
        <v>0</v>
      </c>
      <c r="W387" s="11" t="n">
        <f aca="false">IF(AND(U387=1,V387&gt;0),1+SUMPRODUCT(($K$4:$K$703=K387)*($F$4:$F$703=F387)*($U$4:$U$703=1)*($S$4:$S$703&gt;S387))+SUMPRODUCT(($K$4:$K$703=K387)*($F$4:$F$703=F387)*($U$4:$U$703=1)*($S$4:$S$703=S387)*($T$4:$T$703&gt;T387))+SUMPRODUCT(($K$4:$K$703=K387)*($F$4:$F$703=F387)*($U$4:$U$703=1)*($S$4:$S$703=S387)*($T$4:$T$703=T387)*($C$4:$C$703&lt;C387))+SUMPRODUCT(($K$4:$K$703=K387)*($F$4:$F$703=F387)*($U$4:$U$703=1)*($S$4:$S$703=S387)*($T$4:$T$703=T387)*($C$4:$C$703=C387)*($D$4:$D$703&lt;D387)),0)</f>
        <v>0</v>
      </c>
      <c r="X387" s="11" t="n">
        <f aca="false">IF(AND(U387=1,V387&gt;0,W387&gt;1),S387,0)</f>
        <v>0</v>
      </c>
      <c r="Y387" s="11" t="n">
        <f aca="false">IF(T387=1,X387/(1+Controls!$B$11)^F387,0)</f>
        <v>0</v>
      </c>
      <c r="Z387" s="11" t="n">
        <f aca="false">IF(AND(N387,E387="capacity",LEN(K387)&gt;0),1,0)</f>
        <v>0</v>
      </c>
      <c r="AA387" s="11" t="n">
        <f aca="false">IF(Z387=1,SUMPRODUCT(($K$4:$K$703=K387)*($F$4:$F$703=F387)*($Z$4:$Z$703=1)*($B$4:$B$703&lt;&gt;B387)),0)</f>
        <v>0</v>
      </c>
      <c r="AB387" s="11" t="n">
        <f aca="false">IF(AND(Z387=1,AA387&gt;0),1+SUMPRODUCT(($K$4:$K$703=K387)*($F$4:$F$703=F387)*($Z$4:$Z$703=1)*($P$4:$P$703&gt;P387))+SUMPRODUCT(($K$4:$K$703=K387)*($F$4:$F$703=F387)*($Z$4:$Z$703=1)*($P$4:$P$703=P387)*($C$4:$C$703&lt;C387))+SUMPRODUCT(($K$4:$K$703=K387)*($F$4:$F$703=F387)*($Z$4:$Z$703=1)*($P$4:$P$703=P387)*($C$4:$C$703=C387)*($D$4:$D$703&lt;D387)),0)</f>
        <v>0</v>
      </c>
      <c r="AC387" s="11" t="n">
        <f aca="false">IF(AND(Z387=1,AA387&gt;0,AB387&gt;1),P387,0)</f>
        <v>0</v>
      </c>
    </row>
    <row r="388" customFormat="false" ht="15" hidden="false" customHeight="false" outlineLevel="0" collapsed="false">
      <c r="A388" s="4" t="s">
        <v>625</v>
      </c>
      <c r="B388" s="4" t="s">
        <v>95</v>
      </c>
      <c r="C388" s="4" t="n">
        <v>13</v>
      </c>
      <c r="D388" s="4" t="n">
        <v>385</v>
      </c>
      <c r="E388" s="4" t="s">
        <v>205</v>
      </c>
      <c r="F388" s="4" t="n">
        <v>4</v>
      </c>
      <c r="G388" s="4" t="n">
        <v>2</v>
      </c>
      <c r="H388" s="4" t="n">
        <v>103500</v>
      </c>
      <c r="I388" s="13" t="b">
        <f aca="false">TRUE()</f>
        <v>1</v>
      </c>
      <c r="J388" s="4" t="s">
        <v>622</v>
      </c>
      <c r="K388" s="4" t="s">
        <v>623</v>
      </c>
      <c r="L388" s="4" t="n">
        <v>1812.29</v>
      </c>
      <c r="M388" s="11" t="n">
        <f aca="false">IFERROR(MATCH(Controls!$B$3&amp;"|"&amp;B388,'Scenario inputs'!$A$4:$A$213,0),0)</f>
        <v>144</v>
      </c>
      <c r="N388" s="8" t="b">
        <f aca="false">IF(M388=0,FALSE(),F388&lt;Controls!$B$12)</f>
        <v>1</v>
      </c>
      <c r="O388" s="11" t="n">
        <f aca="false">IF(N388,IF(INDEX('Scenario inputs'!$E$4:$E$213,M388)=0,1,INDEX('Scenario inputs'!$F$4:$M$213,M388,MIN(MAX(F388-G388,0),INDEX('Scenario inputs'!$E$4:$E$213,M388)-1)+1)),0)</f>
        <v>0.166667</v>
      </c>
      <c r="P388" s="11" t="n">
        <f aca="false">H388*O388</f>
        <v>17250.0345</v>
      </c>
      <c r="Q388" s="11" t="n">
        <f aca="false">IF(M388=0,"",IF(ISNUMBER(INDEX('Scenario inputs'!$N$4:$N$213,M388)),INDEX('Scenario inputs'!$N$4:$N$213,M388),""))</f>
        <v>39.1</v>
      </c>
      <c r="R388" s="0" t="str">
        <f aca="false">IF(NOT(N388),"",IF(OR(E388="cash",E388="revenue"),E388,IF(E388="avoided_cost",IF(AND(I388,LEN(TRIM(J388))&gt;0),"avoided_cost_realised","avoided_cost_beside"),IF(ISNUMBER(Q388),"capacity_converted","capacity_hours"))))</f>
        <v>avoided_cost_realised</v>
      </c>
      <c r="S388" s="11" t="n">
        <f aca="false">IF(OR(R388="",R388="capacity_hours"),0,IF(R388="capacity_converted",P388*Q388,P388))</f>
        <v>17250.0345</v>
      </c>
      <c r="T388" s="11" t="n">
        <f aca="false">IF(OR(R388="cash",R388="revenue",R388="avoided_cost_realised",R388="capacity_converted"),1,0)</f>
        <v>1</v>
      </c>
      <c r="U388" s="11" t="n">
        <f aca="false">IF(AND(N388,R388&lt;&gt;"capacity_hours",LEN(K388)&gt;0),1,0)</f>
        <v>1</v>
      </c>
      <c r="V388" s="11" t="n">
        <f aca="false">IF(U388=1,SUMPRODUCT(($K$4:$K$703=K388)*($F$4:$F$703=F388)*($U$4:$U$703=1)*($B$4:$B$703&lt;&gt;B388)),0)</f>
        <v>0</v>
      </c>
      <c r="W388" s="11" t="n">
        <f aca="false">IF(AND(U388=1,V388&gt;0),1+SUMPRODUCT(($K$4:$K$703=K388)*($F$4:$F$703=F388)*($U$4:$U$703=1)*($S$4:$S$703&gt;S388))+SUMPRODUCT(($K$4:$K$703=K388)*($F$4:$F$703=F388)*($U$4:$U$703=1)*($S$4:$S$703=S388)*($T$4:$T$703&gt;T388))+SUMPRODUCT(($K$4:$K$703=K388)*($F$4:$F$703=F388)*($U$4:$U$703=1)*($S$4:$S$703=S388)*($T$4:$T$703=T388)*($C$4:$C$703&lt;C388))+SUMPRODUCT(($K$4:$K$703=K388)*($F$4:$F$703=F388)*($U$4:$U$703=1)*($S$4:$S$703=S388)*($T$4:$T$703=T388)*($C$4:$C$703=C388)*($D$4:$D$703&lt;D388)),0)</f>
        <v>0</v>
      </c>
      <c r="X388" s="11" t="n">
        <f aca="false">IF(AND(U388=1,V388&gt;0,W388&gt;1),S388,0)</f>
        <v>0</v>
      </c>
      <c r="Y388" s="11" t="n">
        <f aca="false">IF(T388=1,X388/(1+Controls!$B$11)^F388,0)</f>
        <v>0</v>
      </c>
      <c r="Z388" s="11" t="n">
        <f aca="false">IF(AND(N388,E388="capacity",LEN(K388)&gt;0),1,0)</f>
        <v>0</v>
      </c>
      <c r="AA388" s="11" t="n">
        <f aca="false">IF(Z388=1,SUMPRODUCT(($K$4:$K$703=K388)*($F$4:$F$703=F388)*($Z$4:$Z$703=1)*($B$4:$B$703&lt;&gt;B388)),0)</f>
        <v>0</v>
      </c>
      <c r="AB388" s="11" t="n">
        <f aca="false">IF(AND(Z388=1,AA388&gt;0),1+SUMPRODUCT(($K$4:$K$703=K388)*($F$4:$F$703=F388)*($Z$4:$Z$703=1)*($P$4:$P$703&gt;P388))+SUMPRODUCT(($K$4:$K$703=K388)*($F$4:$F$703=F388)*($Z$4:$Z$703=1)*($P$4:$P$703=P388)*($C$4:$C$703&lt;C388))+SUMPRODUCT(($K$4:$K$703=K388)*($F$4:$F$703=F388)*($Z$4:$Z$703=1)*($P$4:$P$703=P388)*($C$4:$C$703=C388)*($D$4:$D$703&lt;D388)),0)</f>
        <v>0</v>
      </c>
      <c r="AC388" s="11" t="n">
        <f aca="false">IF(AND(Z388=1,AA388&gt;0,AB388&gt;1),P388,0)</f>
        <v>0</v>
      </c>
    </row>
    <row r="389" customFormat="false" ht="15" hidden="false" customHeight="false" outlineLevel="0" collapsed="false">
      <c r="A389" s="4" t="s">
        <v>626</v>
      </c>
      <c r="B389" s="4" t="s">
        <v>95</v>
      </c>
      <c r="C389" s="4" t="n">
        <v>13</v>
      </c>
      <c r="D389" s="4" t="n">
        <v>386</v>
      </c>
      <c r="E389" s="4" t="s">
        <v>205</v>
      </c>
      <c r="F389" s="4" t="n">
        <v>5</v>
      </c>
      <c r="G389" s="4" t="n">
        <v>2</v>
      </c>
      <c r="H389" s="4" t="n">
        <v>103500</v>
      </c>
      <c r="I389" s="13" t="b">
        <f aca="false">TRUE()</f>
        <v>1</v>
      </c>
      <c r="J389" s="4" t="s">
        <v>622</v>
      </c>
      <c r="K389" s="4" t="s">
        <v>623</v>
      </c>
      <c r="L389" s="4" t="n">
        <v>2815.2</v>
      </c>
      <c r="M389" s="11" t="n">
        <f aca="false">IFERROR(MATCH(Controls!$B$3&amp;"|"&amp;B389,'Scenario inputs'!$A$4:$A$213,0),0)</f>
        <v>144</v>
      </c>
      <c r="N389" s="8" t="b">
        <f aca="false">IF(M389=0,FALSE(),F389&lt;Controls!$B$12)</f>
        <v>1</v>
      </c>
      <c r="O389" s="11" t="n">
        <f aca="false">IF(N389,IF(INDEX('Scenario inputs'!$E$4:$E$213,M389)=0,1,INDEX('Scenario inputs'!$F$4:$M$213,M389,MIN(MAX(F389-G389,0),INDEX('Scenario inputs'!$E$4:$E$213,M389)-1)+1)),0)</f>
        <v>0.277778</v>
      </c>
      <c r="P389" s="11" t="n">
        <f aca="false">H389*O389</f>
        <v>28750.023</v>
      </c>
      <c r="Q389" s="11" t="n">
        <f aca="false">IF(M389=0,"",IF(ISNUMBER(INDEX('Scenario inputs'!$N$4:$N$213,M389)),INDEX('Scenario inputs'!$N$4:$N$213,M389),""))</f>
        <v>39.1</v>
      </c>
      <c r="R389" s="0" t="str">
        <f aca="false">IF(NOT(N389),"",IF(OR(E389="cash",E389="revenue"),E389,IF(E389="avoided_cost",IF(AND(I389,LEN(TRIM(J389))&gt;0),"avoided_cost_realised","avoided_cost_beside"),IF(ISNUMBER(Q389),"capacity_converted","capacity_hours"))))</f>
        <v>avoided_cost_realised</v>
      </c>
      <c r="S389" s="11" t="n">
        <f aca="false">IF(OR(R389="",R389="capacity_hours"),0,IF(R389="capacity_converted",P389*Q389,P389))</f>
        <v>28750.023</v>
      </c>
      <c r="T389" s="11" t="n">
        <f aca="false">IF(OR(R389="cash",R389="revenue",R389="avoided_cost_realised",R389="capacity_converted"),1,0)</f>
        <v>1</v>
      </c>
      <c r="U389" s="11" t="n">
        <f aca="false">IF(AND(N389,R389&lt;&gt;"capacity_hours",LEN(K389)&gt;0),1,0)</f>
        <v>1</v>
      </c>
      <c r="V389" s="11" t="n">
        <f aca="false">IF(U389=1,SUMPRODUCT(($K$4:$K$703=K389)*($F$4:$F$703=F389)*($U$4:$U$703=1)*($B$4:$B$703&lt;&gt;B389)),0)</f>
        <v>0</v>
      </c>
      <c r="W389" s="11" t="n">
        <f aca="false">IF(AND(U389=1,V389&gt;0),1+SUMPRODUCT(($K$4:$K$703=K389)*($F$4:$F$703=F389)*($U$4:$U$703=1)*($S$4:$S$703&gt;S389))+SUMPRODUCT(($K$4:$K$703=K389)*($F$4:$F$703=F389)*($U$4:$U$703=1)*($S$4:$S$703=S389)*($T$4:$T$703&gt;T389))+SUMPRODUCT(($K$4:$K$703=K389)*($F$4:$F$703=F389)*($U$4:$U$703=1)*($S$4:$S$703=S389)*($T$4:$T$703=T389)*($C$4:$C$703&lt;C389))+SUMPRODUCT(($K$4:$K$703=K389)*($F$4:$F$703=F389)*($U$4:$U$703=1)*($S$4:$S$703=S389)*($T$4:$T$703=T389)*($C$4:$C$703=C389)*($D$4:$D$703&lt;D389)),0)</f>
        <v>0</v>
      </c>
      <c r="X389" s="11" t="n">
        <f aca="false">IF(AND(U389=1,V389&gt;0,W389&gt;1),S389,0)</f>
        <v>0</v>
      </c>
      <c r="Y389" s="11" t="n">
        <f aca="false">IF(T389=1,X389/(1+Controls!$B$11)^F389,0)</f>
        <v>0</v>
      </c>
      <c r="Z389" s="11" t="n">
        <f aca="false">IF(AND(N389,E389="capacity",LEN(K389)&gt;0),1,0)</f>
        <v>0</v>
      </c>
      <c r="AA389" s="11" t="n">
        <f aca="false">IF(Z389=1,SUMPRODUCT(($K$4:$K$703=K389)*($F$4:$F$703=F389)*($Z$4:$Z$703=1)*($B$4:$B$703&lt;&gt;B389)),0)</f>
        <v>0</v>
      </c>
      <c r="AB389" s="11" t="n">
        <f aca="false">IF(AND(Z389=1,AA389&gt;0),1+SUMPRODUCT(($K$4:$K$703=K389)*($F$4:$F$703=F389)*($Z$4:$Z$703=1)*($P$4:$P$703&gt;P389))+SUMPRODUCT(($K$4:$K$703=K389)*($F$4:$F$703=F389)*($Z$4:$Z$703=1)*($P$4:$P$703=P389)*($C$4:$C$703&lt;C389))+SUMPRODUCT(($K$4:$K$703=K389)*($F$4:$F$703=F389)*($Z$4:$Z$703=1)*($P$4:$P$703=P389)*($C$4:$C$703=C389)*($D$4:$D$703&lt;D389)),0)</f>
        <v>0</v>
      </c>
      <c r="AC389" s="11" t="n">
        <f aca="false">IF(AND(Z389=1,AA389&gt;0,AB389&gt;1),P389,0)</f>
        <v>0</v>
      </c>
    </row>
    <row r="390" customFormat="false" ht="15" hidden="false" customHeight="false" outlineLevel="0" collapsed="false">
      <c r="A390" s="4" t="s">
        <v>627</v>
      </c>
      <c r="B390" s="4" t="s">
        <v>95</v>
      </c>
      <c r="C390" s="4" t="n">
        <v>13</v>
      </c>
      <c r="D390" s="4" t="n">
        <v>387</v>
      </c>
      <c r="E390" s="4" t="s">
        <v>205</v>
      </c>
      <c r="F390" s="4" t="n">
        <v>6</v>
      </c>
      <c r="G390" s="4" t="n">
        <v>2</v>
      </c>
      <c r="H390" s="4" t="n">
        <v>103500</v>
      </c>
      <c r="I390" s="13" t="b">
        <f aca="false">TRUE()</f>
        <v>1</v>
      </c>
      <c r="J390" s="4" t="s">
        <v>622</v>
      </c>
      <c r="K390" s="4" t="s">
        <v>623</v>
      </c>
      <c r="L390" s="4" t="n">
        <v>4266.79</v>
      </c>
      <c r="M390" s="11" t="n">
        <f aca="false">IFERROR(MATCH(Controls!$B$3&amp;"|"&amp;B390,'Scenario inputs'!$A$4:$A$213,0),0)</f>
        <v>144</v>
      </c>
      <c r="N390" s="8" t="b">
        <f aca="false">IF(M390=0,FALSE(),F390&lt;Controls!$B$12)</f>
        <v>1</v>
      </c>
      <c r="O390" s="11" t="n">
        <f aca="false">IF(N390,IF(INDEX('Scenario inputs'!$E$4:$E$213,M390)=0,1,INDEX('Scenario inputs'!$F$4:$M$213,M390,MIN(MAX(F390-G390,0),INDEX('Scenario inputs'!$E$4:$E$213,M390)-1)+1)),0)</f>
        <v>0.416667</v>
      </c>
      <c r="P390" s="11" t="n">
        <f aca="false">H390*O390</f>
        <v>43125.0345</v>
      </c>
      <c r="Q390" s="11" t="n">
        <f aca="false">IF(M390=0,"",IF(ISNUMBER(INDEX('Scenario inputs'!$N$4:$N$213,M390)),INDEX('Scenario inputs'!$N$4:$N$213,M390),""))</f>
        <v>39.1</v>
      </c>
      <c r="R390" s="0" t="str">
        <f aca="false">IF(NOT(N390),"",IF(OR(E390="cash",E390="revenue"),E390,IF(E390="avoided_cost",IF(AND(I390,LEN(TRIM(J390))&gt;0),"avoided_cost_realised","avoided_cost_beside"),IF(ISNUMBER(Q390),"capacity_converted","capacity_hours"))))</f>
        <v>avoided_cost_realised</v>
      </c>
      <c r="S390" s="11" t="n">
        <f aca="false">IF(OR(R390="",R390="capacity_hours"),0,IF(R390="capacity_converted",P390*Q390,P390))</f>
        <v>43125.0345</v>
      </c>
      <c r="T390" s="11" t="n">
        <f aca="false">IF(OR(R390="cash",R390="revenue",R390="avoided_cost_realised",R390="capacity_converted"),1,0)</f>
        <v>1</v>
      </c>
      <c r="U390" s="11" t="n">
        <f aca="false">IF(AND(N390,R390&lt;&gt;"capacity_hours",LEN(K390)&gt;0),1,0)</f>
        <v>1</v>
      </c>
      <c r="V390" s="11" t="n">
        <f aca="false">IF(U390=1,SUMPRODUCT(($K$4:$K$703=K390)*($F$4:$F$703=F390)*($U$4:$U$703=1)*($B$4:$B$703&lt;&gt;B390)),0)</f>
        <v>0</v>
      </c>
      <c r="W390" s="11" t="n">
        <f aca="false">IF(AND(U390=1,V390&gt;0),1+SUMPRODUCT(($K$4:$K$703=K390)*($F$4:$F$703=F390)*($U$4:$U$703=1)*($S$4:$S$703&gt;S390))+SUMPRODUCT(($K$4:$K$703=K390)*($F$4:$F$703=F390)*($U$4:$U$703=1)*($S$4:$S$703=S390)*($T$4:$T$703&gt;T390))+SUMPRODUCT(($K$4:$K$703=K390)*($F$4:$F$703=F390)*($U$4:$U$703=1)*($S$4:$S$703=S390)*($T$4:$T$703=T390)*($C$4:$C$703&lt;C390))+SUMPRODUCT(($K$4:$K$703=K390)*($F$4:$F$703=F390)*($U$4:$U$703=1)*($S$4:$S$703=S390)*($T$4:$T$703=T390)*($C$4:$C$703=C390)*($D$4:$D$703&lt;D390)),0)</f>
        <v>0</v>
      </c>
      <c r="X390" s="11" t="n">
        <f aca="false">IF(AND(U390=1,V390&gt;0,W390&gt;1),S390,0)</f>
        <v>0</v>
      </c>
      <c r="Y390" s="11" t="n">
        <f aca="false">IF(T390=1,X390/(1+Controls!$B$11)^F390,0)</f>
        <v>0</v>
      </c>
      <c r="Z390" s="11" t="n">
        <f aca="false">IF(AND(N390,E390="capacity",LEN(K390)&gt;0),1,0)</f>
        <v>0</v>
      </c>
      <c r="AA390" s="11" t="n">
        <f aca="false">IF(Z390=1,SUMPRODUCT(($K$4:$K$703=K390)*($F$4:$F$703=F390)*($Z$4:$Z$703=1)*($B$4:$B$703&lt;&gt;B390)),0)</f>
        <v>0</v>
      </c>
      <c r="AB390" s="11" t="n">
        <f aca="false">IF(AND(Z390=1,AA390&gt;0),1+SUMPRODUCT(($K$4:$K$703=K390)*($F$4:$F$703=F390)*($Z$4:$Z$703=1)*($P$4:$P$703&gt;P390))+SUMPRODUCT(($K$4:$K$703=K390)*($F$4:$F$703=F390)*($Z$4:$Z$703=1)*($P$4:$P$703=P390)*($C$4:$C$703&lt;C390))+SUMPRODUCT(($K$4:$K$703=K390)*($F$4:$F$703=F390)*($Z$4:$Z$703=1)*($P$4:$P$703=P390)*($C$4:$C$703=C390)*($D$4:$D$703&lt;D390)),0)</f>
        <v>0</v>
      </c>
      <c r="AC390" s="11" t="n">
        <f aca="false">IF(AND(Z390=1,AA390&gt;0,AB390&gt;1),P390,0)</f>
        <v>0</v>
      </c>
    </row>
    <row r="391" customFormat="false" ht="15" hidden="false" customHeight="false" outlineLevel="0" collapsed="false">
      <c r="A391" s="4" t="s">
        <v>628</v>
      </c>
      <c r="B391" s="4" t="s">
        <v>95</v>
      </c>
      <c r="C391" s="4" t="n">
        <v>13</v>
      </c>
      <c r="D391" s="4" t="n">
        <v>388</v>
      </c>
      <c r="E391" s="4" t="s">
        <v>205</v>
      </c>
      <c r="F391" s="4" t="n">
        <v>7</v>
      </c>
      <c r="G391" s="4" t="n">
        <v>2</v>
      </c>
      <c r="H391" s="4" t="n">
        <v>103500</v>
      </c>
      <c r="I391" s="13" t="b">
        <f aca="false">TRUE()</f>
        <v>1</v>
      </c>
      <c r="J391" s="4" t="s">
        <v>622</v>
      </c>
      <c r="K391" s="4" t="s">
        <v>623</v>
      </c>
      <c r="L391" s="4" t="n">
        <v>6035.08</v>
      </c>
      <c r="M391" s="11" t="n">
        <f aca="false">IFERROR(MATCH(Controls!$B$3&amp;"|"&amp;B391,'Scenario inputs'!$A$4:$A$213,0),0)</f>
        <v>144</v>
      </c>
      <c r="N391" s="8" t="b">
        <f aca="false">IF(M391=0,FALSE(),F391&lt;Controls!$B$12)</f>
        <v>1</v>
      </c>
      <c r="O391" s="11" t="n">
        <f aca="false">IF(N391,IF(INDEX('Scenario inputs'!$E$4:$E$213,M391)=0,1,INDEX('Scenario inputs'!$F$4:$M$213,M391,MIN(MAX(F391-G391,0),INDEX('Scenario inputs'!$E$4:$E$213,M391)-1)+1)),0)</f>
        <v>0.583333</v>
      </c>
      <c r="P391" s="11" t="n">
        <f aca="false">H391*O391</f>
        <v>60374.9655</v>
      </c>
      <c r="Q391" s="11" t="n">
        <f aca="false">IF(M391=0,"",IF(ISNUMBER(INDEX('Scenario inputs'!$N$4:$N$213,M391)),INDEX('Scenario inputs'!$N$4:$N$213,M391),""))</f>
        <v>39.1</v>
      </c>
      <c r="R391" s="0" t="str">
        <f aca="false">IF(NOT(N391),"",IF(OR(E391="cash",E391="revenue"),E391,IF(E391="avoided_cost",IF(AND(I391,LEN(TRIM(J391))&gt;0),"avoided_cost_realised","avoided_cost_beside"),IF(ISNUMBER(Q391),"capacity_converted","capacity_hours"))))</f>
        <v>avoided_cost_realised</v>
      </c>
      <c r="S391" s="11" t="n">
        <f aca="false">IF(OR(R391="",R391="capacity_hours"),0,IF(R391="capacity_converted",P391*Q391,P391))</f>
        <v>60374.9655</v>
      </c>
      <c r="T391" s="11" t="n">
        <f aca="false">IF(OR(R391="cash",R391="revenue",R391="avoided_cost_realised",R391="capacity_converted"),1,0)</f>
        <v>1</v>
      </c>
      <c r="U391" s="11" t="n">
        <f aca="false">IF(AND(N391,R391&lt;&gt;"capacity_hours",LEN(K391)&gt;0),1,0)</f>
        <v>1</v>
      </c>
      <c r="V391" s="11" t="n">
        <f aca="false">IF(U391=1,SUMPRODUCT(($K$4:$K$703=K391)*($F$4:$F$703=F391)*($U$4:$U$703=1)*($B$4:$B$703&lt;&gt;B391)),0)</f>
        <v>0</v>
      </c>
      <c r="W391" s="11" t="n">
        <f aca="false">IF(AND(U391=1,V391&gt;0),1+SUMPRODUCT(($K$4:$K$703=K391)*($F$4:$F$703=F391)*($U$4:$U$703=1)*($S$4:$S$703&gt;S391))+SUMPRODUCT(($K$4:$K$703=K391)*($F$4:$F$703=F391)*($U$4:$U$703=1)*($S$4:$S$703=S391)*($T$4:$T$703&gt;T391))+SUMPRODUCT(($K$4:$K$703=K391)*($F$4:$F$703=F391)*($U$4:$U$703=1)*($S$4:$S$703=S391)*($T$4:$T$703=T391)*($C$4:$C$703&lt;C391))+SUMPRODUCT(($K$4:$K$703=K391)*($F$4:$F$703=F391)*($U$4:$U$703=1)*($S$4:$S$703=S391)*($T$4:$T$703=T391)*($C$4:$C$703=C391)*($D$4:$D$703&lt;D391)),0)</f>
        <v>0</v>
      </c>
      <c r="X391" s="11" t="n">
        <f aca="false">IF(AND(U391=1,V391&gt;0,W391&gt;1),S391,0)</f>
        <v>0</v>
      </c>
      <c r="Y391" s="11" t="n">
        <f aca="false">IF(T391=1,X391/(1+Controls!$B$11)^F391,0)</f>
        <v>0</v>
      </c>
      <c r="Z391" s="11" t="n">
        <f aca="false">IF(AND(N391,E391="capacity",LEN(K391)&gt;0),1,0)</f>
        <v>0</v>
      </c>
      <c r="AA391" s="11" t="n">
        <f aca="false">IF(Z391=1,SUMPRODUCT(($K$4:$K$703=K391)*($F$4:$F$703=F391)*($Z$4:$Z$703=1)*($B$4:$B$703&lt;&gt;B391)),0)</f>
        <v>0</v>
      </c>
      <c r="AB391" s="11" t="n">
        <f aca="false">IF(AND(Z391=1,AA391&gt;0),1+SUMPRODUCT(($K$4:$K$703=K391)*($F$4:$F$703=F391)*($Z$4:$Z$703=1)*($P$4:$P$703&gt;P391))+SUMPRODUCT(($K$4:$K$703=K391)*($F$4:$F$703=F391)*($Z$4:$Z$703=1)*($P$4:$P$703=P391)*($C$4:$C$703&lt;C391))+SUMPRODUCT(($K$4:$K$703=K391)*($F$4:$F$703=F391)*($Z$4:$Z$703=1)*($P$4:$P$703=P391)*($C$4:$C$703=C391)*($D$4:$D$703&lt;D391)),0)</f>
        <v>0</v>
      </c>
      <c r="AC391" s="11" t="n">
        <f aca="false">IF(AND(Z391=1,AA391&gt;0,AB391&gt;1),P391,0)</f>
        <v>0</v>
      </c>
    </row>
    <row r="392" customFormat="false" ht="15" hidden="false" customHeight="false" outlineLevel="0" collapsed="false">
      <c r="A392" s="4" t="s">
        <v>629</v>
      </c>
      <c r="B392" s="4" t="s">
        <v>95</v>
      </c>
      <c r="C392" s="4" t="n">
        <v>13</v>
      </c>
      <c r="D392" s="4" t="n">
        <v>389</v>
      </c>
      <c r="E392" s="4" t="s">
        <v>205</v>
      </c>
      <c r="F392" s="4" t="n">
        <v>8</v>
      </c>
      <c r="G392" s="4" t="n">
        <v>2</v>
      </c>
      <c r="H392" s="4" t="n">
        <v>103500</v>
      </c>
      <c r="I392" s="13" t="b">
        <f aca="false">TRUE()</f>
        <v>1</v>
      </c>
      <c r="J392" s="4" t="s">
        <v>622</v>
      </c>
      <c r="K392" s="4" t="s">
        <v>623</v>
      </c>
      <c r="L392" s="4" t="n">
        <v>8293.11</v>
      </c>
      <c r="M392" s="11" t="n">
        <f aca="false">IFERROR(MATCH(Controls!$B$3&amp;"|"&amp;B392,'Scenario inputs'!$A$4:$A$213,0),0)</f>
        <v>144</v>
      </c>
      <c r="N392" s="8" t="b">
        <f aca="false">IF(M392=0,FALSE(),F392&lt;Controls!$B$12)</f>
        <v>1</v>
      </c>
      <c r="O392" s="11" t="n">
        <f aca="false">IF(N392,IF(INDEX('Scenario inputs'!$E$4:$E$213,M392)=0,1,INDEX('Scenario inputs'!$F$4:$M$213,M392,MIN(MAX(F392-G392,0),INDEX('Scenario inputs'!$E$4:$E$213,M392)-1)+1)),0)</f>
        <v>0.777778</v>
      </c>
      <c r="P392" s="11" t="n">
        <f aca="false">H392*O392</f>
        <v>80500.023</v>
      </c>
      <c r="Q392" s="11" t="n">
        <f aca="false">IF(M392=0,"",IF(ISNUMBER(INDEX('Scenario inputs'!$N$4:$N$213,M392)),INDEX('Scenario inputs'!$N$4:$N$213,M392),""))</f>
        <v>39.1</v>
      </c>
      <c r="R392" s="0" t="str">
        <f aca="false">IF(NOT(N392),"",IF(OR(E392="cash",E392="revenue"),E392,IF(E392="avoided_cost",IF(AND(I392,LEN(TRIM(J392))&gt;0),"avoided_cost_realised","avoided_cost_beside"),IF(ISNUMBER(Q392),"capacity_converted","capacity_hours"))))</f>
        <v>avoided_cost_realised</v>
      </c>
      <c r="S392" s="11" t="n">
        <f aca="false">IF(OR(R392="",R392="capacity_hours"),0,IF(R392="capacity_converted",P392*Q392,P392))</f>
        <v>80500.023</v>
      </c>
      <c r="T392" s="11" t="n">
        <f aca="false">IF(OR(R392="cash",R392="revenue",R392="avoided_cost_realised",R392="capacity_converted"),1,0)</f>
        <v>1</v>
      </c>
      <c r="U392" s="11" t="n">
        <f aca="false">IF(AND(N392,R392&lt;&gt;"capacity_hours",LEN(K392)&gt;0),1,0)</f>
        <v>1</v>
      </c>
      <c r="V392" s="11" t="n">
        <f aca="false">IF(U392=1,SUMPRODUCT(($K$4:$K$703=K392)*($F$4:$F$703=F392)*($U$4:$U$703=1)*($B$4:$B$703&lt;&gt;B392)),0)</f>
        <v>0</v>
      </c>
      <c r="W392" s="11" t="n">
        <f aca="false">IF(AND(U392=1,V392&gt;0),1+SUMPRODUCT(($K$4:$K$703=K392)*($F$4:$F$703=F392)*($U$4:$U$703=1)*($S$4:$S$703&gt;S392))+SUMPRODUCT(($K$4:$K$703=K392)*($F$4:$F$703=F392)*($U$4:$U$703=1)*($S$4:$S$703=S392)*($T$4:$T$703&gt;T392))+SUMPRODUCT(($K$4:$K$703=K392)*($F$4:$F$703=F392)*($U$4:$U$703=1)*($S$4:$S$703=S392)*($T$4:$T$703=T392)*($C$4:$C$703&lt;C392))+SUMPRODUCT(($K$4:$K$703=K392)*($F$4:$F$703=F392)*($U$4:$U$703=1)*($S$4:$S$703=S392)*($T$4:$T$703=T392)*($C$4:$C$703=C392)*($D$4:$D$703&lt;D392)),0)</f>
        <v>0</v>
      </c>
      <c r="X392" s="11" t="n">
        <f aca="false">IF(AND(U392=1,V392&gt;0,W392&gt;1),S392,0)</f>
        <v>0</v>
      </c>
      <c r="Y392" s="11" t="n">
        <f aca="false">IF(T392=1,X392/(1+Controls!$B$11)^F392,0)</f>
        <v>0</v>
      </c>
      <c r="Z392" s="11" t="n">
        <f aca="false">IF(AND(N392,E392="capacity",LEN(K392)&gt;0),1,0)</f>
        <v>0</v>
      </c>
      <c r="AA392" s="11" t="n">
        <f aca="false">IF(Z392=1,SUMPRODUCT(($K$4:$K$703=K392)*($F$4:$F$703=F392)*($Z$4:$Z$703=1)*($B$4:$B$703&lt;&gt;B392)),0)</f>
        <v>0</v>
      </c>
      <c r="AB392" s="11" t="n">
        <f aca="false">IF(AND(Z392=1,AA392&gt;0),1+SUMPRODUCT(($K$4:$K$703=K392)*($F$4:$F$703=F392)*($Z$4:$Z$703=1)*($P$4:$P$703&gt;P392))+SUMPRODUCT(($K$4:$K$703=K392)*($F$4:$F$703=F392)*($Z$4:$Z$703=1)*($P$4:$P$703=P392)*($C$4:$C$703&lt;C392))+SUMPRODUCT(($K$4:$K$703=K392)*($F$4:$F$703=F392)*($Z$4:$Z$703=1)*($P$4:$P$703=P392)*($C$4:$C$703=C392)*($D$4:$D$703&lt;D392)),0)</f>
        <v>0</v>
      </c>
      <c r="AC392" s="11" t="n">
        <f aca="false">IF(AND(Z392=1,AA392&gt;0,AB392&gt;1),P392,0)</f>
        <v>0</v>
      </c>
    </row>
    <row r="393" customFormat="false" ht="15" hidden="false" customHeight="false" outlineLevel="0" collapsed="false">
      <c r="A393" s="4" t="s">
        <v>630</v>
      </c>
      <c r="B393" s="4" t="s">
        <v>95</v>
      </c>
      <c r="C393" s="4" t="n">
        <v>13</v>
      </c>
      <c r="D393" s="4" t="n">
        <v>390</v>
      </c>
      <c r="E393" s="4" t="s">
        <v>205</v>
      </c>
      <c r="F393" s="4" t="n">
        <v>9</v>
      </c>
      <c r="G393" s="4" t="n">
        <v>2</v>
      </c>
      <c r="H393" s="4" t="n">
        <v>103500</v>
      </c>
      <c r="I393" s="13" t="b">
        <f aca="false">TRUE()</f>
        <v>1</v>
      </c>
      <c r="J393" s="4" t="s">
        <v>622</v>
      </c>
      <c r="K393" s="4" t="s">
        <v>623</v>
      </c>
      <c r="L393" s="4" t="n">
        <v>10557</v>
      </c>
      <c r="M393" s="11" t="n">
        <f aca="false">IFERROR(MATCH(Controls!$B$3&amp;"|"&amp;B393,'Scenario inputs'!$A$4:$A$213,0),0)</f>
        <v>144</v>
      </c>
      <c r="N393" s="8" t="b">
        <f aca="false">IF(M393=0,FALSE(),F393&lt;Controls!$B$12)</f>
        <v>1</v>
      </c>
      <c r="O393" s="11" t="n">
        <f aca="false">IF(N393,IF(INDEX('Scenario inputs'!$E$4:$E$213,M393)=0,1,INDEX('Scenario inputs'!$F$4:$M$213,M393,MIN(MAX(F393-G393,0),INDEX('Scenario inputs'!$E$4:$E$213,M393)-1)+1)),0)</f>
        <v>1</v>
      </c>
      <c r="P393" s="11" t="n">
        <f aca="false">H393*O393</f>
        <v>103500</v>
      </c>
      <c r="Q393" s="11" t="n">
        <f aca="false">IF(M393=0,"",IF(ISNUMBER(INDEX('Scenario inputs'!$N$4:$N$213,M393)),INDEX('Scenario inputs'!$N$4:$N$213,M393),""))</f>
        <v>39.1</v>
      </c>
      <c r="R393" s="0" t="str">
        <f aca="false">IF(NOT(N393),"",IF(OR(E393="cash",E393="revenue"),E393,IF(E393="avoided_cost",IF(AND(I393,LEN(TRIM(J393))&gt;0),"avoided_cost_realised","avoided_cost_beside"),IF(ISNUMBER(Q393),"capacity_converted","capacity_hours"))))</f>
        <v>avoided_cost_realised</v>
      </c>
      <c r="S393" s="11" t="n">
        <f aca="false">IF(OR(R393="",R393="capacity_hours"),0,IF(R393="capacity_converted",P393*Q393,P393))</f>
        <v>103500</v>
      </c>
      <c r="T393" s="11" t="n">
        <f aca="false">IF(OR(R393="cash",R393="revenue",R393="avoided_cost_realised",R393="capacity_converted"),1,0)</f>
        <v>1</v>
      </c>
      <c r="U393" s="11" t="n">
        <f aca="false">IF(AND(N393,R393&lt;&gt;"capacity_hours",LEN(K393)&gt;0),1,0)</f>
        <v>1</v>
      </c>
      <c r="V393" s="11" t="n">
        <f aca="false">IF(U393=1,SUMPRODUCT(($K$4:$K$703=K393)*($F$4:$F$703=F393)*($U$4:$U$703=1)*($B$4:$B$703&lt;&gt;B393)),0)</f>
        <v>0</v>
      </c>
      <c r="W393" s="11" t="n">
        <f aca="false">IF(AND(U393=1,V393&gt;0),1+SUMPRODUCT(($K$4:$K$703=K393)*($F$4:$F$703=F393)*($U$4:$U$703=1)*($S$4:$S$703&gt;S393))+SUMPRODUCT(($K$4:$K$703=K393)*($F$4:$F$703=F393)*($U$4:$U$703=1)*($S$4:$S$703=S393)*($T$4:$T$703&gt;T393))+SUMPRODUCT(($K$4:$K$703=K393)*($F$4:$F$703=F393)*($U$4:$U$703=1)*($S$4:$S$703=S393)*($T$4:$T$703=T393)*($C$4:$C$703&lt;C393))+SUMPRODUCT(($K$4:$K$703=K393)*($F$4:$F$703=F393)*($U$4:$U$703=1)*($S$4:$S$703=S393)*($T$4:$T$703=T393)*($C$4:$C$703=C393)*($D$4:$D$703&lt;D393)),0)</f>
        <v>0</v>
      </c>
      <c r="X393" s="11" t="n">
        <f aca="false">IF(AND(U393=1,V393&gt;0,W393&gt;1),S393,0)</f>
        <v>0</v>
      </c>
      <c r="Y393" s="11" t="n">
        <f aca="false">IF(T393=1,X393/(1+Controls!$B$11)^F393,0)</f>
        <v>0</v>
      </c>
      <c r="Z393" s="11" t="n">
        <f aca="false">IF(AND(N393,E393="capacity",LEN(K393)&gt;0),1,0)</f>
        <v>0</v>
      </c>
      <c r="AA393" s="11" t="n">
        <f aca="false">IF(Z393=1,SUMPRODUCT(($K$4:$K$703=K393)*($F$4:$F$703=F393)*($Z$4:$Z$703=1)*($B$4:$B$703&lt;&gt;B393)),0)</f>
        <v>0</v>
      </c>
      <c r="AB393" s="11" t="n">
        <f aca="false">IF(AND(Z393=1,AA393&gt;0),1+SUMPRODUCT(($K$4:$K$703=K393)*($F$4:$F$703=F393)*($Z$4:$Z$703=1)*($P$4:$P$703&gt;P393))+SUMPRODUCT(($K$4:$K$703=K393)*($F$4:$F$703=F393)*($Z$4:$Z$703=1)*($P$4:$P$703=P393)*($C$4:$C$703&lt;C393))+SUMPRODUCT(($K$4:$K$703=K393)*($F$4:$F$703=F393)*($Z$4:$Z$703=1)*($P$4:$P$703=P393)*($C$4:$C$703=C393)*($D$4:$D$703&lt;D393)),0)</f>
        <v>0</v>
      </c>
      <c r="AC393" s="11" t="n">
        <f aca="false">IF(AND(Z393=1,AA393&gt;0,AB393&gt;1),P393,0)</f>
        <v>0</v>
      </c>
    </row>
    <row r="394" customFormat="false" ht="15" hidden="false" customHeight="false" outlineLevel="0" collapsed="false">
      <c r="A394" s="4" t="s">
        <v>631</v>
      </c>
      <c r="B394" s="4" t="s">
        <v>95</v>
      </c>
      <c r="C394" s="4" t="n">
        <v>13</v>
      </c>
      <c r="D394" s="4" t="n">
        <v>391</v>
      </c>
      <c r="E394" s="4" t="s">
        <v>205</v>
      </c>
      <c r="F394" s="4" t="n">
        <v>10</v>
      </c>
      <c r="G394" s="4" t="n">
        <v>2</v>
      </c>
      <c r="H394" s="4" t="n">
        <v>103500</v>
      </c>
      <c r="I394" s="13" t="b">
        <f aca="false">TRUE()</f>
        <v>1</v>
      </c>
      <c r="J394" s="4" t="s">
        <v>622</v>
      </c>
      <c r="K394" s="4" t="s">
        <v>623</v>
      </c>
      <c r="L394" s="4" t="n">
        <v>10557</v>
      </c>
      <c r="M394" s="11" t="n">
        <f aca="false">IFERROR(MATCH(Controls!$B$3&amp;"|"&amp;B394,'Scenario inputs'!$A$4:$A$213,0),0)</f>
        <v>144</v>
      </c>
      <c r="N394" s="8" t="b">
        <f aca="false">IF(M394=0,FALSE(),F394&lt;Controls!$B$12)</f>
        <v>1</v>
      </c>
      <c r="O394" s="11" t="n">
        <f aca="false">IF(N394,IF(INDEX('Scenario inputs'!$E$4:$E$213,M394)=0,1,INDEX('Scenario inputs'!$F$4:$M$213,M394,MIN(MAX(F394-G394,0),INDEX('Scenario inputs'!$E$4:$E$213,M394)-1)+1)),0)</f>
        <v>1</v>
      </c>
      <c r="P394" s="11" t="n">
        <f aca="false">H394*O394</f>
        <v>103500</v>
      </c>
      <c r="Q394" s="11" t="n">
        <f aca="false">IF(M394=0,"",IF(ISNUMBER(INDEX('Scenario inputs'!$N$4:$N$213,M394)),INDEX('Scenario inputs'!$N$4:$N$213,M394),""))</f>
        <v>39.1</v>
      </c>
      <c r="R394" s="0" t="str">
        <f aca="false">IF(NOT(N394),"",IF(OR(E394="cash",E394="revenue"),E394,IF(E394="avoided_cost",IF(AND(I394,LEN(TRIM(J394))&gt;0),"avoided_cost_realised","avoided_cost_beside"),IF(ISNUMBER(Q394),"capacity_converted","capacity_hours"))))</f>
        <v>avoided_cost_realised</v>
      </c>
      <c r="S394" s="11" t="n">
        <f aca="false">IF(OR(R394="",R394="capacity_hours"),0,IF(R394="capacity_converted",P394*Q394,P394))</f>
        <v>103500</v>
      </c>
      <c r="T394" s="11" t="n">
        <f aca="false">IF(OR(R394="cash",R394="revenue",R394="avoided_cost_realised",R394="capacity_converted"),1,0)</f>
        <v>1</v>
      </c>
      <c r="U394" s="11" t="n">
        <f aca="false">IF(AND(N394,R394&lt;&gt;"capacity_hours",LEN(K394)&gt;0),1,0)</f>
        <v>1</v>
      </c>
      <c r="V394" s="11" t="n">
        <f aca="false">IF(U394=1,SUMPRODUCT(($K$4:$K$703=K394)*($F$4:$F$703=F394)*($U$4:$U$703=1)*($B$4:$B$703&lt;&gt;B394)),0)</f>
        <v>0</v>
      </c>
      <c r="W394" s="11" t="n">
        <f aca="false">IF(AND(U394=1,V394&gt;0),1+SUMPRODUCT(($K$4:$K$703=K394)*($F$4:$F$703=F394)*($U$4:$U$703=1)*($S$4:$S$703&gt;S394))+SUMPRODUCT(($K$4:$K$703=K394)*($F$4:$F$703=F394)*($U$4:$U$703=1)*($S$4:$S$703=S394)*($T$4:$T$703&gt;T394))+SUMPRODUCT(($K$4:$K$703=K394)*($F$4:$F$703=F394)*($U$4:$U$703=1)*($S$4:$S$703=S394)*($T$4:$T$703=T394)*($C$4:$C$703&lt;C394))+SUMPRODUCT(($K$4:$K$703=K394)*($F$4:$F$703=F394)*($U$4:$U$703=1)*($S$4:$S$703=S394)*($T$4:$T$703=T394)*($C$4:$C$703=C394)*($D$4:$D$703&lt;D394)),0)</f>
        <v>0</v>
      </c>
      <c r="X394" s="11" t="n">
        <f aca="false">IF(AND(U394=1,V394&gt;0,W394&gt;1),S394,0)</f>
        <v>0</v>
      </c>
      <c r="Y394" s="11" t="n">
        <f aca="false">IF(T394=1,X394/(1+Controls!$B$11)^F394,0)</f>
        <v>0</v>
      </c>
      <c r="Z394" s="11" t="n">
        <f aca="false">IF(AND(N394,E394="capacity",LEN(K394)&gt;0),1,0)</f>
        <v>0</v>
      </c>
      <c r="AA394" s="11" t="n">
        <f aca="false">IF(Z394=1,SUMPRODUCT(($K$4:$K$703=K394)*($F$4:$F$703=F394)*($Z$4:$Z$703=1)*($B$4:$B$703&lt;&gt;B394)),0)</f>
        <v>0</v>
      </c>
      <c r="AB394" s="11" t="n">
        <f aca="false">IF(AND(Z394=1,AA394&gt;0),1+SUMPRODUCT(($K$4:$K$703=K394)*($F$4:$F$703=F394)*($Z$4:$Z$703=1)*($P$4:$P$703&gt;P394))+SUMPRODUCT(($K$4:$K$703=K394)*($F$4:$F$703=F394)*($Z$4:$Z$703=1)*($P$4:$P$703=P394)*($C$4:$C$703&lt;C394))+SUMPRODUCT(($K$4:$K$703=K394)*($F$4:$F$703=F394)*($Z$4:$Z$703=1)*($P$4:$P$703=P394)*($C$4:$C$703=C394)*($D$4:$D$703&lt;D394)),0)</f>
        <v>0</v>
      </c>
      <c r="AC394" s="11" t="n">
        <f aca="false">IF(AND(Z394=1,AA394&gt;0,AB394&gt;1),P394,0)</f>
        <v>0</v>
      </c>
    </row>
    <row r="395" customFormat="false" ht="15" hidden="false" customHeight="false" outlineLevel="0" collapsed="false">
      <c r="A395" s="4" t="s">
        <v>632</v>
      </c>
      <c r="B395" s="4" t="s">
        <v>95</v>
      </c>
      <c r="C395" s="4" t="n">
        <v>13</v>
      </c>
      <c r="D395" s="4" t="n">
        <v>392</v>
      </c>
      <c r="E395" s="4" t="s">
        <v>205</v>
      </c>
      <c r="F395" s="4" t="n">
        <v>11</v>
      </c>
      <c r="G395" s="4" t="n">
        <v>2</v>
      </c>
      <c r="H395" s="4" t="n">
        <v>103500</v>
      </c>
      <c r="I395" s="13" t="b">
        <f aca="false">TRUE()</f>
        <v>1</v>
      </c>
      <c r="J395" s="4" t="s">
        <v>622</v>
      </c>
      <c r="K395" s="4" t="s">
        <v>623</v>
      </c>
      <c r="L395" s="4" t="n">
        <v>10557</v>
      </c>
      <c r="M395" s="11" t="n">
        <f aca="false">IFERROR(MATCH(Controls!$B$3&amp;"|"&amp;B395,'Scenario inputs'!$A$4:$A$213,0),0)</f>
        <v>144</v>
      </c>
      <c r="N395" s="8" t="b">
        <f aca="false">IF(M395=0,FALSE(),F395&lt;Controls!$B$12)</f>
        <v>1</v>
      </c>
      <c r="O395" s="11" t="n">
        <f aca="false">IF(N395,IF(INDEX('Scenario inputs'!$E$4:$E$213,M395)=0,1,INDEX('Scenario inputs'!$F$4:$M$213,M395,MIN(MAX(F395-G395,0),INDEX('Scenario inputs'!$E$4:$E$213,M395)-1)+1)),0)</f>
        <v>1</v>
      </c>
      <c r="P395" s="11" t="n">
        <f aca="false">H395*O395</f>
        <v>103500</v>
      </c>
      <c r="Q395" s="11" t="n">
        <f aca="false">IF(M395=0,"",IF(ISNUMBER(INDEX('Scenario inputs'!$N$4:$N$213,M395)),INDEX('Scenario inputs'!$N$4:$N$213,M395),""))</f>
        <v>39.1</v>
      </c>
      <c r="R395" s="0" t="str">
        <f aca="false">IF(NOT(N395),"",IF(OR(E395="cash",E395="revenue"),E395,IF(E395="avoided_cost",IF(AND(I395,LEN(TRIM(J395))&gt;0),"avoided_cost_realised","avoided_cost_beside"),IF(ISNUMBER(Q395),"capacity_converted","capacity_hours"))))</f>
        <v>avoided_cost_realised</v>
      </c>
      <c r="S395" s="11" t="n">
        <f aca="false">IF(OR(R395="",R395="capacity_hours"),0,IF(R395="capacity_converted",P395*Q395,P395))</f>
        <v>103500</v>
      </c>
      <c r="T395" s="11" t="n">
        <f aca="false">IF(OR(R395="cash",R395="revenue",R395="avoided_cost_realised",R395="capacity_converted"),1,0)</f>
        <v>1</v>
      </c>
      <c r="U395" s="11" t="n">
        <f aca="false">IF(AND(N395,R395&lt;&gt;"capacity_hours",LEN(K395)&gt;0),1,0)</f>
        <v>1</v>
      </c>
      <c r="V395" s="11" t="n">
        <f aca="false">IF(U395=1,SUMPRODUCT(($K$4:$K$703=K395)*($F$4:$F$703=F395)*($U$4:$U$703=1)*($B$4:$B$703&lt;&gt;B395)),0)</f>
        <v>0</v>
      </c>
      <c r="W395" s="11" t="n">
        <f aca="false">IF(AND(U395=1,V395&gt;0),1+SUMPRODUCT(($K$4:$K$703=K395)*($F$4:$F$703=F395)*($U$4:$U$703=1)*($S$4:$S$703&gt;S395))+SUMPRODUCT(($K$4:$K$703=K395)*($F$4:$F$703=F395)*($U$4:$U$703=1)*($S$4:$S$703=S395)*($T$4:$T$703&gt;T395))+SUMPRODUCT(($K$4:$K$703=K395)*($F$4:$F$703=F395)*($U$4:$U$703=1)*($S$4:$S$703=S395)*($T$4:$T$703=T395)*($C$4:$C$703&lt;C395))+SUMPRODUCT(($K$4:$K$703=K395)*($F$4:$F$703=F395)*($U$4:$U$703=1)*($S$4:$S$703=S395)*($T$4:$T$703=T395)*($C$4:$C$703=C395)*($D$4:$D$703&lt;D395)),0)</f>
        <v>0</v>
      </c>
      <c r="X395" s="11" t="n">
        <f aca="false">IF(AND(U395=1,V395&gt;0,W395&gt;1),S395,0)</f>
        <v>0</v>
      </c>
      <c r="Y395" s="11" t="n">
        <f aca="false">IF(T395=1,X395/(1+Controls!$B$11)^F395,0)</f>
        <v>0</v>
      </c>
      <c r="Z395" s="11" t="n">
        <f aca="false">IF(AND(N395,E395="capacity",LEN(K395)&gt;0),1,0)</f>
        <v>0</v>
      </c>
      <c r="AA395" s="11" t="n">
        <f aca="false">IF(Z395=1,SUMPRODUCT(($K$4:$K$703=K395)*($F$4:$F$703=F395)*($Z$4:$Z$703=1)*($B$4:$B$703&lt;&gt;B395)),0)</f>
        <v>0</v>
      </c>
      <c r="AB395" s="11" t="n">
        <f aca="false">IF(AND(Z395=1,AA395&gt;0),1+SUMPRODUCT(($K$4:$K$703=K395)*($F$4:$F$703=F395)*($Z$4:$Z$703=1)*($P$4:$P$703&gt;P395))+SUMPRODUCT(($K$4:$K$703=K395)*($F$4:$F$703=F395)*($Z$4:$Z$703=1)*($P$4:$P$703=P395)*($C$4:$C$703&lt;C395))+SUMPRODUCT(($K$4:$K$703=K395)*($F$4:$F$703=F395)*($Z$4:$Z$703=1)*($P$4:$P$703=P395)*($C$4:$C$703=C395)*($D$4:$D$703&lt;D395)),0)</f>
        <v>0</v>
      </c>
      <c r="AC395" s="11" t="n">
        <f aca="false">IF(AND(Z395=1,AA395&gt;0,AB395&gt;1),P395,0)</f>
        <v>0</v>
      </c>
    </row>
    <row r="396" customFormat="false" ht="15" hidden="false" customHeight="false" outlineLevel="0" collapsed="false">
      <c r="A396" s="4" t="s">
        <v>633</v>
      </c>
      <c r="B396" s="4" t="s">
        <v>95</v>
      </c>
      <c r="C396" s="4" t="n">
        <v>13</v>
      </c>
      <c r="D396" s="4" t="n">
        <v>393</v>
      </c>
      <c r="E396" s="4" t="s">
        <v>205</v>
      </c>
      <c r="F396" s="4" t="n">
        <v>12</v>
      </c>
      <c r="G396" s="4" t="n">
        <v>2</v>
      </c>
      <c r="H396" s="4" t="n">
        <v>103500</v>
      </c>
      <c r="I396" s="13" t="b">
        <f aca="false">TRUE()</f>
        <v>1</v>
      </c>
      <c r="J396" s="4" t="s">
        <v>622</v>
      </c>
      <c r="K396" s="4" t="s">
        <v>623</v>
      </c>
      <c r="L396" s="4" t="n">
        <v>10557</v>
      </c>
      <c r="M396" s="11" t="n">
        <f aca="false">IFERROR(MATCH(Controls!$B$3&amp;"|"&amp;B396,'Scenario inputs'!$A$4:$A$213,0),0)</f>
        <v>144</v>
      </c>
      <c r="N396" s="8" t="b">
        <f aca="false">IF(M396=0,FALSE(),F396&lt;Controls!$B$12)</f>
        <v>1</v>
      </c>
      <c r="O396" s="11" t="n">
        <f aca="false">IF(N396,IF(INDEX('Scenario inputs'!$E$4:$E$213,M396)=0,1,INDEX('Scenario inputs'!$F$4:$M$213,M396,MIN(MAX(F396-G396,0),INDEX('Scenario inputs'!$E$4:$E$213,M396)-1)+1)),0)</f>
        <v>1</v>
      </c>
      <c r="P396" s="11" t="n">
        <f aca="false">H396*O396</f>
        <v>103500</v>
      </c>
      <c r="Q396" s="11" t="n">
        <f aca="false">IF(M396=0,"",IF(ISNUMBER(INDEX('Scenario inputs'!$N$4:$N$213,M396)),INDEX('Scenario inputs'!$N$4:$N$213,M396),""))</f>
        <v>39.1</v>
      </c>
      <c r="R396" s="0" t="str">
        <f aca="false">IF(NOT(N396),"",IF(OR(E396="cash",E396="revenue"),E396,IF(E396="avoided_cost",IF(AND(I396,LEN(TRIM(J396))&gt;0),"avoided_cost_realised","avoided_cost_beside"),IF(ISNUMBER(Q396),"capacity_converted","capacity_hours"))))</f>
        <v>avoided_cost_realised</v>
      </c>
      <c r="S396" s="11" t="n">
        <f aca="false">IF(OR(R396="",R396="capacity_hours"),0,IF(R396="capacity_converted",P396*Q396,P396))</f>
        <v>103500</v>
      </c>
      <c r="T396" s="11" t="n">
        <f aca="false">IF(OR(R396="cash",R396="revenue",R396="avoided_cost_realised",R396="capacity_converted"),1,0)</f>
        <v>1</v>
      </c>
      <c r="U396" s="11" t="n">
        <f aca="false">IF(AND(N396,R396&lt;&gt;"capacity_hours",LEN(K396)&gt;0),1,0)</f>
        <v>1</v>
      </c>
      <c r="V396" s="11" t="n">
        <f aca="false">IF(U396=1,SUMPRODUCT(($K$4:$K$703=K396)*($F$4:$F$703=F396)*($U$4:$U$703=1)*($B$4:$B$703&lt;&gt;B396)),0)</f>
        <v>0</v>
      </c>
      <c r="W396" s="11" t="n">
        <f aca="false">IF(AND(U396=1,V396&gt;0),1+SUMPRODUCT(($K$4:$K$703=K396)*($F$4:$F$703=F396)*($U$4:$U$703=1)*($S$4:$S$703&gt;S396))+SUMPRODUCT(($K$4:$K$703=K396)*($F$4:$F$703=F396)*($U$4:$U$703=1)*($S$4:$S$703=S396)*($T$4:$T$703&gt;T396))+SUMPRODUCT(($K$4:$K$703=K396)*($F$4:$F$703=F396)*($U$4:$U$703=1)*($S$4:$S$703=S396)*($T$4:$T$703=T396)*($C$4:$C$703&lt;C396))+SUMPRODUCT(($K$4:$K$703=K396)*($F$4:$F$703=F396)*($U$4:$U$703=1)*($S$4:$S$703=S396)*($T$4:$T$703=T396)*($C$4:$C$703=C396)*($D$4:$D$703&lt;D396)),0)</f>
        <v>0</v>
      </c>
      <c r="X396" s="11" t="n">
        <f aca="false">IF(AND(U396=1,V396&gt;0,W396&gt;1),S396,0)</f>
        <v>0</v>
      </c>
      <c r="Y396" s="11" t="n">
        <f aca="false">IF(T396=1,X396/(1+Controls!$B$11)^F396,0)</f>
        <v>0</v>
      </c>
      <c r="Z396" s="11" t="n">
        <f aca="false">IF(AND(N396,E396="capacity",LEN(K396)&gt;0),1,0)</f>
        <v>0</v>
      </c>
      <c r="AA396" s="11" t="n">
        <f aca="false">IF(Z396=1,SUMPRODUCT(($K$4:$K$703=K396)*($F$4:$F$703=F396)*($Z$4:$Z$703=1)*($B$4:$B$703&lt;&gt;B396)),0)</f>
        <v>0</v>
      </c>
      <c r="AB396" s="11" t="n">
        <f aca="false">IF(AND(Z396=1,AA396&gt;0),1+SUMPRODUCT(($K$4:$K$703=K396)*($F$4:$F$703=F396)*($Z$4:$Z$703=1)*($P$4:$P$703&gt;P396))+SUMPRODUCT(($K$4:$K$703=K396)*($F$4:$F$703=F396)*($Z$4:$Z$703=1)*($P$4:$P$703=P396)*($C$4:$C$703&lt;C396))+SUMPRODUCT(($K$4:$K$703=K396)*($F$4:$F$703=F396)*($Z$4:$Z$703=1)*($P$4:$P$703=P396)*($C$4:$C$703=C396)*($D$4:$D$703&lt;D396)),0)</f>
        <v>0</v>
      </c>
      <c r="AC396" s="11" t="n">
        <f aca="false">IF(AND(Z396=1,AA396&gt;0,AB396&gt;1),P396,0)</f>
        <v>0</v>
      </c>
    </row>
    <row r="397" customFormat="false" ht="15" hidden="false" customHeight="false" outlineLevel="0" collapsed="false">
      <c r="A397" s="4" t="s">
        <v>634</v>
      </c>
      <c r="B397" s="4" t="s">
        <v>95</v>
      </c>
      <c r="C397" s="4" t="n">
        <v>13</v>
      </c>
      <c r="D397" s="4" t="n">
        <v>394</v>
      </c>
      <c r="E397" s="4" t="s">
        <v>205</v>
      </c>
      <c r="F397" s="4" t="n">
        <v>13</v>
      </c>
      <c r="G397" s="4" t="n">
        <v>2</v>
      </c>
      <c r="H397" s="4" t="n">
        <v>103500</v>
      </c>
      <c r="I397" s="13" t="b">
        <f aca="false">TRUE()</f>
        <v>1</v>
      </c>
      <c r="J397" s="4" t="s">
        <v>622</v>
      </c>
      <c r="K397" s="4" t="s">
        <v>623</v>
      </c>
      <c r="L397" s="4" t="n">
        <v>10557</v>
      </c>
      <c r="M397" s="11" t="n">
        <f aca="false">IFERROR(MATCH(Controls!$B$3&amp;"|"&amp;B397,'Scenario inputs'!$A$4:$A$213,0),0)</f>
        <v>144</v>
      </c>
      <c r="N397" s="8" t="b">
        <f aca="false">IF(M397=0,FALSE(),F397&lt;Controls!$B$12)</f>
        <v>1</v>
      </c>
      <c r="O397" s="11" t="n">
        <f aca="false">IF(N397,IF(INDEX('Scenario inputs'!$E$4:$E$213,M397)=0,1,INDEX('Scenario inputs'!$F$4:$M$213,M397,MIN(MAX(F397-G397,0),INDEX('Scenario inputs'!$E$4:$E$213,M397)-1)+1)),0)</f>
        <v>1</v>
      </c>
      <c r="P397" s="11" t="n">
        <f aca="false">H397*O397</f>
        <v>103500</v>
      </c>
      <c r="Q397" s="11" t="n">
        <f aca="false">IF(M397=0,"",IF(ISNUMBER(INDEX('Scenario inputs'!$N$4:$N$213,M397)),INDEX('Scenario inputs'!$N$4:$N$213,M397),""))</f>
        <v>39.1</v>
      </c>
      <c r="R397" s="0" t="str">
        <f aca="false">IF(NOT(N397),"",IF(OR(E397="cash",E397="revenue"),E397,IF(E397="avoided_cost",IF(AND(I397,LEN(TRIM(J397))&gt;0),"avoided_cost_realised","avoided_cost_beside"),IF(ISNUMBER(Q397),"capacity_converted","capacity_hours"))))</f>
        <v>avoided_cost_realised</v>
      </c>
      <c r="S397" s="11" t="n">
        <f aca="false">IF(OR(R397="",R397="capacity_hours"),0,IF(R397="capacity_converted",P397*Q397,P397))</f>
        <v>103500</v>
      </c>
      <c r="T397" s="11" t="n">
        <f aca="false">IF(OR(R397="cash",R397="revenue",R397="avoided_cost_realised",R397="capacity_converted"),1,0)</f>
        <v>1</v>
      </c>
      <c r="U397" s="11" t="n">
        <f aca="false">IF(AND(N397,R397&lt;&gt;"capacity_hours",LEN(K397)&gt;0),1,0)</f>
        <v>1</v>
      </c>
      <c r="V397" s="11" t="n">
        <f aca="false">IF(U397=1,SUMPRODUCT(($K$4:$K$703=K397)*($F$4:$F$703=F397)*($U$4:$U$703=1)*($B$4:$B$703&lt;&gt;B397)),0)</f>
        <v>0</v>
      </c>
      <c r="W397" s="11" t="n">
        <f aca="false">IF(AND(U397=1,V397&gt;0),1+SUMPRODUCT(($K$4:$K$703=K397)*($F$4:$F$703=F397)*($U$4:$U$703=1)*($S$4:$S$703&gt;S397))+SUMPRODUCT(($K$4:$K$703=K397)*($F$4:$F$703=F397)*($U$4:$U$703=1)*($S$4:$S$703=S397)*($T$4:$T$703&gt;T397))+SUMPRODUCT(($K$4:$K$703=K397)*($F$4:$F$703=F397)*($U$4:$U$703=1)*($S$4:$S$703=S397)*($T$4:$T$703=T397)*($C$4:$C$703&lt;C397))+SUMPRODUCT(($K$4:$K$703=K397)*($F$4:$F$703=F397)*($U$4:$U$703=1)*($S$4:$S$703=S397)*($T$4:$T$703=T397)*($C$4:$C$703=C397)*($D$4:$D$703&lt;D397)),0)</f>
        <v>0</v>
      </c>
      <c r="X397" s="11" t="n">
        <f aca="false">IF(AND(U397=1,V397&gt;0,W397&gt;1),S397,0)</f>
        <v>0</v>
      </c>
      <c r="Y397" s="11" t="n">
        <f aca="false">IF(T397=1,X397/(1+Controls!$B$11)^F397,0)</f>
        <v>0</v>
      </c>
      <c r="Z397" s="11" t="n">
        <f aca="false">IF(AND(N397,E397="capacity",LEN(K397)&gt;0),1,0)</f>
        <v>0</v>
      </c>
      <c r="AA397" s="11" t="n">
        <f aca="false">IF(Z397=1,SUMPRODUCT(($K$4:$K$703=K397)*($F$4:$F$703=F397)*($Z$4:$Z$703=1)*($B$4:$B$703&lt;&gt;B397)),0)</f>
        <v>0</v>
      </c>
      <c r="AB397" s="11" t="n">
        <f aca="false">IF(AND(Z397=1,AA397&gt;0),1+SUMPRODUCT(($K$4:$K$703=K397)*($F$4:$F$703=F397)*($Z$4:$Z$703=1)*($P$4:$P$703&gt;P397))+SUMPRODUCT(($K$4:$K$703=K397)*($F$4:$F$703=F397)*($Z$4:$Z$703=1)*($P$4:$P$703=P397)*($C$4:$C$703&lt;C397))+SUMPRODUCT(($K$4:$K$703=K397)*($F$4:$F$703=F397)*($Z$4:$Z$703=1)*($P$4:$P$703=P397)*($C$4:$C$703=C397)*($D$4:$D$703&lt;D397)),0)</f>
        <v>0</v>
      </c>
      <c r="AC397" s="11" t="n">
        <f aca="false">IF(AND(Z397=1,AA397&gt;0,AB397&gt;1),P397,0)</f>
        <v>0</v>
      </c>
    </row>
    <row r="398" customFormat="false" ht="15" hidden="false" customHeight="false" outlineLevel="0" collapsed="false">
      <c r="A398" s="4" t="s">
        <v>635</v>
      </c>
      <c r="B398" s="4" t="s">
        <v>95</v>
      </c>
      <c r="C398" s="4" t="n">
        <v>13</v>
      </c>
      <c r="D398" s="4" t="n">
        <v>395</v>
      </c>
      <c r="E398" s="4" t="s">
        <v>233</v>
      </c>
      <c r="F398" s="4" t="n">
        <v>2</v>
      </c>
      <c r="G398" s="4" t="n">
        <v>2</v>
      </c>
      <c r="H398" s="4" t="n">
        <v>391.9</v>
      </c>
      <c r="I398" s="13" t="b">
        <f aca="false">FALSE()</f>
        <v>0</v>
      </c>
      <c r="K398" s="4" t="s">
        <v>636</v>
      </c>
      <c r="L398" s="4" t="n">
        <v>1.57</v>
      </c>
      <c r="M398" s="11" t="n">
        <f aca="false">IFERROR(MATCH(Controls!$B$3&amp;"|"&amp;B398,'Scenario inputs'!$A$4:$A$213,0),0)</f>
        <v>144</v>
      </c>
      <c r="N398" s="8" t="b">
        <f aca="false">IF(M398=0,FALSE(),F398&lt;Controls!$B$12)</f>
        <v>1</v>
      </c>
      <c r="O398" s="11" t="n">
        <f aca="false">IF(N398,IF(INDEX('Scenario inputs'!$E$4:$E$213,M398)=0,1,INDEX('Scenario inputs'!$F$4:$M$213,M398,MIN(MAX(F398-G398,0),INDEX('Scenario inputs'!$E$4:$E$213,M398)-1)+1)),0)</f>
        <v>0.027778</v>
      </c>
      <c r="P398" s="11" t="n">
        <f aca="false">H398*O398</f>
        <v>10.8861982</v>
      </c>
      <c r="Q398" s="11" t="n">
        <f aca="false">IF(M398=0,"",IF(ISNUMBER(INDEX('Scenario inputs'!$N$4:$N$213,M398)),INDEX('Scenario inputs'!$N$4:$N$213,M398),""))</f>
        <v>39.1</v>
      </c>
      <c r="R398" s="0" t="str">
        <f aca="false">IF(NOT(N398),"",IF(OR(E398="cash",E398="revenue"),E398,IF(E398="avoided_cost",IF(AND(I398,LEN(TRIM(J398))&gt;0),"avoided_cost_realised","avoided_cost_beside"),IF(ISNUMBER(Q398),"capacity_converted","capacity_hours"))))</f>
        <v>capacity_converted</v>
      </c>
      <c r="S398" s="11" t="n">
        <f aca="false">IF(OR(R398="",R398="capacity_hours"),0,IF(R398="capacity_converted",P398*Q398,P398))</f>
        <v>425.65034962</v>
      </c>
      <c r="T398" s="11" t="n">
        <f aca="false">IF(OR(R398="cash",R398="revenue",R398="avoided_cost_realised",R398="capacity_converted"),1,0)</f>
        <v>1</v>
      </c>
      <c r="U398" s="11" t="n">
        <f aca="false">IF(AND(N398,R398&lt;&gt;"capacity_hours",LEN(K398)&gt;0),1,0)</f>
        <v>1</v>
      </c>
      <c r="V398" s="11" t="n">
        <f aca="false">IF(U398=1,SUMPRODUCT(($K$4:$K$703=K398)*($F$4:$F$703=F398)*($U$4:$U$703=1)*($B$4:$B$703&lt;&gt;B398)),0)</f>
        <v>0</v>
      </c>
      <c r="W398" s="11" t="n">
        <f aca="false">IF(AND(U398=1,V398&gt;0),1+SUMPRODUCT(($K$4:$K$703=K398)*($F$4:$F$703=F398)*($U$4:$U$703=1)*($S$4:$S$703&gt;S398))+SUMPRODUCT(($K$4:$K$703=K398)*($F$4:$F$703=F398)*($U$4:$U$703=1)*($S$4:$S$703=S398)*($T$4:$T$703&gt;T398))+SUMPRODUCT(($K$4:$K$703=K398)*($F$4:$F$703=F398)*($U$4:$U$703=1)*($S$4:$S$703=S398)*($T$4:$T$703=T398)*($C$4:$C$703&lt;C398))+SUMPRODUCT(($K$4:$K$703=K398)*($F$4:$F$703=F398)*($U$4:$U$703=1)*($S$4:$S$703=S398)*($T$4:$T$703=T398)*($C$4:$C$703=C398)*($D$4:$D$703&lt;D398)),0)</f>
        <v>0</v>
      </c>
      <c r="X398" s="11" t="n">
        <f aca="false">IF(AND(U398=1,V398&gt;0,W398&gt;1),S398,0)</f>
        <v>0</v>
      </c>
      <c r="Y398" s="11" t="n">
        <f aca="false">IF(T398=1,X398/(1+Controls!$B$11)^F398,0)</f>
        <v>0</v>
      </c>
      <c r="Z398" s="11" t="n">
        <f aca="false">IF(AND(N398,E398="capacity",LEN(K398)&gt;0),1,0)</f>
        <v>1</v>
      </c>
      <c r="AA398" s="11" t="n">
        <f aca="false">IF(Z398=1,SUMPRODUCT(($K$4:$K$703=K398)*($F$4:$F$703=F398)*($Z$4:$Z$703=1)*($B$4:$B$703&lt;&gt;B398)),0)</f>
        <v>0</v>
      </c>
      <c r="AB398" s="11" t="n">
        <f aca="false">IF(AND(Z398=1,AA398&gt;0),1+SUMPRODUCT(($K$4:$K$703=K398)*($F$4:$F$703=F398)*($Z$4:$Z$703=1)*($P$4:$P$703&gt;P398))+SUMPRODUCT(($K$4:$K$703=K398)*($F$4:$F$703=F398)*($Z$4:$Z$703=1)*($P$4:$P$703=P398)*($C$4:$C$703&lt;C398))+SUMPRODUCT(($K$4:$K$703=K398)*($F$4:$F$703=F398)*($Z$4:$Z$703=1)*($P$4:$P$703=P398)*($C$4:$C$703=C398)*($D$4:$D$703&lt;D398)),0)</f>
        <v>0</v>
      </c>
      <c r="AC398" s="11" t="n">
        <f aca="false">IF(AND(Z398=1,AA398&gt;0,AB398&gt;1),P398,0)</f>
        <v>0</v>
      </c>
    </row>
    <row r="399" customFormat="false" ht="15" hidden="false" customHeight="false" outlineLevel="0" collapsed="false">
      <c r="A399" s="4" t="s">
        <v>637</v>
      </c>
      <c r="B399" s="4" t="s">
        <v>95</v>
      </c>
      <c r="C399" s="4" t="n">
        <v>13</v>
      </c>
      <c r="D399" s="4" t="n">
        <v>396</v>
      </c>
      <c r="E399" s="4" t="s">
        <v>233</v>
      </c>
      <c r="F399" s="4" t="n">
        <v>3</v>
      </c>
      <c r="G399" s="4" t="n">
        <v>2</v>
      </c>
      <c r="H399" s="4" t="n">
        <v>391.9</v>
      </c>
      <c r="I399" s="13" t="b">
        <f aca="false">FALSE()</f>
        <v>0</v>
      </c>
      <c r="K399" s="4" t="s">
        <v>636</v>
      </c>
      <c r="L399" s="4" t="n">
        <v>4.74</v>
      </c>
      <c r="M399" s="11" t="n">
        <f aca="false">IFERROR(MATCH(Controls!$B$3&amp;"|"&amp;B399,'Scenario inputs'!$A$4:$A$213,0),0)</f>
        <v>144</v>
      </c>
      <c r="N399" s="8" t="b">
        <f aca="false">IF(M399=0,FALSE(),F399&lt;Controls!$B$12)</f>
        <v>1</v>
      </c>
      <c r="O399" s="11" t="n">
        <f aca="false">IF(N399,IF(INDEX('Scenario inputs'!$E$4:$E$213,M399)=0,1,INDEX('Scenario inputs'!$F$4:$M$213,M399,MIN(MAX(F399-G399,0),INDEX('Scenario inputs'!$E$4:$E$213,M399)-1)+1)),0)</f>
        <v>0.083333</v>
      </c>
      <c r="P399" s="11" t="n">
        <f aca="false">H399*O399</f>
        <v>32.6582027</v>
      </c>
      <c r="Q399" s="11" t="n">
        <f aca="false">IF(M399=0,"",IF(ISNUMBER(INDEX('Scenario inputs'!$N$4:$N$213,M399)),INDEX('Scenario inputs'!$N$4:$N$213,M399),""))</f>
        <v>39.1</v>
      </c>
      <c r="R399" s="0" t="str">
        <f aca="false">IF(NOT(N399),"",IF(OR(E399="cash",E399="revenue"),E399,IF(E399="avoided_cost",IF(AND(I399,LEN(TRIM(J399))&gt;0),"avoided_cost_realised","avoided_cost_beside"),IF(ISNUMBER(Q399),"capacity_converted","capacity_hours"))))</f>
        <v>capacity_converted</v>
      </c>
      <c r="S399" s="11" t="n">
        <f aca="false">IF(OR(R399="",R399="capacity_hours"),0,IF(R399="capacity_converted",P399*Q399,P399))</f>
        <v>1276.93572557</v>
      </c>
      <c r="T399" s="11" t="n">
        <f aca="false">IF(OR(R399="cash",R399="revenue",R399="avoided_cost_realised",R399="capacity_converted"),1,0)</f>
        <v>1</v>
      </c>
      <c r="U399" s="11" t="n">
        <f aca="false">IF(AND(N399,R399&lt;&gt;"capacity_hours",LEN(K399)&gt;0),1,0)</f>
        <v>1</v>
      </c>
      <c r="V399" s="11" t="n">
        <f aca="false">IF(U399=1,SUMPRODUCT(($K$4:$K$703=K399)*($F$4:$F$703=F399)*($U$4:$U$703=1)*($B$4:$B$703&lt;&gt;B399)),0)</f>
        <v>0</v>
      </c>
      <c r="W399" s="11" t="n">
        <f aca="false">IF(AND(U399=1,V399&gt;0),1+SUMPRODUCT(($K$4:$K$703=K399)*($F$4:$F$703=F399)*($U$4:$U$703=1)*($S$4:$S$703&gt;S399))+SUMPRODUCT(($K$4:$K$703=K399)*($F$4:$F$703=F399)*($U$4:$U$703=1)*($S$4:$S$703=S399)*($T$4:$T$703&gt;T399))+SUMPRODUCT(($K$4:$K$703=K399)*($F$4:$F$703=F399)*($U$4:$U$703=1)*($S$4:$S$703=S399)*($T$4:$T$703=T399)*($C$4:$C$703&lt;C399))+SUMPRODUCT(($K$4:$K$703=K399)*($F$4:$F$703=F399)*($U$4:$U$703=1)*($S$4:$S$703=S399)*($T$4:$T$703=T399)*($C$4:$C$703=C399)*($D$4:$D$703&lt;D399)),0)</f>
        <v>0</v>
      </c>
      <c r="X399" s="11" t="n">
        <f aca="false">IF(AND(U399=1,V399&gt;0,W399&gt;1),S399,0)</f>
        <v>0</v>
      </c>
      <c r="Y399" s="11" t="n">
        <f aca="false">IF(T399=1,X399/(1+Controls!$B$11)^F399,0)</f>
        <v>0</v>
      </c>
      <c r="Z399" s="11" t="n">
        <f aca="false">IF(AND(N399,E399="capacity",LEN(K399)&gt;0),1,0)</f>
        <v>1</v>
      </c>
      <c r="AA399" s="11" t="n">
        <f aca="false">IF(Z399=1,SUMPRODUCT(($K$4:$K$703=K399)*($F$4:$F$703=F399)*($Z$4:$Z$703=1)*($B$4:$B$703&lt;&gt;B399)),0)</f>
        <v>0</v>
      </c>
      <c r="AB399" s="11" t="n">
        <f aca="false">IF(AND(Z399=1,AA399&gt;0),1+SUMPRODUCT(($K$4:$K$703=K399)*($F$4:$F$703=F399)*($Z$4:$Z$703=1)*($P$4:$P$703&gt;P399))+SUMPRODUCT(($K$4:$K$703=K399)*($F$4:$F$703=F399)*($Z$4:$Z$703=1)*($P$4:$P$703=P399)*($C$4:$C$703&lt;C399))+SUMPRODUCT(($K$4:$K$703=K399)*($F$4:$F$703=F399)*($Z$4:$Z$703=1)*($P$4:$P$703=P399)*($C$4:$C$703=C399)*($D$4:$D$703&lt;D399)),0)</f>
        <v>0</v>
      </c>
      <c r="AC399" s="11" t="n">
        <f aca="false">IF(AND(Z399=1,AA399&gt;0,AB399&gt;1),P399,0)</f>
        <v>0</v>
      </c>
    </row>
    <row r="400" customFormat="false" ht="15" hidden="false" customHeight="false" outlineLevel="0" collapsed="false">
      <c r="A400" s="4" t="s">
        <v>638</v>
      </c>
      <c r="B400" s="4" t="s">
        <v>95</v>
      </c>
      <c r="C400" s="4" t="n">
        <v>13</v>
      </c>
      <c r="D400" s="4" t="n">
        <v>397</v>
      </c>
      <c r="E400" s="4" t="s">
        <v>233</v>
      </c>
      <c r="F400" s="4" t="n">
        <v>4</v>
      </c>
      <c r="G400" s="4" t="n">
        <v>2</v>
      </c>
      <c r="H400" s="4" t="n">
        <v>391.9</v>
      </c>
      <c r="I400" s="13" t="b">
        <f aca="false">FALSE()</f>
        <v>0</v>
      </c>
      <c r="K400" s="4" t="s">
        <v>636</v>
      </c>
      <c r="L400" s="4" t="n">
        <v>9.01</v>
      </c>
      <c r="M400" s="11" t="n">
        <f aca="false">IFERROR(MATCH(Controls!$B$3&amp;"|"&amp;B400,'Scenario inputs'!$A$4:$A$213,0),0)</f>
        <v>144</v>
      </c>
      <c r="N400" s="8" t="b">
        <f aca="false">IF(M400=0,FALSE(),F400&lt;Controls!$B$12)</f>
        <v>1</v>
      </c>
      <c r="O400" s="11" t="n">
        <f aca="false">IF(N400,IF(INDEX('Scenario inputs'!$E$4:$E$213,M400)=0,1,INDEX('Scenario inputs'!$F$4:$M$213,M400,MIN(MAX(F400-G400,0),INDEX('Scenario inputs'!$E$4:$E$213,M400)-1)+1)),0)</f>
        <v>0.166667</v>
      </c>
      <c r="P400" s="11" t="n">
        <f aca="false">H400*O400</f>
        <v>65.3167973</v>
      </c>
      <c r="Q400" s="11" t="n">
        <f aca="false">IF(M400=0,"",IF(ISNUMBER(INDEX('Scenario inputs'!$N$4:$N$213,M400)),INDEX('Scenario inputs'!$N$4:$N$213,M400),""))</f>
        <v>39.1</v>
      </c>
      <c r="R400" s="0" t="str">
        <f aca="false">IF(NOT(N400),"",IF(OR(E400="cash",E400="revenue"),E400,IF(E400="avoided_cost",IF(AND(I400,LEN(TRIM(J400))&gt;0),"avoided_cost_realised","avoided_cost_beside"),IF(ISNUMBER(Q400),"capacity_converted","capacity_hours"))))</f>
        <v>capacity_converted</v>
      </c>
      <c r="S400" s="11" t="n">
        <f aca="false">IF(OR(R400="",R400="capacity_hours"),0,IF(R400="capacity_converted",P400*Q400,P400))</f>
        <v>2553.88677443</v>
      </c>
      <c r="T400" s="11" t="n">
        <f aca="false">IF(OR(R400="cash",R400="revenue",R400="avoided_cost_realised",R400="capacity_converted"),1,0)</f>
        <v>1</v>
      </c>
      <c r="U400" s="11" t="n">
        <f aca="false">IF(AND(N400,R400&lt;&gt;"capacity_hours",LEN(K400)&gt;0),1,0)</f>
        <v>1</v>
      </c>
      <c r="V400" s="11" t="n">
        <f aca="false">IF(U400=1,SUMPRODUCT(($K$4:$K$703=K400)*($F$4:$F$703=F400)*($U$4:$U$703=1)*($B$4:$B$703&lt;&gt;B400)),0)</f>
        <v>0</v>
      </c>
      <c r="W400" s="11" t="n">
        <f aca="false">IF(AND(U400=1,V400&gt;0),1+SUMPRODUCT(($K$4:$K$703=K400)*($F$4:$F$703=F400)*($U$4:$U$703=1)*($S$4:$S$703&gt;S400))+SUMPRODUCT(($K$4:$K$703=K400)*($F$4:$F$703=F400)*($U$4:$U$703=1)*($S$4:$S$703=S400)*($T$4:$T$703&gt;T400))+SUMPRODUCT(($K$4:$K$703=K400)*($F$4:$F$703=F400)*($U$4:$U$703=1)*($S$4:$S$703=S400)*($T$4:$T$703=T400)*($C$4:$C$703&lt;C400))+SUMPRODUCT(($K$4:$K$703=K400)*($F$4:$F$703=F400)*($U$4:$U$703=1)*($S$4:$S$703=S400)*($T$4:$T$703=T400)*($C$4:$C$703=C400)*($D$4:$D$703&lt;D400)),0)</f>
        <v>0</v>
      </c>
      <c r="X400" s="11" t="n">
        <f aca="false">IF(AND(U400=1,V400&gt;0,W400&gt;1),S400,0)</f>
        <v>0</v>
      </c>
      <c r="Y400" s="11" t="n">
        <f aca="false">IF(T400=1,X400/(1+Controls!$B$11)^F400,0)</f>
        <v>0</v>
      </c>
      <c r="Z400" s="11" t="n">
        <f aca="false">IF(AND(N400,E400="capacity",LEN(K400)&gt;0),1,0)</f>
        <v>1</v>
      </c>
      <c r="AA400" s="11" t="n">
        <f aca="false">IF(Z400=1,SUMPRODUCT(($K$4:$K$703=K400)*($F$4:$F$703=F400)*($Z$4:$Z$703=1)*($B$4:$B$703&lt;&gt;B400)),0)</f>
        <v>0</v>
      </c>
      <c r="AB400" s="11" t="n">
        <f aca="false">IF(AND(Z400=1,AA400&gt;0),1+SUMPRODUCT(($K$4:$K$703=K400)*($F$4:$F$703=F400)*($Z$4:$Z$703=1)*($P$4:$P$703&gt;P400))+SUMPRODUCT(($K$4:$K$703=K400)*($F$4:$F$703=F400)*($Z$4:$Z$703=1)*($P$4:$P$703=P400)*($C$4:$C$703&lt;C400))+SUMPRODUCT(($K$4:$K$703=K400)*($F$4:$F$703=F400)*($Z$4:$Z$703=1)*($P$4:$P$703=P400)*($C$4:$C$703=C400)*($D$4:$D$703&lt;D400)),0)</f>
        <v>0</v>
      </c>
      <c r="AC400" s="11" t="n">
        <f aca="false">IF(AND(Z400=1,AA400&gt;0,AB400&gt;1),P400,0)</f>
        <v>0</v>
      </c>
    </row>
    <row r="401" customFormat="false" ht="15" hidden="false" customHeight="false" outlineLevel="0" collapsed="false">
      <c r="A401" s="4" t="s">
        <v>639</v>
      </c>
      <c r="B401" s="4" t="s">
        <v>95</v>
      </c>
      <c r="C401" s="4" t="n">
        <v>13</v>
      </c>
      <c r="D401" s="4" t="n">
        <v>398</v>
      </c>
      <c r="E401" s="4" t="s">
        <v>233</v>
      </c>
      <c r="F401" s="4" t="n">
        <v>5</v>
      </c>
      <c r="G401" s="4" t="n">
        <v>2</v>
      </c>
      <c r="H401" s="4" t="n">
        <v>391.9</v>
      </c>
      <c r="I401" s="13" t="b">
        <f aca="false">FALSE()</f>
        <v>0</v>
      </c>
      <c r="K401" s="4" t="s">
        <v>636</v>
      </c>
      <c r="L401" s="4" t="n">
        <v>15.18</v>
      </c>
      <c r="M401" s="11" t="n">
        <f aca="false">IFERROR(MATCH(Controls!$B$3&amp;"|"&amp;B401,'Scenario inputs'!$A$4:$A$213,0),0)</f>
        <v>144</v>
      </c>
      <c r="N401" s="8" t="b">
        <f aca="false">IF(M401=0,FALSE(),F401&lt;Controls!$B$12)</f>
        <v>1</v>
      </c>
      <c r="O401" s="11" t="n">
        <f aca="false">IF(N401,IF(INDEX('Scenario inputs'!$E$4:$E$213,M401)=0,1,INDEX('Scenario inputs'!$F$4:$M$213,M401,MIN(MAX(F401-G401,0),INDEX('Scenario inputs'!$E$4:$E$213,M401)-1)+1)),0)</f>
        <v>0.277778</v>
      </c>
      <c r="P401" s="11" t="n">
        <f aca="false">H401*O401</f>
        <v>108.8611982</v>
      </c>
      <c r="Q401" s="11" t="n">
        <f aca="false">IF(M401=0,"",IF(ISNUMBER(INDEX('Scenario inputs'!$N$4:$N$213,M401)),INDEX('Scenario inputs'!$N$4:$N$213,M401),""))</f>
        <v>39.1</v>
      </c>
      <c r="R401" s="0" t="str">
        <f aca="false">IF(NOT(N401),"",IF(OR(E401="cash",E401="revenue"),E401,IF(E401="avoided_cost",IF(AND(I401,LEN(TRIM(J401))&gt;0),"avoided_cost_realised","avoided_cost_beside"),IF(ISNUMBER(Q401),"capacity_converted","capacity_hours"))))</f>
        <v>capacity_converted</v>
      </c>
      <c r="S401" s="11" t="n">
        <f aca="false">IF(OR(R401="",R401="capacity_hours"),0,IF(R401="capacity_converted",P401*Q401,P401))</f>
        <v>4256.47284962</v>
      </c>
      <c r="T401" s="11" t="n">
        <f aca="false">IF(OR(R401="cash",R401="revenue",R401="avoided_cost_realised",R401="capacity_converted"),1,0)</f>
        <v>1</v>
      </c>
      <c r="U401" s="11" t="n">
        <f aca="false">IF(AND(N401,R401&lt;&gt;"capacity_hours",LEN(K401)&gt;0),1,0)</f>
        <v>1</v>
      </c>
      <c r="V401" s="11" t="n">
        <f aca="false">IF(U401=1,SUMPRODUCT(($K$4:$K$703=K401)*($F$4:$F$703=F401)*($U$4:$U$703=1)*($B$4:$B$703&lt;&gt;B401)),0)</f>
        <v>0</v>
      </c>
      <c r="W401" s="11" t="n">
        <f aca="false">IF(AND(U401=1,V401&gt;0),1+SUMPRODUCT(($K$4:$K$703=K401)*($F$4:$F$703=F401)*($U$4:$U$703=1)*($S$4:$S$703&gt;S401))+SUMPRODUCT(($K$4:$K$703=K401)*($F$4:$F$703=F401)*($U$4:$U$703=1)*($S$4:$S$703=S401)*($T$4:$T$703&gt;T401))+SUMPRODUCT(($K$4:$K$703=K401)*($F$4:$F$703=F401)*($U$4:$U$703=1)*($S$4:$S$703=S401)*($T$4:$T$703=T401)*($C$4:$C$703&lt;C401))+SUMPRODUCT(($K$4:$K$703=K401)*($F$4:$F$703=F401)*($U$4:$U$703=1)*($S$4:$S$703=S401)*($T$4:$T$703=T401)*($C$4:$C$703=C401)*($D$4:$D$703&lt;D401)),0)</f>
        <v>0</v>
      </c>
      <c r="X401" s="11" t="n">
        <f aca="false">IF(AND(U401=1,V401&gt;0,W401&gt;1),S401,0)</f>
        <v>0</v>
      </c>
      <c r="Y401" s="11" t="n">
        <f aca="false">IF(T401=1,X401/(1+Controls!$B$11)^F401,0)</f>
        <v>0</v>
      </c>
      <c r="Z401" s="11" t="n">
        <f aca="false">IF(AND(N401,E401="capacity",LEN(K401)&gt;0),1,0)</f>
        <v>1</v>
      </c>
      <c r="AA401" s="11" t="n">
        <f aca="false">IF(Z401=1,SUMPRODUCT(($K$4:$K$703=K401)*($F$4:$F$703=F401)*($Z$4:$Z$703=1)*($B$4:$B$703&lt;&gt;B401)),0)</f>
        <v>0</v>
      </c>
      <c r="AB401" s="11" t="n">
        <f aca="false">IF(AND(Z401=1,AA401&gt;0),1+SUMPRODUCT(($K$4:$K$703=K401)*($F$4:$F$703=F401)*($Z$4:$Z$703=1)*($P$4:$P$703&gt;P401))+SUMPRODUCT(($K$4:$K$703=K401)*($F$4:$F$703=F401)*($Z$4:$Z$703=1)*($P$4:$P$703=P401)*($C$4:$C$703&lt;C401))+SUMPRODUCT(($K$4:$K$703=K401)*($F$4:$F$703=F401)*($Z$4:$Z$703=1)*($P$4:$P$703=P401)*($C$4:$C$703=C401)*($D$4:$D$703&lt;D401)),0)</f>
        <v>0</v>
      </c>
      <c r="AC401" s="11" t="n">
        <f aca="false">IF(AND(Z401=1,AA401&gt;0,AB401&gt;1),P401,0)</f>
        <v>0</v>
      </c>
    </row>
    <row r="402" customFormat="false" ht="15" hidden="false" customHeight="false" outlineLevel="0" collapsed="false">
      <c r="A402" s="4" t="s">
        <v>640</v>
      </c>
      <c r="B402" s="4" t="s">
        <v>95</v>
      </c>
      <c r="C402" s="4" t="n">
        <v>13</v>
      </c>
      <c r="D402" s="4" t="n">
        <v>399</v>
      </c>
      <c r="E402" s="4" t="s">
        <v>233</v>
      </c>
      <c r="F402" s="4" t="n">
        <v>6</v>
      </c>
      <c r="G402" s="4" t="n">
        <v>2</v>
      </c>
      <c r="H402" s="4" t="n">
        <v>391.9</v>
      </c>
      <c r="I402" s="13" t="b">
        <f aca="false">FALSE()</f>
        <v>0</v>
      </c>
      <c r="K402" s="4" t="s">
        <v>636</v>
      </c>
      <c r="L402" s="4" t="n">
        <v>23.93</v>
      </c>
      <c r="M402" s="11" t="n">
        <f aca="false">IFERROR(MATCH(Controls!$B$3&amp;"|"&amp;B402,'Scenario inputs'!$A$4:$A$213,0),0)</f>
        <v>144</v>
      </c>
      <c r="N402" s="8" t="b">
        <f aca="false">IF(M402=0,FALSE(),F402&lt;Controls!$B$12)</f>
        <v>1</v>
      </c>
      <c r="O402" s="11" t="n">
        <f aca="false">IF(N402,IF(INDEX('Scenario inputs'!$E$4:$E$213,M402)=0,1,INDEX('Scenario inputs'!$F$4:$M$213,M402,MIN(MAX(F402-G402,0),INDEX('Scenario inputs'!$E$4:$E$213,M402)-1)+1)),0)</f>
        <v>0.416667</v>
      </c>
      <c r="P402" s="11" t="n">
        <f aca="false">H402*O402</f>
        <v>163.2917973</v>
      </c>
      <c r="Q402" s="11" t="n">
        <f aca="false">IF(M402=0,"",IF(ISNUMBER(INDEX('Scenario inputs'!$N$4:$N$213,M402)),INDEX('Scenario inputs'!$N$4:$N$213,M402),""))</f>
        <v>39.1</v>
      </c>
      <c r="R402" s="0" t="str">
        <f aca="false">IF(NOT(N402),"",IF(OR(E402="cash",E402="revenue"),E402,IF(E402="avoided_cost",IF(AND(I402,LEN(TRIM(J402))&gt;0),"avoided_cost_realised","avoided_cost_beside"),IF(ISNUMBER(Q402),"capacity_converted","capacity_hours"))))</f>
        <v>capacity_converted</v>
      </c>
      <c r="S402" s="11" t="n">
        <f aca="false">IF(OR(R402="",R402="capacity_hours"),0,IF(R402="capacity_converted",P402*Q402,P402))</f>
        <v>6384.70927443</v>
      </c>
      <c r="T402" s="11" t="n">
        <f aca="false">IF(OR(R402="cash",R402="revenue",R402="avoided_cost_realised",R402="capacity_converted"),1,0)</f>
        <v>1</v>
      </c>
      <c r="U402" s="11" t="n">
        <f aca="false">IF(AND(N402,R402&lt;&gt;"capacity_hours",LEN(K402)&gt;0),1,0)</f>
        <v>1</v>
      </c>
      <c r="V402" s="11" t="n">
        <f aca="false">IF(U402=1,SUMPRODUCT(($K$4:$K$703=K402)*($F$4:$F$703=F402)*($U$4:$U$703=1)*($B$4:$B$703&lt;&gt;B402)),0)</f>
        <v>0</v>
      </c>
      <c r="W402" s="11" t="n">
        <f aca="false">IF(AND(U402=1,V402&gt;0),1+SUMPRODUCT(($K$4:$K$703=K402)*($F$4:$F$703=F402)*($U$4:$U$703=1)*($S$4:$S$703&gt;S402))+SUMPRODUCT(($K$4:$K$703=K402)*($F$4:$F$703=F402)*($U$4:$U$703=1)*($S$4:$S$703=S402)*($T$4:$T$703&gt;T402))+SUMPRODUCT(($K$4:$K$703=K402)*($F$4:$F$703=F402)*($U$4:$U$703=1)*($S$4:$S$703=S402)*($T$4:$T$703=T402)*($C$4:$C$703&lt;C402))+SUMPRODUCT(($K$4:$K$703=K402)*($F$4:$F$703=F402)*($U$4:$U$703=1)*($S$4:$S$703=S402)*($T$4:$T$703=T402)*($C$4:$C$703=C402)*($D$4:$D$703&lt;D402)),0)</f>
        <v>0</v>
      </c>
      <c r="X402" s="11" t="n">
        <f aca="false">IF(AND(U402=1,V402&gt;0,W402&gt;1),S402,0)</f>
        <v>0</v>
      </c>
      <c r="Y402" s="11" t="n">
        <f aca="false">IF(T402=1,X402/(1+Controls!$B$11)^F402,0)</f>
        <v>0</v>
      </c>
      <c r="Z402" s="11" t="n">
        <f aca="false">IF(AND(N402,E402="capacity",LEN(K402)&gt;0),1,0)</f>
        <v>1</v>
      </c>
      <c r="AA402" s="11" t="n">
        <f aca="false">IF(Z402=1,SUMPRODUCT(($K$4:$K$703=K402)*($F$4:$F$703=F402)*($Z$4:$Z$703=1)*($B$4:$B$703&lt;&gt;B402)),0)</f>
        <v>0</v>
      </c>
      <c r="AB402" s="11" t="n">
        <f aca="false">IF(AND(Z402=1,AA402&gt;0),1+SUMPRODUCT(($K$4:$K$703=K402)*($F$4:$F$703=F402)*($Z$4:$Z$703=1)*($P$4:$P$703&gt;P402))+SUMPRODUCT(($K$4:$K$703=K402)*($F$4:$F$703=F402)*($Z$4:$Z$703=1)*($P$4:$P$703=P402)*($C$4:$C$703&lt;C402))+SUMPRODUCT(($K$4:$K$703=K402)*($F$4:$F$703=F402)*($Z$4:$Z$703=1)*($P$4:$P$703=P402)*($C$4:$C$703=C402)*($D$4:$D$703&lt;D402)),0)</f>
        <v>0</v>
      </c>
      <c r="AC402" s="11" t="n">
        <f aca="false">IF(AND(Z402=1,AA402&gt;0,AB402&gt;1),P402,0)</f>
        <v>0</v>
      </c>
    </row>
    <row r="403" customFormat="false" ht="15" hidden="false" customHeight="false" outlineLevel="0" collapsed="false">
      <c r="A403" s="4" t="s">
        <v>641</v>
      </c>
      <c r="B403" s="4" t="s">
        <v>95</v>
      </c>
      <c r="C403" s="4" t="n">
        <v>13</v>
      </c>
      <c r="D403" s="4" t="n">
        <v>400</v>
      </c>
      <c r="E403" s="4" t="s">
        <v>233</v>
      </c>
      <c r="F403" s="4" t="n">
        <v>7</v>
      </c>
      <c r="G403" s="4" t="n">
        <v>2</v>
      </c>
      <c r="H403" s="4" t="n">
        <v>391.9</v>
      </c>
      <c r="I403" s="13" t="b">
        <f aca="false">FALSE()</f>
        <v>0</v>
      </c>
      <c r="K403" s="4" t="s">
        <v>636</v>
      </c>
      <c r="L403" s="4" t="n">
        <v>32.53</v>
      </c>
      <c r="M403" s="11" t="n">
        <f aca="false">IFERROR(MATCH(Controls!$B$3&amp;"|"&amp;B403,'Scenario inputs'!$A$4:$A$213,0),0)</f>
        <v>144</v>
      </c>
      <c r="N403" s="8" t="b">
        <f aca="false">IF(M403=0,FALSE(),F403&lt;Controls!$B$12)</f>
        <v>1</v>
      </c>
      <c r="O403" s="11" t="n">
        <f aca="false">IF(N403,IF(INDEX('Scenario inputs'!$E$4:$E$213,M403)=0,1,INDEX('Scenario inputs'!$F$4:$M$213,M403,MIN(MAX(F403-G403,0),INDEX('Scenario inputs'!$E$4:$E$213,M403)-1)+1)),0)</f>
        <v>0.583333</v>
      </c>
      <c r="P403" s="11" t="n">
        <f aca="false">H403*O403</f>
        <v>228.6082027</v>
      </c>
      <c r="Q403" s="11" t="n">
        <f aca="false">IF(M403=0,"",IF(ISNUMBER(INDEX('Scenario inputs'!$N$4:$N$213,M403)),INDEX('Scenario inputs'!$N$4:$N$213,M403),""))</f>
        <v>39.1</v>
      </c>
      <c r="R403" s="0" t="str">
        <f aca="false">IF(NOT(N403),"",IF(OR(E403="cash",E403="revenue"),E403,IF(E403="avoided_cost",IF(AND(I403,LEN(TRIM(J403))&gt;0),"avoided_cost_realised","avoided_cost_beside"),IF(ISNUMBER(Q403),"capacity_converted","capacity_hours"))))</f>
        <v>capacity_converted</v>
      </c>
      <c r="S403" s="11" t="n">
        <f aca="false">IF(OR(R403="",R403="capacity_hours"),0,IF(R403="capacity_converted",P403*Q403,P403))</f>
        <v>8938.58072557</v>
      </c>
      <c r="T403" s="11" t="n">
        <f aca="false">IF(OR(R403="cash",R403="revenue",R403="avoided_cost_realised",R403="capacity_converted"),1,0)</f>
        <v>1</v>
      </c>
      <c r="U403" s="11" t="n">
        <f aca="false">IF(AND(N403,R403&lt;&gt;"capacity_hours",LEN(K403)&gt;0),1,0)</f>
        <v>1</v>
      </c>
      <c r="V403" s="11" t="n">
        <f aca="false">IF(U403=1,SUMPRODUCT(($K$4:$K$703=K403)*($F$4:$F$703=F403)*($U$4:$U$703=1)*($B$4:$B$703&lt;&gt;B403)),0)</f>
        <v>0</v>
      </c>
      <c r="W403" s="11" t="n">
        <f aca="false">IF(AND(U403=1,V403&gt;0),1+SUMPRODUCT(($K$4:$K$703=K403)*($F$4:$F$703=F403)*($U$4:$U$703=1)*($S$4:$S$703&gt;S403))+SUMPRODUCT(($K$4:$K$703=K403)*($F$4:$F$703=F403)*($U$4:$U$703=1)*($S$4:$S$703=S403)*($T$4:$T$703&gt;T403))+SUMPRODUCT(($K$4:$K$703=K403)*($F$4:$F$703=F403)*($U$4:$U$703=1)*($S$4:$S$703=S403)*($T$4:$T$703=T403)*($C$4:$C$703&lt;C403))+SUMPRODUCT(($K$4:$K$703=K403)*($F$4:$F$703=F403)*($U$4:$U$703=1)*($S$4:$S$703=S403)*($T$4:$T$703=T403)*($C$4:$C$703=C403)*($D$4:$D$703&lt;D403)),0)</f>
        <v>0</v>
      </c>
      <c r="X403" s="11" t="n">
        <f aca="false">IF(AND(U403=1,V403&gt;0,W403&gt;1),S403,0)</f>
        <v>0</v>
      </c>
      <c r="Y403" s="11" t="n">
        <f aca="false">IF(T403=1,X403/(1+Controls!$B$11)^F403,0)</f>
        <v>0</v>
      </c>
      <c r="Z403" s="11" t="n">
        <f aca="false">IF(AND(N403,E403="capacity",LEN(K403)&gt;0),1,0)</f>
        <v>1</v>
      </c>
      <c r="AA403" s="11" t="n">
        <f aca="false">IF(Z403=1,SUMPRODUCT(($K$4:$K$703=K403)*($F$4:$F$703=F403)*($Z$4:$Z$703=1)*($B$4:$B$703&lt;&gt;B403)),0)</f>
        <v>0</v>
      </c>
      <c r="AB403" s="11" t="n">
        <f aca="false">IF(AND(Z403=1,AA403&gt;0),1+SUMPRODUCT(($K$4:$K$703=K403)*($F$4:$F$703=F403)*($Z$4:$Z$703=1)*($P$4:$P$703&gt;P403))+SUMPRODUCT(($K$4:$K$703=K403)*($F$4:$F$703=F403)*($Z$4:$Z$703=1)*($P$4:$P$703=P403)*($C$4:$C$703&lt;C403))+SUMPRODUCT(($K$4:$K$703=K403)*($F$4:$F$703=F403)*($Z$4:$Z$703=1)*($P$4:$P$703=P403)*($C$4:$C$703=C403)*($D$4:$D$703&lt;D403)),0)</f>
        <v>0</v>
      </c>
      <c r="AC403" s="11" t="n">
        <f aca="false">IF(AND(Z403=1,AA403&gt;0,AB403&gt;1),P403,0)</f>
        <v>0</v>
      </c>
    </row>
    <row r="404" customFormat="false" ht="15" hidden="false" customHeight="false" outlineLevel="0" collapsed="false">
      <c r="A404" s="4" t="s">
        <v>642</v>
      </c>
      <c r="B404" s="4" t="s">
        <v>95</v>
      </c>
      <c r="C404" s="4" t="n">
        <v>13</v>
      </c>
      <c r="D404" s="4" t="n">
        <v>401</v>
      </c>
      <c r="E404" s="4" t="s">
        <v>233</v>
      </c>
      <c r="F404" s="4" t="n">
        <v>8</v>
      </c>
      <c r="G404" s="4" t="n">
        <v>2</v>
      </c>
      <c r="H404" s="4" t="n">
        <v>391.9</v>
      </c>
      <c r="I404" s="13" t="b">
        <f aca="false">FALSE()</f>
        <v>0</v>
      </c>
      <c r="K404" s="4" t="s">
        <v>636</v>
      </c>
      <c r="L404" s="4" t="n">
        <v>45.11</v>
      </c>
      <c r="M404" s="11" t="n">
        <f aca="false">IFERROR(MATCH(Controls!$B$3&amp;"|"&amp;B404,'Scenario inputs'!$A$4:$A$213,0),0)</f>
        <v>144</v>
      </c>
      <c r="N404" s="8" t="b">
        <f aca="false">IF(M404=0,FALSE(),F404&lt;Controls!$B$12)</f>
        <v>1</v>
      </c>
      <c r="O404" s="11" t="n">
        <f aca="false">IF(N404,IF(INDEX('Scenario inputs'!$E$4:$E$213,M404)=0,1,INDEX('Scenario inputs'!$F$4:$M$213,M404,MIN(MAX(F404-G404,0),INDEX('Scenario inputs'!$E$4:$E$213,M404)-1)+1)),0)</f>
        <v>0.777778</v>
      </c>
      <c r="P404" s="11" t="n">
        <f aca="false">H404*O404</f>
        <v>304.8111982</v>
      </c>
      <c r="Q404" s="11" t="n">
        <f aca="false">IF(M404=0,"",IF(ISNUMBER(INDEX('Scenario inputs'!$N$4:$N$213,M404)),INDEX('Scenario inputs'!$N$4:$N$213,M404),""))</f>
        <v>39.1</v>
      </c>
      <c r="R404" s="0" t="str">
        <f aca="false">IF(NOT(N404),"",IF(OR(E404="cash",E404="revenue"),E404,IF(E404="avoided_cost",IF(AND(I404,LEN(TRIM(J404))&gt;0),"avoided_cost_realised","avoided_cost_beside"),IF(ISNUMBER(Q404),"capacity_converted","capacity_hours"))))</f>
        <v>capacity_converted</v>
      </c>
      <c r="S404" s="11" t="n">
        <f aca="false">IF(OR(R404="",R404="capacity_hours"),0,IF(R404="capacity_converted",P404*Q404,P404))</f>
        <v>11918.11784962</v>
      </c>
      <c r="T404" s="11" t="n">
        <f aca="false">IF(OR(R404="cash",R404="revenue",R404="avoided_cost_realised",R404="capacity_converted"),1,0)</f>
        <v>1</v>
      </c>
      <c r="U404" s="11" t="n">
        <f aca="false">IF(AND(N404,R404&lt;&gt;"capacity_hours",LEN(K404)&gt;0),1,0)</f>
        <v>1</v>
      </c>
      <c r="V404" s="11" t="n">
        <f aca="false">IF(U404=1,SUMPRODUCT(($K$4:$K$703=K404)*($F$4:$F$703=F404)*($U$4:$U$703=1)*($B$4:$B$703&lt;&gt;B404)),0)</f>
        <v>0</v>
      </c>
      <c r="W404" s="11" t="n">
        <f aca="false">IF(AND(U404=1,V404&gt;0),1+SUMPRODUCT(($K$4:$K$703=K404)*($F$4:$F$703=F404)*($U$4:$U$703=1)*($S$4:$S$703&gt;S404))+SUMPRODUCT(($K$4:$K$703=K404)*($F$4:$F$703=F404)*($U$4:$U$703=1)*($S$4:$S$703=S404)*($T$4:$T$703&gt;T404))+SUMPRODUCT(($K$4:$K$703=K404)*($F$4:$F$703=F404)*($U$4:$U$703=1)*($S$4:$S$703=S404)*($T$4:$T$703=T404)*($C$4:$C$703&lt;C404))+SUMPRODUCT(($K$4:$K$703=K404)*($F$4:$F$703=F404)*($U$4:$U$703=1)*($S$4:$S$703=S404)*($T$4:$T$703=T404)*($C$4:$C$703=C404)*($D$4:$D$703&lt;D404)),0)</f>
        <v>0</v>
      </c>
      <c r="X404" s="11" t="n">
        <f aca="false">IF(AND(U404=1,V404&gt;0,W404&gt;1),S404,0)</f>
        <v>0</v>
      </c>
      <c r="Y404" s="11" t="n">
        <f aca="false">IF(T404=1,X404/(1+Controls!$B$11)^F404,0)</f>
        <v>0</v>
      </c>
      <c r="Z404" s="11" t="n">
        <f aca="false">IF(AND(N404,E404="capacity",LEN(K404)&gt;0),1,0)</f>
        <v>1</v>
      </c>
      <c r="AA404" s="11" t="n">
        <f aca="false">IF(Z404=1,SUMPRODUCT(($K$4:$K$703=K404)*($F$4:$F$703=F404)*($Z$4:$Z$703=1)*($B$4:$B$703&lt;&gt;B404)),0)</f>
        <v>0</v>
      </c>
      <c r="AB404" s="11" t="n">
        <f aca="false">IF(AND(Z404=1,AA404&gt;0),1+SUMPRODUCT(($K$4:$K$703=K404)*($F$4:$F$703=F404)*($Z$4:$Z$703=1)*($P$4:$P$703&gt;P404))+SUMPRODUCT(($K$4:$K$703=K404)*($F$4:$F$703=F404)*($Z$4:$Z$703=1)*($P$4:$P$703=P404)*($C$4:$C$703&lt;C404))+SUMPRODUCT(($K$4:$K$703=K404)*($F$4:$F$703=F404)*($Z$4:$Z$703=1)*($P$4:$P$703=P404)*($C$4:$C$703=C404)*($D$4:$D$703&lt;D404)),0)</f>
        <v>0</v>
      </c>
      <c r="AC404" s="11" t="n">
        <f aca="false">IF(AND(Z404=1,AA404&gt;0,AB404&gt;1),P404,0)</f>
        <v>0</v>
      </c>
    </row>
    <row r="405" customFormat="false" ht="15" hidden="false" customHeight="false" outlineLevel="0" collapsed="false">
      <c r="A405" s="4" t="s">
        <v>643</v>
      </c>
      <c r="B405" s="4" t="s">
        <v>95</v>
      </c>
      <c r="C405" s="4" t="n">
        <v>13</v>
      </c>
      <c r="D405" s="4" t="n">
        <v>402</v>
      </c>
      <c r="E405" s="4" t="s">
        <v>233</v>
      </c>
      <c r="F405" s="4" t="n">
        <v>9</v>
      </c>
      <c r="G405" s="4" t="n">
        <v>2</v>
      </c>
      <c r="H405" s="4" t="n">
        <v>391.9</v>
      </c>
      <c r="I405" s="13" t="b">
        <f aca="false">FALSE()</f>
        <v>0</v>
      </c>
      <c r="K405" s="4" t="s">
        <v>636</v>
      </c>
      <c r="L405" s="4" t="n">
        <v>61.96</v>
      </c>
      <c r="M405" s="11" t="n">
        <f aca="false">IFERROR(MATCH(Controls!$B$3&amp;"|"&amp;B405,'Scenario inputs'!$A$4:$A$213,0),0)</f>
        <v>144</v>
      </c>
      <c r="N405" s="8" t="b">
        <f aca="false">IF(M405=0,FALSE(),F405&lt;Controls!$B$12)</f>
        <v>1</v>
      </c>
      <c r="O405" s="11" t="n">
        <f aca="false">IF(N405,IF(INDEX('Scenario inputs'!$E$4:$E$213,M405)=0,1,INDEX('Scenario inputs'!$F$4:$M$213,M405,MIN(MAX(F405-G405,0),INDEX('Scenario inputs'!$E$4:$E$213,M405)-1)+1)),0)</f>
        <v>1</v>
      </c>
      <c r="P405" s="11" t="n">
        <f aca="false">H405*O405</f>
        <v>391.9</v>
      </c>
      <c r="Q405" s="11" t="n">
        <f aca="false">IF(M405=0,"",IF(ISNUMBER(INDEX('Scenario inputs'!$N$4:$N$213,M405)),INDEX('Scenario inputs'!$N$4:$N$213,M405),""))</f>
        <v>39.1</v>
      </c>
      <c r="R405" s="0" t="str">
        <f aca="false">IF(NOT(N405),"",IF(OR(E405="cash",E405="revenue"),E405,IF(E405="avoided_cost",IF(AND(I405,LEN(TRIM(J405))&gt;0),"avoided_cost_realised","avoided_cost_beside"),IF(ISNUMBER(Q405),"capacity_converted","capacity_hours"))))</f>
        <v>capacity_converted</v>
      </c>
      <c r="S405" s="11" t="n">
        <f aca="false">IF(OR(R405="",R405="capacity_hours"),0,IF(R405="capacity_converted",P405*Q405,P405))</f>
        <v>15323.29</v>
      </c>
      <c r="T405" s="11" t="n">
        <f aca="false">IF(OR(R405="cash",R405="revenue",R405="avoided_cost_realised",R405="capacity_converted"),1,0)</f>
        <v>1</v>
      </c>
      <c r="U405" s="11" t="n">
        <f aca="false">IF(AND(N405,R405&lt;&gt;"capacity_hours",LEN(K405)&gt;0),1,0)</f>
        <v>1</v>
      </c>
      <c r="V405" s="11" t="n">
        <f aca="false">IF(U405=1,SUMPRODUCT(($K$4:$K$703=K405)*($F$4:$F$703=F405)*($U$4:$U$703=1)*($B$4:$B$703&lt;&gt;B405)),0)</f>
        <v>0</v>
      </c>
      <c r="W405" s="11" t="n">
        <f aca="false">IF(AND(U405=1,V405&gt;0),1+SUMPRODUCT(($K$4:$K$703=K405)*($F$4:$F$703=F405)*($U$4:$U$703=1)*($S$4:$S$703&gt;S405))+SUMPRODUCT(($K$4:$K$703=K405)*($F$4:$F$703=F405)*($U$4:$U$703=1)*($S$4:$S$703=S405)*($T$4:$T$703&gt;T405))+SUMPRODUCT(($K$4:$K$703=K405)*($F$4:$F$703=F405)*($U$4:$U$703=1)*($S$4:$S$703=S405)*($T$4:$T$703=T405)*($C$4:$C$703&lt;C405))+SUMPRODUCT(($K$4:$K$703=K405)*($F$4:$F$703=F405)*($U$4:$U$703=1)*($S$4:$S$703=S405)*($T$4:$T$703=T405)*($C$4:$C$703=C405)*($D$4:$D$703&lt;D405)),0)</f>
        <v>0</v>
      </c>
      <c r="X405" s="11" t="n">
        <f aca="false">IF(AND(U405=1,V405&gt;0,W405&gt;1),S405,0)</f>
        <v>0</v>
      </c>
      <c r="Y405" s="11" t="n">
        <f aca="false">IF(T405=1,X405/(1+Controls!$B$11)^F405,0)</f>
        <v>0</v>
      </c>
      <c r="Z405" s="11" t="n">
        <f aca="false">IF(AND(N405,E405="capacity",LEN(K405)&gt;0),1,0)</f>
        <v>1</v>
      </c>
      <c r="AA405" s="11" t="n">
        <f aca="false">IF(Z405=1,SUMPRODUCT(($K$4:$K$703=K405)*($F$4:$F$703=F405)*($Z$4:$Z$703=1)*($B$4:$B$703&lt;&gt;B405)),0)</f>
        <v>0</v>
      </c>
      <c r="AB405" s="11" t="n">
        <f aca="false">IF(AND(Z405=1,AA405&gt;0),1+SUMPRODUCT(($K$4:$K$703=K405)*($F$4:$F$703=F405)*($Z$4:$Z$703=1)*($P$4:$P$703&gt;P405))+SUMPRODUCT(($K$4:$K$703=K405)*($F$4:$F$703=F405)*($Z$4:$Z$703=1)*($P$4:$P$703=P405)*($C$4:$C$703&lt;C405))+SUMPRODUCT(($K$4:$K$703=K405)*($F$4:$F$703=F405)*($Z$4:$Z$703=1)*($P$4:$P$703=P405)*($C$4:$C$703=C405)*($D$4:$D$703&lt;D405)),0)</f>
        <v>0</v>
      </c>
      <c r="AC405" s="11" t="n">
        <f aca="false">IF(AND(Z405=1,AA405&gt;0,AB405&gt;1),P405,0)</f>
        <v>0</v>
      </c>
    </row>
    <row r="406" customFormat="false" ht="15" hidden="false" customHeight="false" outlineLevel="0" collapsed="false">
      <c r="A406" s="4" t="s">
        <v>644</v>
      </c>
      <c r="B406" s="4" t="s">
        <v>95</v>
      </c>
      <c r="C406" s="4" t="n">
        <v>13</v>
      </c>
      <c r="D406" s="4" t="n">
        <v>403</v>
      </c>
      <c r="E406" s="4" t="s">
        <v>233</v>
      </c>
      <c r="F406" s="4" t="n">
        <v>10</v>
      </c>
      <c r="G406" s="4" t="n">
        <v>2</v>
      </c>
      <c r="H406" s="4" t="n">
        <v>391.9</v>
      </c>
      <c r="I406" s="13" t="b">
        <f aca="false">FALSE()</f>
        <v>0</v>
      </c>
      <c r="K406" s="4" t="s">
        <v>636</v>
      </c>
      <c r="L406" s="4" t="n">
        <v>61.96</v>
      </c>
      <c r="M406" s="11" t="n">
        <f aca="false">IFERROR(MATCH(Controls!$B$3&amp;"|"&amp;B406,'Scenario inputs'!$A$4:$A$213,0),0)</f>
        <v>144</v>
      </c>
      <c r="N406" s="8" t="b">
        <f aca="false">IF(M406=0,FALSE(),F406&lt;Controls!$B$12)</f>
        <v>1</v>
      </c>
      <c r="O406" s="11" t="n">
        <f aca="false">IF(N406,IF(INDEX('Scenario inputs'!$E$4:$E$213,M406)=0,1,INDEX('Scenario inputs'!$F$4:$M$213,M406,MIN(MAX(F406-G406,0),INDEX('Scenario inputs'!$E$4:$E$213,M406)-1)+1)),0)</f>
        <v>1</v>
      </c>
      <c r="P406" s="11" t="n">
        <f aca="false">H406*O406</f>
        <v>391.9</v>
      </c>
      <c r="Q406" s="11" t="n">
        <f aca="false">IF(M406=0,"",IF(ISNUMBER(INDEX('Scenario inputs'!$N$4:$N$213,M406)),INDEX('Scenario inputs'!$N$4:$N$213,M406),""))</f>
        <v>39.1</v>
      </c>
      <c r="R406" s="0" t="str">
        <f aca="false">IF(NOT(N406),"",IF(OR(E406="cash",E406="revenue"),E406,IF(E406="avoided_cost",IF(AND(I406,LEN(TRIM(J406))&gt;0),"avoided_cost_realised","avoided_cost_beside"),IF(ISNUMBER(Q406),"capacity_converted","capacity_hours"))))</f>
        <v>capacity_converted</v>
      </c>
      <c r="S406" s="11" t="n">
        <f aca="false">IF(OR(R406="",R406="capacity_hours"),0,IF(R406="capacity_converted",P406*Q406,P406))</f>
        <v>15323.29</v>
      </c>
      <c r="T406" s="11" t="n">
        <f aca="false">IF(OR(R406="cash",R406="revenue",R406="avoided_cost_realised",R406="capacity_converted"),1,0)</f>
        <v>1</v>
      </c>
      <c r="U406" s="11" t="n">
        <f aca="false">IF(AND(N406,R406&lt;&gt;"capacity_hours",LEN(K406)&gt;0),1,0)</f>
        <v>1</v>
      </c>
      <c r="V406" s="11" t="n">
        <f aca="false">IF(U406=1,SUMPRODUCT(($K$4:$K$703=K406)*($F$4:$F$703=F406)*($U$4:$U$703=1)*($B$4:$B$703&lt;&gt;B406)),0)</f>
        <v>0</v>
      </c>
      <c r="W406" s="11" t="n">
        <f aca="false">IF(AND(U406=1,V406&gt;0),1+SUMPRODUCT(($K$4:$K$703=K406)*($F$4:$F$703=F406)*($U$4:$U$703=1)*($S$4:$S$703&gt;S406))+SUMPRODUCT(($K$4:$K$703=K406)*($F$4:$F$703=F406)*($U$4:$U$703=1)*($S$4:$S$703=S406)*($T$4:$T$703&gt;T406))+SUMPRODUCT(($K$4:$K$703=K406)*($F$4:$F$703=F406)*($U$4:$U$703=1)*($S$4:$S$703=S406)*($T$4:$T$703=T406)*($C$4:$C$703&lt;C406))+SUMPRODUCT(($K$4:$K$703=K406)*($F$4:$F$703=F406)*($U$4:$U$703=1)*($S$4:$S$703=S406)*($T$4:$T$703=T406)*($C$4:$C$703=C406)*($D$4:$D$703&lt;D406)),0)</f>
        <v>0</v>
      </c>
      <c r="X406" s="11" t="n">
        <f aca="false">IF(AND(U406=1,V406&gt;0,W406&gt;1),S406,0)</f>
        <v>0</v>
      </c>
      <c r="Y406" s="11" t="n">
        <f aca="false">IF(T406=1,X406/(1+Controls!$B$11)^F406,0)</f>
        <v>0</v>
      </c>
      <c r="Z406" s="11" t="n">
        <f aca="false">IF(AND(N406,E406="capacity",LEN(K406)&gt;0),1,0)</f>
        <v>1</v>
      </c>
      <c r="AA406" s="11" t="n">
        <f aca="false">IF(Z406=1,SUMPRODUCT(($K$4:$K$703=K406)*($F$4:$F$703=F406)*($Z$4:$Z$703=1)*($B$4:$B$703&lt;&gt;B406)),0)</f>
        <v>0</v>
      </c>
      <c r="AB406" s="11" t="n">
        <f aca="false">IF(AND(Z406=1,AA406&gt;0),1+SUMPRODUCT(($K$4:$K$703=K406)*($F$4:$F$703=F406)*($Z$4:$Z$703=1)*($P$4:$P$703&gt;P406))+SUMPRODUCT(($K$4:$K$703=K406)*($F$4:$F$703=F406)*($Z$4:$Z$703=1)*($P$4:$P$703=P406)*($C$4:$C$703&lt;C406))+SUMPRODUCT(($K$4:$K$703=K406)*($F$4:$F$703=F406)*($Z$4:$Z$703=1)*($P$4:$P$703=P406)*($C$4:$C$703=C406)*($D$4:$D$703&lt;D406)),0)</f>
        <v>0</v>
      </c>
      <c r="AC406" s="11" t="n">
        <f aca="false">IF(AND(Z406=1,AA406&gt;0,AB406&gt;1),P406,0)</f>
        <v>0</v>
      </c>
    </row>
    <row r="407" customFormat="false" ht="15" hidden="false" customHeight="false" outlineLevel="0" collapsed="false">
      <c r="A407" s="4" t="s">
        <v>645</v>
      </c>
      <c r="B407" s="4" t="s">
        <v>95</v>
      </c>
      <c r="C407" s="4" t="n">
        <v>13</v>
      </c>
      <c r="D407" s="4" t="n">
        <v>404</v>
      </c>
      <c r="E407" s="4" t="s">
        <v>233</v>
      </c>
      <c r="F407" s="4" t="n">
        <v>11</v>
      </c>
      <c r="G407" s="4" t="n">
        <v>2</v>
      </c>
      <c r="H407" s="4" t="n">
        <v>391.9</v>
      </c>
      <c r="I407" s="13" t="b">
        <f aca="false">FALSE()</f>
        <v>0</v>
      </c>
      <c r="K407" s="4" t="s">
        <v>636</v>
      </c>
      <c r="L407" s="4" t="n">
        <v>61.96</v>
      </c>
      <c r="M407" s="11" t="n">
        <f aca="false">IFERROR(MATCH(Controls!$B$3&amp;"|"&amp;B407,'Scenario inputs'!$A$4:$A$213,0),0)</f>
        <v>144</v>
      </c>
      <c r="N407" s="8" t="b">
        <f aca="false">IF(M407=0,FALSE(),F407&lt;Controls!$B$12)</f>
        <v>1</v>
      </c>
      <c r="O407" s="11" t="n">
        <f aca="false">IF(N407,IF(INDEX('Scenario inputs'!$E$4:$E$213,M407)=0,1,INDEX('Scenario inputs'!$F$4:$M$213,M407,MIN(MAX(F407-G407,0),INDEX('Scenario inputs'!$E$4:$E$213,M407)-1)+1)),0)</f>
        <v>1</v>
      </c>
      <c r="P407" s="11" t="n">
        <f aca="false">H407*O407</f>
        <v>391.9</v>
      </c>
      <c r="Q407" s="11" t="n">
        <f aca="false">IF(M407=0,"",IF(ISNUMBER(INDEX('Scenario inputs'!$N$4:$N$213,M407)),INDEX('Scenario inputs'!$N$4:$N$213,M407),""))</f>
        <v>39.1</v>
      </c>
      <c r="R407" s="0" t="str">
        <f aca="false">IF(NOT(N407),"",IF(OR(E407="cash",E407="revenue"),E407,IF(E407="avoided_cost",IF(AND(I407,LEN(TRIM(J407))&gt;0),"avoided_cost_realised","avoided_cost_beside"),IF(ISNUMBER(Q407),"capacity_converted","capacity_hours"))))</f>
        <v>capacity_converted</v>
      </c>
      <c r="S407" s="11" t="n">
        <f aca="false">IF(OR(R407="",R407="capacity_hours"),0,IF(R407="capacity_converted",P407*Q407,P407))</f>
        <v>15323.29</v>
      </c>
      <c r="T407" s="11" t="n">
        <f aca="false">IF(OR(R407="cash",R407="revenue",R407="avoided_cost_realised",R407="capacity_converted"),1,0)</f>
        <v>1</v>
      </c>
      <c r="U407" s="11" t="n">
        <f aca="false">IF(AND(N407,R407&lt;&gt;"capacity_hours",LEN(K407)&gt;0),1,0)</f>
        <v>1</v>
      </c>
      <c r="V407" s="11" t="n">
        <f aca="false">IF(U407=1,SUMPRODUCT(($K$4:$K$703=K407)*($F$4:$F$703=F407)*($U$4:$U$703=1)*($B$4:$B$703&lt;&gt;B407)),0)</f>
        <v>0</v>
      </c>
      <c r="W407" s="11" t="n">
        <f aca="false">IF(AND(U407=1,V407&gt;0),1+SUMPRODUCT(($K$4:$K$703=K407)*($F$4:$F$703=F407)*($U$4:$U$703=1)*($S$4:$S$703&gt;S407))+SUMPRODUCT(($K$4:$K$703=K407)*($F$4:$F$703=F407)*($U$4:$U$703=1)*($S$4:$S$703=S407)*($T$4:$T$703&gt;T407))+SUMPRODUCT(($K$4:$K$703=K407)*($F$4:$F$703=F407)*($U$4:$U$703=1)*($S$4:$S$703=S407)*($T$4:$T$703=T407)*($C$4:$C$703&lt;C407))+SUMPRODUCT(($K$4:$K$703=K407)*($F$4:$F$703=F407)*($U$4:$U$703=1)*($S$4:$S$703=S407)*($T$4:$T$703=T407)*($C$4:$C$703=C407)*($D$4:$D$703&lt;D407)),0)</f>
        <v>0</v>
      </c>
      <c r="X407" s="11" t="n">
        <f aca="false">IF(AND(U407=1,V407&gt;0,W407&gt;1),S407,0)</f>
        <v>0</v>
      </c>
      <c r="Y407" s="11" t="n">
        <f aca="false">IF(T407=1,X407/(1+Controls!$B$11)^F407,0)</f>
        <v>0</v>
      </c>
      <c r="Z407" s="11" t="n">
        <f aca="false">IF(AND(N407,E407="capacity",LEN(K407)&gt;0),1,0)</f>
        <v>1</v>
      </c>
      <c r="AA407" s="11" t="n">
        <f aca="false">IF(Z407=1,SUMPRODUCT(($K$4:$K$703=K407)*($F$4:$F$703=F407)*($Z$4:$Z$703=1)*($B$4:$B$703&lt;&gt;B407)),0)</f>
        <v>0</v>
      </c>
      <c r="AB407" s="11" t="n">
        <f aca="false">IF(AND(Z407=1,AA407&gt;0),1+SUMPRODUCT(($K$4:$K$703=K407)*($F$4:$F$703=F407)*($Z$4:$Z$703=1)*($P$4:$P$703&gt;P407))+SUMPRODUCT(($K$4:$K$703=K407)*($F$4:$F$703=F407)*($Z$4:$Z$703=1)*($P$4:$P$703=P407)*($C$4:$C$703&lt;C407))+SUMPRODUCT(($K$4:$K$703=K407)*($F$4:$F$703=F407)*($Z$4:$Z$703=1)*($P$4:$P$703=P407)*($C$4:$C$703=C407)*($D$4:$D$703&lt;D407)),0)</f>
        <v>0</v>
      </c>
      <c r="AC407" s="11" t="n">
        <f aca="false">IF(AND(Z407=1,AA407&gt;0,AB407&gt;1),P407,0)</f>
        <v>0</v>
      </c>
    </row>
    <row r="408" customFormat="false" ht="15" hidden="false" customHeight="false" outlineLevel="0" collapsed="false">
      <c r="A408" s="4" t="s">
        <v>646</v>
      </c>
      <c r="B408" s="4" t="s">
        <v>95</v>
      </c>
      <c r="C408" s="4" t="n">
        <v>13</v>
      </c>
      <c r="D408" s="4" t="n">
        <v>405</v>
      </c>
      <c r="E408" s="4" t="s">
        <v>233</v>
      </c>
      <c r="F408" s="4" t="n">
        <v>12</v>
      </c>
      <c r="G408" s="4" t="n">
        <v>2</v>
      </c>
      <c r="H408" s="4" t="n">
        <v>391.9</v>
      </c>
      <c r="I408" s="13" t="b">
        <f aca="false">FALSE()</f>
        <v>0</v>
      </c>
      <c r="K408" s="4" t="s">
        <v>636</v>
      </c>
      <c r="L408" s="4" t="n">
        <v>61.96</v>
      </c>
      <c r="M408" s="11" t="n">
        <f aca="false">IFERROR(MATCH(Controls!$B$3&amp;"|"&amp;B408,'Scenario inputs'!$A$4:$A$213,0),0)</f>
        <v>144</v>
      </c>
      <c r="N408" s="8" t="b">
        <f aca="false">IF(M408=0,FALSE(),F408&lt;Controls!$B$12)</f>
        <v>1</v>
      </c>
      <c r="O408" s="11" t="n">
        <f aca="false">IF(N408,IF(INDEX('Scenario inputs'!$E$4:$E$213,M408)=0,1,INDEX('Scenario inputs'!$F$4:$M$213,M408,MIN(MAX(F408-G408,0),INDEX('Scenario inputs'!$E$4:$E$213,M408)-1)+1)),0)</f>
        <v>1</v>
      </c>
      <c r="P408" s="11" t="n">
        <f aca="false">H408*O408</f>
        <v>391.9</v>
      </c>
      <c r="Q408" s="11" t="n">
        <f aca="false">IF(M408=0,"",IF(ISNUMBER(INDEX('Scenario inputs'!$N$4:$N$213,M408)),INDEX('Scenario inputs'!$N$4:$N$213,M408),""))</f>
        <v>39.1</v>
      </c>
      <c r="R408" s="0" t="str">
        <f aca="false">IF(NOT(N408),"",IF(OR(E408="cash",E408="revenue"),E408,IF(E408="avoided_cost",IF(AND(I408,LEN(TRIM(J408))&gt;0),"avoided_cost_realised","avoided_cost_beside"),IF(ISNUMBER(Q408),"capacity_converted","capacity_hours"))))</f>
        <v>capacity_converted</v>
      </c>
      <c r="S408" s="11" t="n">
        <f aca="false">IF(OR(R408="",R408="capacity_hours"),0,IF(R408="capacity_converted",P408*Q408,P408))</f>
        <v>15323.29</v>
      </c>
      <c r="T408" s="11" t="n">
        <f aca="false">IF(OR(R408="cash",R408="revenue",R408="avoided_cost_realised",R408="capacity_converted"),1,0)</f>
        <v>1</v>
      </c>
      <c r="U408" s="11" t="n">
        <f aca="false">IF(AND(N408,R408&lt;&gt;"capacity_hours",LEN(K408)&gt;0),1,0)</f>
        <v>1</v>
      </c>
      <c r="V408" s="11" t="n">
        <f aca="false">IF(U408=1,SUMPRODUCT(($K$4:$K$703=K408)*($F$4:$F$703=F408)*($U$4:$U$703=1)*($B$4:$B$703&lt;&gt;B408)),0)</f>
        <v>0</v>
      </c>
      <c r="W408" s="11" t="n">
        <f aca="false">IF(AND(U408=1,V408&gt;0),1+SUMPRODUCT(($K$4:$K$703=K408)*($F$4:$F$703=F408)*($U$4:$U$703=1)*($S$4:$S$703&gt;S408))+SUMPRODUCT(($K$4:$K$703=K408)*($F$4:$F$703=F408)*($U$4:$U$703=1)*($S$4:$S$703=S408)*($T$4:$T$703&gt;T408))+SUMPRODUCT(($K$4:$K$703=K408)*($F$4:$F$703=F408)*($U$4:$U$703=1)*($S$4:$S$703=S408)*($T$4:$T$703=T408)*($C$4:$C$703&lt;C408))+SUMPRODUCT(($K$4:$K$703=K408)*($F$4:$F$703=F408)*($U$4:$U$703=1)*($S$4:$S$703=S408)*($T$4:$T$703=T408)*($C$4:$C$703=C408)*($D$4:$D$703&lt;D408)),0)</f>
        <v>0</v>
      </c>
      <c r="X408" s="11" t="n">
        <f aca="false">IF(AND(U408=1,V408&gt;0,W408&gt;1),S408,0)</f>
        <v>0</v>
      </c>
      <c r="Y408" s="11" t="n">
        <f aca="false">IF(T408=1,X408/(1+Controls!$B$11)^F408,0)</f>
        <v>0</v>
      </c>
      <c r="Z408" s="11" t="n">
        <f aca="false">IF(AND(N408,E408="capacity",LEN(K408)&gt;0),1,0)</f>
        <v>1</v>
      </c>
      <c r="AA408" s="11" t="n">
        <f aca="false">IF(Z408=1,SUMPRODUCT(($K$4:$K$703=K408)*($F$4:$F$703=F408)*($Z$4:$Z$703=1)*($B$4:$B$703&lt;&gt;B408)),0)</f>
        <v>0</v>
      </c>
      <c r="AB408" s="11" t="n">
        <f aca="false">IF(AND(Z408=1,AA408&gt;0),1+SUMPRODUCT(($K$4:$K$703=K408)*($F$4:$F$703=F408)*($Z$4:$Z$703=1)*($P$4:$P$703&gt;P408))+SUMPRODUCT(($K$4:$K$703=K408)*($F$4:$F$703=F408)*($Z$4:$Z$703=1)*($P$4:$P$703=P408)*($C$4:$C$703&lt;C408))+SUMPRODUCT(($K$4:$K$703=K408)*($F$4:$F$703=F408)*($Z$4:$Z$703=1)*($P$4:$P$703=P408)*($C$4:$C$703=C408)*($D$4:$D$703&lt;D408)),0)</f>
        <v>0</v>
      </c>
      <c r="AC408" s="11" t="n">
        <f aca="false">IF(AND(Z408=1,AA408&gt;0,AB408&gt;1),P408,0)</f>
        <v>0</v>
      </c>
    </row>
    <row r="409" customFormat="false" ht="15" hidden="false" customHeight="false" outlineLevel="0" collapsed="false">
      <c r="A409" s="4" t="s">
        <v>647</v>
      </c>
      <c r="B409" s="4" t="s">
        <v>95</v>
      </c>
      <c r="C409" s="4" t="n">
        <v>13</v>
      </c>
      <c r="D409" s="4" t="n">
        <v>406</v>
      </c>
      <c r="E409" s="4" t="s">
        <v>233</v>
      </c>
      <c r="F409" s="4" t="n">
        <v>13</v>
      </c>
      <c r="G409" s="4" t="n">
        <v>2</v>
      </c>
      <c r="H409" s="4" t="n">
        <v>391.9</v>
      </c>
      <c r="I409" s="13" t="b">
        <f aca="false">FALSE()</f>
        <v>0</v>
      </c>
      <c r="K409" s="4" t="s">
        <v>636</v>
      </c>
      <c r="L409" s="4" t="n">
        <v>61.96</v>
      </c>
      <c r="M409" s="11" t="n">
        <f aca="false">IFERROR(MATCH(Controls!$B$3&amp;"|"&amp;B409,'Scenario inputs'!$A$4:$A$213,0),0)</f>
        <v>144</v>
      </c>
      <c r="N409" s="8" t="b">
        <f aca="false">IF(M409=0,FALSE(),F409&lt;Controls!$B$12)</f>
        <v>1</v>
      </c>
      <c r="O409" s="11" t="n">
        <f aca="false">IF(N409,IF(INDEX('Scenario inputs'!$E$4:$E$213,M409)=0,1,INDEX('Scenario inputs'!$F$4:$M$213,M409,MIN(MAX(F409-G409,0),INDEX('Scenario inputs'!$E$4:$E$213,M409)-1)+1)),0)</f>
        <v>1</v>
      </c>
      <c r="P409" s="11" t="n">
        <f aca="false">H409*O409</f>
        <v>391.9</v>
      </c>
      <c r="Q409" s="11" t="n">
        <f aca="false">IF(M409=0,"",IF(ISNUMBER(INDEX('Scenario inputs'!$N$4:$N$213,M409)),INDEX('Scenario inputs'!$N$4:$N$213,M409),""))</f>
        <v>39.1</v>
      </c>
      <c r="R409" s="0" t="str">
        <f aca="false">IF(NOT(N409),"",IF(OR(E409="cash",E409="revenue"),E409,IF(E409="avoided_cost",IF(AND(I409,LEN(TRIM(J409))&gt;0),"avoided_cost_realised","avoided_cost_beside"),IF(ISNUMBER(Q409),"capacity_converted","capacity_hours"))))</f>
        <v>capacity_converted</v>
      </c>
      <c r="S409" s="11" t="n">
        <f aca="false">IF(OR(R409="",R409="capacity_hours"),0,IF(R409="capacity_converted",P409*Q409,P409))</f>
        <v>15323.29</v>
      </c>
      <c r="T409" s="11" t="n">
        <f aca="false">IF(OR(R409="cash",R409="revenue",R409="avoided_cost_realised",R409="capacity_converted"),1,0)</f>
        <v>1</v>
      </c>
      <c r="U409" s="11" t="n">
        <f aca="false">IF(AND(N409,R409&lt;&gt;"capacity_hours",LEN(K409)&gt;0),1,0)</f>
        <v>1</v>
      </c>
      <c r="V409" s="11" t="n">
        <f aca="false">IF(U409=1,SUMPRODUCT(($K$4:$K$703=K409)*($F$4:$F$703=F409)*($U$4:$U$703=1)*($B$4:$B$703&lt;&gt;B409)),0)</f>
        <v>0</v>
      </c>
      <c r="W409" s="11" t="n">
        <f aca="false">IF(AND(U409=1,V409&gt;0),1+SUMPRODUCT(($K$4:$K$703=K409)*($F$4:$F$703=F409)*($U$4:$U$703=1)*($S$4:$S$703&gt;S409))+SUMPRODUCT(($K$4:$K$703=K409)*($F$4:$F$703=F409)*($U$4:$U$703=1)*($S$4:$S$703=S409)*($T$4:$T$703&gt;T409))+SUMPRODUCT(($K$4:$K$703=K409)*($F$4:$F$703=F409)*($U$4:$U$703=1)*($S$4:$S$703=S409)*($T$4:$T$703=T409)*($C$4:$C$703&lt;C409))+SUMPRODUCT(($K$4:$K$703=K409)*($F$4:$F$703=F409)*($U$4:$U$703=1)*($S$4:$S$703=S409)*($T$4:$T$703=T409)*($C$4:$C$703=C409)*($D$4:$D$703&lt;D409)),0)</f>
        <v>0</v>
      </c>
      <c r="X409" s="11" t="n">
        <f aca="false">IF(AND(U409=1,V409&gt;0,W409&gt;1),S409,0)</f>
        <v>0</v>
      </c>
      <c r="Y409" s="11" t="n">
        <f aca="false">IF(T409=1,X409/(1+Controls!$B$11)^F409,0)</f>
        <v>0</v>
      </c>
      <c r="Z409" s="11" t="n">
        <f aca="false">IF(AND(N409,E409="capacity",LEN(K409)&gt;0),1,0)</f>
        <v>1</v>
      </c>
      <c r="AA409" s="11" t="n">
        <f aca="false">IF(Z409=1,SUMPRODUCT(($K$4:$K$703=K409)*($F$4:$F$703=F409)*($Z$4:$Z$703=1)*($B$4:$B$703&lt;&gt;B409)),0)</f>
        <v>0</v>
      </c>
      <c r="AB409" s="11" t="n">
        <f aca="false">IF(AND(Z409=1,AA409&gt;0),1+SUMPRODUCT(($K$4:$K$703=K409)*($F$4:$F$703=F409)*($Z$4:$Z$703=1)*($P$4:$P$703&gt;P409))+SUMPRODUCT(($K$4:$K$703=K409)*($F$4:$F$703=F409)*($Z$4:$Z$703=1)*($P$4:$P$703=P409)*($C$4:$C$703&lt;C409))+SUMPRODUCT(($K$4:$K$703=K409)*($F$4:$F$703=F409)*($Z$4:$Z$703=1)*($P$4:$P$703=P409)*($C$4:$C$703=C409)*($D$4:$D$703&lt;D409)),0)</f>
        <v>0</v>
      </c>
      <c r="AC409" s="11" t="n">
        <f aca="false">IF(AND(Z409=1,AA409&gt;0,AB409&gt;1),P409,0)</f>
        <v>0</v>
      </c>
    </row>
    <row r="410" customFormat="false" ht="15" hidden="false" customHeight="false" outlineLevel="0" collapsed="false">
      <c r="A410" s="4" t="s">
        <v>648</v>
      </c>
      <c r="B410" s="4" t="s">
        <v>96</v>
      </c>
      <c r="C410" s="4" t="n">
        <v>14</v>
      </c>
      <c r="D410" s="4" t="n">
        <v>407</v>
      </c>
      <c r="E410" s="4" t="s">
        <v>112</v>
      </c>
      <c r="F410" s="4" t="n">
        <v>5</v>
      </c>
      <c r="G410" s="4" t="n">
        <v>5</v>
      </c>
      <c r="H410" s="4" t="n">
        <v>173800</v>
      </c>
      <c r="I410" s="13" t="b">
        <f aca="false">FALSE()</f>
        <v>0</v>
      </c>
      <c r="K410" s="4" t="s">
        <v>649</v>
      </c>
      <c r="L410" s="4" t="n">
        <v>704.93</v>
      </c>
      <c r="M410" s="11" t="n">
        <f aca="false">IFERROR(MATCH(Controls!$B$3&amp;"|"&amp;B410,'Scenario inputs'!$A$4:$A$213,0),0)</f>
        <v>145</v>
      </c>
      <c r="N410" s="8" t="b">
        <f aca="false">IF(M410=0,FALSE(),F410&lt;Controls!$B$12)</f>
        <v>1</v>
      </c>
      <c r="O410" s="11" t="n">
        <f aca="false">IF(N410,IF(INDEX('Scenario inputs'!$E$4:$E$213,M410)=0,1,INDEX('Scenario inputs'!$F$4:$M$213,M410,MIN(MAX(F410-G410,0),INDEX('Scenario inputs'!$E$4:$E$213,M410)-1)+1)),0)</f>
        <v>0.035714</v>
      </c>
      <c r="P410" s="11" t="n">
        <f aca="false">H410*O410</f>
        <v>6207.0932</v>
      </c>
      <c r="Q410" s="0" t="str">
        <f aca="false">IF(M410=0,"",IF(ISNUMBER(INDEX('Scenario inputs'!$N$4:$N$213,M410)),INDEX('Scenario inputs'!$N$4:$N$213,M410),""))</f>
        <v/>
      </c>
      <c r="R410" s="0" t="str">
        <f aca="false">IF(NOT(N410),"",IF(OR(E410="cash",E410="revenue"),E410,IF(E410="avoided_cost",IF(AND(I410,LEN(TRIM(J410))&gt;0),"avoided_cost_realised","avoided_cost_beside"),IF(ISNUMBER(Q410),"capacity_converted","capacity_hours"))))</f>
        <v>cash</v>
      </c>
      <c r="S410" s="11" t="n">
        <f aca="false">IF(OR(R410="",R410="capacity_hours"),0,IF(R410="capacity_converted",P410*Q410,P410))</f>
        <v>6207.0932</v>
      </c>
      <c r="T410" s="11" t="n">
        <f aca="false">IF(OR(R410="cash",R410="revenue",R410="avoided_cost_realised",R410="capacity_converted"),1,0)</f>
        <v>1</v>
      </c>
      <c r="U410" s="11" t="n">
        <f aca="false">IF(AND(N410,R410&lt;&gt;"capacity_hours",LEN(K410)&gt;0),1,0)</f>
        <v>1</v>
      </c>
      <c r="V410" s="11" t="n">
        <f aca="false">IF(U410=1,SUMPRODUCT(($K$4:$K$703=K410)*($F$4:$F$703=F410)*($U$4:$U$703=1)*($B$4:$B$703&lt;&gt;B410)),0)</f>
        <v>0</v>
      </c>
      <c r="W410" s="11" t="n">
        <f aca="false">IF(AND(U410=1,V410&gt;0),1+SUMPRODUCT(($K$4:$K$703=K410)*($F$4:$F$703=F410)*($U$4:$U$703=1)*($S$4:$S$703&gt;S410))+SUMPRODUCT(($K$4:$K$703=K410)*($F$4:$F$703=F410)*($U$4:$U$703=1)*($S$4:$S$703=S410)*($T$4:$T$703&gt;T410))+SUMPRODUCT(($K$4:$K$703=K410)*($F$4:$F$703=F410)*($U$4:$U$703=1)*($S$4:$S$703=S410)*($T$4:$T$703=T410)*($C$4:$C$703&lt;C410))+SUMPRODUCT(($K$4:$K$703=K410)*($F$4:$F$703=F410)*($U$4:$U$703=1)*($S$4:$S$703=S410)*($T$4:$T$703=T410)*($C$4:$C$703=C410)*($D$4:$D$703&lt;D410)),0)</f>
        <v>0</v>
      </c>
      <c r="X410" s="11" t="n">
        <f aca="false">IF(AND(U410=1,V410&gt;0,W410&gt;1),S410,0)</f>
        <v>0</v>
      </c>
      <c r="Y410" s="11" t="n">
        <f aca="false">IF(T410=1,X410/(1+Controls!$B$11)^F410,0)</f>
        <v>0</v>
      </c>
      <c r="Z410" s="11" t="n">
        <f aca="false">IF(AND(N410,E410="capacity",LEN(K410)&gt;0),1,0)</f>
        <v>0</v>
      </c>
      <c r="AA410" s="11" t="n">
        <f aca="false">IF(Z410=1,SUMPRODUCT(($K$4:$K$703=K410)*($F$4:$F$703=F410)*($Z$4:$Z$703=1)*($B$4:$B$703&lt;&gt;B410)),0)</f>
        <v>0</v>
      </c>
      <c r="AB410" s="11" t="n">
        <f aca="false">IF(AND(Z410=1,AA410&gt;0),1+SUMPRODUCT(($K$4:$K$703=K410)*($F$4:$F$703=F410)*($Z$4:$Z$703=1)*($P$4:$P$703&gt;P410))+SUMPRODUCT(($K$4:$K$703=K410)*($F$4:$F$703=F410)*($Z$4:$Z$703=1)*($P$4:$P$703=P410)*($C$4:$C$703&lt;C410))+SUMPRODUCT(($K$4:$K$703=K410)*($F$4:$F$703=F410)*($Z$4:$Z$703=1)*($P$4:$P$703=P410)*($C$4:$C$703=C410)*($D$4:$D$703&lt;D410)),0)</f>
        <v>0</v>
      </c>
      <c r="AC410" s="11" t="n">
        <f aca="false">IF(AND(Z410=1,AA410&gt;0,AB410&gt;1),P410,0)</f>
        <v>0</v>
      </c>
    </row>
    <row r="411" customFormat="false" ht="15" hidden="false" customHeight="false" outlineLevel="0" collapsed="false">
      <c r="A411" s="4" t="s">
        <v>650</v>
      </c>
      <c r="B411" s="4" t="s">
        <v>96</v>
      </c>
      <c r="C411" s="4" t="n">
        <v>14</v>
      </c>
      <c r="D411" s="4" t="n">
        <v>408</v>
      </c>
      <c r="E411" s="4" t="s">
        <v>112</v>
      </c>
      <c r="F411" s="4" t="n">
        <v>6</v>
      </c>
      <c r="G411" s="4" t="n">
        <v>5</v>
      </c>
      <c r="H411" s="4" t="n">
        <v>173800</v>
      </c>
      <c r="I411" s="13" t="b">
        <f aca="false">FALSE()</f>
        <v>0</v>
      </c>
      <c r="K411" s="4" t="s">
        <v>649</v>
      </c>
      <c r="L411" s="4" t="n">
        <v>1972.46</v>
      </c>
      <c r="M411" s="11" t="n">
        <f aca="false">IFERROR(MATCH(Controls!$B$3&amp;"|"&amp;B411,'Scenario inputs'!$A$4:$A$213,0),0)</f>
        <v>145</v>
      </c>
      <c r="N411" s="8" t="b">
        <f aca="false">IF(M411=0,FALSE(),F411&lt;Controls!$B$12)</f>
        <v>1</v>
      </c>
      <c r="O411" s="11" t="n">
        <f aca="false">IF(N411,IF(INDEX('Scenario inputs'!$E$4:$E$213,M411)=0,1,INDEX('Scenario inputs'!$F$4:$M$213,M411,MIN(MAX(F411-G411,0),INDEX('Scenario inputs'!$E$4:$E$213,M411)-1)+1)),0)</f>
        <v>0.107143</v>
      </c>
      <c r="P411" s="11" t="n">
        <f aca="false">H411*O411</f>
        <v>18621.4534</v>
      </c>
      <c r="Q411" s="0" t="str">
        <f aca="false">IF(M411=0,"",IF(ISNUMBER(INDEX('Scenario inputs'!$N$4:$N$213,M411)),INDEX('Scenario inputs'!$N$4:$N$213,M411),""))</f>
        <v/>
      </c>
      <c r="R411" s="0" t="str">
        <f aca="false">IF(NOT(N411),"",IF(OR(E411="cash",E411="revenue"),E411,IF(E411="avoided_cost",IF(AND(I411,LEN(TRIM(J411))&gt;0),"avoided_cost_realised","avoided_cost_beside"),IF(ISNUMBER(Q411),"capacity_converted","capacity_hours"))))</f>
        <v>cash</v>
      </c>
      <c r="S411" s="11" t="n">
        <f aca="false">IF(OR(R411="",R411="capacity_hours"),0,IF(R411="capacity_converted",P411*Q411,P411))</f>
        <v>18621.4534</v>
      </c>
      <c r="T411" s="11" t="n">
        <f aca="false">IF(OR(R411="cash",R411="revenue",R411="avoided_cost_realised",R411="capacity_converted"),1,0)</f>
        <v>1</v>
      </c>
      <c r="U411" s="11" t="n">
        <f aca="false">IF(AND(N411,R411&lt;&gt;"capacity_hours",LEN(K411)&gt;0),1,0)</f>
        <v>1</v>
      </c>
      <c r="V411" s="11" t="n">
        <f aca="false">IF(U411=1,SUMPRODUCT(($K$4:$K$703=K411)*($F$4:$F$703=F411)*($U$4:$U$703=1)*($B$4:$B$703&lt;&gt;B411)),0)</f>
        <v>0</v>
      </c>
      <c r="W411" s="11" t="n">
        <f aca="false">IF(AND(U411=1,V411&gt;0),1+SUMPRODUCT(($K$4:$K$703=K411)*($F$4:$F$703=F411)*($U$4:$U$703=1)*($S$4:$S$703&gt;S411))+SUMPRODUCT(($K$4:$K$703=K411)*($F$4:$F$703=F411)*($U$4:$U$703=1)*($S$4:$S$703=S411)*($T$4:$T$703&gt;T411))+SUMPRODUCT(($K$4:$K$703=K411)*($F$4:$F$703=F411)*($U$4:$U$703=1)*($S$4:$S$703=S411)*($T$4:$T$703=T411)*($C$4:$C$703&lt;C411))+SUMPRODUCT(($K$4:$K$703=K411)*($F$4:$F$703=F411)*($U$4:$U$703=1)*($S$4:$S$703=S411)*($T$4:$T$703=T411)*($C$4:$C$703=C411)*($D$4:$D$703&lt;D411)),0)</f>
        <v>0</v>
      </c>
      <c r="X411" s="11" t="n">
        <f aca="false">IF(AND(U411=1,V411&gt;0,W411&gt;1),S411,0)</f>
        <v>0</v>
      </c>
      <c r="Y411" s="11" t="n">
        <f aca="false">IF(T411=1,X411/(1+Controls!$B$11)^F411,0)</f>
        <v>0</v>
      </c>
      <c r="Z411" s="11" t="n">
        <f aca="false">IF(AND(N411,E411="capacity",LEN(K411)&gt;0),1,0)</f>
        <v>0</v>
      </c>
      <c r="AA411" s="11" t="n">
        <f aca="false">IF(Z411=1,SUMPRODUCT(($K$4:$K$703=K411)*($F$4:$F$703=F411)*($Z$4:$Z$703=1)*($B$4:$B$703&lt;&gt;B411)),0)</f>
        <v>0</v>
      </c>
      <c r="AB411" s="11" t="n">
        <f aca="false">IF(AND(Z411=1,AA411&gt;0),1+SUMPRODUCT(($K$4:$K$703=K411)*($F$4:$F$703=F411)*($Z$4:$Z$703=1)*($P$4:$P$703&gt;P411))+SUMPRODUCT(($K$4:$K$703=K411)*($F$4:$F$703=F411)*($Z$4:$Z$703=1)*($P$4:$P$703=P411)*($C$4:$C$703&lt;C411))+SUMPRODUCT(($K$4:$K$703=K411)*($F$4:$F$703=F411)*($Z$4:$Z$703=1)*($P$4:$P$703=P411)*($C$4:$C$703=C411)*($D$4:$D$703&lt;D411)),0)</f>
        <v>0</v>
      </c>
      <c r="AC411" s="11" t="n">
        <f aca="false">IF(AND(Z411=1,AA411&gt;0,AB411&gt;1),P411,0)</f>
        <v>0</v>
      </c>
    </row>
    <row r="412" customFormat="false" ht="15" hidden="false" customHeight="false" outlineLevel="0" collapsed="false">
      <c r="A412" s="4" t="s">
        <v>651</v>
      </c>
      <c r="B412" s="4" t="s">
        <v>96</v>
      </c>
      <c r="C412" s="4" t="n">
        <v>14</v>
      </c>
      <c r="D412" s="4" t="n">
        <v>409</v>
      </c>
      <c r="E412" s="4" t="s">
        <v>112</v>
      </c>
      <c r="F412" s="4" t="n">
        <v>7</v>
      </c>
      <c r="G412" s="4" t="n">
        <v>5</v>
      </c>
      <c r="H412" s="4" t="n">
        <v>173800</v>
      </c>
      <c r="I412" s="13" t="b">
        <f aca="false">FALSE()</f>
        <v>0</v>
      </c>
      <c r="K412" s="4" t="s">
        <v>649</v>
      </c>
      <c r="L412" s="4" t="n">
        <v>3985.59</v>
      </c>
      <c r="M412" s="11" t="n">
        <f aca="false">IFERROR(MATCH(Controls!$B$3&amp;"|"&amp;B412,'Scenario inputs'!$A$4:$A$213,0),0)</f>
        <v>145</v>
      </c>
      <c r="N412" s="8" t="b">
        <f aca="false">IF(M412=0,FALSE(),F412&lt;Controls!$B$12)</f>
        <v>1</v>
      </c>
      <c r="O412" s="11" t="n">
        <f aca="false">IF(N412,IF(INDEX('Scenario inputs'!$E$4:$E$213,M412)=0,1,INDEX('Scenario inputs'!$F$4:$M$213,M412,MIN(MAX(F412-G412,0),INDEX('Scenario inputs'!$E$4:$E$213,M412)-1)+1)),0)</f>
        <v>0.214286</v>
      </c>
      <c r="P412" s="11" t="n">
        <f aca="false">H412*O412</f>
        <v>37242.9068</v>
      </c>
      <c r="Q412" s="0" t="str">
        <f aca="false">IF(M412=0,"",IF(ISNUMBER(INDEX('Scenario inputs'!$N$4:$N$213,M412)),INDEX('Scenario inputs'!$N$4:$N$213,M412),""))</f>
        <v/>
      </c>
      <c r="R412" s="0" t="str">
        <f aca="false">IF(NOT(N412),"",IF(OR(E412="cash",E412="revenue"),E412,IF(E412="avoided_cost",IF(AND(I412,LEN(TRIM(J412))&gt;0),"avoided_cost_realised","avoided_cost_beside"),IF(ISNUMBER(Q412),"capacity_converted","capacity_hours"))))</f>
        <v>cash</v>
      </c>
      <c r="S412" s="11" t="n">
        <f aca="false">IF(OR(R412="",R412="capacity_hours"),0,IF(R412="capacity_converted",P412*Q412,P412))</f>
        <v>37242.9068</v>
      </c>
      <c r="T412" s="11" t="n">
        <f aca="false">IF(OR(R412="cash",R412="revenue",R412="avoided_cost_realised",R412="capacity_converted"),1,0)</f>
        <v>1</v>
      </c>
      <c r="U412" s="11" t="n">
        <f aca="false">IF(AND(N412,R412&lt;&gt;"capacity_hours",LEN(K412)&gt;0),1,0)</f>
        <v>1</v>
      </c>
      <c r="V412" s="11" t="n">
        <f aca="false">IF(U412=1,SUMPRODUCT(($K$4:$K$703=K412)*($F$4:$F$703=F412)*($U$4:$U$703=1)*($B$4:$B$703&lt;&gt;B412)),0)</f>
        <v>0</v>
      </c>
      <c r="W412" s="11" t="n">
        <f aca="false">IF(AND(U412=1,V412&gt;0),1+SUMPRODUCT(($K$4:$K$703=K412)*($F$4:$F$703=F412)*($U$4:$U$703=1)*($S$4:$S$703&gt;S412))+SUMPRODUCT(($K$4:$K$703=K412)*($F$4:$F$703=F412)*($U$4:$U$703=1)*($S$4:$S$703=S412)*($T$4:$T$703&gt;T412))+SUMPRODUCT(($K$4:$K$703=K412)*($F$4:$F$703=F412)*($U$4:$U$703=1)*($S$4:$S$703=S412)*($T$4:$T$703=T412)*($C$4:$C$703&lt;C412))+SUMPRODUCT(($K$4:$K$703=K412)*($F$4:$F$703=F412)*($U$4:$U$703=1)*($S$4:$S$703=S412)*($T$4:$T$703=T412)*($C$4:$C$703=C412)*($D$4:$D$703&lt;D412)),0)</f>
        <v>0</v>
      </c>
      <c r="X412" s="11" t="n">
        <f aca="false">IF(AND(U412=1,V412&gt;0,W412&gt;1),S412,0)</f>
        <v>0</v>
      </c>
      <c r="Y412" s="11" t="n">
        <f aca="false">IF(T412=1,X412/(1+Controls!$B$11)^F412,0)</f>
        <v>0</v>
      </c>
      <c r="Z412" s="11" t="n">
        <f aca="false">IF(AND(N412,E412="capacity",LEN(K412)&gt;0),1,0)</f>
        <v>0</v>
      </c>
      <c r="AA412" s="11" t="n">
        <f aca="false">IF(Z412=1,SUMPRODUCT(($K$4:$K$703=K412)*($F$4:$F$703=F412)*($Z$4:$Z$703=1)*($B$4:$B$703&lt;&gt;B412)),0)</f>
        <v>0</v>
      </c>
      <c r="AB412" s="11" t="n">
        <f aca="false">IF(AND(Z412=1,AA412&gt;0),1+SUMPRODUCT(($K$4:$K$703=K412)*($F$4:$F$703=F412)*($Z$4:$Z$703=1)*($P$4:$P$703&gt;P412))+SUMPRODUCT(($K$4:$K$703=K412)*($F$4:$F$703=F412)*($Z$4:$Z$703=1)*($P$4:$P$703=P412)*($C$4:$C$703&lt;C412))+SUMPRODUCT(($K$4:$K$703=K412)*($F$4:$F$703=F412)*($Z$4:$Z$703=1)*($P$4:$P$703=P412)*($C$4:$C$703=C412)*($D$4:$D$703&lt;D412)),0)</f>
        <v>0</v>
      </c>
      <c r="AC412" s="11" t="n">
        <f aca="false">IF(AND(Z412=1,AA412&gt;0,AB412&gt;1),P412,0)</f>
        <v>0</v>
      </c>
    </row>
    <row r="413" customFormat="false" ht="15" hidden="false" customHeight="false" outlineLevel="0" collapsed="false">
      <c r="A413" s="4" t="s">
        <v>652</v>
      </c>
      <c r="B413" s="4" t="s">
        <v>96</v>
      </c>
      <c r="C413" s="4" t="n">
        <v>14</v>
      </c>
      <c r="D413" s="4" t="n">
        <v>410</v>
      </c>
      <c r="E413" s="4" t="s">
        <v>112</v>
      </c>
      <c r="F413" s="4" t="n">
        <v>8</v>
      </c>
      <c r="G413" s="4" t="n">
        <v>5</v>
      </c>
      <c r="H413" s="4" t="n">
        <v>173800</v>
      </c>
      <c r="I413" s="13" t="b">
        <f aca="false">FALSE()</f>
        <v>0</v>
      </c>
      <c r="K413" s="4" t="s">
        <v>649</v>
      </c>
      <c r="L413" s="4" t="n">
        <v>6845.98</v>
      </c>
      <c r="M413" s="11" t="n">
        <f aca="false">IFERROR(MATCH(Controls!$B$3&amp;"|"&amp;B413,'Scenario inputs'!$A$4:$A$213,0),0)</f>
        <v>145</v>
      </c>
      <c r="N413" s="8" t="b">
        <f aca="false">IF(M413=0,FALSE(),F413&lt;Controls!$B$12)</f>
        <v>1</v>
      </c>
      <c r="O413" s="11" t="n">
        <f aca="false">IF(N413,IF(INDEX('Scenario inputs'!$E$4:$E$213,M413)=0,1,INDEX('Scenario inputs'!$F$4:$M$213,M413,MIN(MAX(F413-G413,0),INDEX('Scenario inputs'!$E$4:$E$213,M413)-1)+1)),0)</f>
        <v>0.357143</v>
      </c>
      <c r="P413" s="11" t="n">
        <f aca="false">H413*O413</f>
        <v>62071.4534</v>
      </c>
      <c r="Q413" s="0" t="str">
        <f aca="false">IF(M413=0,"",IF(ISNUMBER(INDEX('Scenario inputs'!$N$4:$N$213,M413)),INDEX('Scenario inputs'!$N$4:$N$213,M413),""))</f>
        <v/>
      </c>
      <c r="R413" s="0" t="str">
        <f aca="false">IF(NOT(N413),"",IF(OR(E413="cash",E413="revenue"),E413,IF(E413="avoided_cost",IF(AND(I413,LEN(TRIM(J413))&gt;0),"avoided_cost_realised","avoided_cost_beside"),IF(ISNUMBER(Q413),"capacity_converted","capacity_hours"))))</f>
        <v>cash</v>
      </c>
      <c r="S413" s="11" t="n">
        <f aca="false">IF(OR(R413="",R413="capacity_hours"),0,IF(R413="capacity_converted",P413*Q413,P413))</f>
        <v>62071.4534</v>
      </c>
      <c r="T413" s="11" t="n">
        <f aca="false">IF(OR(R413="cash",R413="revenue",R413="avoided_cost_realised",R413="capacity_converted"),1,0)</f>
        <v>1</v>
      </c>
      <c r="U413" s="11" t="n">
        <f aca="false">IF(AND(N413,R413&lt;&gt;"capacity_hours",LEN(K413)&gt;0),1,0)</f>
        <v>1</v>
      </c>
      <c r="V413" s="11" t="n">
        <f aca="false">IF(U413=1,SUMPRODUCT(($K$4:$K$703=K413)*($F$4:$F$703=F413)*($U$4:$U$703=1)*($B$4:$B$703&lt;&gt;B413)),0)</f>
        <v>0</v>
      </c>
      <c r="W413" s="11" t="n">
        <f aca="false">IF(AND(U413=1,V413&gt;0),1+SUMPRODUCT(($K$4:$K$703=K413)*($F$4:$F$703=F413)*($U$4:$U$703=1)*($S$4:$S$703&gt;S413))+SUMPRODUCT(($K$4:$K$703=K413)*($F$4:$F$703=F413)*($U$4:$U$703=1)*($S$4:$S$703=S413)*($T$4:$T$703&gt;T413))+SUMPRODUCT(($K$4:$K$703=K413)*($F$4:$F$703=F413)*($U$4:$U$703=1)*($S$4:$S$703=S413)*($T$4:$T$703=T413)*($C$4:$C$703&lt;C413))+SUMPRODUCT(($K$4:$K$703=K413)*($F$4:$F$703=F413)*($U$4:$U$703=1)*($S$4:$S$703=S413)*($T$4:$T$703=T413)*($C$4:$C$703=C413)*($D$4:$D$703&lt;D413)),0)</f>
        <v>0</v>
      </c>
      <c r="X413" s="11" t="n">
        <f aca="false">IF(AND(U413=1,V413&gt;0,W413&gt;1),S413,0)</f>
        <v>0</v>
      </c>
      <c r="Y413" s="11" t="n">
        <f aca="false">IF(T413=1,X413/(1+Controls!$B$11)^F413,0)</f>
        <v>0</v>
      </c>
      <c r="Z413" s="11" t="n">
        <f aca="false">IF(AND(N413,E413="capacity",LEN(K413)&gt;0),1,0)</f>
        <v>0</v>
      </c>
      <c r="AA413" s="11" t="n">
        <f aca="false">IF(Z413=1,SUMPRODUCT(($K$4:$K$703=K413)*($F$4:$F$703=F413)*($Z$4:$Z$703=1)*($B$4:$B$703&lt;&gt;B413)),0)</f>
        <v>0</v>
      </c>
      <c r="AB413" s="11" t="n">
        <f aca="false">IF(AND(Z413=1,AA413&gt;0),1+SUMPRODUCT(($K$4:$K$703=K413)*($F$4:$F$703=F413)*($Z$4:$Z$703=1)*($P$4:$P$703&gt;P413))+SUMPRODUCT(($K$4:$K$703=K413)*($F$4:$F$703=F413)*($Z$4:$Z$703=1)*($P$4:$P$703=P413)*($C$4:$C$703&lt;C413))+SUMPRODUCT(($K$4:$K$703=K413)*($F$4:$F$703=F413)*($Z$4:$Z$703=1)*($P$4:$P$703=P413)*($C$4:$C$703=C413)*($D$4:$D$703&lt;D413)),0)</f>
        <v>0</v>
      </c>
      <c r="AC413" s="11" t="n">
        <f aca="false">IF(AND(Z413=1,AA413&gt;0,AB413&gt;1),P413,0)</f>
        <v>0</v>
      </c>
    </row>
    <row r="414" customFormat="false" ht="15" hidden="false" customHeight="false" outlineLevel="0" collapsed="false">
      <c r="A414" s="4" t="s">
        <v>653</v>
      </c>
      <c r="B414" s="4" t="s">
        <v>96</v>
      </c>
      <c r="C414" s="4" t="n">
        <v>14</v>
      </c>
      <c r="D414" s="4" t="n">
        <v>411</v>
      </c>
      <c r="E414" s="4" t="s">
        <v>112</v>
      </c>
      <c r="F414" s="4" t="n">
        <v>9</v>
      </c>
      <c r="G414" s="4" t="n">
        <v>5</v>
      </c>
      <c r="H414" s="4" t="n">
        <v>173800</v>
      </c>
      <c r="I414" s="13" t="b">
        <f aca="false">FALSE()</f>
        <v>0</v>
      </c>
      <c r="K414" s="4" t="s">
        <v>649</v>
      </c>
      <c r="L414" s="4" t="n">
        <v>13556.39</v>
      </c>
      <c r="M414" s="11" t="n">
        <f aca="false">IFERROR(MATCH(Controls!$B$3&amp;"|"&amp;B414,'Scenario inputs'!$A$4:$A$213,0),0)</f>
        <v>145</v>
      </c>
      <c r="N414" s="8" t="b">
        <f aca="false">IF(M414=0,FALSE(),F414&lt;Controls!$B$12)</f>
        <v>1</v>
      </c>
      <c r="O414" s="11" t="n">
        <f aca="false">IF(N414,IF(INDEX('Scenario inputs'!$E$4:$E$213,M414)=0,1,INDEX('Scenario inputs'!$F$4:$M$213,M414,MIN(MAX(F414-G414,0),INDEX('Scenario inputs'!$E$4:$E$213,M414)-1)+1)),0)</f>
        <v>0.535714</v>
      </c>
      <c r="P414" s="11" t="n">
        <f aca="false">H414*O414</f>
        <v>93107.0932</v>
      </c>
      <c r="Q414" s="0" t="str">
        <f aca="false">IF(M414=0,"",IF(ISNUMBER(INDEX('Scenario inputs'!$N$4:$N$213,M414)),INDEX('Scenario inputs'!$N$4:$N$213,M414),""))</f>
        <v/>
      </c>
      <c r="R414" s="0" t="str">
        <f aca="false">IF(NOT(N414),"",IF(OR(E414="cash",E414="revenue"),E414,IF(E414="avoided_cost",IF(AND(I414,LEN(TRIM(J414))&gt;0),"avoided_cost_realised","avoided_cost_beside"),IF(ISNUMBER(Q414),"capacity_converted","capacity_hours"))))</f>
        <v>cash</v>
      </c>
      <c r="S414" s="11" t="n">
        <f aca="false">IF(OR(R414="",R414="capacity_hours"),0,IF(R414="capacity_converted",P414*Q414,P414))</f>
        <v>93107.0932</v>
      </c>
      <c r="T414" s="11" t="n">
        <f aca="false">IF(OR(R414="cash",R414="revenue",R414="avoided_cost_realised",R414="capacity_converted"),1,0)</f>
        <v>1</v>
      </c>
      <c r="U414" s="11" t="n">
        <f aca="false">IF(AND(N414,R414&lt;&gt;"capacity_hours",LEN(K414)&gt;0),1,0)</f>
        <v>1</v>
      </c>
      <c r="V414" s="11" t="n">
        <f aca="false">IF(U414=1,SUMPRODUCT(($K$4:$K$703=K414)*($F$4:$F$703=F414)*($U$4:$U$703=1)*($B$4:$B$703&lt;&gt;B414)),0)</f>
        <v>0</v>
      </c>
      <c r="W414" s="11" t="n">
        <f aca="false">IF(AND(U414=1,V414&gt;0),1+SUMPRODUCT(($K$4:$K$703=K414)*($F$4:$F$703=F414)*($U$4:$U$703=1)*($S$4:$S$703&gt;S414))+SUMPRODUCT(($K$4:$K$703=K414)*($F$4:$F$703=F414)*($U$4:$U$703=1)*($S$4:$S$703=S414)*($T$4:$T$703&gt;T414))+SUMPRODUCT(($K$4:$K$703=K414)*($F$4:$F$703=F414)*($U$4:$U$703=1)*($S$4:$S$703=S414)*($T$4:$T$703=T414)*($C$4:$C$703&lt;C414))+SUMPRODUCT(($K$4:$K$703=K414)*($F$4:$F$703=F414)*($U$4:$U$703=1)*($S$4:$S$703=S414)*($T$4:$T$703=T414)*($C$4:$C$703=C414)*($D$4:$D$703&lt;D414)),0)</f>
        <v>0</v>
      </c>
      <c r="X414" s="11" t="n">
        <f aca="false">IF(AND(U414=1,V414&gt;0,W414&gt;1),S414,0)</f>
        <v>0</v>
      </c>
      <c r="Y414" s="11" t="n">
        <f aca="false">IF(T414=1,X414/(1+Controls!$B$11)^F414,0)</f>
        <v>0</v>
      </c>
      <c r="Z414" s="11" t="n">
        <f aca="false">IF(AND(N414,E414="capacity",LEN(K414)&gt;0),1,0)</f>
        <v>0</v>
      </c>
      <c r="AA414" s="11" t="n">
        <f aca="false">IF(Z414=1,SUMPRODUCT(($K$4:$K$703=K414)*($F$4:$F$703=F414)*($Z$4:$Z$703=1)*($B$4:$B$703&lt;&gt;B414)),0)</f>
        <v>0</v>
      </c>
      <c r="AB414" s="11" t="n">
        <f aca="false">IF(AND(Z414=1,AA414&gt;0),1+SUMPRODUCT(($K$4:$K$703=K414)*($F$4:$F$703=F414)*($Z$4:$Z$703=1)*($P$4:$P$703&gt;P414))+SUMPRODUCT(($K$4:$K$703=K414)*($F$4:$F$703=F414)*($Z$4:$Z$703=1)*($P$4:$P$703=P414)*($C$4:$C$703&lt;C414))+SUMPRODUCT(($K$4:$K$703=K414)*($F$4:$F$703=F414)*($Z$4:$Z$703=1)*($P$4:$P$703=P414)*($C$4:$C$703=C414)*($D$4:$D$703&lt;D414)),0)</f>
        <v>0</v>
      </c>
      <c r="AC414" s="11" t="n">
        <f aca="false">IF(AND(Z414=1,AA414&gt;0,AB414&gt;1),P414,0)</f>
        <v>0</v>
      </c>
    </row>
    <row r="415" customFormat="false" ht="15" hidden="false" customHeight="false" outlineLevel="0" collapsed="false">
      <c r="A415" s="4" t="s">
        <v>654</v>
      </c>
      <c r="B415" s="4" t="s">
        <v>96</v>
      </c>
      <c r="C415" s="4" t="n">
        <v>14</v>
      </c>
      <c r="D415" s="4" t="n">
        <v>412</v>
      </c>
      <c r="E415" s="4" t="s">
        <v>112</v>
      </c>
      <c r="F415" s="4" t="n">
        <v>10</v>
      </c>
      <c r="G415" s="4" t="n">
        <v>5</v>
      </c>
      <c r="H415" s="4" t="n">
        <v>173800</v>
      </c>
      <c r="I415" s="13" t="b">
        <f aca="false">FALSE()</f>
        <v>0</v>
      </c>
      <c r="K415" s="4" t="s">
        <v>649</v>
      </c>
      <c r="L415" s="4" t="n">
        <v>18978.96</v>
      </c>
      <c r="M415" s="11" t="n">
        <f aca="false">IFERROR(MATCH(Controls!$B$3&amp;"|"&amp;B415,'Scenario inputs'!$A$4:$A$213,0),0)</f>
        <v>145</v>
      </c>
      <c r="N415" s="8" t="b">
        <f aca="false">IF(M415=0,FALSE(),F415&lt;Controls!$B$12)</f>
        <v>1</v>
      </c>
      <c r="O415" s="11" t="n">
        <f aca="false">IF(N415,IF(INDEX('Scenario inputs'!$E$4:$E$213,M415)=0,1,INDEX('Scenario inputs'!$F$4:$M$213,M415,MIN(MAX(F415-G415,0),INDEX('Scenario inputs'!$E$4:$E$213,M415)-1)+1)),0)</f>
        <v>0.75</v>
      </c>
      <c r="P415" s="11" t="n">
        <f aca="false">H415*O415</f>
        <v>130350</v>
      </c>
      <c r="Q415" s="0" t="str">
        <f aca="false">IF(M415=0,"",IF(ISNUMBER(INDEX('Scenario inputs'!$N$4:$N$213,M415)),INDEX('Scenario inputs'!$N$4:$N$213,M415),""))</f>
        <v/>
      </c>
      <c r="R415" s="0" t="str">
        <f aca="false">IF(NOT(N415),"",IF(OR(E415="cash",E415="revenue"),E415,IF(E415="avoided_cost",IF(AND(I415,LEN(TRIM(J415))&gt;0),"avoided_cost_realised","avoided_cost_beside"),IF(ISNUMBER(Q415),"capacity_converted","capacity_hours"))))</f>
        <v>cash</v>
      </c>
      <c r="S415" s="11" t="n">
        <f aca="false">IF(OR(R415="",R415="capacity_hours"),0,IF(R415="capacity_converted",P415*Q415,P415))</f>
        <v>130350</v>
      </c>
      <c r="T415" s="11" t="n">
        <f aca="false">IF(OR(R415="cash",R415="revenue",R415="avoided_cost_realised",R415="capacity_converted"),1,0)</f>
        <v>1</v>
      </c>
      <c r="U415" s="11" t="n">
        <f aca="false">IF(AND(N415,R415&lt;&gt;"capacity_hours",LEN(K415)&gt;0),1,0)</f>
        <v>1</v>
      </c>
      <c r="V415" s="11" t="n">
        <f aca="false">IF(U415=1,SUMPRODUCT(($K$4:$K$703=K415)*($F$4:$F$703=F415)*($U$4:$U$703=1)*($B$4:$B$703&lt;&gt;B415)),0)</f>
        <v>0</v>
      </c>
      <c r="W415" s="11" t="n">
        <f aca="false">IF(AND(U415=1,V415&gt;0),1+SUMPRODUCT(($K$4:$K$703=K415)*($F$4:$F$703=F415)*($U$4:$U$703=1)*($S$4:$S$703&gt;S415))+SUMPRODUCT(($K$4:$K$703=K415)*($F$4:$F$703=F415)*($U$4:$U$703=1)*($S$4:$S$703=S415)*($T$4:$T$703&gt;T415))+SUMPRODUCT(($K$4:$K$703=K415)*($F$4:$F$703=F415)*($U$4:$U$703=1)*($S$4:$S$703=S415)*($T$4:$T$703=T415)*($C$4:$C$703&lt;C415))+SUMPRODUCT(($K$4:$K$703=K415)*($F$4:$F$703=F415)*($U$4:$U$703=1)*($S$4:$S$703=S415)*($T$4:$T$703=T415)*($C$4:$C$703=C415)*($D$4:$D$703&lt;D415)),0)</f>
        <v>0</v>
      </c>
      <c r="X415" s="11" t="n">
        <f aca="false">IF(AND(U415=1,V415&gt;0,W415&gt;1),S415,0)</f>
        <v>0</v>
      </c>
      <c r="Y415" s="11" t="n">
        <f aca="false">IF(T415=1,X415/(1+Controls!$B$11)^F415,0)</f>
        <v>0</v>
      </c>
      <c r="Z415" s="11" t="n">
        <f aca="false">IF(AND(N415,E415="capacity",LEN(K415)&gt;0),1,0)</f>
        <v>0</v>
      </c>
      <c r="AA415" s="11" t="n">
        <f aca="false">IF(Z415=1,SUMPRODUCT(($K$4:$K$703=K415)*($F$4:$F$703=F415)*($Z$4:$Z$703=1)*($B$4:$B$703&lt;&gt;B415)),0)</f>
        <v>0</v>
      </c>
      <c r="AB415" s="11" t="n">
        <f aca="false">IF(AND(Z415=1,AA415&gt;0),1+SUMPRODUCT(($K$4:$K$703=K415)*($F$4:$F$703=F415)*($Z$4:$Z$703=1)*($P$4:$P$703&gt;P415))+SUMPRODUCT(($K$4:$K$703=K415)*($F$4:$F$703=F415)*($Z$4:$Z$703=1)*($P$4:$P$703=P415)*($C$4:$C$703&lt;C415))+SUMPRODUCT(($K$4:$K$703=K415)*($F$4:$F$703=F415)*($Z$4:$Z$703=1)*($P$4:$P$703=P415)*($C$4:$C$703=C415)*($D$4:$D$703&lt;D415)),0)</f>
        <v>0</v>
      </c>
      <c r="AC415" s="11" t="n">
        <f aca="false">IF(AND(Z415=1,AA415&gt;0,AB415&gt;1),P415,0)</f>
        <v>0</v>
      </c>
    </row>
    <row r="416" customFormat="false" ht="15" hidden="false" customHeight="false" outlineLevel="0" collapsed="false">
      <c r="A416" s="4" t="s">
        <v>655</v>
      </c>
      <c r="B416" s="4" t="s">
        <v>96</v>
      </c>
      <c r="C416" s="4" t="n">
        <v>14</v>
      </c>
      <c r="D416" s="4" t="n">
        <v>413</v>
      </c>
      <c r="E416" s="4" t="s">
        <v>112</v>
      </c>
      <c r="F416" s="4" t="n">
        <v>11</v>
      </c>
      <c r="G416" s="4" t="n">
        <v>5</v>
      </c>
      <c r="H416" s="4" t="n">
        <v>173800</v>
      </c>
      <c r="I416" s="13" t="b">
        <f aca="false">FALSE()</f>
        <v>0</v>
      </c>
      <c r="K416" s="4" t="s">
        <v>649</v>
      </c>
      <c r="L416" s="4" t="n">
        <v>25305.28</v>
      </c>
      <c r="M416" s="11" t="n">
        <f aca="false">IFERROR(MATCH(Controls!$B$3&amp;"|"&amp;B416,'Scenario inputs'!$A$4:$A$213,0),0)</f>
        <v>145</v>
      </c>
      <c r="N416" s="8" t="b">
        <f aca="false">IF(M416=0,FALSE(),F416&lt;Controls!$B$12)</f>
        <v>1</v>
      </c>
      <c r="O416" s="11" t="n">
        <f aca="false">IF(N416,IF(INDEX('Scenario inputs'!$E$4:$E$213,M416)=0,1,INDEX('Scenario inputs'!$F$4:$M$213,M416,MIN(MAX(F416-G416,0),INDEX('Scenario inputs'!$E$4:$E$213,M416)-1)+1)),0)</f>
        <v>1</v>
      </c>
      <c r="P416" s="11" t="n">
        <f aca="false">H416*O416</f>
        <v>173800</v>
      </c>
      <c r="Q416" s="0" t="str">
        <f aca="false">IF(M416=0,"",IF(ISNUMBER(INDEX('Scenario inputs'!$N$4:$N$213,M416)),INDEX('Scenario inputs'!$N$4:$N$213,M416),""))</f>
        <v/>
      </c>
      <c r="R416" s="0" t="str">
        <f aca="false">IF(NOT(N416),"",IF(OR(E416="cash",E416="revenue"),E416,IF(E416="avoided_cost",IF(AND(I416,LEN(TRIM(J416))&gt;0),"avoided_cost_realised","avoided_cost_beside"),IF(ISNUMBER(Q416),"capacity_converted","capacity_hours"))))</f>
        <v>cash</v>
      </c>
      <c r="S416" s="11" t="n">
        <f aca="false">IF(OR(R416="",R416="capacity_hours"),0,IF(R416="capacity_converted",P416*Q416,P416))</f>
        <v>173800</v>
      </c>
      <c r="T416" s="11" t="n">
        <f aca="false">IF(OR(R416="cash",R416="revenue",R416="avoided_cost_realised",R416="capacity_converted"),1,0)</f>
        <v>1</v>
      </c>
      <c r="U416" s="11" t="n">
        <f aca="false">IF(AND(N416,R416&lt;&gt;"capacity_hours",LEN(K416)&gt;0),1,0)</f>
        <v>1</v>
      </c>
      <c r="V416" s="11" t="n">
        <f aca="false">IF(U416=1,SUMPRODUCT(($K$4:$K$703=K416)*($F$4:$F$703=F416)*($U$4:$U$703=1)*($B$4:$B$703&lt;&gt;B416)),0)</f>
        <v>0</v>
      </c>
      <c r="W416" s="11" t="n">
        <f aca="false">IF(AND(U416=1,V416&gt;0),1+SUMPRODUCT(($K$4:$K$703=K416)*($F$4:$F$703=F416)*($U$4:$U$703=1)*($S$4:$S$703&gt;S416))+SUMPRODUCT(($K$4:$K$703=K416)*($F$4:$F$703=F416)*($U$4:$U$703=1)*($S$4:$S$703=S416)*($T$4:$T$703&gt;T416))+SUMPRODUCT(($K$4:$K$703=K416)*($F$4:$F$703=F416)*($U$4:$U$703=1)*($S$4:$S$703=S416)*($T$4:$T$703=T416)*($C$4:$C$703&lt;C416))+SUMPRODUCT(($K$4:$K$703=K416)*($F$4:$F$703=F416)*($U$4:$U$703=1)*($S$4:$S$703=S416)*($T$4:$T$703=T416)*($C$4:$C$703=C416)*($D$4:$D$703&lt;D416)),0)</f>
        <v>0</v>
      </c>
      <c r="X416" s="11" t="n">
        <f aca="false">IF(AND(U416=1,V416&gt;0,W416&gt;1),S416,0)</f>
        <v>0</v>
      </c>
      <c r="Y416" s="11" t="n">
        <f aca="false">IF(T416=1,X416/(1+Controls!$B$11)^F416,0)</f>
        <v>0</v>
      </c>
      <c r="Z416" s="11" t="n">
        <f aca="false">IF(AND(N416,E416="capacity",LEN(K416)&gt;0),1,0)</f>
        <v>0</v>
      </c>
      <c r="AA416" s="11" t="n">
        <f aca="false">IF(Z416=1,SUMPRODUCT(($K$4:$K$703=K416)*($F$4:$F$703=F416)*($Z$4:$Z$703=1)*($B$4:$B$703&lt;&gt;B416)),0)</f>
        <v>0</v>
      </c>
      <c r="AB416" s="11" t="n">
        <f aca="false">IF(AND(Z416=1,AA416&gt;0),1+SUMPRODUCT(($K$4:$K$703=K416)*($F$4:$F$703=F416)*($Z$4:$Z$703=1)*($P$4:$P$703&gt;P416))+SUMPRODUCT(($K$4:$K$703=K416)*($F$4:$F$703=F416)*($Z$4:$Z$703=1)*($P$4:$P$703=P416)*($C$4:$C$703&lt;C416))+SUMPRODUCT(($K$4:$K$703=K416)*($F$4:$F$703=F416)*($Z$4:$Z$703=1)*($P$4:$P$703=P416)*($C$4:$C$703=C416)*($D$4:$D$703&lt;D416)),0)</f>
        <v>0</v>
      </c>
      <c r="AC416" s="11" t="n">
        <f aca="false">IF(AND(Z416=1,AA416&gt;0,AB416&gt;1),P416,0)</f>
        <v>0</v>
      </c>
    </row>
    <row r="417" customFormat="false" ht="15" hidden="false" customHeight="false" outlineLevel="0" collapsed="false">
      <c r="A417" s="4" t="s">
        <v>656</v>
      </c>
      <c r="B417" s="4" t="s">
        <v>96</v>
      </c>
      <c r="C417" s="4" t="n">
        <v>14</v>
      </c>
      <c r="D417" s="4" t="n">
        <v>414</v>
      </c>
      <c r="E417" s="4" t="s">
        <v>112</v>
      </c>
      <c r="F417" s="4" t="n">
        <v>12</v>
      </c>
      <c r="G417" s="4" t="n">
        <v>5</v>
      </c>
      <c r="H417" s="4" t="n">
        <v>173800</v>
      </c>
      <c r="I417" s="13" t="b">
        <f aca="false">FALSE()</f>
        <v>0</v>
      </c>
      <c r="K417" s="4" t="s">
        <v>649</v>
      </c>
      <c r="L417" s="4" t="n">
        <v>25305.28</v>
      </c>
      <c r="M417" s="11" t="n">
        <f aca="false">IFERROR(MATCH(Controls!$B$3&amp;"|"&amp;B417,'Scenario inputs'!$A$4:$A$213,0),0)</f>
        <v>145</v>
      </c>
      <c r="N417" s="8" t="b">
        <f aca="false">IF(M417=0,FALSE(),F417&lt;Controls!$B$12)</f>
        <v>1</v>
      </c>
      <c r="O417" s="11" t="n">
        <f aca="false">IF(N417,IF(INDEX('Scenario inputs'!$E$4:$E$213,M417)=0,1,INDEX('Scenario inputs'!$F$4:$M$213,M417,MIN(MAX(F417-G417,0),INDEX('Scenario inputs'!$E$4:$E$213,M417)-1)+1)),0)</f>
        <v>1</v>
      </c>
      <c r="P417" s="11" t="n">
        <f aca="false">H417*O417</f>
        <v>173800</v>
      </c>
      <c r="Q417" s="0" t="str">
        <f aca="false">IF(M417=0,"",IF(ISNUMBER(INDEX('Scenario inputs'!$N$4:$N$213,M417)),INDEX('Scenario inputs'!$N$4:$N$213,M417),""))</f>
        <v/>
      </c>
      <c r="R417" s="0" t="str">
        <f aca="false">IF(NOT(N417),"",IF(OR(E417="cash",E417="revenue"),E417,IF(E417="avoided_cost",IF(AND(I417,LEN(TRIM(J417))&gt;0),"avoided_cost_realised","avoided_cost_beside"),IF(ISNUMBER(Q417),"capacity_converted","capacity_hours"))))</f>
        <v>cash</v>
      </c>
      <c r="S417" s="11" t="n">
        <f aca="false">IF(OR(R417="",R417="capacity_hours"),0,IF(R417="capacity_converted",P417*Q417,P417))</f>
        <v>173800</v>
      </c>
      <c r="T417" s="11" t="n">
        <f aca="false">IF(OR(R417="cash",R417="revenue",R417="avoided_cost_realised",R417="capacity_converted"),1,0)</f>
        <v>1</v>
      </c>
      <c r="U417" s="11" t="n">
        <f aca="false">IF(AND(N417,R417&lt;&gt;"capacity_hours",LEN(K417)&gt;0),1,0)</f>
        <v>1</v>
      </c>
      <c r="V417" s="11" t="n">
        <f aca="false">IF(U417=1,SUMPRODUCT(($K$4:$K$703=K417)*($F$4:$F$703=F417)*($U$4:$U$703=1)*($B$4:$B$703&lt;&gt;B417)),0)</f>
        <v>0</v>
      </c>
      <c r="W417" s="11" t="n">
        <f aca="false">IF(AND(U417=1,V417&gt;0),1+SUMPRODUCT(($K$4:$K$703=K417)*($F$4:$F$703=F417)*($U$4:$U$703=1)*($S$4:$S$703&gt;S417))+SUMPRODUCT(($K$4:$K$703=K417)*($F$4:$F$703=F417)*($U$4:$U$703=1)*($S$4:$S$703=S417)*($T$4:$T$703&gt;T417))+SUMPRODUCT(($K$4:$K$703=K417)*($F$4:$F$703=F417)*($U$4:$U$703=1)*($S$4:$S$703=S417)*($T$4:$T$703=T417)*($C$4:$C$703&lt;C417))+SUMPRODUCT(($K$4:$K$703=K417)*($F$4:$F$703=F417)*($U$4:$U$703=1)*($S$4:$S$703=S417)*($T$4:$T$703=T417)*($C$4:$C$703=C417)*($D$4:$D$703&lt;D417)),0)</f>
        <v>0</v>
      </c>
      <c r="X417" s="11" t="n">
        <f aca="false">IF(AND(U417=1,V417&gt;0,W417&gt;1),S417,0)</f>
        <v>0</v>
      </c>
      <c r="Y417" s="11" t="n">
        <f aca="false">IF(T417=1,X417/(1+Controls!$B$11)^F417,0)</f>
        <v>0</v>
      </c>
      <c r="Z417" s="11" t="n">
        <f aca="false">IF(AND(N417,E417="capacity",LEN(K417)&gt;0),1,0)</f>
        <v>0</v>
      </c>
      <c r="AA417" s="11" t="n">
        <f aca="false">IF(Z417=1,SUMPRODUCT(($K$4:$K$703=K417)*($F$4:$F$703=F417)*($Z$4:$Z$703=1)*($B$4:$B$703&lt;&gt;B417)),0)</f>
        <v>0</v>
      </c>
      <c r="AB417" s="11" t="n">
        <f aca="false">IF(AND(Z417=1,AA417&gt;0),1+SUMPRODUCT(($K$4:$K$703=K417)*($F$4:$F$703=F417)*($Z$4:$Z$703=1)*($P$4:$P$703&gt;P417))+SUMPRODUCT(($K$4:$K$703=K417)*($F$4:$F$703=F417)*($Z$4:$Z$703=1)*($P$4:$P$703=P417)*($C$4:$C$703&lt;C417))+SUMPRODUCT(($K$4:$K$703=K417)*($F$4:$F$703=F417)*($Z$4:$Z$703=1)*($P$4:$P$703=P417)*($C$4:$C$703=C417)*($D$4:$D$703&lt;D417)),0)</f>
        <v>0</v>
      </c>
      <c r="AC417" s="11" t="n">
        <f aca="false">IF(AND(Z417=1,AA417&gt;0,AB417&gt;1),P417,0)</f>
        <v>0</v>
      </c>
    </row>
    <row r="418" customFormat="false" ht="15" hidden="false" customHeight="false" outlineLevel="0" collapsed="false">
      <c r="A418" s="4" t="s">
        <v>657</v>
      </c>
      <c r="B418" s="4" t="s">
        <v>96</v>
      </c>
      <c r="C418" s="4" t="n">
        <v>14</v>
      </c>
      <c r="D418" s="4" t="n">
        <v>415</v>
      </c>
      <c r="E418" s="4" t="s">
        <v>112</v>
      </c>
      <c r="F418" s="4" t="n">
        <v>13</v>
      </c>
      <c r="G418" s="4" t="n">
        <v>5</v>
      </c>
      <c r="H418" s="4" t="n">
        <v>173800</v>
      </c>
      <c r="I418" s="13" t="b">
        <f aca="false">FALSE()</f>
        <v>0</v>
      </c>
      <c r="K418" s="4" t="s">
        <v>649</v>
      </c>
      <c r="L418" s="4" t="n">
        <v>25305.28</v>
      </c>
      <c r="M418" s="11" t="n">
        <f aca="false">IFERROR(MATCH(Controls!$B$3&amp;"|"&amp;B418,'Scenario inputs'!$A$4:$A$213,0),0)</f>
        <v>145</v>
      </c>
      <c r="N418" s="8" t="b">
        <f aca="false">IF(M418=0,FALSE(),F418&lt;Controls!$B$12)</f>
        <v>1</v>
      </c>
      <c r="O418" s="11" t="n">
        <f aca="false">IF(N418,IF(INDEX('Scenario inputs'!$E$4:$E$213,M418)=0,1,INDEX('Scenario inputs'!$F$4:$M$213,M418,MIN(MAX(F418-G418,0),INDEX('Scenario inputs'!$E$4:$E$213,M418)-1)+1)),0)</f>
        <v>1</v>
      </c>
      <c r="P418" s="11" t="n">
        <f aca="false">H418*O418</f>
        <v>173800</v>
      </c>
      <c r="Q418" s="0" t="str">
        <f aca="false">IF(M418=0,"",IF(ISNUMBER(INDEX('Scenario inputs'!$N$4:$N$213,M418)),INDEX('Scenario inputs'!$N$4:$N$213,M418),""))</f>
        <v/>
      </c>
      <c r="R418" s="0" t="str">
        <f aca="false">IF(NOT(N418),"",IF(OR(E418="cash",E418="revenue"),E418,IF(E418="avoided_cost",IF(AND(I418,LEN(TRIM(J418))&gt;0),"avoided_cost_realised","avoided_cost_beside"),IF(ISNUMBER(Q418),"capacity_converted","capacity_hours"))))</f>
        <v>cash</v>
      </c>
      <c r="S418" s="11" t="n">
        <f aca="false">IF(OR(R418="",R418="capacity_hours"),0,IF(R418="capacity_converted",P418*Q418,P418))</f>
        <v>173800</v>
      </c>
      <c r="T418" s="11" t="n">
        <f aca="false">IF(OR(R418="cash",R418="revenue",R418="avoided_cost_realised",R418="capacity_converted"),1,0)</f>
        <v>1</v>
      </c>
      <c r="U418" s="11" t="n">
        <f aca="false">IF(AND(N418,R418&lt;&gt;"capacity_hours",LEN(K418)&gt;0),1,0)</f>
        <v>1</v>
      </c>
      <c r="V418" s="11" t="n">
        <f aca="false">IF(U418=1,SUMPRODUCT(($K$4:$K$703=K418)*($F$4:$F$703=F418)*($U$4:$U$703=1)*($B$4:$B$703&lt;&gt;B418)),0)</f>
        <v>0</v>
      </c>
      <c r="W418" s="11" t="n">
        <f aca="false">IF(AND(U418=1,V418&gt;0),1+SUMPRODUCT(($K$4:$K$703=K418)*($F$4:$F$703=F418)*($U$4:$U$703=1)*($S$4:$S$703&gt;S418))+SUMPRODUCT(($K$4:$K$703=K418)*($F$4:$F$703=F418)*($U$4:$U$703=1)*($S$4:$S$703=S418)*($T$4:$T$703&gt;T418))+SUMPRODUCT(($K$4:$K$703=K418)*($F$4:$F$703=F418)*($U$4:$U$703=1)*($S$4:$S$703=S418)*($T$4:$T$703=T418)*($C$4:$C$703&lt;C418))+SUMPRODUCT(($K$4:$K$703=K418)*($F$4:$F$703=F418)*($U$4:$U$703=1)*($S$4:$S$703=S418)*($T$4:$T$703=T418)*($C$4:$C$703=C418)*($D$4:$D$703&lt;D418)),0)</f>
        <v>0</v>
      </c>
      <c r="X418" s="11" t="n">
        <f aca="false">IF(AND(U418=1,V418&gt;0,W418&gt;1),S418,0)</f>
        <v>0</v>
      </c>
      <c r="Y418" s="11" t="n">
        <f aca="false">IF(T418=1,X418/(1+Controls!$B$11)^F418,0)</f>
        <v>0</v>
      </c>
      <c r="Z418" s="11" t="n">
        <f aca="false">IF(AND(N418,E418="capacity",LEN(K418)&gt;0),1,0)</f>
        <v>0</v>
      </c>
      <c r="AA418" s="11" t="n">
        <f aca="false">IF(Z418=1,SUMPRODUCT(($K$4:$K$703=K418)*($F$4:$F$703=F418)*($Z$4:$Z$703=1)*($B$4:$B$703&lt;&gt;B418)),0)</f>
        <v>0</v>
      </c>
      <c r="AB418" s="11" t="n">
        <f aca="false">IF(AND(Z418=1,AA418&gt;0),1+SUMPRODUCT(($K$4:$K$703=K418)*($F$4:$F$703=F418)*($Z$4:$Z$703=1)*($P$4:$P$703&gt;P418))+SUMPRODUCT(($K$4:$K$703=K418)*($F$4:$F$703=F418)*($Z$4:$Z$703=1)*($P$4:$P$703=P418)*($C$4:$C$703&lt;C418))+SUMPRODUCT(($K$4:$K$703=K418)*($F$4:$F$703=F418)*($Z$4:$Z$703=1)*($P$4:$P$703=P418)*($C$4:$C$703=C418)*($D$4:$D$703&lt;D418)),0)</f>
        <v>0</v>
      </c>
      <c r="AC418" s="11" t="n">
        <f aca="false">IF(AND(Z418=1,AA418&gt;0,AB418&gt;1),P418,0)</f>
        <v>0</v>
      </c>
    </row>
    <row r="419" customFormat="false" ht="15" hidden="false" customHeight="false" outlineLevel="0" collapsed="false">
      <c r="A419" s="4" t="s">
        <v>658</v>
      </c>
      <c r="B419" s="4" t="s">
        <v>96</v>
      </c>
      <c r="C419" s="4" t="n">
        <v>14</v>
      </c>
      <c r="D419" s="4" t="n">
        <v>416</v>
      </c>
      <c r="E419" s="4" t="s">
        <v>112</v>
      </c>
      <c r="F419" s="4" t="n">
        <v>14</v>
      </c>
      <c r="G419" s="4" t="n">
        <v>5</v>
      </c>
      <c r="H419" s="4" t="n">
        <v>173800</v>
      </c>
      <c r="I419" s="13" t="b">
        <f aca="false">FALSE()</f>
        <v>0</v>
      </c>
      <c r="K419" s="4" t="s">
        <v>649</v>
      </c>
      <c r="L419" s="4" t="n">
        <v>25305.28</v>
      </c>
      <c r="M419" s="11" t="n">
        <f aca="false">IFERROR(MATCH(Controls!$B$3&amp;"|"&amp;B419,'Scenario inputs'!$A$4:$A$213,0),0)</f>
        <v>145</v>
      </c>
      <c r="N419" s="8" t="b">
        <f aca="false">IF(M419=0,FALSE(),F419&lt;Controls!$B$12)</f>
        <v>1</v>
      </c>
      <c r="O419" s="11" t="n">
        <f aca="false">IF(N419,IF(INDEX('Scenario inputs'!$E$4:$E$213,M419)=0,1,INDEX('Scenario inputs'!$F$4:$M$213,M419,MIN(MAX(F419-G419,0),INDEX('Scenario inputs'!$E$4:$E$213,M419)-1)+1)),0)</f>
        <v>1</v>
      </c>
      <c r="P419" s="11" t="n">
        <f aca="false">H419*O419</f>
        <v>173800</v>
      </c>
      <c r="Q419" s="0" t="str">
        <f aca="false">IF(M419=0,"",IF(ISNUMBER(INDEX('Scenario inputs'!$N$4:$N$213,M419)),INDEX('Scenario inputs'!$N$4:$N$213,M419),""))</f>
        <v/>
      </c>
      <c r="R419" s="0" t="str">
        <f aca="false">IF(NOT(N419),"",IF(OR(E419="cash",E419="revenue"),E419,IF(E419="avoided_cost",IF(AND(I419,LEN(TRIM(J419))&gt;0),"avoided_cost_realised","avoided_cost_beside"),IF(ISNUMBER(Q419),"capacity_converted","capacity_hours"))))</f>
        <v>cash</v>
      </c>
      <c r="S419" s="11" t="n">
        <f aca="false">IF(OR(R419="",R419="capacity_hours"),0,IF(R419="capacity_converted",P419*Q419,P419))</f>
        <v>173800</v>
      </c>
      <c r="T419" s="11" t="n">
        <f aca="false">IF(OR(R419="cash",R419="revenue",R419="avoided_cost_realised",R419="capacity_converted"),1,0)</f>
        <v>1</v>
      </c>
      <c r="U419" s="11" t="n">
        <f aca="false">IF(AND(N419,R419&lt;&gt;"capacity_hours",LEN(K419)&gt;0),1,0)</f>
        <v>1</v>
      </c>
      <c r="V419" s="11" t="n">
        <f aca="false">IF(U419=1,SUMPRODUCT(($K$4:$K$703=K419)*($F$4:$F$703=F419)*($U$4:$U$703=1)*($B$4:$B$703&lt;&gt;B419)),0)</f>
        <v>0</v>
      </c>
      <c r="W419" s="11" t="n">
        <f aca="false">IF(AND(U419=1,V419&gt;0),1+SUMPRODUCT(($K$4:$K$703=K419)*($F$4:$F$703=F419)*($U$4:$U$703=1)*($S$4:$S$703&gt;S419))+SUMPRODUCT(($K$4:$K$703=K419)*($F$4:$F$703=F419)*($U$4:$U$703=1)*($S$4:$S$703=S419)*($T$4:$T$703&gt;T419))+SUMPRODUCT(($K$4:$K$703=K419)*($F$4:$F$703=F419)*($U$4:$U$703=1)*($S$4:$S$703=S419)*($T$4:$T$703=T419)*($C$4:$C$703&lt;C419))+SUMPRODUCT(($K$4:$K$703=K419)*($F$4:$F$703=F419)*($U$4:$U$703=1)*($S$4:$S$703=S419)*($T$4:$T$703=T419)*($C$4:$C$703=C419)*($D$4:$D$703&lt;D419)),0)</f>
        <v>0</v>
      </c>
      <c r="X419" s="11" t="n">
        <f aca="false">IF(AND(U419=1,V419&gt;0,W419&gt;1),S419,0)</f>
        <v>0</v>
      </c>
      <c r="Y419" s="11" t="n">
        <f aca="false">IF(T419=1,X419/(1+Controls!$B$11)^F419,0)</f>
        <v>0</v>
      </c>
      <c r="Z419" s="11" t="n">
        <f aca="false">IF(AND(N419,E419="capacity",LEN(K419)&gt;0),1,0)</f>
        <v>0</v>
      </c>
      <c r="AA419" s="11" t="n">
        <f aca="false">IF(Z419=1,SUMPRODUCT(($K$4:$K$703=K419)*($F$4:$F$703=F419)*($Z$4:$Z$703=1)*($B$4:$B$703&lt;&gt;B419)),0)</f>
        <v>0</v>
      </c>
      <c r="AB419" s="11" t="n">
        <f aca="false">IF(AND(Z419=1,AA419&gt;0),1+SUMPRODUCT(($K$4:$K$703=K419)*($F$4:$F$703=F419)*($Z$4:$Z$703=1)*($P$4:$P$703&gt;P419))+SUMPRODUCT(($K$4:$K$703=K419)*($F$4:$F$703=F419)*($Z$4:$Z$703=1)*($P$4:$P$703=P419)*($C$4:$C$703&lt;C419))+SUMPRODUCT(($K$4:$K$703=K419)*($F$4:$F$703=F419)*($Z$4:$Z$703=1)*($P$4:$P$703=P419)*($C$4:$C$703=C419)*($D$4:$D$703&lt;D419)),0)</f>
        <v>0</v>
      </c>
      <c r="AC419" s="11" t="n">
        <f aca="false">IF(AND(Z419=1,AA419&gt;0,AB419&gt;1),P419,0)</f>
        <v>0</v>
      </c>
    </row>
    <row r="420" customFormat="false" ht="15" hidden="false" customHeight="false" outlineLevel="0" collapsed="false">
      <c r="A420" s="4" t="s">
        <v>659</v>
      </c>
      <c r="B420" s="4" t="s">
        <v>96</v>
      </c>
      <c r="C420" s="4" t="n">
        <v>14</v>
      </c>
      <c r="D420" s="4" t="n">
        <v>417</v>
      </c>
      <c r="E420" s="4" t="s">
        <v>112</v>
      </c>
      <c r="F420" s="4" t="n">
        <v>15</v>
      </c>
      <c r="G420" s="4" t="n">
        <v>5</v>
      </c>
      <c r="H420" s="4" t="n">
        <v>173800</v>
      </c>
      <c r="I420" s="13" t="b">
        <f aca="false">FALSE()</f>
        <v>0</v>
      </c>
      <c r="K420" s="4" t="s">
        <v>649</v>
      </c>
      <c r="L420" s="4" t="n">
        <v>25305.28</v>
      </c>
      <c r="M420" s="11" t="n">
        <f aca="false">IFERROR(MATCH(Controls!$B$3&amp;"|"&amp;B420,'Scenario inputs'!$A$4:$A$213,0),0)</f>
        <v>145</v>
      </c>
      <c r="N420" s="8" t="b">
        <f aca="false">IF(M420=0,FALSE(),F420&lt;Controls!$B$12)</f>
        <v>1</v>
      </c>
      <c r="O420" s="11" t="n">
        <f aca="false">IF(N420,IF(INDEX('Scenario inputs'!$E$4:$E$213,M420)=0,1,INDEX('Scenario inputs'!$F$4:$M$213,M420,MIN(MAX(F420-G420,0),INDEX('Scenario inputs'!$E$4:$E$213,M420)-1)+1)),0)</f>
        <v>1</v>
      </c>
      <c r="P420" s="11" t="n">
        <f aca="false">H420*O420</f>
        <v>173800</v>
      </c>
      <c r="Q420" s="0" t="str">
        <f aca="false">IF(M420=0,"",IF(ISNUMBER(INDEX('Scenario inputs'!$N$4:$N$213,M420)),INDEX('Scenario inputs'!$N$4:$N$213,M420),""))</f>
        <v/>
      </c>
      <c r="R420" s="0" t="str">
        <f aca="false">IF(NOT(N420),"",IF(OR(E420="cash",E420="revenue"),E420,IF(E420="avoided_cost",IF(AND(I420,LEN(TRIM(J420))&gt;0),"avoided_cost_realised","avoided_cost_beside"),IF(ISNUMBER(Q420),"capacity_converted","capacity_hours"))))</f>
        <v>cash</v>
      </c>
      <c r="S420" s="11" t="n">
        <f aca="false">IF(OR(R420="",R420="capacity_hours"),0,IF(R420="capacity_converted",P420*Q420,P420))</f>
        <v>173800</v>
      </c>
      <c r="T420" s="11" t="n">
        <f aca="false">IF(OR(R420="cash",R420="revenue",R420="avoided_cost_realised",R420="capacity_converted"),1,0)</f>
        <v>1</v>
      </c>
      <c r="U420" s="11" t="n">
        <f aca="false">IF(AND(N420,R420&lt;&gt;"capacity_hours",LEN(K420)&gt;0),1,0)</f>
        <v>1</v>
      </c>
      <c r="V420" s="11" t="n">
        <f aca="false">IF(U420=1,SUMPRODUCT(($K$4:$K$703=K420)*($F$4:$F$703=F420)*($U$4:$U$703=1)*($B$4:$B$703&lt;&gt;B420)),0)</f>
        <v>0</v>
      </c>
      <c r="W420" s="11" t="n">
        <f aca="false">IF(AND(U420=1,V420&gt;0),1+SUMPRODUCT(($K$4:$K$703=K420)*($F$4:$F$703=F420)*($U$4:$U$703=1)*($S$4:$S$703&gt;S420))+SUMPRODUCT(($K$4:$K$703=K420)*($F$4:$F$703=F420)*($U$4:$U$703=1)*($S$4:$S$703=S420)*($T$4:$T$703&gt;T420))+SUMPRODUCT(($K$4:$K$703=K420)*($F$4:$F$703=F420)*($U$4:$U$703=1)*($S$4:$S$703=S420)*($T$4:$T$703=T420)*($C$4:$C$703&lt;C420))+SUMPRODUCT(($K$4:$K$703=K420)*($F$4:$F$703=F420)*($U$4:$U$703=1)*($S$4:$S$703=S420)*($T$4:$T$703=T420)*($C$4:$C$703=C420)*($D$4:$D$703&lt;D420)),0)</f>
        <v>0</v>
      </c>
      <c r="X420" s="11" t="n">
        <f aca="false">IF(AND(U420=1,V420&gt;0,W420&gt;1),S420,0)</f>
        <v>0</v>
      </c>
      <c r="Y420" s="11" t="n">
        <f aca="false">IF(T420=1,X420/(1+Controls!$B$11)^F420,0)</f>
        <v>0</v>
      </c>
      <c r="Z420" s="11" t="n">
        <f aca="false">IF(AND(N420,E420="capacity",LEN(K420)&gt;0),1,0)</f>
        <v>0</v>
      </c>
      <c r="AA420" s="11" t="n">
        <f aca="false">IF(Z420=1,SUMPRODUCT(($K$4:$K$703=K420)*($F$4:$F$703=F420)*($Z$4:$Z$703=1)*($B$4:$B$703&lt;&gt;B420)),0)</f>
        <v>0</v>
      </c>
      <c r="AB420" s="11" t="n">
        <f aca="false">IF(AND(Z420=1,AA420&gt;0),1+SUMPRODUCT(($K$4:$K$703=K420)*($F$4:$F$703=F420)*($Z$4:$Z$703=1)*($P$4:$P$703&gt;P420))+SUMPRODUCT(($K$4:$K$703=K420)*($F$4:$F$703=F420)*($Z$4:$Z$703=1)*($P$4:$P$703=P420)*($C$4:$C$703&lt;C420))+SUMPRODUCT(($K$4:$K$703=K420)*($F$4:$F$703=F420)*($Z$4:$Z$703=1)*($P$4:$P$703=P420)*($C$4:$C$703=C420)*($D$4:$D$703&lt;D420)),0)</f>
        <v>0</v>
      </c>
      <c r="AC420" s="11" t="n">
        <f aca="false">IF(AND(Z420=1,AA420&gt;0,AB420&gt;1),P420,0)</f>
        <v>0</v>
      </c>
    </row>
    <row r="421" customFormat="false" ht="15" hidden="false" customHeight="false" outlineLevel="0" collapsed="false">
      <c r="A421" s="4" t="s">
        <v>660</v>
      </c>
      <c r="B421" s="4" t="s">
        <v>96</v>
      </c>
      <c r="C421" s="4" t="n">
        <v>14</v>
      </c>
      <c r="D421" s="4" t="n">
        <v>418</v>
      </c>
      <c r="E421" s="4" t="s">
        <v>112</v>
      </c>
      <c r="F421" s="4" t="n">
        <v>16</v>
      </c>
      <c r="G421" s="4" t="n">
        <v>5</v>
      </c>
      <c r="H421" s="4" t="n">
        <v>173800</v>
      </c>
      <c r="I421" s="13" t="b">
        <f aca="false">FALSE()</f>
        <v>0</v>
      </c>
      <c r="K421" s="4" t="s">
        <v>649</v>
      </c>
      <c r="L421" s="4" t="n">
        <v>25305.28</v>
      </c>
      <c r="M421" s="11" t="n">
        <f aca="false">IFERROR(MATCH(Controls!$B$3&amp;"|"&amp;B421,'Scenario inputs'!$A$4:$A$213,0),0)</f>
        <v>145</v>
      </c>
      <c r="N421" s="8" t="b">
        <f aca="false">IF(M421=0,FALSE(),F421&lt;Controls!$B$12)</f>
        <v>1</v>
      </c>
      <c r="O421" s="11" t="n">
        <f aca="false">IF(N421,IF(INDEX('Scenario inputs'!$E$4:$E$213,M421)=0,1,INDEX('Scenario inputs'!$F$4:$M$213,M421,MIN(MAX(F421-G421,0),INDEX('Scenario inputs'!$E$4:$E$213,M421)-1)+1)),0)</f>
        <v>1</v>
      </c>
      <c r="P421" s="11" t="n">
        <f aca="false">H421*O421</f>
        <v>173800</v>
      </c>
      <c r="Q421" s="0" t="str">
        <f aca="false">IF(M421=0,"",IF(ISNUMBER(INDEX('Scenario inputs'!$N$4:$N$213,M421)),INDEX('Scenario inputs'!$N$4:$N$213,M421),""))</f>
        <v/>
      </c>
      <c r="R421" s="0" t="str">
        <f aca="false">IF(NOT(N421),"",IF(OR(E421="cash",E421="revenue"),E421,IF(E421="avoided_cost",IF(AND(I421,LEN(TRIM(J421))&gt;0),"avoided_cost_realised","avoided_cost_beside"),IF(ISNUMBER(Q421),"capacity_converted","capacity_hours"))))</f>
        <v>cash</v>
      </c>
      <c r="S421" s="11" t="n">
        <f aca="false">IF(OR(R421="",R421="capacity_hours"),0,IF(R421="capacity_converted",P421*Q421,P421))</f>
        <v>173800</v>
      </c>
      <c r="T421" s="11" t="n">
        <f aca="false">IF(OR(R421="cash",R421="revenue",R421="avoided_cost_realised",R421="capacity_converted"),1,0)</f>
        <v>1</v>
      </c>
      <c r="U421" s="11" t="n">
        <f aca="false">IF(AND(N421,R421&lt;&gt;"capacity_hours",LEN(K421)&gt;0),1,0)</f>
        <v>1</v>
      </c>
      <c r="V421" s="11" t="n">
        <f aca="false">IF(U421=1,SUMPRODUCT(($K$4:$K$703=K421)*($F$4:$F$703=F421)*($U$4:$U$703=1)*($B$4:$B$703&lt;&gt;B421)),0)</f>
        <v>0</v>
      </c>
      <c r="W421" s="11" t="n">
        <f aca="false">IF(AND(U421=1,V421&gt;0),1+SUMPRODUCT(($K$4:$K$703=K421)*($F$4:$F$703=F421)*($U$4:$U$703=1)*($S$4:$S$703&gt;S421))+SUMPRODUCT(($K$4:$K$703=K421)*($F$4:$F$703=F421)*($U$4:$U$703=1)*($S$4:$S$703=S421)*($T$4:$T$703&gt;T421))+SUMPRODUCT(($K$4:$K$703=K421)*($F$4:$F$703=F421)*($U$4:$U$703=1)*($S$4:$S$703=S421)*($T$4:$T$703=T421)*($C$4:$C$703&lt;C421))+SUMPRODUCT(($K$4:$K$703=K421)*($F$4:$F$703=F421)*($U$4:$U$703=1)*($S$4:$S$703=S421)*($T$4:$T$703=T421)*($C$4:$C$703=C421)*($D$4:$D$703&lt;D421)),0)</f>
        <v>0</v>
      </c>
      <c r="X421" s="11" t="n">
        <f aca="false">IF(AND(U421=1,V421&gt;0,W421&gt;1),S421,0)</f>
        <v>0</v>
      </c>
      <c r="Y421" s="11" t="n">
        <f aca="false">IF(T421=1,X421/(1+Controls!$B$11)^F421,0)</f>
        <v>0</v>
      </c>
      <c r="Z421" s="11" t="n">
        <f aca="false">IF(AND(N421,E421="capacity",LEN(K421)&gt;0),1,0)</f>
        <v>0</v>
      </c>
      <c r="AA421" s="11" t="n">
        <f aca="false">IF(Z421=1,SUMPRODUCT(($K$4:$K$703=K421)*($F$4:$F$703=F421)*($Z$4:$Z$703=1)*($B$4:$B$703&lt;&gt;B421)),0)</f>
        <v>0</v>
      </c>
      <c r="AB421" s="11" t="n">
        <f aca="false">IF(AND(Z421=1,AA421&gt;0),1+SUMPRODUCT(($K$4:$K$703=K421)*($F$4:$F$703=F421)*($Z$4:$Z$703=1)*($P$4:$P$703&gt;P421))+SUMPRODUCT(($K$4:$K$703=K421)*($F$4:$F$703=F421)*($Z$4:$Z$703=1)*($P$4:$P$703=P421)*($C$4:$C$703&lt;C421))+SUMPRODUCT(($K$4:$K$703=K421)*($F$4:$F$703=F421)*($Z$4:$Z$703=1)*($P$4:$P$703=P421)*($C$4:$C$703=C421)*($D$4:$D$703&lt;D421)),0)</f>
        <v>0</v>
      </c>
      <c r="AC421" s="11" t="n">
        <f aca="false">IF(AND(Z421=1,AA421&gt;0,AB421&gt;1),P421,0)</f>
        <v>0</v>
      </c>
    </row>
    <row r="422" customFormat="false" ht="15" hidden="false" customHeight="false" outlineLevel="0" collapsed="false">
      <c r="A422" s="4" t="s">
        <v>661</v>
      </c>
      <c r="B422" s="4" t="s">
        <v>96</v>
      </c>
      <c r="C422" s="4" t="n">
        <v>14</v>
      </c>
      <c r="D422" s="4" t="n">
        <v>419</v>
      </c>
      <c r="E422" s="4" t="s">
        <v>205</v>
      </c>
      <c r="F422" s="4" t="n">
        <v>6</v>
      </c>
      <c r="G422" s="4" t="n">
        <v>6</v>
      </c>
      <c r="H422" s="4" t="n">
        <v>52150</v>
      </c>
      <c r="I422" s="13" t="b">
        <f aca="false">FALSE()</f>
        <v>0</v>
      </c>
      <c r="K422" s="4" t="s">
        <v>662</v>
      </c>
      <c r="L422" s="4" t="n">
        <v>211.42</v>
      </c>
      <c r="M422" s="11" t="n">
        <f aca="false">IFERROR(MATCH(Controls!$B$3&amp;"|"&amp;B422,'Scenario inputs'!$A$4:$A$213,0),0)</f>
        <v>145</v>
      </c>
      <c r="N422" s="8" t="b">
        <f aca="false">IF(M422=0,FALSE(),F422&lt;Controls!$B$12)</f>
        <v>1</v>
      </c>
      <c r="O422" s="11" t="n">
        <f aca="false">IF(N422,IF(INDEX('Scenario inputs'!$E$4:$E$213,M422)=0,1,INDEX('Scenario inputs'!$F$4:$M$213,M422,MIN(MAX(F422-G422,0),INDEX('Scenario inputs'!$E$4:$E$213,M422)-1)+1)),0)</f>
        <v>0.035714</v>
      </c>
      <c r="P422" s="11" t="n">
        <f aca="false">H422*O422</f>
        <v>1862.4851</v>
      </c>
      <c r="Q422" s="0" t="str">
        <f aca="false">IF(M422=0,"",IF(ISNUMBER(INDEX('Scenario inputs'!$N$4:$N$213,M422)),INDEX('Scenario inputs'!$N$4:$N$213,M422),""))</f>
        <v/>
      </c>
      <c r="R422" s="0" t="str">
        <f aca="false">IF(NOT(N422),"",IF(OR(E422="cash",E422="revenue"),E422,IF(E422="avoided_cost",IF(AND(I422,LEN(TRIM(J422))&gt;0),"avoided_cost_realised","avoided_cost_beside"),IF(ISNUMBER(Q422),"capacity_converted","capacity_hours"))))</f>
        <v>avoided_cost_beside</v>
      </c>
      <c r="S422" s="11" t="n">
        <f aca="false">IF(OR(R422="",R422="capacity_hours"),0,IF(R422="capacity_converted",P422*Q422,P422))</f>
        <v>1862.4851</v>
      </c>
      <c r="T422" s="11" t="n">
        <f aca="false">IF(OR(R422="cash",R422="revenue",R422="avoided_cost_realised",R422="capacity_converted"),1,0)</f>
        <v>0</v>
      </c>
      <c r="U422" s="11" t="n">
        <f aca="false">IF(AND(N422,R422&lt;&gt;"capacity_hours",LEN(K422)&gt;0),1,0)</f>
        <v>1</v>
      </c>
      <c r="V422" s="11" t="n">
        <f aca="false">IF(U422=1,SUMPRODUCT(($K$4:$K$703=K422)*($F$4:$F$703=F422)*($U$4:$U$703=1)*($B$4:$B$703&lt;&gt;B422)),0)</f>
        <v>0</v>
      </c>
      <c r="W422" s="11" t="n">
        <f aca="false">IF(AND(U422=1,V422&gt;0),1+SUMPRODUCT(($K$4:$K$703=K422)*($F$4:$F$703=F422)*($U$4:$U$703=1)*($S$4:$S$703&gt;S422))+SUMPRODUCT(($K$4:$K$703=K422)*($F$4:$F$703=F422)*($U$4:$U$703=1)*($S$4:$S$703=S422)*($T$4:$T$703&gt;T422))+SUMPRODUCT(($K$4:$K$703=K422)*($F$4:$F$703=F422)*($U$4:$U$703=1)*($S$4:$S$703=S422)*($T$4:$T$703=T422)*($C$4:$C$703&lt;C422))+SUMPRODUCT(($K$4:$K$703=K422)*($F$4:$F$703=F422)*($U$4:$U$703=1)*($S$4:$S$703=S422)*($T$4:$T$703=T422)*($C$4:$C$703=C422)*($D$4:$D$703&lt;D422)),0)</f>
        <v>0</v>
      </c>
      <c r="X422" s="11" t="n">
        <f aca="false">IF(AND(U422=1,V422&gt;0,W422&gt;1),S422,0)</f>
        <v>0</v>
      </c>
      <c r="Y422" s="11" t="n">
        <f aca="false">IF(T422=1,X422/(1+Controls!$B$11)^F422,0)</f>
        <v>0</v>
      </c>
      <c r="Z422" s="11" t="n">
        <f aca="false">IF(AND(N422,E422="capacity",LEN(K422)&gt;0),1,0)</f>
        <v>0</v>
      </c>
      <c r="AA422" s="11" t="n">
        <f aca="false">IF(Z422=1,SUMPRODUCT(($K$4:$K$703=K422)*($F$4:$F$703=F422)*($Z$4:$Z$703=1)*($B$4:$B$703&lt;&gt;B422)),0)</f>
        <v>0</v>
      </c>
      <c r="AB422" s="11" t="n">
        <f aca="false">IF(AND(Z422=1,AA422&gt;0),1+SUMPRODUCT(($K$4:$K$703=K422)*($F$4:$F$703=F422)*($Z$4:$Z$703=1)*($P$4:$P$703&gt;P422))+SUMPRODUCT(($K$4:$K$703=K422)*($F$4:$F$703=F422)*($Z$4:$Z$703=1)*($P$4:$P$703=P422)*($C$4:$C$703&lt;C422))+SUMPRODUCT(($K$4:$K$703=K422)*($F$4:$F$703=F422)*($Z$4:$Z$703=1)*($P$4:$P$703=P422)*($C$4:$C$703=C422)*($D$4:$D$703&lt;D422)),0)</f>
        <v>0</v>
      </c>
      <c r="AC422" s="11" t="n">
        <f aca="false">IF(AND(Z422=1,AA422&gt;0,AB422&gt;1),P422,0)</f>
        <v>0</v>
      </c>
    </row>
    <row r="423" customFormat="false" ht="15" hidden="false" customHeight="false" outlineLevel="0" collapsed="false">
      <c r="A423" s="4" t="s">
        <v>663</v>
      </c>
      <c r="B423" s="4" t="s">
        <v>96</v>
      </c>
      <c r="C423" s="4" t="n">
        <v>14</v>
      </c>
      <c r="D423" s="4" t="n">
        <v>420</v>
      </c>
      <c r="E423" s="4" t="s">
        <v>205</v>
      </c>
      <c r="F423" s="4" t="n">
        <v>7</v>
      </c>
      <c r="G423" s="4" t="n">
        <v>6</v>
      </c>
      <c r="H423" s="4" t="n">
        <v>52150</v>
      </c>
      <c r="I423" s="13" t="b">
        <f aca="false">FALSE()</f>
        <v>0</v>
      </c>
      <c r="K423" s="4" t="s">
        <v>662</v>
      </c>
      <c r="L423" s="4" t="n">
        <v>591.17</v>
      </c>
      <c r="M423" s="11" t="n">
        <f aca="false">IFERROR(MATCH(Controls!$B$3&amp;"|"&amp;B423,'Scenario inputs'!$A$4:$A$213,0),0)</f>
        <v>145</v>
      </c>
      <c r="N423" s="8" t="b">
        <f aca="false">IF(M423=0,FALSE(),F423&lt;Controls!$B$12)</f>
        <v>1</v>
      </c>
      <c r="O423" s="11" t="n">
        <f aca="false">IF(N423,IF(INDEX('Scenario inputs'!$E$4:$E$213,M423)=0,1,INDEX('Scenario inputs'!$F$4:$M$213,M423,MIN(MAX(F423-G423,0),INDEX('Scenario inputs'!$E$4:$E$213,M423)-1)+1)),0)</f>
        <v>0.107143</v>
      </c>
      <c r="P423" s="11" t="n">
        <f aca="false">H423*O423</f>
        <v>5587.50745</v>
      </c>
      <c r="Q423" s="0" t="str">
        <f aca="false">IF(M423=0,"",IF(ISNUMBER(INDEX('Scenario inputs'!$N$4:$N$213,M423)),INDEX('Scenario inputs'!$N$4:$N$213,M423),""))</f>
        <v/>
      </c>
      <c r="R423" s="0" t="str">
        <f aca="false">IF(NOT(N423),"",IF(OR(E423="cash",E423="revenue"),E423,IF(E423="avoided_cost",IF(AND(I423,LEN(TRIM(J423))&gt;0),"avoided_cost_realised","avoided_cost_beside"),IF(ISNUMBER(Q423),"capacity_converted","capacity_hours"))))</f>
        <v>avoided_cost_beside</v>
      </c>
      <c r="S423" s="11" t="n">
        <f aca="false">IF(OR(R423="",R423="capacity_hours"),0,IF(R423="capacity_converted",P423*Q423,P423))</f>
        <v>5587.50745</v>
      </c>
      <c r="T423" s="11" t="n">
        <f aca="false">IF(OR(R423="cash",R423="revenue",R423="avoided_cost_realised",R423="capacity_converted"),1,0)</f>
        <v>0</v>
      </c>
      <c r="U423" s="11" t="n">
        <f aca="false">IF(AND(N423,R423&lt;&gt;"capacity_hours",LEN(K423)&gt;0),1,0)</f>
        <v>1</v>
      </c>
      <c r="V423" s="11" t="n">
        <f aca="false">IF(U423=1,SUMPRODUCT(($K$4:$K$703=K423)*($F$4:$F$703=F423)*($U$4:$U$703=1)*($B$4:$B$703&lt;&gt;B423)),0)</f>
        <v>0</v>
      </c>
      <c r="W423" s="11" t="n">
        <f aca="false">IF(AND(U423=1,V423&gt;0),1+SUMPRODUCT(($K$4:$K$703=K423)*($F$4:$F$703=F423)*($U$4:$U$703=1)*($S$4:$S$703&gt;S423))+SUMPRODUCT(($K$4:$K$703=K423)*($F$4:$F$703=F423)*($U$4:$U$703=1)*($S$4:$S$703=S423)*($T$4:$T$703&gt;T423))+SUMPRODUCT(($K$4:$K$703=K423)*($F$4:$F$703=F423)*($U$4:$U$703=1)*($S$4:$S$703=S423)*($T$4:$T$703=T423)*($C$4:$C$703&lt;C423))+SUMPRODUCT(($K$4:$K$703=K423)*($F$4:$F$703=F423)*($U$4:$U$703=1)*($S$4:$S$703=S423)*($T$4:$T$703=T423)*($C$4:$C$703=C423)*($D$4:$D$703&lt;D423)),0)</f>
        <v>0</v>
      </c>
      <c r="X423" s="11" t="n">
        <f aca="false">IF(AND(U423=1,V423&gt;0,W423&gt;1),S423,0)</f>
        <v>0</v>
      </c>
      <c r="Y423" s="11" t="n">
        <f aca="false">IF(T423=1,X423/(1+Controls!$B$11)^F423,0)</f>
        <v>0</v>
      </c>
      <c r="Z423" s="11" t="n">
        <f aca="false">IF(AND(N423,E423="capacity",LEN(K423)&gt;0),1,0)</f>
        <v>0</v>
      </c>
      <c r="AA423" s="11" t="n">
        <f aca="false">IF(Z423=1,SUMPRODUCT(($K$4:$K$703=K423)*($F$4:$F$703=F423)*($Z$4:$Z$703=1)*($B$4:$B$703&lt;&gt;B423)),0)</f>
        <v>0</v>
      </c>
      <c r="AB423" s="11" t="n">
        <f aca="false">IF(AND(Z423=1,AA423&gt;0),1+SUMPRODUCT(($K$4:$K$703=K423)*($F$4:$F$703=F423)*($Z$4:$Z$703=1)*($P$4:$P$703&gt;P423))+SUMPRODUCT(($K$4:$K$703=K423)*($F$4:$F$703=F423)*($Z$4:$Z$703=1)*($P$4:$P$703=P423)*($C$4:$C$703&lt;C423))+SUMPRODUCT(($K$4:$K$703=K423)*($F$4:$F$703=F423)*($Z$4:$Z$703=1)*($P$4:$P$703=P423)*($C$4:$C$703=C423)*($D$4:$D$703&lt;D423)),0)</f>
        <v>0</v>
      </c>
      <c r="AC423" s="11" t="n">
        <f aca="false">IF(AND(Z423=1,AA423&gt;0,AB423&gt;1),P423,0)</f>
        <v>0</v>
      </c>
    </row>
    <row r="424" customFormat="false" ht="15" hidden="false" customHeight="false" outlineLevel="0" collapsed="false">
      <c r="A424" s="4" t="s">
        <v>664</v>
      </c>
      <c r="B424" s="4" t="s">
        <v>96</v>
      </c>
      <c r="C424" s="4" t="n">
        <v>14</v>
      </c>
      <c r="D424" s="4" t="n">
        <v>421</v>
      </c>
      <c r="E424" s="4" t="s">
        <v>205</v>
      </c>
      <c r="F424" s="4" t="n">
        <v>8</v>
      </c>
      <c r="G424" s="4" t="n">
        <v>6</v>
      </c>
      <c r="H424" s="4" t="n">
        <v>52150</v>
      </c>
      <c r="I424" s="13" t="b">
        <f aca="false">FALSE()</f>
        <v>0</v>
      </c>
      <c r="K424" s="4" t="s">
        <v>662</v>
      </c>
      <c r="L424" s="4" t="n">
        <v>1206.97</v>
      </c>
      <c r="M424" s="11" t="n">
        <f aca="false">IFERROR(MATCH(Controls!$B$3&amp;"|"&amp;B424,'Scenario inputs'!$A$4:$A$213,0),0)</f>
        <v>145</v>
      </c>
      <c r="N424" s="8" t="b">
        <f aca="false">IF(M424=0,FALSE(),F424&lt;Controls!$B$12)</f>
        <v>1</v>
      </c>
      <c r="O424" s="11" t="n">
        <f aca="false">IF(N424,IF(INDEX('Scenario inputs'!$E$4:$E$213,M424)=0,1,INDEX('Scenario inputs'!$F$4:$M$213,M424,MIN(MAX(F424-G424,0),INDEX('Scenario inputs'!$E$4:$E$213,M424)-1)+1)),0)</f>
        <v>0.214286</v>
      </c>
      <c r="P424" s="11" t="n">
        <f aca="false">H424*O424</f>
        <v>11175.0149</v>
      </c>
      <c r="Q424" s="0" t="str">
        <f aca="false">IF(M424=0,"",IF(ISNUMBER(INDEX('Scenario inputs'!$N$4:$N$213,M424)),INDEX('Scenario inputs'!$N$4:$N$213,M424),""))</f>
        <v/>
      </c>
      <c r="R424" s="0" t="str">
        <f aca="false">IF(NOT(N424),"",IF(OR(E424="cash",E424="revenue"),E424,IF(E424="avoided_cost",IF(AND(I424,LEN(TRIM(J424))&gt;0),"avoided_cost_realised","avoided_cost_beside"),IF(ISNUMBER(Q424),"capacity_converted","capacity_hours"))))</f>
        <v>avoided_cost_beside</v>
      </c>
      <c r="S424" s="11" t="n">
        <f aca="false">IF(OR(R424="",R424="capacity_hours"),0,IF(R424="capacity_converted",P424*Q424,P424))</f>
        <v>11175.0149</v>
      </c>
      <c r="T424" s="11" t="n">
        <f aca="false">IF(OR(R424="cash",R424="revenue",R424="avoided_cost_realised",R424="capacity_converted"),1,0)</f>
        <v>0</v>
      </c>
      <c r="U424" s="11" t="n">
        <f aca="false">IF(AND(N424,R424&lt;&gt;"capacity_hours",LEN(K424)&gt;0),1,0)</f>
        <v>1</v>
      </c>
      <c r="V424" s="11" t="n">
        <f aca="false">IF(U424=1,SUMPRODUCT(($K$4:$K$703=K424)*($F$4:$F$703=F424)*($U$4:$U$703=1)*($B$4:$B$703&lt;&gt;B424)),0)</f>
        <v>0</v>
      </c>
      <c r="W424" s="11" t="n">
        <f aca="false">IF(AND(U424=1,V424&gt;0),1+SUMPRODUCT(($K$4:$K$703=K424)*($F$4:$F$703=F424)*($U$4:$U$703=1)*($S$4:$S$703&gt;S424))+SUMPRODUCT(($K$4:$K$703=K424)*($F$4:$F$703=F424)*($U$4:$U$703=1)*($S$4:$S$703=S424)*($T$4:$T$703&gt;T424))+SUMPRODUCT(($K$4:$K$703=K424)*($F$4:$F$703=F424)*($U$4:$U$703=1)*($S$4:$S$703=S424)*($T$4:$T$703=T424)*($C$4:$C$703&lt;C424))+SUMPRODUCT(($K$4:$K$703=K424)*($F$4:$F$703=F424)*($U$4:$U$703=1)*($S$4:$S$703=S424)*($T$4:$T$703=T424)*($C$4:$C$703=C424)*($D$4:$D$703&lt;D424)),0)</f>
        <v>0</v>
      </c>
      <c r="X424" s="11" t="n">
        <f aca="false">IF(AND(U424=1,V424&gt;0,W424&gt;1),S424,0)</f>
        <v>0</v>
      </c>
      <c r="Y424" s="11" t="n">
        <f aca="false">IF(T424=1,X424/(1+Controls!$B$11)^F424,0)</f>
        <v>0</v>
      </c>
      <c r="Z424" s="11" t="n">
        <f aca="false">IF(AND(N424,E424="capacity",LEN(K424)&gt;0),1,0)</f>
        <v>0</v>
      </c>
      <c r="AA424" s="11" t="n">
        <f aca="false">IF(Z424=1,SUMPRODUCT(($K$4:$K$703=K424)*($F$4:$F$703=F424)*($Z$4:$Z$703=1)*($B$4:$B$703&lt;&gt;B424)),0)</f>
        <v>0</v>
      </c>
      <c r="AB424" s="11" t="n">
        <f aca="false">IF(AND(Z424=1,AA424&gt;0),1+SUMPRODUCT(($K$4:$K$703=K424)*($F$4:$F$703=F424)*($Z$4:$Z$703=1)*($P$4:$P$703&gt;P424))+SUMPRODUCT(($K$4:$K$703=K424)*($F$4:$F$703=F424)*($Z$4:$Z$703=1)*($P$4:$P$703=P424)*($C$4:$C$703&lt;C424))+SUMPRODUCT(($K$4:$K$703=K424)*($F$4:$F$703=F424)*($Z$4:$Z$703=1)*($P$4:$P$703=P424)*($C$4:$C$703=C424)*($D$4:$D$703&lt;D424)),0)</f>
        <v>0</v>
      </c>
      <c r="AC424" s="11" t="n">
        <f aca="false">IF(AND(Z424=1,AA424&gt;0,AB424&gt;1),P424,0)</f>
        <v>0</v>
      </c>
    </row>
    <row r="425" customFormat="false" ht="15" hidden="false" customHeight="false" outlineLevel="0" collapsed="false">
      <c r="A425" s="4" t="s">
        <v>665</v>
      </c>
      <c r="B425" s="4" t="s">
        <v>96</v>
      </c>
      <c r="C425" s="4" t="n">
        <v>14</v>
      </c>
      <c r="D425" s="4" t="n">
        <v>422</v>
      </c>
      <c r="E425" s="4" t="s">
        <v>205</v>
      </c>
      <c r="F425" s="4" t="n">
        <v>9</v>
      </c>
      <c r="G425" s="4" t="n">
        <v>6</v>
      </c>
      <c r="H425" s="4" t="n">
        <v>52150</v>
      </c>
      <c r="I425" s="13" t="b">
        <f aca="false">FALSE()</f>
        <v>0</v>
      </c>
      <c r="K425" s="4" t="s">
        <v>662</v>
      </c>
      <c r="L425" s="4" t="n">
        <v>1992.88</v>
      </c>
      <c r="M425" s="11" t="n">
        <f aca="false">IFERROR(MATCH(Controls!$B$3&amp;"|"&amp;B425,'Scenario inputs'!$A$4:$A$213,0),0)</f>
        <v>145</v>
      </c>
      <c r="N425" s="8" t="b">
        <f aca="false">IF(M425=0,FALSE(),F425&lt;Controls!$B$12)</f>
        <v>1</v>
      </c>
      <c r="O425" s="11" t="n">
        <f aca="false">IF(N425,IF(INDEX('Scenario inputs'!$E$4:$E$213,M425)=0,1,INDEX('Scenario inputs'!$F$4:$M$213,M425,MIN(MAX(F425-G425,0),INDEX('Scenario inputs'!$E$4:$E$213,M425)-1)+1)),0)</f>
        <v>0.357143</v>
      </c>
      <c r="P425" s="11" t="n">
        <f aca="false">H425*O425</f>
        <v>18625.00745</v>
      </c>
      <c r="Q425" s="0" t="str">
        <f aca="false">IF(M425=0,"",IF(ISNUMBER(INDEX('Scenario inputs'!$N$4:$N$213,M425)),INDEX('Scenario inputs'!$N$4:$N$213,M425),""))</f>
        <v/>
      </c>
      <c r="R425" s="0" t="str">
        <f aca="false">IF(NOT(N425),"",IF(OR(E425="cash",E425="revenue"),E425,IF(E425="avoided_cost",IF(AND(I425,LEN(TRIM(J425))&gt;0),"avoided_cost_realised","avoided_cost_beside"),IF(ISNUMBER(Q425),"capacity_converted","capacity_hours"))))</f>
        <v>avoided_cost_beside</v>
      </c>
      <c r="S425" s="11" t="n">
        <f aca="false">IF(OR(R425="",R425="capacity_hours"),0,IF(R425="capacity_converted",P425*Q425,P425))</f>
        <v>18625.00745</v>
      </c>
      <c r="T425" s="11" t="n">
        <f aca="false">IF(OR(R425="cash",R425="revenue",R425="avoided_cost_realised",R425="capacity_converted"),1,0)</f>
        <v>0</v>
      </c>
      <c r="U425" s="11" t="n">
        <f aca="false">IF(AND(N425,R425&lt;&gt;"capacity_hours",LEN(K425)&gt;0),1,0)</f>
        <v>1</v>
      </c>
      <c r="V425" s="11" t="n">
        <f aca="false">IF(U425=1,SUMPRODUCT(($K$4:$K$703=K425)*($F$4:$F$703=F425)*($U$4:$U$703=1)*($B$4:$B$703&lt;&gt;B425)),0)</f>
        <v>0</v>
      </c>
      <c r="W425" s="11" t="n">
        <f aca="false">IF(AND(U425=1,V425&gt;0),1+SUMPRODUCT(($K$4:$K$703=K425)*($F$4:$F$703=F425)*($U$4:$U$703=1)*($S$4:$S$703&gt;S425))+SUMPRODUCT(($K$4:$K$703=K425)*($F$4:$F$703=F425)*($U$4:$U$703=1)*($S$4:$S$703=S425)*($T$4:$T$703&gt;T425))+SUMPRODUCT(($K$4:$K$703=K425)*($F$4:$F$703=F425)*($U$4:$U$703=1)*($S$4:$S$703=S425)*($T$4:$T$703=T425)*($C$4:$C$703&lt;C425))+SUMPRODUCT(($K$4:$K$703=K425)*($F$4:$F$703=F425)*($U$4:$U$703=1)*($S$4:$S$703=S425)*($T$4:$T$703=T425)*($C$4:$C$703=C425)*($D$4:$D$703&lt;D425)),0)</f>
        <v>0</v>
      </c>
      <c r="X425" s="11" t="n">
        <f aca="false">IF(AND(U425=1,V425&gt;0,W425&gt;1),S425,0)</f>
        <v>0</v>
      </c>
      <c r="Y425" s="11" t="n">
        <f aca="false">IF(T425=1,X425/(1+Controls!$B$11)^F425,0)</f>
        <v>0</v>
      </c>
      <c r="Z425" s="11" t="n">
        <f aca="false">IF(AND(N425,E425="capacity",LEN(K425)&gt;0),1,0)</f>
        <v>0</v>
      </c>
      <c r="AA425" s="11" t="n">
        <f aca="false">IF(Z425=1,SUMPRODUCT(($K$4:$K$703=K425)*($F$4:$F$703=F425)*($Z$4:$Z$703=1)*($B$4:$B$703&lt;&gt;B425)),0)</f>
        <v>0</v>
      </c>
      <c r="AB425" s="11" t="n">
        <f aca="false">IF(AND(Z425=1,AA425&gt;0),1+SUMPRODUCT(($K$4:$K$703=K425)*($F$4:$F$703=F425)*($Z$4:$Z$703=1)*($P$4:$P$703&gt;P425))+SUMPRODUCT(($K$4:$K$703=K425)*($F$4:$F$703=F425)*($Z$4:$Z$703=1)*($P$4:$P$703=P425)*($C$4:$C$703&lt;C425))+SUMPRODUCT(($K$4:$K$703=K425)*($F$4:$F$703=F425)*($Z$4:$Z$703=1)*($P$4:$P$703=P425)*($C$4:$C$703=C425)*($D$4:$D$703&lt;D425)),0)</f>
        <v>0</v>
      </c>
      <c r="AC425" s="11" t="n">
        <f aca="false">IF(AND(Z425=1,AA425&gt;0,AB425&gt;1),P425,0)</f>
        <v>0</v>
      </c>
    </row>
    <row r="426" customFormat="false" ht="15" hidden="false" customHeight="false" outlineLevel="0" collapsed="false">
      <c r="A426" s="4" t="s">
        <v>666</v>
      </c>
      <c r="B426" s="4" t="s">
        <v>96</v>
      </c>
      <c r="C426" s="4" t="n">
        <v>14</v>
      </c>
      <c r="D426" s="4" t="n">
        <v>423</v>
      </c>
      <c r="E426" s="4" t="s">
        <v>205</v>
      </c>
      <c r="F426" s="4" t="n">
        <v>10</v>
      </c>
      <c r="G426" s="4" t="n">
        <v>6</v>
      </c>
      <c r="H426" s="4" t="n">
        <v>52150</v>
      </c>
      <c r="I426" s="13" t="b">
        <f aca="false">FALSE()</f>
        <v>0</v>
      </c>
      <c r="K426" s="4" t="s">
        <v>662</v>
      </c>
      <c r="L426" s="4" t="n">
        <v>2989.31</v>
      </c>
      <c r="M426" s="11" t="n">
        <f aca="false">IFERROR(MATCH(Controls!$B$3&amp;"|"&amp;B426,'Scenario inputs'!$A$4:$A$213,0),0)</f>
        <v>145</v>
      </c>
      <c r="N426" s="8" t="b">
        <f aca="false">IF(M426=0,FALSE(),F426&lt;Controls!$B$12)</f>
        <v>1</v>
      </c>
      <c r="O426" s="11" t="n">
        <f aca="false">IF(N426,IF(INDEX('Scenario inputs'!$E$4:$E$213,M426)=0,1,INDEX('Scenario inputs'!$F$4:$M$213,M426,MIN(MAX(F426-G426,0),INDEX('Scenario inputs'!$E$4:$E$213,M426)-1)+1)),0)</f>
        <v>0.535714</v>
      </c>
      <c r="P426" s="11" t="n">
        <f aca="false">H426*O426</f>
        <v>27937.4851</v>
      </c>
      <c r="Q426" s="0" t="str">
        <f aca="false">IF(M426=0,"",IF(ISNUMBER(INDEX('Scenario inputs'!$N$4:$N$213,M426)),INDEX('Scenario inputs'!$N$4:$N$213,M426),""))</f>
        <v/>
      </c>
      <c r="R426" s="0" t="str">
        <f aca="false">IF(NOT(N426),"",IF(OR(E426="cash",E426="revenue"),E426,IF(E426="avoided_cost",IF(AND(I426,LEN(TRIM(J426))&gt;0),"avoided_cost_realised","avoided_cost_beside"),IF(ISNUMBER(Q426),"capacity_converted","capacity_hours"))))</f>
        <v>avoided_cost_beside</v>
      </c>
      <c r="S426" s="11" t="n">
        <f aca="false">IF(OR(R426="",R426="capacity_hours"),0,IF(R426="capacity_converted",P426*Q426,P426))</f>
        <v>27937.4851</v>
      </c>
      <c r="T426" s="11" t="n">
        <f aca="false">IF(OR(R426="cash",R426="revenue",R426="avoided_cost_realised",R426="capacity_converted"),1,0)</f>
        <v>0</v>
      </c>
      <c r="U426" s="11" t="n">
        <f aca="false">IF(AND(N426,R426&lt;&gt;"capacity_hours",LEN(K426)&gt;0),1,0)</f>
        <v>1</v>
      </c>
      <c r="V426" s="11" t="n">
        <f aca="false">IF(U426=1,SUMPRODUCT(($K$4:$K$703=K426)*($F$4:$F$703=F426)*($U$4:$U$703=1)*($B$4:$B$703&lt;&gt;B426)),0)</f>
        <v>0</v>
      </c>
      <c r="W426" s="11" t="n">
        <f aca="false">IF(AND(U426=1,V426&gt;0),1+SUMPRODUCT(($K$4:$K$703=K426)*($F$4:$F$703=F426)*($U$4:$U$703=1)*($S$4:$S$703&gt;S426))+SUMPRODUCT(($K$4:$K$703=K426)*($F$4:$F$703=F426)*($U$4:$U$703=1)*($S$4:$S$703=S426)*($T$4:$T$703&gt;T426))+SUMPRODUCT(($K$4:$K$703=K426)*($F$4:$F$703=F426)*($U$4:$U$703=1)*($S$4:$S$703=S426)*($T$4:$T$703=T426)*($C$4:$C$703&lt;C426))+SUMPRODUCT(($K$4:$K$703=K426)*($F$4:$F$703=F426)*($U$4:$U$703=1)*($S$4:$S$703=S426)*($T$4:$T$703=T426)*($C$4:$C$703=C426)*($D$4:$D$703&lt;D426)),0)</f>
        <v>0</v>
      </c>
      <c r="X426" s="11" t="n">
        <f aca="false">IF(AND(U426=1,V426&gt;0,W426&gt;1),S426,0)</f>
        <v>0</v>
      </c>
      <c r="Y426" s="11" t="n">
        <f aca="false">IF(T426=1,X426/(1+Controls!$B$11)^F426,0)</f>
        <v>0</v>
      </c>
      <c r="Z426" s="11" t="n">
        <f aca="false">IF(AND(N426,E426="capacity",LEN(K426)&gt;0),1,0)</f>
        <v>0</v>
      </c>
      <c r="AA426" s="11" t="n">
        <f aca="false">IF(Z426=1,SUMPRODUCT(($K$4:$K$703=K426)*($F$4:$F$703=F426)*($Z$4:$Z$703=1)*($B$4:$B$703&lt;&gt;B426)),0)</f>
        <v>0</v>
      </c>
      <c r="AB426" s="11" t="n">
        <f aca="false">IF(AND(Z426=1,AA426&gt;0),1+SUMPRODUCT(($K$4:$K$703=K426)*($F$4:$F$703=F426)*($Z$4:$Z$703=1)*($P$4:$P$703&gt;P426))+SUMPRODUCT(($K$4:$K$703=K426)*($F$4:$F$703=F426)*($Z$4:$Z$703=1)*($P$4:$P$703=P426)*($C$4:$C$703&lt;C426))+SUMPRODUCT(($K$4:$K$703=K426)*($F$4:$F$703=F426)*($Z$4:$Z$703=1)*($P$4:$P$703=P426)*($C$4:$C$703=C426)*($D$4:$D$703&lt;D426)),0)</f>
        <v>0</v>
      </c>
      <c r="AC426" s="11" t="n">
        <f aca="false">IF(AND(Z426=1,AA426&gt;0,AB426&gt;1),P426,0)</f>
        <v>0</v>
      </c>
    </row>
    <row r="427" customFormat="false" ht="15" hidden="false" customHeight="false" outlineLevel="0" collapsed="false">
      <c r="A427" s="4" t="s">
        <v>667</v>
      </c>
      <c r="B427" s="4" t="s">
        <v>96</v>
      </c>
      <c r="C427" s="4" t="n">
        <v>14</v>
      </c>
      <c r="D427" s="4" t="n">
        <v>424</v>
      </c>
      <c r="E427" s="4" t="s">
        <v>205</v>
      </c>
      <c r="F427" s="4" t="n">
        <v>11</v>
      </c>
      <c r="G427" s="4" t="n">
        <v>6</v>
      </c>
      <c r="H427" s="4" t="n">
        <v>52150</v>
      </c>
      <c r="I427" s="13" t="b">
        <f aca="false">FALSE()</f>
        <v>0</v>
      </c>
      <c r="K427" s="4" t="s">
        <v>662</v>
      </c>
      <c r="L427" s="4" t="n">
        <v>4185.04</v>
      </c>
      <c r="M427" s="11" t="n">
        <f aca="false">IFERROR(MATCH(Controls!$B$3&amp;"|"&amp;B427,'Scenario inputs'!$A$4:$A$213,0),0)</f>
        <v>145</v>
      </c>
      <c r="N427" s="8" t="b">
        <f aca="false">IF(M427=0,FALSE(),F427&lt;Controls!$B$12)</f>
        <v>1</v>
      </c>
      <c r="O427" s="11" t="n">
        <f aca="false">IF(N427,IF(INDEX('Scenario inputs'!$E$4:$E$213,M427)=0,1,INDEX('Scenario inputs'!$F$4:$M$213,M427,MIN(MAX(F427-G427,0),INDEX('Scenario inputs'!$E$4:$E$213,M427)-1)+1)),0)</f>
        <v>0.75</v>
      </c>
      <c r="P427" s="11" t="n">
        <f aca="false">H427*O427</f>
        <v>39112.5</v>
      </c>
      <c r="Q427" s="0" t="str">
        <f aca="false">IF(M427=0,"",IF(ISNUMBER(INDEX('Scenario inputs'!$N$4:$N$213,M427)),INDEX('Scenario inputs'!$N$4:$N$213,M427),""))</f>
        <v/>
      </c>
      <c r="R427" s="0" t="str">
        <f aca="false">IF(NOT(N427),"",IF(OR(E427="cash",E427="revenue"),E427,IF(E427="avoided_cost",IF(AND(I427,LEN(TRIM(J427))&gt;0),"avoided_cost_realised","avoided_cost_beside"),IF(ISNUMBER(Q427),"capacity_converted","capacity_hours"))))</f>
        <v>avoided_cost_beside</v>
      </c>
      <c r="S427" s="11" t="n">
        <f aca="false">IF(OR(R427="",R427="capacity_hours"),0,IF(R427="capacity_converted",P427*Q427,P427))</f>
        <v>39112.5</v>
      </c>
      <c r="T427" s="11" t="n">
        <f aca="false">IF(OR(R427="cash",R427="revenue",R427="avoided_cost_realised",R427="capacity_converted"),1,0)</f>
        <v>0</v>
      </c>
      <c r="U427" s="11" t="n">
        <f aca="false">IF(AND(N427,R427&lt;&gt;"capacity_hours",LEN(K427)&gt;0),1,0)</f>
        <v>1</v>
      </c>
      <c r="V427" s="11" t="n">
        <f aca="false">IF(U427=1,SUMPRODUCT(($K$4:$K$703=K427)*($F$4:$F$703=F427)*($U$4:$U$703=1)*($B$4:$B$703&lt;&gt;B427)),0)</f>
        <v>0</v>
      </c>
      <c r="W427" s="11" t="n">
        <f aca="false">IF(AND(U427=1,V427&gt;0),1+SUMPRODUCT(($K$4:$K$703=K427)*($F$4:$F$703=F427)*($U$4:$U$703=1)*($S$4:$S$703&gt;S427))+SUMPRODUCT(($K$4:$K$703=K427)*($F$4:$F$703=F427)*($U$4:$U$703=1)*($S$4:$S$703=S427)*($T$4:$T$703&gt;T427))+SUMPRODUCT(($K$4:$K$703=K427)*($F$4:$F$703=F427)*($U$4:$U$703=1)*($S$4:$S$703=S427)*($T$4:$T$703=T427)*($C$4:$C$703&lt;C427))+SUMPRODUCT(($K$4:$K$703=K427)*($F$4:$F$703=F427)*($U$4:$U$703=1)*($S$4:$S$703=S427)*($T$4:$T$703=T427)*($C$4:$C$703=C427)*($D$4:$D$703&lt;D427)),0)</f>
        <v>0</v>
      </c>
      <c r="X427" s="11" t="n">
        <f aca="false">IF(AND(U427=1,V427&gt;0,W427&gt;1),S427,0)</f>
        <v>0</v>
      </c>
      <c r="Y427" s="11" t="n">
        <f aca="false">IF(T427=1,X427/(1+Controls!$B$11)^F427,0)</f>
        <v>0</v>
      </c>
      <c r="Z427" s="11" t="n">
        <f aca="false">IF(AND(N427,E427="capacity",LEN(K427)&gt;0),1,0)</f>
        <v>0</v>
      </c>
      <c r="AA427" s="11" t="n">
        <f aca="false">IF(Z427=1,SUMPRODUCT(($K$4:$K$703=K427)*($F$4:$F$703=F427)*($Z$4:$Z$703=1)*($B$4:$B$703&lt;&gt;B427)),0)</f>
        <v>0</v>
      </c>
      <c r="AB427" s="11" t="n">
        <f aca="false">IF(AND(Z427=1,AA427&gt;0),1+SUMPRODUCT(($K$4:$K$703=K427)*($F$4:$F$703=F427)*($Z$4:$Z$703=1)*($P$4:$P$703&gt;P427))+SUMPRODUCT(($K$4:$K$703=K427)*($F$4:$F$703=F427)*($Z$4:$Z$703=1)*($P$4:$P$703=P427)*($C$4:$C$703&lt;C427))+SUMPRODUCT(($K$4:$K$703=K427)*($F$4:$F$703=F427)*($Z$4:$Z$703=1)*($P$4:$P$703=P427)*($C$4:$C$703=C427)*($D$4:$D$703&lt;D427)),0)</f>
        <v>0</v>
      </c>
      <c r="AC427" s="11" t="n">
        <f aca="false">IF(AND(Z427=1,AA427&gt;0,AB427&gt;1),P427,0)</f>
        <v>0</v>
      </c>
    </row>
    <row r="428" customFormat="false" ht="15" hidden="false" customHeight="false" outlineLevel="0" collapsed="false">
      <c r="A428" s="4" t="s">
        <v>668</v>
      </c>
      <c r="B428" s="4" t="s">
        <v>96</v>
      </c>
      <c r="C428" s="4" t="n">
        <v>14</v>
      </c>
      <c r="D428" s="4" t="n">
        <v>425</v>
      </c>
      <c r="E428" s="4" t="s">
        <v>205</v>
      </c>
      <c r="F428" s="4" t="n">
        <v>12</v>
      </c>
      <c r="G428" s="4" t="n">
        <v>6</v>
      </c>
      <c r="H428" s="4" t="n">
        <v>52150</v>
      </c>
      <c r="I428" s="13" t="b">
        <f aca="false">FALSE()</f>
        <v>0</v>
      </c>
      <c r="K428" s="4" t="s">
        <v>662</v>
      </c>
      <c r="L428" s="4" t="n">
        <v>5580.05</v>
      </c>
      <c r="M428" s="11" t="n">
        <f aca="false">IFERROR(MATCH(Controls!$B$3&amp;"|"&amp;B428,'Scenario inputs'!$A$4:$A$213,0),0)</f>
        <v>145</v>
      </c>
      <c r="N428" s="8" t="b">
        <f aca="false">IF(M428=0,FALSE(),F428&lt;Controls!$B$12)</f>
        <v>1</v>
      </c>
      <c r="O428" s="11" t="n">
        <f aca="false">IF(N428,IF(INDEX('Scenario inputs'!$E$4:$E$213,M428)=0,1,INDEX('Scenario inputs'!$F$4:$M$213,M428,MIN(MAX(F428-G428,0),INDEX('Scenario inputs'!$E$4:$E$213,M428)-1)+1)),0)</f>
        <v>1</v>
      </c>
      <c r="P428" s="11" t="n">
        <f aca="false">H428*O428</f>
        <v>52150</v>
      </c>
      <c r="Q428" s="0" t="str">
        <f aca="false">IF(M428=0,"",IF(ISNUMBER(INDEX('Scenario inputs'!$N$4:$N$213,M428)),INDEX('Scenario inputs'!$N$4:$N$213,M428),""))</f>
        <v/>
      </c>
      <c r="R428" s="0" t="str">
        <f aca="false">IF(NOT(N428),"",IF(OR(E428="cash",E428="revenue"),E428,IF(E428="avoided_cost",IF(AND(I428,LEN(TRIM(J428))&gt;0),"avoided_cost_realised","avoided_cost_beside"),IF(ISNUMBER(Q428),"capacity_converted","capacity_hours"))))</f>
        <v>avoided_cost_beside</v>
      </c>
      <c r="S428" s="11" t="n">
        <f aca="false">IF(OR(R428="",R428="capacity_hours"),0,IF(R428="capacity_converted",P428*Q428,P428))</f>
        <v>52150</v>
      </c>
      <c r="T428" s="11" t="n">
        <f aca="false">IF(OR(R428="cash",R428="revenue",R428="avoided_cost_realised",R428="capacity_converted"),1,0)</f>
        <v>0</v>
      </c>
      <c r="U428" s="11" t="n">
        <f aca="false">IF(AND(N428,R428&lt;&gt;"capacity_hours",LEN(K428)&gt;0),1,0)</f>
        <v>1</v>
      </c>
      <c r="V428" s="11" t="n">
        <f aca="false">IF(U428=1,SUMPRODUCT(($K$4:$K$703=K428)*($F$4:$F$703=F428)*($U$4:$U$703=1)*($B$4:$B$703&lt;&gt;B428)),0)</f>
        <v>0</v>
      </c>
      <c r="W428" s="11" t="n">
        <f aca="false">IF(AND(U428=1,V428&gt;0),1+SUMPRODUCT(($K$4:$K$703=K428)*($F$4:$F$703=F428)*($U$4:$U$703=1)*($S$4:$S$703&gt;S428))+SUMPRODUCT(($K$4:$K$703=K428)*($F$4:$F$703=F428)*($U$4:$U$703=1)*($S$4:$S$703=S428)*($T$4:$T$703&gt;T428))+SUMPRODUCT(($K$4:$K$703=K428)*($F$4:$F$703=F428)*($U$4:$U$703=1)*($S$4:$S$703=S428)*($T$4:$T$703=T428)*($C$4:$C$703&lt;C428))+SUMPRODUCT(($K$4:$K$703=K428)*($F$4:$F$703=F428)*($U$4:$U$703=1)*($S$4:$S$703=S428)*($T$4:$T$703=T428)*($C$4:$C$703=C428)*($D$4:$D$703&lt;D428)),0)</f>
        <v>0</v>
      </c>
      <c r="X428" s="11" t="n">
        <f aca="false">IF(AND(U428=1,V428&gt;0,W428&gt;1),S428,0)</f>
        <v>0</v>
      </c>
      <c r="Y428" s="11" t="n">
        <f aca="false">IF(T428=1,X428/(1+Controls!$B$11)^F428,0)</f>
        <v>0</v>
      </c>
      <c r="Z428" s="11" t="n">
        <f aca="false">IF(AND(N428,E428="capacity",LEN(K428)&gt;0),1,0)</f>
        <v>0</v>
      </c>
      <c r="AA428" s="11" t="n">
        <f aca="false">IF(Z428=1,SUMPRODUCT(($K$4:$K$703=K428)*($F$4:$F$703=F428)*($Z$4:$Z$703=1)*($B$4:$B$703&lt;&gt;B428)),0)</f>
        <v>0</v>
      </c>
      <c r="AB428" s="11" t="n">
        <f aca="false">IF(AND(Z428=1,AA428&gt;0),1+SUMPRODUCT(($K$4:$K$703=K428)*($F$4:$F$703=F428)*($Z$4:$Z$703=1)*($P$4:$P$703&gt;P428))+SUMPRODUCT(($K$4:$K$703=K428)*($F$4:$F$703=F428)*($Z$4:$Z$703=1)*($P$4:$P$703=P428)*($C$4:$C$703&lt;C428))+SUMPRODUCT(($K$4:$K$703=K428)*($F$4:$F$703=F428)*($Z$4:$Z$703=1)*($P$4:$P$703=P428)*($C$4:$C$703=C428)*($D$4:$D$703&lt;D428)),0)</f>
        <v>0</v>
      </c>
      <c r="AC428" s="11" t="n">
        <f aca="false">IF(AND(Z428=1,AA428&gt;0,AB428&gt;1),P428,0)</f>
        <v>0</v>
      </c>
    </row>
    <row r="429" customFormat="false" ht="15" hidden="false" customHeight="false" outlineLevel="0" collapsed="false">
      <c r="A429" s="4" t="s">
        <v>669</v>
      </c>
      <c r="B429" s="4" t="s">
        <v>96</v>
      </c>
      <c r="C429" s="4" t="n">
        <v>14</v>
      </c>
      <c r="D429" s="4" t="n">
        <v>426</v>
      </c>
      <c r="E429" s="4" t="s">
        <v>205</v>
      </c>
      <c r="F429" s="4" t="n">
        <v>13</v>
      </c>
      <c r="G429" s="4" t="n">
        <v>6</v>
      </c>
      <c r="H429" s="4" t="n">
        <v>52150</v>
      </c>
      <c r="I429" s="13" t="b">
        <f aca="false">FALSE()</f>
        <v>0</v>
      </c>
      <c r="K429" s="4" t="s">
        <v>662</v>
      </c>
      <c r="L429" s="4" t="n">
        <v>5580.05</v>
      </c>
      <c r="M429" s="11" t="n">
        <f aca="false">IFERROR(MATCH(Controls!$B$3&amp;"|"&amp;B429,'Scenario inputs'!$A$4:$A$213,0),0)</f>
        <v>145</v>
      </c>
      <c r="N429" s="8" t="b">
        <f aca="false">IF(M429=0,FALSE(),F429&lt;Controls!$B$12)</f>
        <v>1</v>
      </c>
      <c r="O429" s="11" t="n">
        <f aca="false">IF(N429,IF(INDEX('Scenario inputs'!$E$4:$E$213,M429)=0,1,INDEX('Scenario inputs'!$F$4:$M$213,M429,MIN(MAX(F429-G429,0),INDEX('Scenario inputs'!$E$4:$E$213,M429)-1)+1)),0)</f>
        <v>1</v>
      </c>
      <c r="P429" s="11" t="n">
        <f aca="false">H429*O429</f>
        <v>52150</v>
      </c>
      <c r="Q429" s="0" t="str">
        <f aca="false">IF(M429=0,"",IF(ISNUMBER(INDEX('Scenario inputs'!$N$4:$N$213,M429)),INDEX('Scenario inputs'!$N$4:$N$213,M429),""))</f>
        <v/>
      </c>
      <c r="R429" s="0" t="str">
        <f aca="false">IF(NOT(N429),"",IF(OR(E429="cash",E429="revenue"),E429,IF(E429="avoided_cost",IF(AND(I429,LEN(TRIM(J429))&gt;0),"avoided_cost_realised","avoided_cost_beside"),IF(ISNUMBER(Q429),"capacity_converted","capacity_hours"))))</f>
        <v>avoided_cost_beside</v>
      </c>
      <c r="S429" s="11" t="n">
        <f aca="false">IF(OR(R429="",R429="capacity_hours"),0,IF(R429="capacity_converted",P429*Q429,P429))</f>
        <v>52150</v>
      </c>
      <c r="T429" s="11" t="n">
        <f aca="false">IF(OR(R429="cash",R429="revenue",R429="avoided_cost_realised",R429="capacity_converted"),1,0)</f>
        <v>0</v>
      </c>
      <c r="U429" s="11" t="n">
        <f aca="false">IF(AND(N429,R429&lt;&gt;"capacity_hours",LEN(K429)&gt;0),1,0)</f>
        <v>1</v>
      </c>
      <c r="V429" s="11" t="n">
        <f aca="false">IF(U429=1,SUMPRODUCT(($K$4:$K$703=K429)*($F$4:$F$703=F429)*($U$4:$U$703=1)*($B$4:$B$703&lt;&gt;B429)),0)</f>
        <v>0</v>
      </c>
      <c r="W429" s="11" t="n">
        <f aca="false">IF(AND(U429=1,V429&gt;0),1+SUMPRODUCT(($K$4:$K$703=K429)*($F$4:$F$703=F429)*($U$4:$U$703=1)*($S$4:$S$703&gt;S429))+SUMPRODUCT(($K$4:$K$703=K429)*($F$4:$F$703=F429)*($U$4:$U$703=1)*($S$4:$S$703=S429)*($T$4:$T$703&gt;T429))+SUMPRODUCT(($K$4:$K$703=K429)*($F$4:$F$703=F429)*($U$4:$U$703=1)*($S$4:$S$703=S429)*($T$4:$T$703=T429)*($C$4:$C$703&lt;C429))+SUMPRODUCT(($K$4:$K$703=K429)*($F$4:$F$703=F429)*($U$4:$U$703=1)*($S$4:$S$703=S429)*($T$4:$T$703=T429)*($C$4:$C$703=C429)*($D$4:$D$703&lt;D429)),0)</f>
        <v>0</v>
      </c>
      <c r="X429" s="11" t="n">
        <f aca="false">IF(AND(U429=1,V429&gt;0,W429&gt;1),S429,0)</f>
        <v>0</v>
      </c>
      <c r="Y429" s="11" t="n">
        <f aca="false">IF(T429=1,X429/(1+Controls!$B$11)^F429,0)</f>
        <v>0</v>
      </c>
      <c r="Z429" s="11" t="n">
        <f aca="false">IF(AND(N429,E429="capacity",LEN(K429)&gt;0),1,0)</f>
        <v>0</v>
      </c>
      <c r="AA429" s="11" t="n">
        <f aca="false">IF(Z429=1,SUMPRODUCT(($K$4:$K$703=K429)*($F$4:$F$703=F429)*($Z$4:$Z$703=1)*($B$4:$B$703&lt;&gt;B429)),0)</f>
        <v>0</v>
      </c>
      <c r="AB429" s="11" t="n">
        <f aca="false">IF(AND(Z429=1,AA429&gt;0),1+SUMPRODUCT(($K$4:$K$703=K429)*($F$4:$F$703=F429)*($Z$4:$Z$703=1)*($P$4:$P$703&gt;P429))+SUMPRODUCT(($K$4:$K$703=K429)*($F$4:$F$703=F429)*($Z$4:$Z$703=1)*($P$4:$P$703=P429)*($C$4:$C$703&lt;C429))+SUMPRODUCT(($K$4:$K$703=K429)*($F$4:$F$703=F429)*($Z$4:$Z$703=1)*($P$4:$P$703=P429)*($C$4:$C$703=C429)*($D$4:$D$703&lt;D429)),0)</f>
        <v>0</v>
      </c>
      <c r="AC429" s="11" t="n">
        <f aca="false">IF(AND(Z429=1,AA429&gt;0,AB429&gt;1),P429,0)</f>
        <v>0</v>
      </c>
    </row>
    <row r="430" customFormat="false" ht="15" hidden="false" customHeight="false" outlineLevel="0" collapsed="false">
      <c r="A430" s="4" t="s">
        <v>670</v>
      </c>
      <c r="B430" s="4" t="s">
        <v>96</v>
      </c>
      <c r="C430" s="4" t="n">
        <v>14</v>
      </c>
      <c r="D430" s="4" t="n">
        <v>427</v>
      </c>
      <c r="E430" s="4" t="s">
        <v>205</v>
      </c>
      <c r="F430" s="4" t="n">
        <v>14</v>
      </c>
      <c r="G430" s="4" t="n">
        <v>6</v>
      </c>
      <c r="H430" s="4" t="n">
        <v>52150</v>
      </c>
      <c r="I430" s="13" t="b">
        <f aca="false">FALSE()</f>
        <v>0</v>
      </c>
      <c r="K430" s="4" t="s">
        <v>662</v>
      </c>
      <c r="L430" s="4" t="n">
        <v>5580.05</v>
      </c>
      <c r="M430" s="11" t="n">
        <f aca="false">IFERROR(MATCH(Controls!$B$3&amp;"|"&amp;B430,'Scenario inputs'!$A$4:$A$213,0),0)</f>
        <v>145</v>
      </c>
      <c r="N430" s="8" t="b">
        <f aca="false">IF(M430=0,FALSE(),F430&lt;Controls!$B$12)</f>
        <v>1</v>
      </c>
      <c r="O430" s="11" t="n">
        <f aca="false">IF(N430,IF(INDEX('Scenario inputs'!$E$4:$E$213,M430)=0,1,INDEX('Scenario inputs'!$F$4:$M$213,M430,MIN(MAX(F430-G430,0),INDEX('Scenario inputs'!$E$4:$E$213,M430)-1)+1)),0)</f>
        <v>1</v>
      </c>
      <c r="P430" s="11" t="n">
        <f aca="false">H430*O430</f>
        <v>52150</v>
      </c>
      <c r="Q430" s="0" t="str">
        <f aca="false">IF(M430=0,"",IF(ISNUMBER(INDEX('Scenario inputs'!$N$4:$N$213,M430)),INDEX('Scenario inputs'!$N$4:$N$213,M430),""))</f>
        <v/>
      </c>
      <c r="R430" s="0" t="str">
        <f aca="false">IF(NOT(N430),"",IF(OR(E430="cash",E430="revenue"),E430,IF(E430="avoided_cost",IF(AND(I430,LEN(TRIM(J430))&gt;0),"avoided_cost_realised","avoided_cost_beside"),IF(ISNUMBER(Q430),"capacity_converted","capacity_hours"))))</f>
        <v>avoided_cost_beside</v>
      </c>
      <c r="S430" s="11" t="n">
        <f aca="false">IF(OR(R430="",R430="capacity_hours"),0,IF(R430="capacity_converted",P430*Q430,P430))</f>
        <v>52150</v>
      </c>
      <c r="T430" s="11" t="n">
        <f aca="false">IF(OR(R430="cash",R430="revenue",R430="avoided_cost_realised",R430="capacity_converted"),1,0)</f>
        <v>0</v>
      </c>
      <c r="U430" s="11" t="n">
        <f aca="false">IF(AND(N430,R430&lt;&gt;"capacity_hours",LEN(K430)&gt;0),1,0)</f>
        <v>1</v>
      </c>
      <c r="V430" s="11" t="n">
        <f aca="false">IF(U430=1,SUMPRODUCT(($K$4:$K$703=K430)*($F$4:$F$703=F430)*($U$4:$U$703=1)*($B$4:$B$703&lt;&gt;B430)),0)</f>
        <v>0</v>
      </c>
      <c r="W430" s="11" t="n">
        <f aca="false">IF(AND(U430=1,V430&gt;0),1+SUMPRODUCT(($K$4:$K$703=K430)*($F$4:$F$703=F430)*($U$4:$U$703=1)*($S$4:$S$703&gt;S430))+SUMPRODUCT(($K$4:$K$703=K430)*($F$4:$F$703=F430)*($U$4:$U$703=1)*($S$4:$S$703=S430)*($T$4:$T$703&gt;T430))+SUMPRODUCT(($K$4:$K$703=K430)*($F$4:$F$703=F430)*($U$4:$U$703=1)*($S$4:$S$703=S430)*($T$4:$T$703=T430)*($C$4:$C$703&lt;C430))+SUMPRODUCT(($K$4:$K$703=K430)*($F$4:$F$703=F430)*($U$4:$U$703=1)*($S$4:$S$703=S430)*($T$4:$T$703=T430)*($C$4:$C$703=C430)*($D$4:$D$703&lt;D430)),0)</f>
        <v>0</v>
      </c>
      <c r="X430" s="11" t="n">
        <f aca="false">IF(AND(U430=1,V430&gt;0,W430&gt;1),S430,0)</f>
        <v>0</v>
      </c>
      <c r="Y430" s="11" t="n">
        <f aca="false">IF(T430=1,X430/(1+Controls!$B$11)^F430,0)</f>
        <v>0</v>
      </c>
      <c r="Z430" s="11" t="n">
        <f aca="false">IF(AND(N430,E430="capacity",LEN(K430)&gt;0),1,0)</f>
        <v>0</v>
      </c>
      <c r="AA430" s="11" t="n">
        <f aca="false">IF(Z430=1,SUMPRODUCT(($K$4:$K$703=K430)*($F$4:$F$703=F430)*($Z$4:$Z$703=1)*($B$4:$B$703&lt;&gt;B430)),0)</f>
        <v>0</v>
      </c>
      <c r="AB430" s="11" t="n">
        <f aca="false">IF(AND(Z430=1,AA430&gt;0),1+SUMPRODUCT(($K$4:$K$703=K430)*($F$4:$F$703=F430)*($Z$4:$Z$703=1)*($P$4:$P$703&gt;P430))+SUMPRODUCT(($K$4:$K$703=K430)*($F$4:$F$703=F430)*($Z$4:$Z$703=1)*($P$4:$P$703=P430)*($C$4:$C$703&lt;C430))+SUMPRODUCT(($K$4:$K$703=K430)*($F$4:$F$703=F430)*($Z$4:$Z$703=1)*($P$4:$P$703=P430)*($C$4:$C$703=C430)*($D$4:$D$703&lt;D430)),0)</f>
        <v>0</v>
      </c>
      <c r="AC430" s="11" t="n">
        <f aca="false">IF(AND(Z430=1,AA430&gt;0,AB430&gt;1),P430,0)</f>
        <v>0</v>
      </c>
    </row>
    <row r="431" customFormat="false" ht="15" hidden="false" customHeight="false" outlineLevel="0" collapsed="false">
      <c r="A431" s="4" t="s">
        <v>671</v>
      </c>
      <c r="B431" s="4" t="s">
        <v>96</v>
      </c>
      <c r="C431" s="4" t="n">
        <v>14</v>
      </c>
      <c r="D431" s="4" t="n">
        <v>428</v>
      </c>
      <c r="E431" s="4" t="s">
        <v>205</v>
      </c>
      <c r="F431" s="4" t="n">
        <v>15</v>
      </c>
      <c r="G431" s="4" t="n">
        <v>6</v>
      </c>
      <c r="H431" s="4" t="n">
        <v>52150</v>
      </c>
      <c r="I431" s="13" t="b">
        <f aca="false">FALSE()</f>
        <v>0</v>
      </c>
      <c r="K431" s="4" t="s">
        <v>662</v>
      </c>
      <c r="L431" s="4" t="n">
        <v>5580.05</v>
      </c>
      <c r="M431" s="11" t="n">
        <f aca="false">IFERROR(MATCH(Controls!$B$3&amp;"|"&amp;B431,'Scenario inputs'!$A$4:$A$213,0),0)</f>
        <v>145</v>
      </c>
      <c r="N431" s="8" t="b">
        <f aca="false">IF(M431=0,FALSE(),F431&lt;Controls!$B$12)</f>
        <v>1</v>
      </c>
      <c r="O431" s="11" t="n">
        <f aca="false">IF(N431,IF(INDEX('Scenario inputs'!$E$4:$E$213,M431)=0,1,INDEX('Scenario inputs'!$F$4:$M$213,M431,MIN(MAX(F431-G431,0),INDEX('Scenario inputs'!$E$4:$E$213,M431)-1)+1)),0)</f>
        <v>1</v>
      </c>
      <c r="P431" s="11" t="n">
        <f aca="false">H431*O431</f>
        <v>52150</v>
      </c>
      <c r="Q431" s="0" t="str">
        <f aca="false">IF(M431=0,"",IF(ISNUMBER(INDEX('Scenario inputs'!$N$4:$N$213,M431)),INDEX('Scenario inputs'!$N$4:$N$213,M431),""))</f>
        <v/>
      </c>
      <c r="R431" s="0" t="str">
        <f aca="false">IF(NOT(N431),"",IF(OR(E431="cash",E431="revenue"),E431,IF(E431="avoided_cost",IF(AND(I431,LEN(TRIM(J431))&gt;0),"avoided_cost_realised","avoided_cost_beside"),IF(ISNUMBER(Q431),"capacity_converted","capacity_hours"))))</f>
        <v>avoided_cost_beside</v>
      </c>
      <c r="S431" s="11" t="n">
        <f aca="false">IF(OR(R431="",R431="capacity_hours"),0,IF(R431="capacity_converted",P431*Q431,P431))</f>
        <v>52150</v>
      </c>
      <c r="T431" s="11" t="n">
        <f aca="false">IF(OR(R431="cash",R431="revenue",R431="avoided_cost_realised",R431="capacity_converted"),1,0)</f>
        <v>0</v>
      </c>
      <c r="U431" s="11" t="n">
        <f aca="false">IF(AND(N431,R431&lt;&gt;"capacity_hours",LEN(K431)&gt;0),1,0)</f>
        <v>1</v>
      </c>
      <c r="V431" s="11" t="n">
        <f aca="false">IF(U431=1,SUMPRODUCT(($K$4:$K$703=K431)*($F$4:$F$703=F431)*($U$4:$U$703=1)*($B$4:$B$703&lt;&gt;B431)),0)</f>
        <v>0</v>
      </c>
      <c r="W431" s="11" t="n">
        <f aca="false">IF(AND(U431=1,V431&gt;0),1+SUMPRODUCT(($K$4:$K$703=K431)*($F$4:$F$703=F431)*($U$4:$U$703=1)*($S$4:$S$703&gt;S431))+SUMPRODUCT(($K$4:$K$703=K431)*($F$4:$F$703=F431)*($U$4:$U$703=1)*($S$4:$S$703=S431)*($T$4:$T$703&gt;T431))+SUMPRODUCT(($K$4:$K$703=K431)*($F$4:$F$703=F431)*($U$4:$U$703=1)*($S$4:$S$703=S431)*($T$4:$T$703=T431)*($C$4:$C$703&lt;C431))+SUMPRODUCT(($K$4:$K$703=K431)*($F$4:$F$703=F431)*($U$4:$U$703=1)*($S$4:$S$703=S431)*($T$4:$T$703=T431)*($C$4:$C$703=C431)*($D$4:$D$703&lt;D431)),0)</f>
        <v>0</v>
      </c>
      <c r="X431" s="11" t="n">
        <f aca="false">IF(AND(U431=1,V431&gt;0,W431&gt;1),S431,0)</f>
        <v>0</v>
      </c>
      <c r="Y431" s="11" t="n">
        <f aca="false">IF(T431=1,X431/(1+Controls!$B$11)^F431,0)</f>
        <v>0</v>
      </c>
      <c r="Z431" s="11" t="n">
        <f aca="false">IF(AND(N431,E431="capacity",LEN(K431)&gt;0),1,0)</f>
        <v>0</v>
      </c>
      <c r="AA431" s="11" t="n">
        <f aca="false">IF(Z431=1,SUMPRODUCT(($K$4:$K$703=K431)*($F$4:$F$703=F431)*($Z$4:$Z$703=1)*($B$4:$B$703&lt;&gt;B431)),0)</f>
        <v>0</v>
      </c>
      <c r="AB431" s="11" t="n">
        <f aca="false">IF(AND(Z431=1,AA431&gt;0),1+SUMPRODUCT(($K$4:$K$703=K431)*($F$4:$F$703=F431)*($Z$4:$Z$703=1)*($P$4:$P$703&gt;P431))+SUMPRODUCT(($K$4:$K$703=K431)*($F$4:$F$703=F431)*($Z$4:$Z$703=1)*($P$4:$P$703=P431)*($C$4:$C$703&lt;C431))+SUMPRODUCT(($K$4:$K$703=K431)*($F$4:$F$703=F431)*($Z$4:$Z$703=1)*($P$4:$P$703=P431)*($C$4:$C$703=C431)*($D$4:$D$703&lt;D431)),0)</f>
        <v>0</v>
      </c>
      <c r="AC431" s="11" t="n">
        <f aca="false">IF(AND(Z431=1,AA431&gt;0,AB431&gt;1),P431,0)</f>
        <v>0</v>
      </c>
    </row>
    <row r="432" customFormat="false" ht="15" hidden="false" customHeight="false" outlineLevel="0" collapsed="false">
      <c r="A432" s="4" t="s">
        <v>672</v>
      </c>
      <c r="B432" s="4" t="s">
        <v>96</v>
      </c>
      <c r="C432" s="4" t="n">
        <v>14</v>
      </c>
      <c r="D432" s="4" t="n">
        <v>429</v>
      </c>
      <c r="E432" s="4" t="s">
        <v>205</v>
      </c>
      <c r="F432" s="4" t="n">
        <v>16</v>
      </c>
      <c r="G432" s="4" t="n">
        <v>6</v>
      </c>
      <c r="H432" s="4" t="n">
        <v>52150</v>
      </c>
      <c r="I432" s="13" t="b">
        <f aca="false">FALSE()</f>
        <v>0</v>
      </c>
      <c r="K432" s="4" t="s">
        <v>662</v>
      </c>
      <c r="L432" s="4" t="n">
        <v>5580.05</v>
      </c>
      <c r="M432" s="11" t="n">
        <f aca="false">IFERROR(MATCH(Controls!$B$3&amp;"|"&amp;B432,'Scenario inputs'!$A$4:$A$213,0),0)</f>
        <v>145</v>
      </c>
      <c r="N432" s="8" t="b">
        <f aca="false">IF(M432=0,FALSE(),F432&lt;Controls!$B$12)</f>
        <v>1</v>
      </c>
      <c r="O432" s="11" t="n">
        <f aca="false">IF(N432,IF(INDEX('Scenario inputs'!$E$4:$E$213,M432)=0,1,INDEX('Scenario inputs'!$F$4:$M$213,M432,MIN(MAX(F432-G432,0),INDEX('Scenario inputs'!$E$4:$E$213,M432)-1)+1)),0)</f>
        <v>1</v>
      </c>
      <c r="P432" s="11" t="n">
        <f aca="false">H432*O432</f>
        <v>52150</v>
      </c>
      <c r="Q432" s="0" t="str">
        <f aca="false">IF(M432=0,"",IF(ISNUMBER(INDEX('Scenario inputs'!$N$4:$N$213,M432)),INDEX('Scenario inputs'!$N$4:$N$213,M432),""))</f>
        <v/>
      </c>
      <c r="R432" s="0" t="str">
        <f aca="false">IF(NOT(N432),"",IF(OR(E432="cash",E432="revenue"),E432,IF(E432="avoided_cost",IF(AND(I432,LEN(TRIM(J432))&gt;0),"avoided_cost_realised","avoided_cost_beside"),IF(ISNUMBER(Q432),"capacity_converted","capacity_hours"))))</f>
        <v>avoided_cost_beside</v>
      </c>
      <c r="S432" s="11" t="n">
        <f aca="false">IF(OR(R432="",R432="capacity_hours"),0,IF(R432="capacity_converted",P432*Q432,P432))</f>
        <v>52150</v>
      </c>
      <c r="T432" s="11" t="n">
        <f aca="false">IF(OR(R432="cash",R432="revenue",R432="avoided_cost_realised",R432="capacity_converted"),1,0)</f>
        <v>0</v>
      </c>
      <c r="U432" s="11" t="n">
        <f aca="false">IF(AND(N432,R432&lt;&gt;"capacity_hours",LEN(K432)&gt;0),1,0)</f>
        <v>1</v>
      </c>
      <c r="V432" s="11" t="n">
        <f aca="false">IF(U432=1,SUMPRODUCT(($K$4:$K$703=K432)*($F$4:$F$703=F432)*($U$4:$U$703=1)*($B$4:$B$703&lt;&gt;B432)),0)</f>
        <v>0</v>
      </c>
      <c r="W432" s="11" t="n">
        <f aca="false">IF(AND(U432=1,V432&gt;0),1+SUMPRODUCT(($K$4:$K$703=K432)*($F$4:$F$703=F432)*($U$4:$U$703=1)*($S$4:$S$703&gt;S432))+SUMPRODUCT(($K$4:$K$703=K432)*($F$4:$F$703=F432)*($U$4:$U$703=1)*($S$4:$S$703=S432)*($T$4:$T$703&gt;T432))+SUMPRODUCT(($K$4:$K$703=K432)*($F$4:$F$703=F432)*($U$4:$U$703=1)*($S$4:$S$703=S432)*($T$4:$T$703=T432)*($C$4:$C$703&lt;C432))+SUMPRODUCT(($K$4:$K$703=K432)*($F$4:$F$703=F432)*($U$4:$U$703=1)*($S$4:$S$703=S432)*($T$4:$T$703=T432)*($C$4:$C$703=C432)*($D$4:$D$703&lt;D432)),0)</f>
        <v>0</v>
      </c>
      <c r="X432" s="11" t="n">
        <f aca="false">IF(AND(U432=1,V432&gt;0,W432&gt;1),S432,0)</f>
        <v>0</v>
      </c>
      <c r="Y432" s="11" t="n">
        <f aca="false">IF(T432=1,X432/(1+Controls!$B$11)^F432,0)</f>
        <v>0</v>
      </c>
      <c r="Z432" s="11" t="n">
        <f aca="false">IF(AND(N432,E432="capacity",LEN(K432)&gt;0),1,0)</f>
        <v>0</v>
      </c>
      <c r="AA432" s="11" t="n">
        <f aca="false">IF(Z432=1,SUMPRODUCT(($K$4:$K$703=K432)*($F$4:$F$703=F432)*($Z$4:$Z$703=1)*($B$4:$B$703&lt;&gt;B432)),0)</f>
        <v>0</v>
      </c>
      <c r="AB432" s="11" t="n">
        <f aca="false">IF(AND(Z432=1,AA432&gt;0),1+SUMPRODUCT(($K$4:$K$703=K432)*($F$4:$F$703=F432)*($Z$4:$Z$703=1)*($P$4:$P$703&gt;P432))+SUMPRODUCT(($K$4:$K$703=K432)*($F$4:$F$703=F432)*($Z$4:$Z$703=1)*($P$4:$P$703=P432)*($C$4:$C$703&lt;C432))+SUMPRODUCT(($K$4:$K$703=K432)*($F$4:$F$703=F432)*($Z$4:$Z$703=1)*($P$4:$P$703=P432)*($C$4:$C$703=C432)*($D$4:$D$703&lt;D432)),0)</f>
        <v>0</v>
      </c>
      <c r="AC432" s="11" t="n">
        <f aca="false">IF(AND(Z432=1,AA432&gt;0,AB432&gt;1),P432,0)</f>
        <v>0</v>
      </c>
    </row>
    <row r="433" customFormat="false" ht="15" hidden="false" customHeight="false" outlineLevel="0" collapsed="false">
      <c r="A433" s="4" t="s">
        <v>673</v>
      </c>
      <c r="B433" s="4" t="s">
        <v>96</v>
      </c>
      <c r="C433" s="4" t="n">
        <v>14</v>
      </c>
      <c r="D433" s="4" t="n">
        <v>430</v>
      </c>
      <c r="E433" s="4" t="s">
        <v>205</v>
      </c>
      <c r="F433" s="4" t="n">
        <v>17</v>
      </c>
      <c r="G433" s="4" t="n">
        <v>6</v>
      </c>
      <c r="H433" s="4" t="n">
        <v>52150</v>
      </c>
      <c r="I433" s="13" t="b">
        <f aca="false">FALSE()</f>
        <v>0</v>
      </c>
      <c r="K433" s="4" t="s">
        <v>662</v>
      </c>
      <c r="L433" s="4" t="n">
        <v>5580.05</v>
      </c>
      <c r="M433" s="11" t="n">
        <f aca="false">IFERROR(MATCH(Controls!$B$3&amp;"|"&amp;B433,'Scenario inputs'!$A$4:$A$213,0),0)</f>
        <v>145</v>
      </c>
      <c r="N433" s="8" t="b">
        <f aca="false">IF(M433=0,FALSE(),F433&lt;Controls!$B$12)</f>
        <v>1</v>
      </c>
      <c r="O433" s="11" t="n">
        <f aca="false">IF(N433,IF(INDEX('Scenario inputs'!$E$4:$E$213,M433)=0,1,INDEX('Scenario inputs'!$F$4:$M$213,M433,MIN(MAX(F433-G433,0),INDEX('Scenario inputs'!$E$4:$E$213,M433)-1)+1)),0)</f>
        <v>1</v>
      </c>
      <c r="P433" s="11" t="n">
        <f aca="false">H433*O433</f>
        <v>52150</v>
      </c>
      <c r="Q433" s="0" t="str">
        <f aca="false">IF(M433=0,"",IF(ISNUMBER(INDEX('Scenario inputs'!$N$4:$N$213,M433)),INDEX('Scenario inputs'!$N$4:$N$213,M433),""))</f>
        <v/>
      </c>
      <c r="R433" s="0" t="str">
        <f aca="false">IF(NOT(N433),"",IF(OR(E433="cash",E433="revenue"),E433,IF(E433="avoided_cost",IF(AND(I433,LEN(TRIM(J433))&gt;0),"avoided_cost_realised","avoided_cost_beside"),IF(ISNUMBER(Q433),"capacity_converted","capacity_hours"))))</f>
        <v>avoided_cost_beside</v>
      </c>
      <c r="S433" s="11" t="n">
        <f aca="false">IF(OR(R433="",R433="capacity_hours"),0,IF(R433="capacity_converted",P433*Q433,P433))</f>
        <v>52150</v>
      </c>
      <c r="T433" s="11" t="n">
        <f aca="false">IF(OR(R433="cash",R433="revenue",R433="avoided_cost_realised",R433="capacity_converted"),1,0)</f>
        <v>0</v>
      </c>
      <c r="U433" s="11" t="n">
        <f aca="false">IF(AND(N433,R433&lt;&gt;"capacity_hours",LEN(K433)&gt;0),1,0)</f>
        <v>1</v>
      </c>
      <c r="V433" s="11" t="n">
        <f aca="false">IF(U433=1,SUMPRODUCT(($K$4:$K$703=K433)*($F$4:$F$703=F433)*($U$4:$U$703=1)*($B$4:$B$703&lt;&gt;B433)),0)</f>
        <v>0</v>
      </c>
      <c r="W433" s="11" t="n">
        <f aca="false">IF(AND(U433=1,V433&gt;0),1+SUMPRODUCT(($K$4:$K$703=K433)*($F$4:$F$703=F433)*($U$4:$U$703=1)*($S$4:$S$703&gt;S433))+SUMPRODUCT(($K$4:$K$703=K433)*($F$4:$F$703=F433)*($U$4:$U$703=1)*($S$4:$S$703=S433)*($T$4:$T$703&gt;T433))+SUMPRODUCT(($K$4:$K$703=K433)*($F$4:$F$703=F433)*($U$4:$U$703=1)*($S$4:$S$703=S433)*($T$4:$T$703=T433)*($C$4:$C$703&lt;C433))+SUMPRODUCT(($K$4:$K$703=K433)*($F$4:$F$703=F433)*($U$4:$U$703=1)*($S$4:$S$703=S433)*($T$4:$T$703=T433)*($C$4:$C$703=C433)*($D$4:$D$703&lt;D433)),0)</f>
        <v>0</v>
      </c>
      <c r="X433" s="11" t="n">
        <f aca="false">IF(AND(U433=1,V433&gt;0,W433&gt;1),S433,0)</f>
        <v>0</v>
      </c>
      <c r="Y433" s="11" t="n">
        <f aca="false">IF(T433=1,X433/(1+Controls!$B$11)^F433,0)</f>
        <v>0</v>
      </c>
      <c r="Z433" s="11" t="n">
        <f aca="false">IF(AND(N433,E433="capacity",LEN(K433)&gt;0),1,0)</f>
        <v>0</v>
      </c>
      <c r="AA433" s="11" t="n">
        <f aca="false">IF(Z433=1,SUMPRODUCT(($K$4:$K$703=K433)*($F$4:$F$703=F433)*($Z$4:$Z$703=1)*($B$4:$B$703&lt;&gt;B433)),0)</f>
        <v>0</v>
      </c>
      <c r="AB433" s="11" t="n">
        <f aca="false">IF(AND(Z433=1,AA433&gt;0),1+SUMPRODUCT(($K$4:$K$703=K433)*($F$4:$F$703=F433)*($Z$4:$Z$703=1)*($P$4:$P$703&gt;P433))+SUMPRODUCT(($K$4:$K$703=K433)*($F$4:$F$703=F433)*($Z$4:$Z$703=1)*($P$4:$P$703=P433)*($C$4:$C$703&lt;C433))+SUMPRODUCT(($K$4:$K$703=K433)*($F$4:$F$703=F433)*($Z$4:$Z$703=1)*($P$4:$P$703=P433)*($C$4:$C$703=C433)*($D$4:$D$703&lt;D433)),0)</f>
        <v>0</v>
      </c>
      <c r="AC433" s="11" t="n">
        <f aca="false">IF(AND(Z433=1,AA433&gt;0,AB433&gt;1),P433,0)</f>
        <v>0</v>
      </c>
    </row>
    <row r="434" customFormat="false" ht="15" hidden="false" customHeight="false" outlineLevel="0" collapsed="false">
      <c r="A434" s="4" t="s">
        <v>674</v>
      </c>
      <c r="B434" s="4" t="s">
        <v>96</v>
      </c>
      <c r="C434" s="4" t="n">
        <v>14</v>
      </c>
      <c r="D434" s="4" t="n">
        <v>431</v>
      </c>
      <c r="E434" s="4" t="s">
        <v>233</v>
      </c>
      <c r="F434" s="4" t="n">
        <v>6</v>
      </c>
      <c r="G434" s="4" t="n">
        <v>6</v>
      </c>
      <c r="H434" s="4" t="n">
        <v>1526.7</v>
      </c>
      <c r="I434" s="13" t="b">
        <f aca="false">FALSE()</f>
        <v>0</v>
      </c>
      <c r="K434" s="4" t="s">
        <v>675</v>
      </c>
      <c r="L434" s="4" t="n">
        <v>5.62</v>
      </c>
      <c r="M434" s="11" t="n">
        <f aca="false">IFERROR(MATCH(Controls!$B$3&amp;"|"&amp;B434,'Scenario inputs'!$A$4:$A$213,0),0)</f>
        <v>145</v>
      </c>
      <c r="N434" s="8" t="b">
        <f aca="false">IF(M434=0,FALSE(),F434&lt;Controls!$B$12)</f>
        <v>1</v>
      </c>
      <c r="O434" s="11" t="n">
        <f aca="false">IF(N434,IF(INDEX('Scenario inputs'!$E$4:$E$213,M434)=0,1,INDEX('Scenario inputs'!$F$4:$M$213,M434,MIN(MAX(F434-G434,0),INDEX('Scenario inputs'!$E$4:$E$213,M434)-1)+1)),0)</f>
        <v>0.035714</v>
      </c>
      <c r="P434" s="11" t="n">
        <f aca="false">H434*O434</f>
        <v>54.5245638</v>
      </c>
      <c r="Q434" s="0" t="str">
        <f aca="false">IF(M434=0,"",IF(ISNUMBER(INDEX('Scenario inputs'!$N$4:$N$213,M434)),INDEX('Scenario inputs'!$N$4:$N$213,M434),""))</f>
        <v/>
      </c>
      <c r="R434" s="0" t="str">
        <f aca="false">IF(NOT(N434),"",IF(OR(E434="cash",E434="revenue"),E434,IF(E434="avoided_cost",IF(AND(I434,LEN(TRIM(J434))&gt;0),"avoided_cost_realised","avoided_cost_beside"),IF(ISNUMBER(Q434),"capacity_converted","capacity_hours"))))</f>
        <v>capacity_hours</v>
      </c>
      <c r="S434" s="11" t="n">
        <f aca="false">IF(OR(R434="",R434="capacity_hours"),0,IF(R434="capacity_converted",P434*Q434,P434))</f>
        <v>0</v>
      </c>
      <c r="T434" s="11" t="n">
        <f aca="false">IF(OR(R434="cash",R434="revenue",R434="avoided_cost_realised",R434="capacity_converted"),1,0)</f>
        <v>0</v>
      </c>
      <c r="U434" s="11" t="n">
        <f aca="false">IF(AND(N434,R434&lt;&gt;"capacity_hours",LEN(K434)&gt;0),1,0)</f>
        <v>0</v>
      </c>
      <c r="V434" s="11" t="n">
        <f aca="false">IF(U434=1,SUMPRODUCT(($K$4:$K$703=K434)*($F$4:$F$703=F434)*($U$4:$U$703=1)*($B$4:$B$703&lt;&gt;B434)),0)</f>
        <v>0</v>
      </c>
      <c r="W434" s="11" t="n">
        <f aca="false">IF(AND(U434=1,V434&gt;0),1+SUMPRODUCT(($K$4:$K$703=K434)*($F$4:$F$703=F434)*($U$4:$U$703=1)*($S$4:$S$703&gt;S434))+SUMPRODUCT(($K$4:$K$703=K434)*($F$4:$F$703=F434)*($U$4:$U$703=1)*($S$4:$S$703=S434)*($T$4:$T$703&gt;T434))+SUMPRODUCT(($K$4:$K$703=K434)*($F$4:$F$703=F434)*($U$4:$U$703=1)*($S$4:$S$703=S434)*($T$4:$T$703=T434)*($C$4:$C$703&lt;C434))+SUMPRODUCT(($K$4:$K$703=K434)*($F$4:$F$703=F434)*($U$4:$U$703=1)*($S$4:$S$703=S434)*($T$4:$T$703=T434)*($C$4:$C$703=C434)*($D$4:$D$703&lt;D434)),0)</f>
        <v>0</v>
      </c>
      <c r="X434" s="11" t="n">
        <f aca="false">IF(AND(U434=1,V434&gt;0,W434&gt;1),S434,0)</f>
        <v>0</v>
      </c>
      <c r="Y434" s="11" t="n">
        <f aca="false">IF(T434=1,X434/(1+Controls!$B$11)^F434,0)</f>
        <v>0</v>
      </c>
      <c r="Z434" s="11" t="n">
        <f aca="false">IF(AND(N434,E434="capacity",LEN(K434)&gt;0),1,0)</f>
        <v>1</v>
      </c>
      <c r="AA434" s="11" t="n">
        <f aca="false">IF(Z434=1,SUMPRODUCT(($K$4:$K$703=K434)*($F$4:$F$703=F434)*($Z$4:$Z$703=1)*($B$4:$B$703&lt;&gt;B434)),0)</f>
        <v>0</v>
      </c>
      <c r="AB434" s="11" t="n">
        <f aca="false">IF(AND(Z434=1,AA434&gt;0),1+SUMPRODUCT(($K$4:$K$703=K434)*($F$4:$F$703=F434)*($Z$4:$Z$703=1)*($P$4:$P$703&gt;P434))+SUMPRODUCT(($K$4:$K$703=K434)*($F$4:$F$703=F434)*($Z$4:$Z$703=1)*($P$4:$P$703=P434)*($C$4:$C$703&lt;C434))+SUMPRODUCT(($K$4:$K$703=K434)*($F$4:$F$703=F434)*($Z$4:$Z$703=1)*($P$4:$P$703=P434)*($C$4:$C$703=C434)*($D$4:$D$703&lt;D434)),0)</f>
        <v>0</v>
      </c>
      <c r="AC434" s="11" t="n">
        <f aca="false">IF(AND(Z434=1,AA434&gt;0,AB434&gt;1),P434,0)</f>
        <v>0</v>
      </c>
    </row>
    <row r="435" customFormat="false" ht="15" hidden="false" customHeight="false" outlineLevel="0" collapsed="false">
      <c r="A435" s="4" t="s">
        <v>676</v>
      </c>
      <c r="B435" s="4" t="s">
        <v>96</v>
      </c>
      <c r="C435" s="4" t="n">
        <v>14</v>
      </c>
      <c r="D435" s="4" t="n">
        <v>432</v>
      </c>
      <c r="E435" s="4" t="s">
        <v>233</v>
      </c>
      <c r="F435" s="4" t="n">
        <v>7</v>
      </c>
      <c r="G435" s="4" t="n">
        <v>6</v>
      </c>
      <c r="H435" s="4" t="n">
        <v>1526.7</v>
      </c>
      <c r="I435" s="13" t="b">
        <f aca="false">FALSE()</f>
        <v>0</v>
      </c>
      <c r="K435" s="4" t="s">
        <v>675</v>
      </c>
      <c r="L435" s="4" t="n">
        <v>17.23</v>
      </c>
      <c r="M435" s="11" t="n">
        <f aca="false">IFERROR(MATCH(Controls!$B$3&amp;"|"&amp;B435,'Scenario inputs'!$A$4:$A$213,0),0)</f>
        <v>145</v>
      </c>
      <c r="N435" s="8" t="b">
        <f aca="false">IF(M435=0,FALSE(),F435&lt;Controls!$B$12)</f>
        <v>1</v>
      </c>
      <c r="O435" s="11" t="n">
        <f aca="false">IF(N435,IF(INDEX('Scenario inputs'!$E$4:$E$213,M435)=0,1,INDEX('Scenario inputs'!$F$4:$M$213,M435,MIN(MAX(F435-G435,0),INDEX('Scenario inputs'!$E$4:$E$213,M435)-1)+1)),0)</f>
        <v>0.107143</v>
      </c>
      <c r="P435" s="11" t="n">
        <f aca="false">H435*O435</f>
        <v>163.5752181</v>
      </c>
      <c r="Q435" s="0" t="str">
        <f aca="false">IF(M435=0,"",IF(ISNUMBER(INDEX('Scenario inputs'!$N$4:$N$213,M435)),INDEX('Scenario inputs'!$N$4:$N$213,M435),""))</f>
        <v/>
      </c>
      <c r="R435" s="0" t="str">
        <f aca="false">IF(NOT(N435),"",IF(OR(E435="cash",E435="revenue"),E435,IF(E435="avoided_cost",IF(AND(I435,LEN(TRIM(J435))&gt;0),"avoided_cost_realised","avoided_cost_beside"),IF(ISNUMBER(Q435),"capacity_converted","capacity_hours"))))</f>
        <v>capacity_hours</v>
      </c>
      <c r="S435" s="11" t="n">
        <f aca="false">IF(OR(R435="",R435="capacity_hours"),0,IF(R435="capacity_converted",P435*Q435,P435))</f>
        <v>0</v>
      </c>
      <c r="T435" s="11" t="n">
        <f aca="false">IF(OR(R435="cash",R435="revenue",R435="avoided_cost_realised",R435="capacity_converted"),1,0)</f>
        <v>0</v>
      </c>
      <c r="U435" s="11" t="n">
        <f aca="false">IF(AND(N435,R435&lt;&gt;"capacity_hours",LEN(K435)&gt;0),1,0)</f>
        <v>0</v>
      </c>
      <c r="V435" s="11" t="n">
        <f aca="false">IF(U435=1,SUMPRODUCT(($K$4:$K$703=K435)*($F$4:$F$703=F435)*($U$4:$U$703=1)*($B$4:$B$703&lt;&gt;B435)),0)</f>
        <v>0</v>
      </c>
      <c r="W435" s="11" t="n">
        <f aca="false">IF(AND(U435=1,V435&gt;0),1+SUMPRODUCT(($K$4:$K$703=K435)*($F$4:$F$703=F435)*($U$4:$U$703=1)*($S$4:$S$703&gt;S435))+SUMPRODUCT(($K$4:$K$703=K435)*($F$4:$F$703=F435)*($U$4:$U$703=1)*($S$4:$S$703=S435)*($T$4:$T$703&gt;T435))+SUMPRODUCT(($K$4:$K$703=K435)*($F$4:$F$703=F435)*($U$4:$U$703=1)*($S$4:$S$703=S435)*($T$4:$T$703=T435)*($C$4:$C$703&lt;C435))+SUMPRODUCT(($K$4:$K$703=K435)*($F$4:$F$703=F435)*($U$4:$U$703=1)*($S$4:$S$703=S435)*($T$4:$T$703=T435)*($C$4:$C$703=C435)*($D$4:$D$703&lt;D435)),0)</f>
        <v>0</v>
      </c>
      <c r="X435" s="11" t="n">
        <f aca="false">IF(AND(U435=1,V435&gt;0,W435&gt;1),S435,0)</f>
        <v>0</v>
      </c>
      <c r="Y435" s="11" t="n">
        <f aca="false">IF(T435=1,X435/(1+Controls!$B$11)^F435,0)</f>
        <v>0</v>
      </c>
      <c r="Z435" s="11" t="n">
        <f aca="false">IF(AND(N435,E435="capacity",LEN(K435)&gt;0),1,0)</f>
        <v>1</v>
      </c>
      <c r="AA435" s="11" t="n">
        <f aca="false">IF(Z435=1,SUMPRODUCT(($K$4:$K$703=K435)*($F$4:$F$703=F435)*($Z$4:$Z$703=1)*($B$4:$B$703&lt;&gt;B435)),0)</f>
        <v>0</v>
      </c>
      <c r="AB435" s="11" t="n">
        <f aca="false">IF(AND(Z435=1,AA435&gt;0),1+SUMPRODUCT(($K$4:$K$703=K435)*($F$4:$F$703=F435)*($Z$4:$Z$703=1)*($P$4:$P$703&gt;P435))+SUMPRODUCT(($K$4:$K$703=K435)*($F$4:$F$703=F435)*($Z$4:$Z$703=1)*($P$4:$P$703=P435)*($C$4:$C$703&lt;C435))+SUMPRODUCT(($K$4:$K$703=K435)*($F$4:$F$703=F435)*($Z$4:$Z$703=1)*($P$4:$P$703=P435)*($C$4:$C$703=C435)*($D$4:$D$703&lt;D435)),0)</f>
        <v>0</v>
      </c>
      <c r="AC435" s="11" t="n">
        <f aca="false">IF(AND(Z435=1,AA435&gt;0,AB435&gt;1),P435,0)</f>
        <v>0</v>
      </c>
    </row>
    <row r="436" customFormat="false" ht="15" hidden="false" customHeight="false" outlineLevel="0" collapsed="false">
      <c r="A436" s="4" t="s">
        <v>677</v>
      </c>
      <c r="B436" s="4" t="s">
        <v>96</v>
      </c>
      <c r="C436" s="4" t="n">
        <v>14</v>
      </c>
      <c r="D436" s="4" t="n">
        <v>433</v>
      </c>
      <c r="E436" s="4" t="s">
        <v>233</v>
      </c>
      <c r="F436" s="4" t="n">
        <v>8</v>
      </c>
      <c r="G436" s="4" t="n">
        <v>6</v>
      </c>
      <c r="H436" s="4" t="n">
        <v>1526.7</v>
      </c>
      <c r="I436" s="13" t="b">
        <f aca="false">FALSE()</f>
        <v>0</v>
      </c>
      <c r="K436" s="4" t="s">
        <v>675</v>
      </c>
      <c r="L436" s="4" t="n">
        <v>34.45</v>
      </c>
      <c r="M436" s="11" t="n">
        <f aca="false">IFERROR(MATCH(Controls!$B$3&amp;"|"&amp;B436,'Scenario inputs'!$A$4:$A$213,0),0)</f>
        <v>145</v>
      </c>
      <c r="N436" s="8" t="b">
        <f aca="false">IF(M436=0,FALSE(),F436&lt;Controls!$B$12)</f>
        <v>1</v>
      </c>
      <c r="O436" s="11" t="n">
        <f aca="false">IF(N436,IF(INDEX('Scenario inputs'!$E$4:$E$213,M436)=0,1,INDEX('Scenario inputs'!$F$4:$M$213,M436,MIN(MAX(F436-G436,0),INDEX('Scenario inputs'!$E$4:$E$213,M436)-1)+1)),0)</f>
        <v>0.214286</v>
      </c>
      <c r="P436" s="11" t="n">
        <f aca="false">H436*O436</f>
        <v>327.1504362</v>
      </c>
      <c r="Q436" s="0" t="str">
        <f aca="false">IF(M436=0,"",IF(ISNUMBER(INDEX('Scenario inputs'!$N$4:$N$213,M436)),INDEX('Scenario inputs'!$N$4:$N$213,M436),""))</f>
        <v/>
      </c>
      <c r="R436" s="0" t="str">
        <f aca="false">IF(NOT(N436),"",IF(OR(E436="cash",E436="revenue"),E436,IF(E436="avoided_cost",IF(AND(I436,LEN(TRIM(J436))&gt;0),"avoided_cost_realised","avoided_cost_beside"),IF(ISNUMBER(Q436),"capacity_converted","capacity_hours"))))</f>
        <v>capacity_hours</v>
      </c>
      <c r="S436" s="11" t="n">
        <f aca="false">IF(OR(R436="",R436="capacity_hours"),0,IF(R436="capacity_converted",P436*Q436,P436))</f>
        <v>0</v>
      </c>
      <c r="T436" s="11" t="n">
        <f aca="false">IF(OR(R436="cash",R436="revenue",R436="avoided_cost_realised",R436="capacity_converted"),1,0)</f>
        <v>0</v>
      </c>
      <c r="U436" s="11" t="n">
        <f aca="false">IF(AND(N436,R436&lt;&gt;"capacity_hours",LEN(K436)&gt;0),1,0)</f>
        <v>0</v>
      </c>
      <c r="V436" s="11" t="n">
        <f aca="false">IF(U436=1,SUMPRODUCT(($K$4:$K$703=K436)*($F$4:$F$703=F436)*($U$4:$U$703=1)*($B$4:$B$703&lt;&gt;B436)),0)</f>
        <v>0</v>
      </c>
      <c r="W436" s="11" t="n">
        <f aca="false">IF(AND(U436=1,V436&gt;0),1+SUMPRODUCT(($K$4:$K$703=K436)*($F$4:$F$703=F436)*($U$4:$U$703=1)*($S$4:$S$703&gt;S436))+SUMPRODUCT(($K$4:$K$703=K436)*($F$4:$F$703=F436)*($U$4:$U$703=1)*($S$4:$S$703=S436)*($T$4:$T$703&gt;T436))+SUMPRODUCT(($K$4:$K$703=K436)*($F$4:$F$703=F436)*($U$4:$U$703=1)*($S$4:$S$703=S436)*($T$4:$T$703=T436)*($C$4:$C$703&lt;C436))+SUMPRODUCT(($K$4:$K$703=K436)*($F$4:$F$703=F436)*($U$4:$U$703=1)*($S$4:$S$703=S436)*($T$4:$T$703=T436)*($C$4:$C$703=C436)*($D$4:$D$703&lt;D436)),0)</f>
        <v>0</v>
      </c>
      <c r="X436" s="11" t="n">
        <f aca="false">IF(AND(U436=1,V436&gt;0,W436&gt;1),S436,0)</f>
        <v>0</v>
      </c>
      <c r="Y436" s="11" t="n">
        <f aca="false">IF(T436=1,X436/(1+Controls!$B$11)^F436,0)</f>
        <v>0</v>
      </c>
      <c r="Z436" s="11" t="n">
        <f aca="false">IF(AND(N436,E436="capacity",LEN(K436)&gt;0),1,0)</f>
        <v>1</v>
      </c>
      <c r="AA436" s="11" t="n">
        <f aca="false">IF(Z436=1,SUMPRODUCT(($K$4:$K$703=K436)*($F$4:$F$703=F436)*($Z$4:$Z$703=1)*($B$4:$B$703&lt;&gt;B436)),0)</f>
        <v>0</v>
      </c>
      <c r="AB436" s="11" t="n">
        <f aca="false">IF(AND(Z436=1,AA436&gt;0),1+SUMPRODUCT(($K$4:$K$703=K436)*($F$4:$F$703=F436)*($Z$4:$Z$703=1)*($P$4:$P$703&gt;P436))+SUMPRODUCT(($K$4:$K$703=K436)*($F$4:$F$703=F436)*($Z$4:$Z$703=1)*($P$4:$P$703=P436)*($C$4:$C$703&lt;C436))+SUMPRODUCT(($K$4:$K$703=K436)*($F$4:$F$703=F436)*($Z$4:$Z$703=1)*($P$4:$P$703=P436)*($C$4:$C$703=C436)*($D$4:$D$703&lt;D436)),0)</f>
        <v>0</v>
      </c>
      <c r="AC436" s="11" t="n">
        <f aca="false">IF(AND(Z436=1,AA436&gt;0,AB436&gt;1),P436,0)</f>
        <v>0</v>
      </c>
    </row>
    <row r="437" customFormat="false" ht="15" hidden="false" customHeight="false" outlineLevel="0" collapsed="false">
      <c r="A437" s="4" t="s">
        <v>678</v>
      </c>
      <c r="B437" s="4" t="s">
        <v>96</v>
      </c>
      <c r="C437" s="4" t="n">
        <v>14</v>
      </c>
      <c r="D437" s="4" t="n">
        <v>434</v>
      </c>
      <c r="E437" s="4" t="s">
        <v>233</v>
      </c>
      <c r="F437" s="4" t="n">
        <v>9</v>
      </c>
      <c r="G437" s="4" t="n">
        <v>6</v>
      </c>
      <c r="H437" s="4" t="n">
        <v>1526.7</v>
      </c>
      <c r="I437" s="13" t="b">
        <f aca="false">FALSE()</f>
        <v>0</v>
      </c>
      <c r="K437" s="4" t="s">
        <v>675</v>
      </c>
      <c r="L437" s="4" t="n">
        <v>80.26</v>
      </c>
      <c r="M437" s="11" t="n">
        <f aca="false">IFERROR(MATCH(Controls!$B$3&amp;"|"&amp;B437,'Scenario inputs'!$A$4:$A$213,0),0)</f>
        <v>145</v>
      </c>
      <c r="N437" s="8" t="b">
        <f aca="false">IF(M437=0,FALSE(),F437&lt;Controls!$B$12)</f>
        <v>1</v>
      </c>
      <c r="O437" s="11" t="n">
        <f aca="false">IF(N437,IF(INDEX('Scenario inputs'!$E$4:$E$213,M437)=0,1,INDEX('Scenario inputs'!$F$4:$M$213,M437,MIN(MAX(F437-G437,0),INDEX('Scenario inputs'!$E$4:$E$213,M437)-1)+1)),0)</f>
        <v>0.357143</v>
      </c>
      <c r="P437" s="11" t="n">
        <f aca="false">H437*O437</f>
        <v>545.2502181</v>
      </c>
      <c r="Q437" s="0" t="str">
        <f aca="false">IF(M437=0,"",IF(ISNUMBER(INDEX('Scenario inputs'!$N$4:$N$213,M437)),INDEX('Scenario inputs'!$N$4:$N$213,M437),""))</f>
        <v/>
      </c>
      <c r="R437" s="0" t="str">
        <f aca="false">IF(NOT(N437),"",IF(OR(E437="cash",E437="revenue"),E437,IF(E437="avoided_cost",IF(AND(I437,LEN(TRIM(J437))&gt;0),"avoided_cost_realised","avoided_cost_beside"),IF(ISNUMBER(Q437),"capacity_converted","capacity_hours"))))</f>
        <v>capacity_hours</v>
      </c>
      <c r="S437" s="11" t="n">
        <f aca="false">IF(OR(R437="",R437="capacity_hours"),0,IF(R437="capacity_converted",P437*Q437,P437))</f>
        <v>0</v>
      </c>
      <c r="T437" s="11" t="n">
        <f aca="false">IF(OR(R437="cash",R437="revenue",R437="avoided_cost_realised",R437="capacity_converted"),1,0)</f>
        <v>0</v>
      </c>
      <c r="U437" s="11" t="n">
        <f aca="false">IF(AND(N437,R437&lt;&gt;"capacity_hours",LEN(K437)&gt;0),1,0)</f>
        <v>0</v>
      </c>
      <c r="V437" s="11" t="n">
        <f aca="false">IF(U437=1,SUMPRODUCT(($K$4:$K$703=K437)*($F$4:$F$703=F437)*($U$4:$U$703=1)*($B$4:$B$703&lt;&gt;B437)),0)</f>
        <v>0</v>
      </c>
      <c r="W437" s="11" t="n">
        <f aca="false">IF(AND(U437=1,V437&gt;0),1+SUMPRODUCT(($K$4:$K$703=K437)*($F$4:$F$703=F437)*($U$4:$U$703=1)*($S$4:$S$703&gt;S437))+SUMPRODUCT(($K$4:$K$703=K437)*($F$4:$F$703=F437)*($U$4:$U$703=1)*($S$4:$S$703=S437)*($T$4:$T$703&gt;T437))+SUMPRODUCT(($K$4:$K$703=K437)*($F$4:$F$703=F437)*($U$4:$U$703=1)*($S$4:$S$703=S437)*($T$4:$T$703=T437)*($C$4:$C$703&lt;C437))+SUMPRODUCT(($K$4:$K$703=K437)*($F$4:$F$703=F437)*($U$4:$U$703=1)*($S$4:$S$703=S437)*($T$4:$T$703=T437)*($C$4:$C$703=C437)*($D$4:$D$703&lt;D437)),0)</f>
        <v>0</v>
      </c>
      <c r="X437" s="11" t="n">
        <f aca="false">IF(AND(U437=1,V437&gt;0,W437&gt;1),S437,0)</f>
        <v>0</v>
      </c>
      <c r="Y437" s="11" t="n">
        <f aca="false">IF(T437=1,X437/(1+Controls!$B$11)^F437,0)</f>
        <v>0</v>
      </c>
      <c r="Z437" s="11" t="n">
        <f aca="false">IF(AND(N437,E437="capacity",LEN(K437)&gt;0),1,0)</f>
        <v>1</v>
      </c>
      <c r="AA437" s="11" t="n">
        <f aca="false">IF(Z437=1,SUMPRODUCT(($K$4:$K$703=K437)*($F$4:$F$703=F437)*($Z$4:$Z$703=1)*($B$4:$B$703&lt;&gt;B437)),0)</f>
        <v>0</v>
      </c>
      <c r="AB437" s="11" t="n">
        <f aca="false">IF(AND(Z437=1,AA437&gt;0),1+SUMPRODUCT(($K$4:$K$703=K437)*($F$4:$F$703=F437)*($Z$4:$Z$703=1)*($P$4:$P$703&gt;P437))+SUMPRODUCT(($K$4:$K$703=K437)*($F$4:$F$703=F437)*($Z$4:$Z$703=1)*($P$4:$P$703=P437)*($C$4:$C$703&lt;C437))+SUMPRODUCT(($K$4:$K$703=K437)*($F$4:$F$703=F437)*($Z$4:$Z$703=1)*($P$4:$P$703=P437)*($C$4:$C$703=C437)*($D$4:$D$703&lt;D437)),0)</f>
        <v>0</v>
      </c>
      <c r="AC437" s="11" t="n">
        <f aca="false">IF(AND(Z437=1,AA437&gt;0,AB437&gt;1),P437,0)</f>
        <v>0</v>
      </c>
    </row>
    <row r="438" customFormat="false" ht="15" hidden="false" customHeight="false" outlineLevel="0" collapsed="false">
      <c r="A438" s="4" t="s">
        <v>679</v>
      </c>
      <c r="B438" s="4" t="s">
        <v>96</v>
      </c>
      <c r="C438" s="4" t="n">
        <v>14</v>
      </c>
      <c r="D438" s="4" t="n">
        <v>435</v>
      </c>
      <c r="E438" s="4" t="s">
        <v>233</v>
      </c>
      <c r="F438" s="4" t="n">
        <v>10</v>
      </c>
      <c r="G438" s="4" t="n">
        <v>6</v>
      </c>
      <c r="H438" s="4" t="n">
        <v>1526.7</v>
      </c>
      <c r="I438" s="13" t="b">
        <f aca="false">FALSE()</f>
        <v>0</v>
      </c>
      <c r="K438" s="4" t="s">
        <v>675</v>
      </c>
      <c r="L438" s="4" t="n">
        <v>120.39</v>
      </c>
      <c r="M438" s="11" t="n">
        <f aca="false">IFERROR(MATCH(Controls!$B$3&amp;"|"&amp;B438,'Scenario inputs'!$A$4:$A$213,0),0)</f>
        <v>145</v>
      </c>
      <c r="N438" s="8" t="b">
        <f aca="false">IF(M438=0,FALSE(),F438&lt;Controls!$B$12)</f>
        <v>1</v>
      </c>
      <c r="O438" s="11" t="n">
        <f aca="false">IF(N438,IF(INDEX('Scenario inputs'!$E$4:$E$213,M438)=0,1,INDEX('Scenario inputs'!$F$4:$M$213,M438,MIN(MAX(F438-G438,0),INDEX('Scenario inputs'!$E$4:$E$213,M438)-1)+1)),0)</f>
        <v>0.535714</v>
      </c>
      <c r="P438" s="11" t="n">
        <f aca="false">H438*O438</f>
        <v>817.8745638</v>
      </c>
      <c r="Q438" s="0" t="str">
        <f aca="false">IF(M438=0,"",IF(ISNUMBER(INDEX('Scenario inputs'!$N$4:$N$213,M438)),INDEX('Scenario inputs'!$N$4:$N$213,M438),""))</f>
        <v/>
      </c>
      <c r="R438" s="0" t="str">
        <f aca="false">IF(NOT(N438),"",IF(OR(E438="cash",E438="revenue"),E438,IF(E438="avoided_cost",IF(AND(I438,LEN(TRIM(J438))&gt;0),"avoided_cost_realised","avoided_cost_beside"),IF(ISNUMBER(Q438),"capacity_converted","capacity_hours"))))</f>
        <v>capacity_hours</v>
      </c>
      <c r="S438" s="11" t="n">
        <f aca="false">IF(OR(R438="",R438="capacity_hours"),0,IF(R438="capacity_converted",P438*Q438,P438))</f>
        <v>0</v>
      </c>
      <c r="T438" s="11" t="n">
        <f aca="false">IF(OR(R438="cash",R438="revenue",R438="avoided_cost_realised",R438="capacity_converted"),1,0)</f>
        <v>0</v>
      </c>
      <c r="U438" s="11" t="n">
        <f aca="false">IF(AND(N438,R438&lt;&gt;"capacity_hours",LEN(K438)&gt;0),1,0)</f>
        <v>0</v>
      </c>
      <c r="V438" s="11" t="n">
        <f aca="false">IF(U438=1,SUMPRODUCT(($K$4:$K$703=K438)*($F$4:$F$703=F438)*($U$4:$U$703=1)*($B$4:$B$703&lt;&gt;B438)),0)</f>
        <v>0</v>
      </c>
      <c r="W438" s="11" t="n">
        <f aca="false">IF(AND(U438=1,V438&gt;0),1+SUMPRODUCT(($K$4:$K$703=K438)*($F$4:$F$703=F438)*($U$4:$U$703=1)*($S$4:$S$703&gt;S438))+SUMPRODUCT(($K$4:$K$703=K438)*($F$4:$F$703=F438)*($U$4:$U$703=1)*($S$4:$S$703=S438)*($T$4:$T$703&gt;T438))+SUMPRODUCT(($K$4:$K$703=K438)*($F$4:$F$703=F438)*($U$4:$U$703=1)*($S$4:$S$703=S438)*($T$4:$T$703=T438)*($C$4:$C$703&lt;C438))+SUMPRODUCT(($K$4:$K$703=K438)*($F$4:$F$703=F438)*($U$4:$U$703=1)*($S$4:$S$703=S438)*($T$4:$T$703=T438)*($C$4:$C$703=C438)*($D$4:$D$703&lt;D438)),0)</f>
        <v>0</v>
      </c>
      <c r="X438" s="11" t="n">
        <f aca="false">IF(AND(U438=1,V438&gt;0,W438&gt;1),S438,0)</f>
        <v>0</v>
      </c>
      <c r="Y438" s="11" t="n">
        <f aca="false">IF(T438=1,X438/(1+Controls!$B$11)^F438,0)</f>
        <v>0</v>
      </c>
      <c r="Z438" s="11" t="n">
        <f aca="false">IF(AND(N438,E438="capacity",LEN(K438)&gt;0),1,0)</f>
        <v>1</v>
      </c>
      <c r="AA438" s="11" t="n">
        <f aca="false">IF(Z438=1,SUMPRODUCT(($K$4:$K$703=K438)*($F$4:$F$703=F438)*($Z$4:$Z$703=1)*($B$4:$B$703&lt;&gt;B438)),0)</f>
        <v>0</v>
      </c>
      <c r="AB438" s="11" t="n">
        <f aca="false">IF(AND(Z438=1,AA438&gt;0),1+SUMPRODUCT(($K$4:$K$703=K438)*($F$4:$F$703=F438)*($Z$4:$Z$703=1)*($P$4:$P$703&gt;P438))+SUMPRODUCT(($K$4:$K$703=K438)*($F$4:$F$703=F438)*($Z$4:$Z$703=1)*($P$4:$P$703=P438)*($C$4:$C$703&lt;C438))+SUMPRODUCT(($K$4:$K$703=K438)*($F$4:$F$703=F438)*($Z$4:$Z$703=1)*($P$4:$P$703=P438)*($C$4:$C$703=C438)*($D$4:$D$703&lt;D438)),0)</f>
        <v>0</v>
      </c>
      <c r="AC438" s="11" t="n">
        <f aca="false">IF(AND(Z438=1,AA438&gt;0,AB438&gt;1),P438,0)</f>
        <v>0</v>
      </c>
    </row>
    <row r="439" customFormat="false" ht="15" hidden="false" customHeight="false" outlineLevel="0" collapsed="false">
      <c r="A439" s="4" t="s">
        <v>680</v>
      </c>
      <c r="B439" s="4" t="s">
        <v>96</v>
      </c>
      <c r="C439" s="4" t="n">
        <v>14</v>
      </c>
      <c r="D439" s="4" t="n">
        <v>436</v>
      </c>
      <c r="E439" s="4" t="s">
        <v>233</v>
      </c>
      <c r="F439" s="4" t="n">
        <v>11</v>
      </c>
      <c r="G439" s="4" t="n">
        <v>6</v>
      </c>
      <c r="H439" s="4" t="n">
        <v>1526.7</v>
      </c>
      <c r="I439" s="13" t="b">
        <f aca="false">FALSE()</f>
        <v>0</v>
      </c>
      <c r="K439" s="4" t="s">
        <v>675</v>
      </c>
      <c r="L439" s="4" t="n">
        <v>168.55</v>
      </c>
      <c r="M439" s="11" t="n">
        <f aca="false">IFERROR(MATCH(Controls!$B$3&amp;"|"&amp;B439,'Scenario inputs'!$A$4:$A$213,0),0)</f>
        <v>145</v>
      </c>
      <c r="N439" s="8" t="b">
        <f aca="false">IF(M439=0,FALSE(),F439&lt;Controls!$B$12)</f>
        <v>1</v>
      </c>
      <c r="O439" s="11" t="n">
        <f aca="false">IF(N439,IF(INDEX('Scenario inputs'!$E$4:$E$213,M439)=0,1,INDEX('Scenario inputs'!$F$4:$M$213,M439,MIN(MAX(F439-G439,0),INDEX('Scenario inputs'!$E$4:$E$213,M439)-1)+1)),0)</f>
        <v>0.75</v>
      </c>
      <c r="P439" s="11" t="n">
        <f aca="false">H439*O439</f>
        <v>1145.025</v>
      </c>
      <c r="Q439" s="0" t="str">
        <f aca="false">IF(M439=0,"",IF(ISNUMBER(INDEX('Scenario inputs'!$N$4:$N$213,M439)),INDEX('Scenario inputs'!$N$4:$N$213,M439),""))</f>
        <v/>
      </c>
      <c r="R439" s="0" t="str">
        <f aca="false">IF(NOT(N439),"",IF(OR(E439="cash",E439="revenue"),E439,IF(E439="avoided_cost",IF(AND(I439,LEN(TRIM(J439))&gt;0),"avoided_cost_realised","avoided_cost_beside"),IF(ISNUMBER(Q439),"capacity_converted","capacity_hours"))))</f>
        <v>capacity_hours</v>
      </c>
      <c r="S439" s="11" t="n">
        <f aca="false">IF(OR(R439="",R439="capacity_hours"),0,IF(R439="capacity_converted",P439*Q439,P439))</f>
        <v>0</v>
      </c>
      <c r="T439" s="11" t="n">
        <f aca="false">IF(OR(R439="cash",R439="revenue",R439="avoided_cost_realised",R439="capacity_converted"),1,0)</f>
        <v>0</v>
      </c>
      <c r="U439" s="11" t="n">
        <f aca="false">IF(AND(N439,R439&lt;&gt;"capacity_hours",LEN(K439)&gt;0),1,0)</f>
        <v>0</v>
      </c>
      <c r="V439" s="11" t="n">
        <f aca="false">IF(U439=1,SUMPRODUCT(($K$4:$K$703=K439)*($F$4:$F$703=F439)*($U$4:$U$703=1)*($B$4:$B$703&lt;&gt;B439)),0)</f>
        <v>0</v>
      </c>
      <c r="W439" s="11" t="n">
        <f aca="false">IF(AND(U439=1,V439&gt;0),1+SUMPRODUCT(($K$4:$K$703=K439)*($F$4:$F$703=F439)*($U$4:$U$703=1)*($S$4:$S$703&gt;S439))+SUMPRODUCT(($K$4:$K$703=K439)*($F$4:$F$703=F439)*($U$4:$U$703=1)*($S$4:$S$703=S439)*($T$4:$T$703&gt;T439))+SUMPRODUCT(($K$4:$K$703=K439)*($F$4:$F$703=F439)*($U$4:$U$703=1)*($S$4:$S$703=S439)*($T$4:$T$703=T439)*($C$4:$C$703&lt;C439))+SUMPRODUCT(($K$4:$K$703=K439)*($F$4:$F$703=F439)*($U$4:$U$703=1)*($S$4:$S$703=S439)*($T$4:$T$703=T439)*($C$4:$C$703=C439)*($D$4:$D$703&lt;D439)),0)</f>
        <v>0</v>
      </c>
      <c r="X439" s="11" t="n">
        <f aca="false">IF(AND(U439=1,V439&gt;0,W439&gt;1),S439,0)</f>
        <v>0</v>
      </c>
      <c r="Y439" s="11" t="n">
        <f aca="false">IF(T439=1,X439/(1+Controls!$B$11)^F439,0)</f>
        <v>0</v>
      </c>
      <c r="Z439" s="11" t="n">
        <f aca="false">IF(AND(N439,E439="capacity",LEN(K439)&gt;0),1,0)</f>
        <v>1</v>
      </c>
      <c r="AA439" s="11" t="n">
        <f aca="false">IF(Z439=1,SUMPRODUCT(($K$4:$K$703=K439)*($F$4:$F$703=F439)*($Z$4:$Z$703=1)*($B$4:$B$703&lt;&gt;B439)),0)</f>
        <v>0</v>
      </c>
      <c r="AB439" s="11" t="n">
        <f aca="false">IF(AND(Z439=1,AA439&gt;0),1+SUMPRODUCT(($K$4:$K$703=K439)*($F$4:$F$703=F439)*($Z$4:$Z$703=1)*($P$4:$P$703&gt;P439))+SUMPRODUCT(($K$4:$K$703=K439)*($F$4:$F$703=F439)*($Z$4:$Z$703=1)*($P$4:$P$703=P439)*($C$4:$C$703&lt;C439))+SUMPRODUCT(($K$4:$K$703=K439)*($F$4:$F$703=F439)*($Z$4:$Z$703=1)*($P$4:$P$703=P439)*($C$4:$C$703=C439)*($D$4:$D$703&lt;D439)),0)</f>
        <v>0</v>
      </c>
      <c r="AC439" s="11" t="n">
        <f aca="false">IF(AND(Z439=1,AA439&gt;0,AB439&gt;1),P439,0)</f>
        <v>0</v>
      </c>
    </row>
    <row r="440" customFormat="false" ht="15" hidden="false" customHeight="false" outlineLevel="0" collapsed="false">
      <c r="A440" s="4" t="s">
        <v>681</v>
      </c>
      <c r="B440" s="4" t="s">
        <v>96</v>
      </c>
      <c r="C440" s="4" t="n">
        <v>14</v>
      </c>
      <c r="D440" s="4" t="n">
        <v>437</v>
      </c>
      <c r="E440" s="4" t="s">
        <v>233</v>
      </c>
      <c r="F440" s="4" t="n">
        <v>12</v>
      </c>
      <c r="G440" s="4" t="n">
        <v>6</v>
      </c>
      <c r="H440" s="4" t="n">
        <v>1526.7</v>
      </c>
      <c r="I440" s="13" t="b">
        <f aca="false">FALSE()</f>
        <v>0</v>
      </c>
      <c r="K440" s="4" t="s">
        <v>675</v>
      </c>
      <c r="L440" s="4" t="n">
        <v>224.73</v>
      </c>
      <c r="M440" s="11" t="n">
        <f aca="false">IFERROR(MATCH(Controls!$B$3&amp;"|"&amp;B440,'Scenario inputs'!$A$4:$A$213,0),0)</f>
        <v>145</v>
      </c>
      <c r="N440" s="8" t="b">
        <f aca="false">IF(M440=0,FALSE(),F440&lt;Controls!$B$12)</f>
        <v>1</v>
      </c>
      <c r="O440" s="11" t="n">
        <f aca="false">IF(N440,IF(INDEX('Scenario inputs'!$E$4:$E$213,M440)=0,1,INDEX('Scenario inputs'!$F$4:$M$213,M440,MIN(MAX(F440-G440,0),INDEX('Scenario inputs'!$E$4:$E$213,M440)-1)+1)),0)</f>
        <v>1</v>
      </c>
      <c r="P440" s="11" t="n">
        <f aca="false">H440*O440</f>
        <v>1526.7</v>
      </c>
      <c r="Q440" s="0" t="str">
        <f aca="false">IF(M440=0,"",IF(ISNUMBER(INDEX('Scenario inputs'!$N$4:$N$213,M440)),INDEX('Scenario inputs'!$N$4:$N$213,M440),""))</f>
        <v/>
      </c>
      <c r="R440" s="0" t="str">
        <f aca="false">IF(NOT(N440),"",IF(OR(E440="cash",E440="revenue"),E440,IF(E440="avoided_cost",IF(AND(I440,LEN(TRIM(J440))&gt;0),"avoided_cost_realised","avoided_cost_beside"),IF(ISNUMBER(Q440),"capacity_converted","capacity_hours"))))</f>
        <v>capacity_hours</v>
      </c>
      <c r="S440" s="11" t="n">
        <f aca="false">IF(OR(R440="",R440="capacity_hours"),0,IF(R440="capacity_converted",P440*Q440,P440))</f>
        <v>0</v>
      </c>
      <c r="T440" s="11" t="n">
        <f aca="false">IF(OR(R440="cash",R440="revenue",R440="avoided_cost_realised",R440="capacity_converted"),1,0)</f>
        <v>0</v>
      </c>
      <c r="U440" s="11" t="n">
        <f aca="false">IF(AND(N440,R440&lt;&gt;"capacity_hours",LEN(K440)&gt;0),1,0)</f>
        <v>0</v>
      </c>
      <c r="V440" s="11" t="n">
        <f aca="false">IF(U440=1,SUMPRODUCT(($K$4:$K$703=K440)*($F$4:$F$703=F440)*($U$4:$U$703=1)*($B$4:$B$703&lt;&gt;B440)),0)</f>
        <v>0</v>
      </c>
      <c r="W440" s="11" t="n">
        <f aca="false">IF(AND(U440=1,V440&gt;0),1+SUMPRODUCT(($K$4:$K$703=K440)*($F$4:$F$703=F440)*($U$4:$U$703=1)*($S$4:$S$703&gt;S440))+SUMPRODUCT(($K$4:$K$703=K440)*($F$4:$F$703=F440)*($U$4:$U$703=1)*($S$4:$S$703=S440)*($T$4:$T$703&gt;T440))+SUMPRODUCT(($K$4:$K$703=K440)*($F$4:$F$703=F440)*($U$4:$U$703=1)*($S$4:$S$703=S440)*($T$4:$T$703=T440)*($C$4:$C$703&lt;C440))+SUMPRODUCT(($K$4:$K$703=K440)*($F$4:$F$703=F440)*($U$4:$U$703=1)*($S$4:$S$703=S440)*($T$4:$T$703=T440)*($C$4:$C$703=C440)*($D$4:$D$703&lt;D440)),0)</f>
        <v>0</v>
      </c>
      <c r="X440" s="11" t="n">
        <f aca="false">IF(AND(U440=1,V440&gt;0,W440&gt;1),S440,0)</f>
        <v>0</v>
      </c>
      <c r="Y440" s="11" t="n">
        <f aca="false">IF(T440=1,X440/(1+Controls!$B$11)^F440,0)</f>
        <v>0</v>
      </c>
      <c r="Z440" s="11" t="n">
        <f aca="false">IF(AND(N440,E440="capacity",LEN(K440)&gt;0),1,0)</f>
        <v>1</v>
      </c>
      <c r="AA440" s="11" t="n">
        <f aca="false">IF(Z440=1,SUMPRODUCT(($K$4:$K$703=K440)*($F$4:$F$703=F440)*($Z$4:$Z$703=1)*($B$4:$B$703&lt;&gt;B440)),0)</f>
        <v>0</v>
      </c>
      <c r="AB440" s="11" t="n">
        <f aca="false">IF(AND(Z440=1,AA440&gt;0),1+SUMPRODUCT(($K$4:$K$703=K440)*($F$4:$F$703=F440)*($Z$4:$Z$703=1)*($P$4:$P$703&gt;P440))+SUMPRODUCT(($K$4:$K$703=K440)*($F$4:$F$703=F440)*($Z$4:$Z$703=1)*($P$4:$P$703=P440)*($C$4:$C$703&lt;C440))+SUMPRODUCT(($K$4:$K$703=K440)*($F$4:$F$703=F440)*($Z$4:$Z$703=1)*($P$4:$P$703=P440)*($C$4:$C$703=C440)*($D$4:$D$703&lt;D440)),0)</f>
        <v>0</v>
      </c>
      <c r="AC440" s="11" t="n">
        <f aca="false">IF(AND(Z440=1,AA440&gt;0,AB440&gt;1),P440,0)</f>
        <v>0</v>
      </c>
    </row>
    <row r="441" customFormat="false" ht="15" hidden="false" customHeight="false" outlineLevel="0" collapsed="false">
      <c r="A441" s="4" t="s">
        <v>682</v>
      </c>
      <c r="B441" s="4" t="s">
        <v>96</v>
      </c>
      <c r="C441" s="4" t="n">
        <v>14</v>
      </c>
      <c r="D441" s="4" t="n">
        <v>438</v>
      </c>
      <c r="E441" s="4" t="s">
        <v>233</v>
      </c>
      <c r="F441" s="4" t="n">
        <v>13</v>
      </c>
      <c r="G441" s="4" t="n">
        <v>6</v>
      </c>
      <c r="H441" s="4" t="n">
        <v>1526.7</v>
      </c>
      <c r="I441" s="13" t="b">
        <f aca="false">FALSE()</f>
        <v>0</v>
      </c>
      <c r="K441" s="4" t="s">
        <v>675</v>
      </c>
      <c r="L441" s="4" t="n">
        <v>224.73</v>
      </c>
      <c r="M441" s="11" t="n">
        <f aca="false">IFERROR(MATCH(Controls!$B$3&amp;"|"&amp;B441,'Scenario inputs'!$A$4:$A$213,0),0)</f>
        <v>145</v>
      </c>
      <c r="N441" s="8" t="b">
        <f aca="false">IF(M441=0,FALSE(),F441&lt;Controls!$B$12)</f>
        <v>1</v>
      </c>
      <c r="O441" s="11" t="n">
        <f aca="false">IF(N441,IF(INDEX('Scenario inputs'!$E$4:$E$213,M441)=0,1,INDEX('Scenario inputs'!$F$4:$M$213,M441,MIN(MAX(F441-G441,0),INDEX('Scenario inputs'!$E$4:$E$213,M441)-1)+1)),0)</f>
        <v>1</v>
      </c>
      <c r="P441" s="11" t="n">
        <f aca="false">H441*O441</f>
        <v>1526.7</v>
      </c>
      <c r="Q441" s="0" t="str">
        <f aca="false">IF(M441=0,"",IF(ISNUMBER(INDEX('Scenario inputs'!$N$4:$N$213,M441)),INDEX('Scenario inputs'!$N$4:$N$213,M441),""))</f>
        <v/>
      </c>
      <c r="R441" s="0" t="str">
        <f aca="false">IF(NOT(N441),"",IF(OR(E441="cash",E441="revenue"),E441,IF(E441="avoided_cost",IF(AND(I441,LEN(TRIM(J441))&gt;0),"avoided_cost_realised","avoided_cost_beside"),IF(ISNUMBER(Q441),"capacity_converted","capacity_hours"))))</f>
        <v>capacity_hours</v>
      </c>
      <c r="S441" s="11" t="n">
        <f aca="false">IF(OR(R441="",R441="capacity_hours"),0,IF(R441="capacity_converted",P441*Q441,P441))</f>
        <v>0</v>
      </c>
      <c r="T441" s="11" t="n">
        <f aca="false">IF(OR(R441="cash",R441="revenue",R441="avoided_cost_realised",R441="capacity_converted"),1,0)</f>
        <v>0</v>
      </c>
      <c r="U441" s="11" t="n">
        <f aca="false">IF(AND(N441,R441&lt;&gt;"capacity_hours",LEN(K441)&gt;0),1,0)</f>
        <v>0</v>
      </c>
      <c r="V441" s="11" t="n">
        <f aca="false">IF(U441=1,SUMPRODUCT(($K$4:$K$703=K441)*($F$4:$F$703=F441)*($U$4:$U$703=1)*($B$4:$B$703&lt;&gt;B441)),0)</f>
        <v>0</v>
      </c>
      <c r="W441" s="11" t="n">
        <f aca="false">IF(AND(U441=1,V441&gt;0),1+SUMPRODUCT(($K$4:$K$703=K441)*($F$4:$F$703=F441)*($U$4:$U$703=1)*($S$4:$S$703&gt;S441))+SUMPRODUCT(($K$4:$K$703=K441)*($F$4:$F$703=F441)*($U$4:$U$703=1)*($S$4:$S$703=S441)*($T$4:$T$703&gt;T441))+SUMPRODUCT(($K$4:$K$703=K441)*($F$4:$F$703=F441)*($U$4:$U$703=1)*($S$4:$S$703=S441)*($T$4:$T$703=T441)*($C$4:$C$703&lt;C441))+SUMPRODUCT(($K$4:$K$703=K441)*($F$4:$F$703=F441)*($U$4:$U$703=1)*($S$4:$S$703=S441)*($T$4:$T$703=T441)*($C$4:$C$703=C441)*($D$4:$D$703&lt;D441)),0)</f>
        <v>0</v>
      </c>
      <c r="X441" s="11" t="n">
        <f aca="false">IF(AND(U441=1,V441&gt;0,W441&gt;1),S441,0)</f>
        <v>0</v>
      </c>
      <c r="Y441" s="11" t="n">
        <f aca="false">IF(T441=1,X441/(1+Controls!$B$11)^F441,0)</f>
        <v>0</v>
      </c>
      <c r="Z441" s="11" t="n">
        <f aca="false">IF(AND(N441,E441="capacity",LEN(K441)&gt;0),1,0)</f>
        <v>1</v>
      </c>
      <c r="AA441" s="11" t="n">
        <f aca="false">IF(Z441=1,SUMPRODUCT(($K$4:$K$703=K441)*($F$4:$F$703=F441)*($Z$4:$Z$703=1)*($B$4:$B$703&lt;&gt;B441)),0)</f>
        <v>0</v>
      </c>
      <c r="AB441" s="11" t="n">
        <f aca="false">IF(AND(Z441=1,AA441&gt;0),1+SUMPRODUCT(($K$4:$K$703=K441)*($F$4:$F$703=F441)*($Z$4:$Z$703=1)*($P$4:$P$703&gt;P441))+SUMPRODUCT(($K$4:$K$703=K441)*($F$4:$F$703=F441)*($Z$4:$Z$703=1)*($P$4:$P$703=P441)*($C$4:$C$703&lt;C441))+SUMPRODUCT(($K$4:$K$703=K441)*($F$4:$F$703=F441)*($Z$4:$Z$703=1)*($P$4:$P$703=P441)*($C$4:$C$703=C441)*($D$4:$D$703&lt;D441)),0)</f>
        <v>0</v>
      </c>
      <c r="AC441" s="11" t="n">
        <f aca="false">IF(AND(Z441=1,AA441&gt;0,AB441&gt;1),P441,0)</f>
        <v>0</v>
      </c>
    </row>
    <row r="442" customFormat="false" ht="15" hidden="false" customHeight="false" outlineLevel="0" collapsed="false">
      <c r="A442" s="4" t="s">
        <v>683</v>
      </c>
      <c r="B442" s="4" t="s">
        <v>96</v>
      </c>
      <c r="C442" s="4" t="n">
        <v>14</v>
      </c>
      <c r="D442" s="4" t="n">
        <v>439</v>
      </c>
      <c r="E442" s="4" t="s">
        <v>233</v>
      </c>
      <c r="F442" s="4" t="n">
        <v>14</v>
      </c>
      <c r="G442" s="4" t="n">
        <v>6</v>
      </c>
      <c r="H442" s="4" t="n">
        <v>1526.7</v>
      </c>
      <c r="I442" s="13" t="b">
        <f aca="false">FALSE()</f>
        <v>0</v>
      </c>
      <c r="K442" s="4" t="s">
        <v>675</v>
      </c>
      <c r="L442" s="4" t="n">
        <v>224.73</v>
      </c>
      <c r="M442" s="11" t="n">
        <f aca="false">IFERROR(MATCH(Controls!$B$3&amp;"|"&amp;B442,'Scenario inputs'!$A$4:$A$213,0),0)</f>
        <v>145</v>
      </c>
      <c r="N442" s="8" t="b">
        <f aca="false">IF(M442=0,FALSE(),F442&lt;Controls!$B$12)</f>
        <v>1</v>
      </c>
      <c r="O442" s="11" t="n">
        <f aca="false">IF(N442,IF(INDEX('Scenario inputs'!$E$4:$E$213,M442)=0,1,INDEX('Scenario inputs'!$F$4:$M$213,M442,MIN(MAX(F442-G442,0),INDEX('Scenario inputs'!$E$4:$E$213,M442)-1)+1)),0)</f>
        <v>1</v>
      </c>
      <c r="P442" s="11" t="n">
        <f aca="false">H442*O442</f>
        <v>1526.7</v>
      </c>
      <c r="Q442" s="0" t="str">
        <f aca="false">IF(M442=0,"",IF(ISNUMBER(INDEX('Scenario inputs'!$N$4:$N$213,M442)),INDEX('Scenario inputs'!$N$4:$N$213,M442),""))</f>
        <v/>
      </c>
      <c r="R442" s="0" t="str">
        <f aca="false">IF(NOT(N442),"",IF(OR(E442="cash",E442="revenue"),E442,IF(E442="avoided_cost",IF(AND(I442,LEN(TRIM(J442))&gt;0),"avoided_cost_realised","avoided_cost_beside"),IF(ISNUMBER(Q442),"capacity_converted","capacity_hours"))))</f>
        <v>capacity_hours</v>
      </c>
      <c r="S442" s="11" t="n">
        <f aca="false">IF(OR(R442="",R442="capacity_hours"),0,IF(R442="capacity_converted",P442*Q442,P442))</f>
        <v>0</v>
      </c>
      <c r="T442" s="11" t="n">
        <f aca="false">IF(OR(R442="cash",R442="revenue",R442="avoided_cost_realised",R442="capacity_converted"),1,0)</f>
        <v>0</v>
      </c>
      <c r="U442" s="11" t="n">
        <f aca="false">IF(AND(N442,R442&lt;&gt;"capacity_hours",LEN(K442)&gt;0),1,0)</f>
        <v>0</v>
      </c>
      <c r="V442" s="11" t="n">
        <f aca="false">IF(U442=1,SUMPRODUCT(($K$4:$K$703=K442)*($F$4:$F$703=F442)*($U$4:$U$703=1)*($B$4:$B$703&lt;&gt;B442)),0)</f>
        <v>0</v>
      </c>
      <c r="W442" s="11" t="n">
        <f aca="false">IF(AND(U442=1,V442&gt;0),1+SUMPRODUCT(($K$4:$K$703=K442)*($F$4:$F$703=F442)*($U$4:$U$703=1)*($S$4:$S$703&gt;S442))+SUMPRODUCT(($K$4:$K$703=K442)*($F$4:$F$703=F442)*($U$4:$U$703=1)*($S$4:$S$703=S442)*($T$4:$T$703&gt;T442))+SUMPRODUCT(($K$4:$K$703=K442)*($F$4:$F$703=F442)*($U$4:$U$703=1)*($S$4:$S$703=S442)*($T$4:$T$703=T442)*($C$4:$C$703&lt;C442))+SUMPRODUCT(($K$4:$K$703=K442)*($F$4:$F$703=F442)*($U$4:$U$703=1)*($S$4:$S$703=S442)*($T$4:$T$703=T442)*($C$4:$C$703=C442)*($D$4:$D$703&lt;D442)),0)</f>
        <v>0</v>
      </c>
      <c r="X442" s="11" t="n">
        <f aca="false">IF(AND(U442=1,V442&gt;0,W442&gt;1),S442,0)</f>
        <v>0</v>
      </c>
      <c r="Y442" s="11" t="n">
        <f aca="false">IF(T442=1,X442/(1+Controls!$B$11)^F442,0)</f>
        <v>0</v>
      </c>
      <c r="Z442" s="11" t="n">
        <f aca="false">IF(AND(N442,E442="capacity",LEN(K442)&gt;0),1,0)</f>
        <v>1</v>
      </c>
      <c r="AA442" s="11" t="n">
        <f aca="false">IF(Z442=1,SUMPRODUCT(($K$4:$K$703=K442)*($F$4:$F$703=F442)*($Z$4:$Z$703=1)*($B$4:$B$703&lt;&gt;B442)),0)</f>
        <v>0</v>
      </c>
      <c r="AB442" s="11" t="n">
        <f aca="false">IF(AND(Z442=1,AA442&gt;0),1+SUMPRODUCT(($K$4:$K$703=K442)*($F$4:$F$703=F442)*($Z$4:$Z$703=1)*($P$4:$P$703&gt;P442))+SUMPRODUCT(($K$4:$K$703=K442)*($F$4:$F$703=F442)*($Z$4:$Z$703=1)*($P$4:$P$703=P442)*($C$4:$C$703&lt;C442))+SUMPRODUCT(($K$4:$K$703=K442)*($F$4:$F$703=F442)*($Z$4:$Z$703=1)*($P$4:$P$703=P442)*($C$4:$C$703=C442)*($D$4:$D$703&lt;D442)),0)</f>
        <v>0</v>
      </c>
      <c r="AC442" s="11" t="n">
        <f aca="false">IF(AND(Z442=1,AA442&gt;0,AB442&gt;1),P442,0)</f>
        <v>0</v>
      </c>
    </row>
    <row r="443" customFormat="false" ht="15" hidden="false" customHeight="false" outlineLevel="0" collapsed="false">
      <c r="A443" s="4" t="s">
        <v>684</v>
      </c>
      <c r="B443" s="4" t="s">
        <v>96</v>
      </c>
      <c r="C443" s="4" t="n">
        <v>14</v>
      </c>
      <c r="D443" s="4" t="n">
        <v>440</v>
      </c>
      <c r="E443" s="4" t="s">
        <v>233</v>
      </c>
      <c r="F443" s="4" t="n">
        <v>15</v>
      </c>
      <c r="G443" s="4" t="n">
        <v>6</v>
      </c>
      <c r="H443" s="4" t="n">
        <v>1526.7</v>
      </c>
      <c r="I443" s="13" t="b">
        <f aca="false">FALSE()</f>
        <v>0</v>
      </c>
      <c r="K443" s="4" t="s">
        <v>675</v>
      </c>
      <c r="L443" s="4" t="n">
        <v>224.73</v>
      </c>
      <c r="M443" s="11" t="n">
        <f aca="false">IFERROR(MATCH(Controls!$B$3&amp;"|"&amp;B443,'Scenario inputs'!$A$4:$A$213,0),0)</f>
        <v>145</v>
      </c>
      <c r="N443" s="8" t="b">
        <f aca="false">IF(M443=0,FALSE(),F443&lt;Controls!$B$12)</f>
        <v>1</v>
      </c>
      <c r="O443" s="11" t="n">
        <f aca="false">IF(N443,IF(INDEX('Scenario inputs'!$E$4:$E$213,M443)=0,1,INDEX('Scenario inputs'!$F$4:$M$213,M443,MIN(MAX(F443-G443,0),INDEX('Scenario inputs'!$E$4:$E$213,M443)-1)+1)),0)</f>
        <v>1</v>
      </c>
      <c r="P443" s="11" t="n">
        <f aca="false">H443*O443</f>
        <v>1526.7</v>
      </c>
      <c r="Q443" s="0" t="str">
        <f aca="false">IF(M443=0,"",IF(ISNUMBER(INDEX('Scenario inputs'!$N$4:$N$213,M443)),INDEX('Scenario inputs'!$N$4:$N$213,M443),""))</f>
        <v/>
      </c>
      <c r="R443" s="0" t="str">
        <f aca="false">IF(NOT(N443),"",IF(OR(E443="cash",E443="revenue"),E443,IF(E443="avoided_cost",IF(AND(I443,LEN(TRIM(J443))&gt;0),"avoided_cost_realised","avoided_cost_beside"),IF(ISNUMBER(Q443),"capacity_converted","capacity_hours"))))</f>
        <v>capacity_hours</v>
      </c>
      <c r="S443" s="11" t="n">
        <f aca="false">IF(OR(R443="",R443="capacity_hours"),0,IF(R443="capacity_converted",P443*Q443,P443))</f>
        <v>0</v>
      </c>
      <c r="T443" s="11" t="n">
        <f aca="false">IF(OR(R443="cash",R443="revenue",R443="avoided_cost_realised",R443="capacity_converted"),1,0)</f>
        <v>0</v>
      </c>
      <c r="U443" s="11" t="n">
        <f aca="false">IF(AND(N443,R443&lt;&gt;"capacity_hours",LEN(K443)&gt;0),1,0)</f>
        <v>0</v>
      </c>
      <c r="V443" s="11" t="n">
        <f aca="false">IF(U443=1,SUMPRODUCT(($K$4:$K$703=K443)*($F$4:$F$703=F443)*($U$4:$U$703=1)*($B$4:$B$703&lt;&gt;B443)),0)</f>
        <v>0</v>
      </c>
      <c r="W443" s="11" t="n">
        <f aca="false">IF(AND(U443=1,V443&gt;0),1+SUMPRODUCT(($K$4:$K$703=K443)*($F$4:$F$703=F443)*($U$4:$U$703=1)*($S$4:$S$703&gt;S443))+SUMPRODUCT(($K$4:$K$703=K443)*($F$4:$F$703=F443)*($U$4:$U$703=1)*($S$4:$S$703=S443)*($T$4:$T$703&gt;T443))+SUMPRODUCT(($K$4:$K$703=K443)*($F$4:$F$703=F443)*($U$4:$U$703=1)*($S$4:$S$703=S443)*($T$4:$T$703=T443)*($C$4:$C$703&lt;C443))+SUMPRODUCT(($K$4:$K$703=K443)*($F$4:$F$703=F443)*($U$4:$U$703=1)*($S$4:$S$703=S443)*($T$4:$T$703=T443)*($C$4:$C$703=C443)*($D$4:$D$703&lt;D443)),0)</f>
        <v>0</v>
      </c>
      <c r="X443" s="11" t="n">
        <f aca="false">IF(AND(U443=1,V443&gt;0,W443&gt;1),S443,0)</f>
        <v>0</v>
      </c>
      <c r="Y443" s="11" t="n">
        <f aca="false">IF(T443=1,X443/(1+Controls!$B$11)^F443,0)</f>
        <v>0</v>
      </c>
      <c r="Z443" s="11" t="n">
        <f aca="false">IF(AND(N443,E443="capacity",LEN(K443)&gt;0),1,0)</f>
        <v>1</v>
      </c>
      <c r="AA443" s="11" t="n">
        <f aca="false">IF(Z443=1,SUMPRODUCT(($K$4:$K$703=K443)*($F$4:$F$703=F443)*($Z$4:$Z$703=1)*($B$4:$B$703&lt;&gt;B443)),0)</f>
        <v>0</v>
      </c>
      <c r="AB443" s="11" t="n">
        <f aca="false">IF(AND(Z443=1,AA443&gt;0),1+SUMPRODUCT(($K$4:$K$703=K443)*($F$4:$F$703=F443)*($Z$4:$Z$703=1)*($P$4:$P$703&gt;P443))+SUMPRODUCT(($K$4:$K$703=K443)*($F$4:$F$703=F443)*($Z$4:$Z$703=1)*($P$4:$P$703=P443)*($C$4:$C$703&lt;C443))+SUMPRODUCT(($K$4:$K$703=K443)*($F$4:$F$703=F443)*($Z$4:$Z$703=1)*($P$4:$P$703=P443)*($C$4:$C$703=C443)*($D$4:$D$703&lt;D443)),0)</f>
        <v>0</v>
      </c>
      <c r="AC443" s="11" t="n">
        <f aca="false">IF(AND(Z443=1,AA443&gt;0,AB443&gt;1),P443,0)</f>
        <v>0</v>
      </c>
    </row>
    <row r="444" customFormat="false" ht="15" hidden="false" customHeight="false" outlineLevel="0" collapsed="false">
      <c r="A444" s="4" t="s">
        <v>685</v>
      </c>
      <c r="B444" s="4" t="s">
        <v>96</v>
      </c>
      <c r="C444" s="4" t="n">
        <v>14</v>
      </c>
      <c r="D444" s="4" t="n">
        <v>441</v>
      </c>
      <c r="E444" s="4" t="s">
        <v>233</v>
      </c>
      <c r="F444" s="4" t="n">
        <v>16</v>
      </c>
      <c r="G444" s="4" t="n">
        <v>6</v>
      </c>
      <c r="H444" s="4" t="n">
        <v>1526.7</v>
      </c>
      <c r="I444" s="13" t="b">
        <f aca="false">FALSE()</f>
        <v>0</v>
      </c>
      <c r="K444" s="4" t="s">
        <v>675</v>
      </c>
      <c r="L444" s="4" t="n">
        <v>224.73</v>
      </c>
      <c r="M444" s="11" t="n">
        <f aca="false">IFERROR(MATCH(Controls!$B$3&amp;"|"&amp;B444,'Scenario inputs'!$A$4:$A$213,0),0)</f>
        <v>145</v>
      </c>
      <c r="N444" s="8" t="b">
        <f aca="false">IF(M444=0,FALSE(),F444&lt;Controls!$B$12)</f>
        <v>1</v>
      </c>
      <c r="O444" s="11" t="n">
        <f aca="false">IF(N444,IF(INDEX('Scenario inputs'!$E$4:$E$213,M444)=0,1,INDEX('Scenario inputs'!$F$4:$M$213,M444,MIN(MAX(F444-G444,0),INDEX('Scenario inputs'!$E$4:$E$213,M444)-1)+1)),0)</f>
        <v>1</v>
      </c>
      <c r="P444" s="11" t="n">
        <f aca="false">H444*O444</f>
        <v>1526.7</v>
      </c>
      <c r="Q444" s="0" t="str">
        <f aca="false">IF(M444=0,"",IF(ISNUMBER(INDEX('Scenario inputs'!$N$4:$N$213,M444)),INDEX('Scenario inputs'!$N$4:$N$213,M444),""))</f>
        <v/>
      </c>
      <c r="R444" s="0" t="str">
        <f aca="false">IF(NOT(N444),"",IF(OR(E444="cash",E444="revenue"),E444,IF(E444="avoided_cost",IF(AND(I444,LEN(TRIM(J444))&gt;0),"avoided_cost_realised","avoided_cost_beside"),IF(ISNUMBER(Q444),"capacity_converted","capacity_hours"))))</f>
        <v>capacity_hours</v>
      </c>
      <c r="S444" s="11" t="n">
        <f aca="false">IF(OR(R444="",R444="capacity_hours"),0,IF(R444="capacity_converted",P444*Q444,P444))</f>
        <v>0</v>
      </c>
      <c r="T444" s="11" t="n">
        <f aca="false">IF(OR(R444="cash",R444="revenue",R444="avoided_cost_realised",R444="capacity_converted"),1,0)</f>
        <v>0</v>
      </c>
      <c r="U444" s="11" t="n">
        <f aca="false">IF(AND(N444,R444&lt;&gt;"capacity_hours",LEN(K444)&gt;0),1,0)</f>
        <v>0</v>
      </c>
      <c r="V444" s="11" t="n">
        <f aca="false">IF(U444=1,SUMPRODUCT(($K$4:$K$703=K444)*($F$4:$F$703=F444)*($U$4:$U$703=1)*($B$4:$B$703&lt;&gt;B444)),0)</f>
        <v>0</v>
      </c>
      <c r="W444" s="11" t="n">
        <f aca="false">IF(AND(U444=1,V444&gt;0),1+SUMPRODUCT(($K$4:$K$703=K444)*($F$4:$F$703=F444)*($U$4:$U$703=1)*($S$4:$S$703&gt;S444))+SUMPRODUCT(($K$4:$K$703=K444)*($F$4:$F$703=F444)*($U$4:$U$703=1)*($S$4:$S$703=S444)*($T$4:$T$703&gt;T444))+SUMPRODUCT(($K$4:$K$703=K444)*($F$4:$F$703=F444)*($U$4:$U$703=1)*($S$4:$S$703=S444)*($T$4:$T$703=T444)*($C$4:$C$703&lt;C444))+SUMPRODUCT(($K$4:$K$703=K444)*($F$4:$F$703=F444)*($U$4:$U$703=1)*($S$4:$S$703=S444)*($T$4:$T$703=T444)*($C$4:$C$703=C444)*($D$4:$D$703&lt;D444)),0)</f>
        <v>0</v>
      </c>
      <c r="X444" s="11" t="n">
        <f aca="false">IF(AND(U444=1,V444&gt;0,W444&gt;1),S444,0)</f>
        <v>0</v>
      </c>
      <c r="Y444" s="11" t="n">
        <f aca="false">IF(T444=1,X444/(1+Controls!$B$11)^F444,0)</f>
        <v>0</v>
      </c>
      <c r="Z444" s="11" t="n">
        <f aca="false">IF(AND(N444,E444="capacity",LEN(K444)&gt;0),1,0)</f>
        <v>1</v>
      </c>
      <c r="AA444" s="11" t="n">
        <f aca="false">IF(Z444=1,SUMPRODUCT(($K$4:$K$703=K444)*($F$4:$F$703=F444)*($Z$4:$Z$703=1)*($B$4:$B$703&lt;&gt;B444)),0)</f>
        <v>0</v>
      </c>
      <c r="AB444" s="11" t="n">
        <f aca="false">IF(AND(Z444=1,AA444&gt;0),1+SUMPRODUCT(($K$4:$K$703=K444)*($F$4:$F$703=F444)*($Z$4:$Z$703=1)*($P$4:$P$703&gt;P444))+SUMPRODUCT(($K$4:$K$703=K444)*($F$4:$F$703=F444)*($Z$4:$Z$703=1)*($P$4:$P$703=P444)*($C$4:$C$703&lt;C444))+SUMPRODUCT(($K$4:$K$703=K444)*($F$4:$F$703=F444)*($Z$4:$Z$703=1)*($P$4:$P$703=P444)*($C$4:$C$703=C444)*($D$4:$D$703&lt;D444)),0)</f>
        <v>0</v>
      </c>
      <c r="AC444" s="11" t="n">
        <f aca="false">IF(AND(Z444=1,AA444&gt;0,AB444&gt;1),P444,0)</f>
        <v>0</v>
      </c>
    </row>
    <row r="445" customFormat="false" ht="15" hidden="false" customHeight="false" outlineLevel="0" collapsed="false">
      <c r="A445" s="4" t="s">
        <v>686</v>
      </c>
      <c r="B445" s="4" t="s">
        <v>96</v>
      </c>
      <c r="C445" s="4" t="n">
        <v>14</v>
      </c>
      <c r="D445" s="4" t="n">
        <v>442</v>
      </c>
      <c r="E445" s="4" t="s">
        <v>233</v>
      </c>
      <c r="F445" s="4" t="n">
        <v>17</v>
      </c>
      <c r="G445" s="4" t="n">
        <v>6</v>
      </c>
      <c r="H445" s="4" t="n">
        <v>1526.7</v>
      </c>
      <c r="I445" s="13" t="b">
        <f aca="false">FALSE()</f>
        <v>0</v>
      </c>
      <c r="K445" s="4" t="s">
        <v>675</v>
      </c>
      <c r="L445" s="4" t="n">
        <v>224.73</v>
      </c>
      <c r="M445" s="11" t="n">
        <f aca="false">IFERROR(MATCH(Controls!$B$3&amp;"|"&amp;B445,'Scenario inputs'!$A$4:$A$213,0),0)</f>
        <v>145</v>
      </c>
      <c r="N445" s="8" t="b">
        <f aca="false">IF(M445=0,FALSE(),F445&lt;Controls!$B$12)</f>
        <v>1</v>
      </c>
      <c r="O445" s="11" t="n">
        <f aca="false">IF(N445,IF(INDEX('Scenario inputs'!$E$4:$E$213,M445)=0,1,INDEX('Scenario inputs'!$F$4:$M$213,M445,MIN(MAX(F445-G445,0),INDEX('Scenario inputs'!$E$4:$E$213,M445)-1)+1)),0)</f>
        <v>1</v>
      </c>
      <c r="P445" s="11" t="n">
        <f aca="false">H445*O445</f>
        <v>1526.7</v>
      </c>
      <c r="Q445" s="0" t="str">
        <f aca="false">IF(M445=0,"",IF(ISNUMBER(INDEX('Scenario inputs'!$N$4:$N$213,M445)),INDEX('Scenario inputs'!$N$4:$N$213,M445),""))</f>
        <v/>
      </c>
      <c r="R445" s="0" t="str">
        <f aca="false">IF(NOT(N445),"",IF(OR(E445="cash",E445="revenue"),E445,IF(E445="avoided_cost",IF(AND(I445,LEN(TRIM(J445))&gt;0),"avoided_cost_realised","avoided_cost_beside"),IF(ISNUMBER(Q445),"capacity_converted","capacity_hours"))))</f>
        <v>capacity_hours</v>
      </c>
      <c r="S445" s="11" t="n">
        <f aca="false">IF(OR(R445="",R445="capacity_hours"),0,IF(R445="capacity_converted",P445*Q445,P445))</f>
        <v>0</v>
      </c>
      <c r="T445" s="11" t="n">
        <f aca="false">IF(OR(R445="cash",R445="revenue",R445="avoided_cost_realised",R445="capacity_converted"),1,0)</f>
        <v>0</v>
      </c>
      <c r="U445" s="11" t="n">
        <f aca="false">IF(AND(N445,R445&lt;&gt;"capacity_hours",LEN(K445)&gt;0),1,0)</f>
        <v>0</v>
      </c>
      <c r="V445" s="11" t="n">
        <f aca="false">IF(U445=1,SUMPRODUCT(($K$4:$K$703=K445)*($F$4:$F$703=F445)*($U$4:$U$703=1)*($B$4:$B$703&lt;&gt;B445)),0)</f>
        <v>0</v>
      </c>
      <c r="W445" s="11" t="n">
        <f aca="false">IF(AND(U445=1,V445&gt;0),1+SUMPRODUCT(($K$4:$K$703=K445)*($F$4:$F$703=F445)*($U$4:$U$703=1)*($S$4:$S$703&gt;S445))+SUMPRODUCT(($K$4:$K$703=K445)*($F$4:$F$703=F445)*($U$4:$U$703=1)*($S$4:$S$703=S445)*($T$4:$T$703&gt;T445))+SUMPRODUCT(($K$4:$K$703=K445)*($F$4:$F$703=F445)*($U$4:$U$703=1)*($S$4:$S$703=S445)*($T$4:$T$703=T445)*($C$4:$C$703&lt;C445))+SUMPRODUCT(($K$4:$K$703=K445)*($F$4:$F$703=F445)*($U$4:$U$703=1)*($S$4:$S$703=S445)*($T$4:$T$703=T445)*($C$4:$C$703=C445)*($D$4:$D$703&lt;D445)),0)</f>
        <v>0</v>
      </c>
      <c r="X445" s="11" t="n">
        <f aca="false">IF(AND(U445=1,V445&gt;0,W445&gt;1),S445,0)</f>
        <v>0</v>
      </c>
      <c r="Y445" s="11" t="n">
        <f aca="false">IF(T445=1,X445/(1+Controls!$B$11)^F445,0)</f>
        <v>0</v>
      </c>
      <c r="Z445" s="11" t="n">
        <f aca="false">IF(AND(N445,E445="capacity",LEN(K445)&gt;0),1,0)</f>
        <v>1</v>
      </c>
      <c r="AA445" s="11" t="n">
        <f aca="false">IF(Z445=1,SUMPRODUCT(($K$4:$K$703=K445)*($F$4:$F$703=F445)*($Z$4:$Z$703=1)*($B$4:$B$703&lt;&gt;B445)),0)</f>
        <v>0</v>
      </c>
      <c r="AB445" s="11" t="n">
        <f aca="false">IF(AND(Z445=1,AA445&gt;0),1+SUMPRODUCT(($K$4:$K$703=K445)*($F$4:$F$703=F445)*($Z$4:$Z$703=1)*($P$4:$P$703&gt;P445))+SUMPRODUCT(($K$4:$K$703=K445)*($F$4:$F$703=F445)*($Z$4:$Z$703=1)*($P$4:$P$703=P445)*($C$4:$C$703&lt;C445))+SUMPRODUCT(($K$4:$K$703=K445)*($F$4:$F$703=F445)*($Z$4:$Z$703=1)*($P$4:$P$703=P445)*($C$4:$C$703=C445)*($D$4:$D$703&lt;D445)),0)</f>
        <v>0</v>
      </c>
      <c r="AC445" s="11" t="n">
        <f aca="false">IF(AND(Z445=1,AA445&gt;0,AB445&gt;1),P445,0)</f>
        <v>0</v>
      </c>
    </row>
    <row r="446" customFormat="false" ht="15" hidden="false" customHeight="false" outlineLevel="0" collapsed="false">
      <c r="A446" s="4" t="s">
        <v>687</v>
      </c>
      <c r="B446" s="4" t="s">
        <v>97</v>
      </c>
      <c r="C446" s="4" t="n">
        <v>15</v>
      </c>
      <c r="D446" s="4" t="n">
        <v>443</v>
      </c>
      <c r="E446" s="4" t="s">
        <v>112</v>
      </c>
      <c r="F446" s="4" t="n">
        <v>4</v>
      </c>
      <c r="G446" s="4" t="n">
        <v>4</v>
      </c>
      <c r="H446" s="4" t="n">
        <v>86300</v>
      </c>
      <c r="I446" s="13" t="b">
        <f aca="false">FALSE()</f>
        <v>0</v>
      </c>
      <c r="K446" s="4" t="s">
        <v>688</v>
      </c>
      <c r="L446" s="4" t="n">
        <v>282.58</v>
      </c>
      <c r="M446" s="11" t="n">
        <f aca="false">IFERROR(MATCH(Controls!$B$3&amp;"|"&amp;B446,'Scenario inputs'!$A$4:$A$213,0),0)</f>
        <v>146</v>
      </c>
      <c r="N446" s="8" t="b">
        <f aca="false">IF(M446=0,FALSE(),F446&lt;Controls!$B$12)</f>
        <v>1</v>
      </c>
      <c r="O446" s="11" t="n">
        <f aca="false">IF(N446,IF(INDEX('Scenario inputs'!$E$4:$E$213,M446)=0,1,INDEX('Scenario inputs'!$F$4:$M$213,M446,MIN(MAX(F446-G446,0),INDEX('Scenario inputs'!$E$4:$E$213,M446)-1)+1)),0)</f>
        <v>0.035714</v>
      </c>
      <c r="P446" s="11" t="n">
        <f aca="false">H446*O446</f>
        <v>3082.1182</v>
      </c>
      <c r="Q446" s="0" t="str">
        <f aca="false">IF(M446=0,"",IF(ISNUMBER(INDEX('Scenario inputs'!$N$4:$N$213,M446)),INDEX('Scenario inputs'!$N$4:$N$213,M446),""))</f>
        <v/>
      </c>
      <c r="R446" s="0" t="str">
        <f aca="false">IF(NOT(N446),"",IF(OR(E446="cash",E446="revenue"),E446,IF(E446="avoided_cost",IF(AND(I446,LEN(TRIM(J446))&gt;0),"avoided_cost_realised","avoided_cost_beside"),IF(ISNUMBER(Q446),"capacity_converted","capacity_hours"))))</f>
        <v>cash</v>
      </c>
      <c r="S446" s="11" t="n">
        <f aca="false">IF(OR(R446="",R446="capacity_hours"),0,IF(R446="capacity_converted",P446*Q446,P446))</f>
        <v>3082.1182</v>
      </c>
      <c r="T446" s="11" t="n">
        <f aca="false">IF(OR(R446="cash",R446="revenue",R446="avoided_cost_realised",R446="capacity_converted"),1,0)</f>
        <v>1</v>
      </c>
      <c r="U446" s="11" t="n">
        <f aca="false">IF(AND(N446,R446&lt;&gt;"capacity_hours",LEN(K446)&gt;0),1,0)</f>
        <v>1</v>
      </c>
      <c r="V446" s="11" t="n">
        <f aca="false">IF(U446=1,SUMPRODUCT(($K$4:$K$703=K446)*($F$4:$F$703=F446)*($U$4:$U$703=1)*($B$4:$B$703&lt;&gt;B446)),0)</f>
        <v>0</v>
      </c>
      <c r="W446" s="11" t="n">
        <f aca="false">IF(AND(U446=1,V446&gt;0),1+SUMPRODUCT(($K$4:$K$703=K446)*($F$4:$F$703=F446)*($U$4:$U$703=1)*($S$4:$S$703&gt;S446))+SUMPRODUCT(($K$4:$K$703=K446)*($F$4:$F$703=F446)*($U$4:$U$703=1)*($S$4:$S$703=S446)*($T$4:$T$703&gt;T446))+SUMPRODUCT(($K$4:$K$703=K446)*($F$4:$F$703=F446)*($U$4:$U$703=1)*($S$4:$S$703=S446)*($T$4:$T$703=T446)*($C$4:$C$703&lt;C446))+SUMPRODUCT(($K$4:$K$703=K446)*($F$4:$F$703=F446)*($U$4:$U$703=1)*($S$4:$S$703=S446)*($T$4:$T$703=T446)*($C$4:$C$703=C446)*($D$4:$D$703&lt;D446)),0)</f>
        <v>0</v>
      </c>
      <c r="X446" s="11" t="n">
        <f aca="false">IF(AND(U446=1,V446&gt;0,W446&gt;1),S446,0)</f>
        <v>0</v>
      </c>
      <c r="Y446" s="11" t="n">
        <f aca="false">IF(T446=1,X446/(1+Controls!$B$11)^F446,0)</f>
        <v>0</v>
      </c>
      <c r="Z446" s="11" t="n">
        <f aca="false">IF(AND(N446,E446="capacity",LEN(K446)&gt;0),1,0)</f>
        <v>0</v>
      </c>
      <c r="AA446" s="11" t="n">
        <f aca="false">IF(Z446=1,SUMPRODUCT(($K$4:$K$703=K446)*($F$4:$F$703=F446)*($Z$4:$Z$703=1)*($B$4:$B$703&lt;&gt;B446)),0)</f>
        <v>0</v>
      </c>
      <c r="AB446" s="11" t="n">
        <f aca="false">IF(AND(Z446=1,AA446&gt;0),1+SUMPRODUCT(($K$4:$K$703=K446)*($F$4:$F$703=F446)*($Z$4:$Z$703=1)*($P$4:$P$703&gt;P446))+SUMPRODUCT(($K$4:$K$703=K446)*($F$4:$F$703=F446)*($Z$4:$Z$703=1)*($P$4:$P$703=P446)*($C$4:$C$703&lt;C446))+SUMPRODUCT(($K$4:$K$703=K446)*($F$4:$F$703=F446)*($Z$4:$Z$703=1)*($P$4:$P$703=P446)*($C$4:$C$703=C446)*($D$4:$D$703&lt;D446)),0)</f>
        <v>0</v>
      </c>
      <c r="AC446" s="11" t="n">
        <f aca="false">IF(AND(Z446=1,AA446&gt;0,AB446&gt;1),P446,0)</f>
        <v>0</v>
      </c>
    </row>
    <row r="447" customFormat="false" ht="15" hidden="false" customHeight="false" outlineLevel="0" collapsed="false">
      <c r="A447" s="4" t="s">
        <v>689</v>
      </c>
      <c r="B447" s="4" t="s">
        <v>97</v>
      </c>
      <c r="C447" s="4" t="n">
        <v>15</v>
      </c>
      <c r="D447" s="4" t="n">
        <v>444</v>
      </c>
      <c r="E447" s="4" t="s">
        <v>112</v>
      </c>
      <c r="F447" s="4" t="n">
        <v>5</v>
      </c>
      <c r="G447" s="4" t="n">
        <v>4</v>
      </c>
      <c r="H447" s="4" t="n">
        <v>86300</v>
      </c>
      <c r="I447" s="13" t="b">
        <f aca="false">FALSE()</f>
        <v>0</v>
      </c>
      <c r="K447" s="4" t="s">
        <v>688</v>
      </c>
      <c r="L447" s="4" t="n">
        <v>864.88</v>
      </c>
      <c r="M447" s="11" t="n">
        <f aca="false">IFERROR(MATCH(Controls!$B$3&amp;"|"&amp;B447,'Scenario inputs'!$A$4:$A$213,0),0)</f>
        <v>146</v>
      </c>
      <c r="N447" s="8" t="b">
        <f aca="false">IF(M447=0,FALSE(),F447&lt;Controls!$B$12)</f>
        <v>1</v>
      </c>
      <c r="O447" s="11" t="n">
        <f aca="false">IF(N447,IF(INDEX('Scenario inputs'!$E$4:$E$213,M447)=0,1,INDEX('Scenario inputs'!$F$4:$M$213,M447,MIN(MAX(F447-G447,0),INDEX('Scenario inputs'!$E$4:$E$213,M447)-1)+1)),0)</f>
        <v>0.107143</v>
      </c>
      <c r="P447" s="11" t="n">
        <f aca="false">H447*O447</f>
        <v>9246.4409</v>
      </c>
      <c r="Q447" s="0" t="str">
        <f aca="false">IF(M447=0,"",IF(ISNUMBER(INDEX('Scenario inputs'!$N$4:$N$213,M447)),INDEX('Scenario inputs'!$N$4:$N$213,M447),""))</f>
        <v/>
      </c>
      <c r="R447" s="0" t="str">
        <f aca="false">IF(NOT(N447),"",IF(OR(E447="cash",E447="revenue"),E447,IF(E447="avoided_cost",IF(AND(I447,LEN(TRIM(J447))&gt;0),"avoided_cost_realised","avoided_cost_beside"),IF(ISNUMBER(Q447),"capacity_converted","capacity_hours"))))</f>
        <v>cash</v>
      </c>
      <c r="S447" s="11" t="n">
        <f aca="false">IF(OR(R447="",R447="capacity_hours"),0,IF(R447="capacity_converted",P447*Q447,P447))</f>
        <v>9246.4409</v>
      </c>
      <c r="T447" s="11" t="n">
        <f aca="false">IF(OR(R447="cash",R447="revenue",R447="avoided_cost_realised",R447="capacity_converted"),1,0)</f>
        <v>1</v>
      </c>
      <c r="U447" s="11" t="n">
        <f aca="false">IF(AND(N447,R447&lt;&gt;"capacity_hours",LEN(K447)&gt;0),1,0)</f>
        <v>1</v>
      </c>
      <c r="V447" s="11" t="n">
        <f aca="false">IF(U447=1,SUMPRODUCT(($K$4:$K$703=K447)*($F$4:$F$703=F447)*($U$4:$U$703=1)*($B$4:$B$703&lt;&gt;B447)),0)</f>
        <v>0</v>
      </c>
      <c r="W447" s="11" t="n">
        <f aca="false">IF(AND(U447=1,V447&gt;0),1+SUMPRODUCT(($K$4:$K$703=K447)*($F$4:$F$703=F447)*($U$4:$U$703=1)*($S$4:$S$703&gt;S447))+SUMPRODUCT(($K$4:$K$703=K447)*($F$4:$F$703=F447)*($U$4:$U$703=1)*($S$4:$S$703=S447)*($T$4:$T$703&gt;T447))+SUMPRODUCT(($K$4:$K$703=K447)*($F$4:$F$703=F447)*($U$4:$U$703=1)*($S$4:$S$703=S447)*($T$4:$T$703=T447)*($C$4:$C$703&lt;C447))+SUMPRODUCT(($K$4:$K$703=K447)*($F$4:$F$703=F447)*($U$4:$U$703=1)*($S$4:$S$703=S447)*($T$4:$T$703=T447)*($C$4:$C$703=C447)*($D$4:$D$703&lt;D447)),0)</f>
        <v>0</v>
      </c>
      <c r="X447" s="11" t="n">
        <f aca="false">IF(AND(U447=1,V447&gt;0,W447&gt;1),S447,0)</f>
        <v>0</v>
      </c>
      <c r="Y447" s="11" t="n">
        <f aca="false">IF(T447=1,X447/(1+Controls!$B$11)^F447,0)</f>
        <v>0</v>
      </c>
      <c r="Z447" s="11" t="n">
        <f aca="false">IF(AND(N447,E447="capacity",LEN(K447)&gt;0),1,0)</f>
        <v>0</v>
      </c>
      <c r="AA447" s="11" t="n">
        <f aca="false">IF(Z447=1,SUMPRODUCT(($K$4:$K$703=K447)*($F$4:$F$703=F447)*($Z$4:$Z$703=1)*($B$4:$B$703&lt;&gt;B447)),0)</f>
        <v>0</v>
      </c>
      <c r="AB447" s="11" t="n">
        <f aca="false">IF(AND(Z447=1,AA447&gt;0),1+SUMPRODUCT(($K$4:$K$703=K447)*($F$4:$F$703=F447)*($Z$4:$Z$703=1)*($P$4:$P$703&gt;P447))+SUMPRODUCT(($K$4:$K$703=K447)*($F$4:$F$703=F447)*($Z$4:$Z$703=1)*($P$4:$P$703=P447)*($C$4:$C$703&lt;C447))+SUMPRODUCT(($K$4:$K$703=K447)*($F$4:$F$703=F447)*($Z$4:$Z$703=1)*($P$4:$P$703=P447)*($C$4:$C$703=C447)*($D$4:$D$703&lt;D447)),0)</f>
        <v>0</v>
      </c>
      <c r="AC447" s="11" t="n">
        <f aca="false">IF(AND(Z447=1,AA447&gt;0,AB447&gt;1),P447,0)</f>
        <v>0</v>
      </c>
    </row>
    <row r="448" customFormat="false" ht="15" hidden="false" customHeight="false" outlineLevel="0" collapsed="false">
      <c r="A448" s="4" t="s">
        <v>690</v>
      </c>
      <c r="B448" s="4" t="s">
        <v>97</v>
      </c>
      <c r="C448" s="4" t="n">
        <v>15</v>
      </c>
      <c r="D448" s="4" t="n">
        <v>445</v>
      </c>
      <c r="E448" s="4" t="s">
        <v>112</v>
      </c>
      <c r="F448" s="4" t="n">
        <v>6</v>
      </c>
      <c r="G448" s="4" t="n">
        <v>4</v>
      </c>
      <c r="H448" s="4" t="n">
        <v>86300</v>
      </c>
      <c r="I448" s="13" t="b">
        <f aca="false">FALSE()</f>
        <v>0</v>
      </c>
      <c r="K448" s="4" t="s">
        <v>688</v>
      </c>
      <c r="L448" s="4" t="n">
        <v>1729.75</v>
      </c>
      <c r="M448" s="11" t="n">
        <f aca="false">IFERROR(MATCH(Controls!$B$3&amp;"|"&amp;B448,'Scenario inputs'!$A$4:$A$213,0),0)</f>
        <v>146</v>
      </c>
      <c r="N448" s="8" t="b">
        <f aca="false">IF(M448=0,FALSE(),F448&lt;Controls!$B$12)</f>
        <v>1</v>
      </c>
      <c r="O448" s="11" t="n">
        <f aca="false">IF(N448,IF(INDEX('Scenario inputs'!$E$4:$E$213,M448)=0,1,INDEX('Scenario inputs'!$F$4:$M$213,M448,MIN(MAX(F448-G448,0),INDEX('Scenario inputs'!$E$4:$E$213,M448)-1)+1)),0)</f>
        <v>0.214286</v>
      </c>
      <c r="P448" s="11" t="n">
        <f aca="false">H448*O448</f>
        <v>18492.8818</v>
      </c>
      <c r="Q448" s="0" t="str">
        <f aca="false">IF(M448=0,"",IF(ISNUMBER(INDEX('Scenario inputs'!$N$4:$N$213,M448)),INDEX('Scenario inputs'!$N$4:$N$213,M448),""))</f>
        <v/>
      </c>
      <c r="R448" s="0" t="str">
        <f aca="false">IF(NOT(N448),"",IF(OR(E448="cash",E448="revenue"),E448,IF(E448="avoided_cost",IF(AND(I448,LEN(TRIM(J448))&gt;0),"avoided_cost_realised","avoided_cost_beside"),IF(ISNUMBER(Q448),"capacity_converted","capacity_hours"))))</f>
        <v>cash</v>
      </c>
      <c r="S448" s="11" t="n">
        <f aca="false">IF(OR(R448="",R448="capacity_hours"),0,IF(R448="capacity_converted",P448*Q448,P448))</f>
        <v>18492.8818</v>
      </c>
      <c r="T448" s="11" t="n">
        <f aca="false">IF(OR(R448="cash",R448="revenue",R448="avoided_cost_realised",R448="capacity_converted"),1,0)</f>
        <v>1</v>
      </c>
      <c r="U448" s="11" t="n">
        <f aca="false">IF(AND(N448,R448&lt;&gt;"capacity_hours",LEN(K448)&gt;0),1,0)</f>
        <v>1</v>
      </c>
      <c r="V448" s="11" t="n">
        <f aca="false">IF(U448=1,SUMPRODUCT(($K$4:$K$703=K448)*($F$4:$F$703=F448)*($U$4:$U$703=1)*($B$4:$B$703&lt;&gt;B448)),0)</f>
        <v>0</v>
      </c>
      <c r="W448" s="11" t="n">
        <f aca="false">IF(AND(U448=1,V448&gt;0),1+SUMPRODUCT(($K$4:$K$703=K448)*($F$4:$F$703=F448)*($U$4:$U$703=1)*($S$4:$S$703&gt;S448))+SUMPRODUCT(($K$4:$K$703=K448)*($F$4:$F$703=F448)*($U$4:$U$703=1)*($S$4:$S$703=S448)*($T$4:$T$703&gt;T448))+SUMPRODUCT(($K$4:$K$703=K448)*($F$4:$F$703=F448)*($U$4:$U$703=1)*($S$4:$S$703=S448)*($T$4:$T$703=T448)*($C$4:$C$703&lt;C448))+SUMPRODUCT(($K$4:$K$703=K448)*($F$4:$F$703=F448)*($U$4:$U$703=1)*($S$4:$S$703=S448)*($T$4:$T$703=T448)*($C$4:$C$703=C448)*($D$4:$D$703&lt;D448)),0)</f>
        <v>0</v>
      </c>
      <c r="X448" s="11" t="n">
        <f aca="false">IF(AND(U448=1,V448&gt;0,W448&gt;1),S448,0)</f>
        <v>0</v>
      </c>
      <c r="Y448" s="11" t="n">
        <f aca="false">IF(T448=1,X448/(1+Controls!$B$11)^F448,0)</f>
        <v>0</v>
      </c>
      <c r="Z448" s="11" t="n">
        <f aca="false">IF(AND(N448,E448="capacity",LEN(K448)&gt;0),1,0)</f>
        <v>0</v>
      </c>
      <c r="AA448" s="11" t="n">
        <f aca="false">IF(Z448=1,SUMPRODUCT(($K$4:$K$703=K448)*($F$4:$F$703=F448)*($Z$4:$Z$703=1)*($B$4:$B$703&lt;&gt;B448)),0)</f>
        <v>0</v>
      </c>
      <c r="AB448" s="11" t="n">
        <f aca="false">IF(AND(Z448=1,AA448&gt;0),1+SUMPRODUCT(($K$4:$K$703=K448)*($F$4:$F$703=F448)*($Z$4:$Z$703=1)*($P$4:$P$703&gt;P448))+SUMPRODUCT(($K$4:$K$703=K448)*($F$4:$F$703=F448)*($Z$4:$Z$703=1)*($P$4:$P$703=P448)*($C$4:$C$703&lt;C448))+SUMPRODUCT(($K$4:$K$703=K448)*($F$4:$F$703=F448)*($Z$4:$Z$703=1)*($P$4:$P$703=P448)*($C$4:$C$703=C448)*($D$4:$D$703&lt;D448)),0)</f>
        <v>0</v>
      </c>
      <c r="AC448" s="11" t="n">
        <f aca="false">IF(AND(Z448=1,AA448&gt;0,AB448&gt;1),P448,0)</f>
        <v>0</v>
      </c>
    </row>
    <row r="449" customFormat="false" ht="15" hidden="false" customHeight="false" outlineLevel="0" collapsed="false">
      <c r="A449" s="4" t="s">
        <v>691</v>
      </c>
      <c r="B449" s="4" t="s">
        <v>97</v>
      </c>
      <c r="C449" s="4" t="n">
        <v>15</v>
      </c>
      <c r="D449" s="4" t="n">
        <v>446</v>
      </c>
      <c r="E449" s="4" t="s">
        <v>112</v>
      </c>
      <c r="F449" s="4" t="n">
        <v>7</v>
      </c>
      <c r="G449" s="4" t="n">
        <v>4</v>
      </c>
      <c r="H449" s="4" t="n">
        <v>86300</v>
      </c>
      <c r="I449" s="13" t="b">
        <f aca="false">FALSE()</f>
        <v>0</v>
      </c>
      <c r="K449" s="4" t="s">
        <v>688</v>
      </c>
      <c r="L449" s="4" t="n">
        <v>2768.74</v>
      </c>
      <c r="M449" s="11" t="n">
        <f aca="false">IFERROR(MATCH(Controls!$B$3&amp;"|"&amp;B449,'Scenario inputs'!$A$4:$A$213,0),0)</f>
        <v>146</v>
      </c>
      <c r="N449" s="8" t="b">
        <f aca="false">IF(M449=0,FALSE(),F449&lt;Controls!$B$12)</f>
        <v>1</v>
      </c>
      <c r="O449" s="11" t="n">
        <f aca="false">IF(N449,IF(INDEX('Scenario inputs'!$E$4:$E$213,M449)=0,1,INDEX('Scenario inputs'!$F$4:$M$213,M449,MIN(MAX(F449-G449,0),INDEX('Scenario inputs'!$E$4:$E$213,M449)-1)+1)),0)</f>
        <v>0.357143</v>
      </c>
      <c r="P449" s="11" t="n">
        <f aca="false">H449*O449</f>
        <v>30821.4409</v>
      </c>
      <c r="Q449" s="0" t="str">
        <f aca="false">IF(M449=0,"",IF(ISNUMBER(INDEX('Scenario inputs'!$N$4:$N$213,M449)),INDEX('Scenario inputs'!$N$4:$N$213,M449),""))</f>
        <v/>
      </c>
      <c r="R449" s="0" t="str">
        <f aca="false">IF(NOT(N449),"",IF(OR(E449="cash",E449="revenue"),E449,IF(E449="avoided_cost",IF(AND(I449,LEN(TRIM(J449))&gt;0),"avoided_cost_realised","avoided_cost_beside"),IF(ISNUMBER(Q449),"capacity_converted","capacity_hours"))))</f>
        <v>cash</v>
      </c>
      <c r="S449" s="11" t="n">
        <f aca="false">IF(OR(R449="",R449="capacity_hours"),0,IF(R449="capacity_converted",P449*Q449,P449))</f>
        <v>30821.4409</v>
      </c>
      <c r="T449" s="11" t="n">
        <f aca="false">IF(OR(R449="cash",R449="revenue",R449="avoided_cost_realised",R449="capacity_converted"),1,0)</f>
        <v>1</v>
      </c>
      <c r="U449" s="11" t="n">
        <f aca="false">IF(AND(N449,R449&lt;&gt;"capacity_hours",LEN(K449)&gt;0),1,0)</f>
        <v>1</v>
      </c>
      <c r="V449" s="11" t="n">
        <f aca="false">IF(U449=1,SUMPRODUCT(($K$4:$K$703=K449)*($F$4:$F$703=F449)*($U$4:$U$703=1)*($B$4:$B$703&lt;&gt;B449)),0)</f>
        <v>0</v>
      </c>
      <c r="W449" s="11" t="n">
        <f aca="false">IF(AND(U449=1,V449&gt;0),1+SUMPRODUCT(($K$4:$K$703=K449)*($F$4:$F$703=F449)*($U$4:$U$703=1)*($S$4:$S$703&gt;S449))+SUMPRODUCT(($K$4:$K$703=K449)*($F$4:$F$703=F449)*($U$4:$U$703=1)*($S$4:$S$703=S449)*($T$4:$T$703&gt;T449))+SUMPRODUCT(($K$4:$K$703=K449)*($F$4:$F$703=F449)*($U$4:$U$703=1)*($S$4:$S$703=S449)*($T$4:$T$703=T449)*($C$4:$C$703&lt;C449))+SUMPRODUCT(($K$4:$K$703=K449)*($F$4:$F$703=F449)*($U$4:$U$703=1)*($S$4:$S$703=S449)*($T$4:$T$703=T449)*($C$4:$C$703=C449)*($D$4:$D$703&lt;D449)),0)</f>
        <v>0</v>
      </c>
      <c r="X449" s="11" t="n">
        <f aca="false">IF(AND(U449=1,V449&gt;0,W449&gt;1),S449,0)</f>
        <v>0</v>
      </c>
      <c r="Y449" s="11" t="n">
        <f aca="false">IF(T449=1,X449/(1+Controls!$B$11)^F449,0)</f>
        <v>0</v>
      </c>
      <c r="Z449" s="11" t="n">
        <f aca="false">IF(AND(N449,E449="capacity",LEN(K449)&gt;0),1,0)</f>
        <v>0</v>
      </c>
      <c r="AA449" s="11" t="n">
        <f aca="false">IF(Z449=1,SUMPRODUCT(($K$4:$K$703=K449)*($F$4:$F$703=F449)*($Z$4:$Z$703=1)*($B$4:$B$703&lt;&gt;B449)),0)</f>
        <v>0</v>
      </c>
      <c r="AB449" s="11" t="n">
        <f aca="false">IF(AND(Z449=1,AA449&gt;0),1+SUMPRODUCT(($K$4:$K$703=K449)*($F$4:$F$703=F449)*($Z$4:$Z$703=1)*($P$4:$P$703&gt;P449))+SUMPRODUCT(($K$4:$K$703=K449)*($F$4:$F$703=F449)*($Z$4:$Z$703=1)*($P$4:$P$703=P449)*($C$4:$C$703&lt;C449))+SUMPRODUCT(($K$4:$K$703=K449)*($F$4:$F$703=F449)*($Z$4:$Z$703=1)*($P$4:$P$703=P449)*($C$4:$C$703=C449)*($D$4:$D$703&lt;D449)),0)</f>
        <v>0</v>
      </c>
      <c r="AC449" s="11" t="n">
        <f aca="false">IF(AND(Z449=1,AA449&gt;0,AB449&gt;1),P449,0)</f>
        <v>0</v>
      </c>
    </row>
    <row r="450" customFormat="false" ht="15" hidden="false" customHeight="false" outlineLevel="0" collapsed="false">
      <c r="A450" s="4" t="s">
        <v>692</v>
      </c>
      <c r="B450" s="4" t="s">
        <v>97</v>
      </c>
      <c r="C450" s="4" t="n">
        <v>15</v>
      </c>
      <c r="D450" s="4" t="n">
        <v>447</v>
      </c>
      <c r="E450" s="4" t="s">
        <v>112</v>
      </c>
      <c r="F450" s="4" t="n">
        <v>8</v>
      </c>
      <c r="G450" s="4" t="n">
        <v>4</v>
      </c>
      <c r="H450" s="4" t="n">
        <v>86300</v>
      </c>
      <c r="I450" s="13" t="b">
        <f aca="false">FALSE()</f>
        <v>0</v>
      </c>
      <c r="K450" s="4" t="s">
        <v>688</v>
      </c>
      <c r="L450" s="4" t="n">
        <v>4153.11</v>
      </c>
      <c r="M450" s="11" t="n">
        <f aca="false">IFERROR(MATCH(Controls!$B$3&amp;"|"&amp;B450,'Scenario inputs'!$A$4:$A$213,0),0)</f>
        <v>146</v>
      </c>
      <c r="N450" s="8" t="b">
        <f aca="false">IF(M450=0,FALSE(),F450&lt;Controls!$B$12)</f>
        <v>1</v>
      </c>
      <c r="O450" s="11" t="n">
        <f aca="false">IF(N450,IF(INDEX('Scenario inputs'!$E$4:$E$213,M450)=0,1,INDEX('Scenario inputs'!$F$4:$M$213,M450,MIN(MAX(F450-G450,0),INDEX('Scenario inputs'!$E$4:$E$213,M450)-1)+1)),0)</f>
        <v>0.535714</v>
      </c>
      <c r="P450" s="11" t="n">
        <f aca="false">H450*O450</f>
        <v>46232.1182</v>
      </c>
      <c r="Q450" s="0" t="str">
        <f aca="false">IF(M450=0,"",IF(ISNUMBER(INDEX('Scenario inputs'!$N$4:$N$213,M450)),INDEX('Scenario inputs'!$N$4:$N$213,M450),""))</f>
        <v/>
      </c>
      <c r="R450" s="0" t="str">
        <f aca="false">IF(NOT(N450),"",IF(OR(E450="cash",E450="revenue"),E450,IF(E450="avoided_cost",IF(AND(I450,LEN(TRIM(J450))&gt;0),"avoided_cost_realised","avoided_cost_beside"),IF(ISNUMBER(Q450),"capacity_converted","capacity_hours"))))</f>
        <v>cash</v>
      </c>
      <c r="S450" s="11" t="n">
        <f aca="false">IF(OR(R450="",R450="capacity_hours"),0,IF(R450="capacity_converted",P450*Q450,P450))</f>
        <v>46232.1182</v>
      </c>
      <c r="T450" s="11" t="n">
        <f aca="false">IF(OR(R450="cash",R450="revenue",R450="avoided_cost_realised",R450="capacity_converted"),1,0)</f>
        <v>1</v>
      </c>
      <c r="U450" s="11" t="n">
        <f aca="false">IF(AND(N450,R450&lt;&gt;"capacity_hours",LEN(K450)&gt;0),1,0)</f>
        <v>1</v>
      </c>
      <c r="V450" s="11" t="n">
        <f aca="false">IF(U450=1,SUMPRODUCT(($K$4:$K$703=K450)*($F$4:$F$703=F450)*($U$4:$U$703=1)*($B$4:$B$703&lt;&gt;B450)),0)</f>
        <v>0</v>
      </c>
      <c r="W450" s="11" t="n">
        <f aca="false">IF(AND(U450=1,V450&gt;0),1+SUMPRODUCT(($K$4:$K$703=K450)*($F$4:$F$703=F450)*($U$4:$U$703=1)*($S$4:$S$703&gt;S450))+SUMPRODUCT(($K$4:$K$703=K450)*($F$4:$F$703=F450)*($U$4:$U$703=1)*($S$4:$S$703=S450)*($T$4:$T$703&gt;T450))+SUMPRODUCT(($K$4:$K$703=K450)*($F$4:$F$703=F450)*($U$4:$U$703=1)*($S$4:$S$703=S450)*($T$4:$T$703=T450)*($C$4:$C$703&lt;C450))+SUMPRODUCT(($K$4:$K$703=K450)*($F$4:$F$703=F450)*($U$4:$U$703=1)*($S$4:$S$703=S450)*($T$4:$T$703=T450)*($C$4:$C$703=C450)*($D$4:$D$703&lt;D450)),0)</f>
        <v>0</v>
      </c>
      <c r="X450" s="11" t="n">
        <f aca="false">IF(AND(U450=1,V450&gt;0,W450&gt;1),S450,0)</f>
        <v>0</v>
      </c>
      <c r="Y450" s="11" t="n">
        <f aca="false">IF(T450=1,X450/(1+Controls!$B$11)^F450,0)</f>
        <v>0</v>
      </c>
      <c r="Z450" s="11" t="n">
        <f aca="false">IF(AND(N450,E450="capacity",LEN(K450)&gt;0),1,0)</f>
        <v>0</v>
      </c>
      <c r="AA450" s="11" t="n">
        <f aca="false">IF(Z450=1,SUMPRODUCT(($K$4:$K$703=K450)*($F$4:$F$703=F450)*($Z$4:$Z$703=1)*($B$4:$B$703&lt;&gt;B450)),0)</f>
        <v>0</v>
      </c>
      <c r="AB450" s="11" t="n">
        <f aca="false">IF(AND(Z450=1,AA450&gt;0),1+SUMPRODUCT(($K$4:$K$703=K450)*($F$4:$F$703=F450)*($Z$4:$Z$703=1)*($P$4:$P$703&gt;P450))+SUMPRODUCT(($K$4:$K$703=K450)*($F$4:$F$703=F450)*($Z$4:$Z$703=1)*($P$4:$P$703=P450)*($C$4:$C$703&lt;C450))+SUMPRODUCT(($K$4:$K$703=K450)*($F$4:$F$703=F450)*($Z$4:$Z$703=1)*($P$4:$P$703=P450)*($C$4:$C$703=C450)*($D$4:$D$703&lt;D450)),0)</f>
        <v>0</v>
      </c>
      <c r="AC450" s="11" t="n">
        <f aca="false">IF(AND(Z450=1,AA450&gt;0,AB450&gt;1),P450,0)</f>
        <v>0</v>
      </c>
    </row>
    <row r="451" customFormat="false" ht="15" hidden="false" customHeight="false" outlineLevel="0" collapsed="false">
      <c r="A451" s="4" t="s">
        <v>693</v>
      </c>
      <c r="B451" s="4" t="s">
        <v>97</v>
      </c>
      <c r="C451" s="4" t="n">
        <v>15</v>
      </c>
      <c r="D451" s="4" t="n">
        <v>448</v>
      </c>
      <c r="E451" s="4" t="s">
        <v>112</v>
      </c>
      <c r="F451" s="4" t="n">
        <v>9</v>
      </c>
      <c r="G451" s="4" t="n">
        <v>4</v>
      </c>
      <c r="H451" s="4" t="n">
        <v>86300</v>
      </c>
      <c r="I451" s="13" t="b">
        <f aca="false">FALSE()</f>
        <v>0</v>
      </c>
      <c r="K451" s="4" t="s">
        <v>688</v>
      </c>
      <c r="L451" s="4" t="n">
        <v>6116.51</v>
      </c>
      <c r="M451" s="11" t="n">
        <f aca="false">IFERROR(MATCH(Controls!$B$3&amp;"|"&amp;B451,'Scenario inputs'!$A$4:$A$213,0),0)</f>
        <v>146</v>
      </c>
      <c r="N451" s="8" t="b">
        <f aca="false">IF(M451=0,FALSE(),F451&lt;Controls!$B$12)</f>
        <v>1</v>
      </c>
      <c r="O451" s="11" t="n">
        <f aca="false">IF(N451,IF(INDEX('Scenario inputs'!$E$4:$E$213,M451)=0,1,INDEX('Scenario inputs'!$F$4:$M$213,M451,MIN(MAX(F451-G451,0),INDEX('Scenario inputs'!$E$4:$E$213,M451)-1)+1)),0)</f>
        <v>0.75</v>
      </c>
      <c r="P451" s="11" t="n">
        <f aca="false">H451*O451</f>
        <v>64725</v>
      </c>
      <c r="Q451" s="0" t="str">
        <f aca="false">IF(M451=0,"",IF(ISNUMBER(INDEX('Scenario inputs'!$N$4:$N$213,M451)),INDEX('Scenario inputs'!$N$4:$N$213,M451),""))</f>
        <v/>
      </c>
      <c r="R451" s="0" t="str">
        <f aca="false">IF(NOT(N451),"",IF(OR(E451="cash",E451="revenue"),E451,IF(E451="avoided_cost",IF(AND(I451,LEN(TRIM(J451))&gt;0),"avoided_cost_realised","avoided_cost_beside"),IF(ISNUMBER(Q451),"capacity_converted","capacity_hours"))))</f>
        <v>cash</v>
      </c>
      <c r="S451" s="11" t="n">
        <f aca="false">IF(OR(R451="",R451="capacity_hours"),0,IF(R451="capacity_converted",P451*Q451,P451))</f>
        <v>64725</v>
      </c>
      <c r="T451" s="11" t="n">
        <f aca="false">IF(OR(R451="cash",R451="revenue",R451="avoided_cost_realised",R451="capacity_converted"),1,0)</f>
        <v>1</v>
      </c>
      <c r="U451" s="11" t="n">
        <f aca="false">IF(AND(N451,R451&lt;&gt;"capacity_hours",LEN(K451)&gt;0),1,0)</f>
        <v>1</v>
      </c>
      <c r="V451" s="11" t="n">
        <f aca="false">IF(U451=1,SUMPRODUCT(($K$4:$K$703=K451)*($F$4:$F$703=F451)*($U$4:$U$703=1)*($B$4:$B$703&lt;&gt;B451)),0)</f>
        <v>0</v>
      </c>
      <c r="W451" s="11" t="n">
        <f aca="false">IF(AND(U451=1,V451&gt;0),1+SUMPRODUCT(($K$4:$K$703=K451)*($F$4:$F$703=F451)*($U$4:$U$703=1)*($S$4:$S$703&gt;S451))+SUMPRODUCT(($K$4:$K$703=K451)*($F$4:$F$703=F451)*($U$4:$U$703=1)*($S$4:$S$703=S451)*($T$4:$T$703&gt;T451))+SUMPRODUCT(($K$4:$K$703=K451)*($F$4:$F$703=F451)*($U$4:$U$703=1)*($S$4:$S$703=S451)*($T$4:$T$703=T451)*($C$4:$C$703&lt;C451))+SUMPRODUCT(($K$4:$K$703=K451)*($F$4:$F$703=F451)*($U$4:$U$703=1)*($S$4:$S$703=S451)*($T$4:$T$703=T451)*($C$4:$C$703=C451)*($D$4:$D$703&lt;D451)),0)</f>
        <v>0</v>
      </c>
      <c r="X451" s="11" t="n">
        <f aca="false">IF(AND(U451=1,V451&gt;0,W451&gt;1),S451,0)</f>
        <v>0</v>
      </c>
      <c r="Y451" s="11" t="n">
        <f aca="false">IF(T451=1,X451/(1+Controls!$B$11)^F451,0)</f>
        <v>0</v>
      </c>
      <c r="Z451" s="11" t="n">
        <f aca="false">IF(AND(N451,E451="capacity",LEN(K451)&gt;0),1,0)</f>
        <v>0</v>
      </c>
      <c r="AA451" s="11" t="n">
        <f aca="false">IF(Z451=1,SUMPRODUCT(($K$4:$K$703=K451)*($F$4:$F$703=F451)*($Z$4:$Z$703=1)*($B$4:$B$703&lt;&gt;B451)),0)</f>
        <v>0</v>
      </c>
      <c r="AB451" s="11" t="n">
        <f aca="false">IF(AND(Z451=1,AA451&gt;0),1+SUMPRODUCT(($K$4:$K$703=K451)*($F$4:$F$703=F451)*($Z$4:$Z$703=1)*($P$4:$P$703&gt;P451))+SUMPRODUCT(($K$4:$K$703=K451)*($F$4:$F$703=F451)*($Z$4:$Z$703=1)*($P$4:$P$703=P451)*($C$4:$C$703&lt;C451))+SUMPRODUCT(($K$4:$K$703=K451)*($F$4:$F$703=F451)*($Z$4:$Z$703=1)*($P$4:$P$703=P451)*($C$4:$C$703=C451)*($D$4:$D$703&lt;D451)),0)</f>
        <v>0</v>
      </c>
      <c r="AC451" s="11" t="n">
        <f aca="false">IF(AND(Z451=1,AA451&gt;0,AB451&gt;1),P451,0)</f>
        <v>0</v>
      </c>
    </row>
    <row r="452" customFormat="false" ht="15" hidden="false" customHeight="false" outlineLevel="0" collapsed="false">
      <c r="A452" s="4" t="s">
        <v>694</v>
      </c>
      <c r="B452" s="4" t="s">
        <v>97</v>
      </c>
      <c r="C452" s="4" t="n">
        <v>15</v>
      </c>
      <c r="D452" s="4" t="n">
        <v>449</v>
      </c>
      <c r="E452" s="4" t="s">
        <v>112</v>
      </c>
      <c r="F452" s="4" t="n">
        <v>10</v>
      </c>
      <c r="G452" s="4" t="n">
        <v>4</v>
      </c>
      <c r="H452" s="4" t="n">
        <v>86300</v>
      </c>
      <c r="I452" s="13" t="b">
        <f aca="false">FALSE()</f>
        <v>0</v>
      </c>
      <c r="K452" s="4" t="s">
        <v>688</v>
      </c>
      <c r="L452" s="4" t="n">
        <v>8155.35</v>
      </c>
      <c r="M452" s="11" t="n">
        <f aca="false">IFERROR(MATCH(Controls!$B$3&amp;"|"&amp;B452,'Scenario inputs'!$A$4:$A$213,0),0)</f>
        <v>146</v>
      </c>
      <c r="N452" s="8" t="b">
        <f aca="false">IF(M452=0,FALSE(),F452&lt;Controls!$B$12)</f>
        <v>1</v>
      </c>
      <c r="O452" s="11" t="n">
        <f aca="false">IF(N452,IF(INDEX('Scenario inputs'!$E$4:$E$213,M452)=0,1,INDEX('Scenario inputs'!$F$4:$M$213,M452,MIN(MAX(F452-G452,0),INDEX('Scenario inputs'!$E$4:$E$213,M452)-1)+1)),0)</f>
        <v>1</v>
      </c>
      <c r="P452" s="11" t="n">
        <f aca="false">H452*O452</f>
        <v>86300</v>
      </c>
      <c r="Q452" s="0" t="str">
        <f aca="false">IF(M452=0,"",IF(ISNUMBER(INDEX('Scenario inputs'!$N$4:$N$213,M452)),INDEX('Scenario inputs'!$N$4:$N$213,M452),""))</f>
        <v/>
      </c>
      <c r="R452" s="0" t="str">
        <f aca="false">IF(NOT(N452),"",IF(OR(E452="cash",E452="revenue"),E452,IF(E452="avoided_cost",IF(AND(I452,LEN(TRIM(J452))&gt;0),"avoided_cost_realised","avoided_cost_beside"),IF(ISNUMBER(Q452),"capacity_converted","capacity_hours"))))</f>
        <v>cash</v>
      </c>
      <c r="S452" s="11" t="n">
        <f aca="false">IF(OR(R452="",R452="capacity_hours"),0,IF(R452="capacity_converted",P452*Q452,P452))</f>
        <v>86300</v>
      </c>
      <c r="T452" s="11" t="n">
        <f aca="false">IF(OR(R452="cash",R452="revenue",R452="avoided_cost_realised",R452="capacity_converted"),1,0)</f>
        <v>1</v>
      </c>
      <c r="U452" s="11" t="n">
        <f aca="false">IF(AND(N452,R452&lt;&gt;"capacity_hours",LEN(K452)&gt;0),1,0)</f>
        <v>1</v>
      </c>
      <c r="V452" s="11" t="n">
        <f aca="false">IF(U452=1,SUMPRODUCT(($K$4:$K$703=K452)*($F$4:$F$703=F452)*($U$4:$U$703=1)*($B$4:$B$703&lt;&gt;B452)),0)</f>
        <v>0</v>
      </c>
      <c r="W452" s="11" t="n">
        <f aca="false">IF(AND(U452=1,V452&gt;0),1+SUMPRODUCT(($K$4:$K$703=K452)*($F$4:$F$703=F452)*($U$4:$U$703=1)*($S$4:$S$703&gt;S452))+SUMPRODUCT(($K$4:$K$703=K452)*($F$4:$F$703=F452)*($U$4:$U$703=1)*($S$4:$S$703=S452)*($T$4:$T$703&gt;T452))+SUMPRODUCT(($K$4:$K$703=K452)*($F$4:$F$703=F452)*($U$4:$U$703=1)*($S$4:$S$703=S452)*($T$4:$T$703=T452)*($C$4:$C$703&lt;C452))+SUMPRODUCT(($K$4:$K$703=K452)*($F$4:$F$703=F452)*($U$4:$U$703=1)*($S$4:$S$703=S452)*($T$4:$T$703=T452)*($C$4:$C$703=C452)*($D$4:$D$703&lt;D452)),0)</f>
        <v>0</v>
      </c>
      <c r="X452" s="11" t="n">
        <f aca="false">IF(AND(U452=1,V452&gt;0,W452&gt;1),S452,0)</f>
        <v>0</v>
      </c>
      <c r="Y452" s="11" t="n">
        <f aca="false">IF(T452=1,X452/(1+Controls!$B$11)^F452,0)</f>
        <v>0</v>
      </c>
      <c r="Z452" s="11" t="n">
        <f aca="false">IF(AND(N452,E452="capacity",LEN(K452)&gt;0),1,0)</f>
        <v>0</v>
      </c>
      <c r="AA452" s="11" t="n">
        <f aca="false">IF(Z452=1,SUMPRODUCT(($K$4:$K$703=K452)*($F$4:$F$703=F452)*($Z$4:$Z$703=1)*($B$4:$B$703&lt;&gt;B452)),0)</f>
        <v>0</v>
      </c>
      <c r="AB452" s="11" t="n">
        <f aca="false">IF(AND(Z452=1,AA452&gt;0),1+SUMPRODUCT(($K$4:$K$703=K452)*($F$4:$F$703=F452)*($Z$4:$Z$703=1)*($P$4:$P$703&gt;P452))+SUMPRODUCT(($K$4:$K$703=K452)*($F$4:$F$703=F452)*($Z$4:$Z$703=1)*($P$4:$P$703=P452)*($C$4:$C$703&lt;C452))+SUMPRODUCT(($K$4:$K$703=K452)*($F$4:$F$703=F452)*($Z$4:$Z$703=1)*($P$4:$P$703=P452)*($C$4:$C$703=C452)*($D$4:$D$703&lt;D452)),0)</f>
        <v>0</v>
      </c>
      <c r="AC452" s="11" t="n">
        <f aca="false">IF(AND(Z452=1,AA452&gt;0,AB452&gt;1),P452,0)</f>
        <v>0</v>
      </c>
    </row>
    <row r="453" customFormat="false" ht="15" hidden="false" customHeight="false" outlineLevel="0" collapsed="false">
      <c r="A453" s="4" t="s">
        <v>695</v>
      </c>
      <c r="B453" s="4" t="s">
        <v>97</v>
      </c>
      <c r="C453" s="4" t="n">
        <v>15</v>
      </c>
      <c r="D453" s="4" t="n">
        <v>450</v>
      </c>
      <c r="E453" s="4" t="s">
        <v>112</v>
      </c>
      <c r="F453" s="4" t="n">
        <v>11</v>
      </c>
      <c r="G453" s="4" t="n">
        <v>4</v>
      </c>
      <c r="H453" s="4" t="n">
        <v>86300</v>
      </c>
      <c r="I453" s="13" t="b">
        <f aca="false">FALSE()</f>
        <v>0</v>
      </c>
      <c r="K453" s="4" t="s">
        <v>688</v>
      </c>
      <c r="L453" s="4" t="n">
        <v>8155.35</v>
      </c>
      <c r="M453" s="11" t="n">
        <f aca="false">IFERROR(MATCH(Controls!$B$3&amp;"|"&amp;B453,'Scenario inputs'!$A$4:$A$213,0),0)</f>
        <v>146</v>
      </c>
      <c r="N453" s="8" t="b">
        <f aca="false">IF(M453=0,FALSE(),F453&lt;Controls!$B$12)</f>
        <v>1</v>
      </c>
      <c r="O453" s="11" t="n">
        <f aca="false">IF(N453,IF(INDEX('Scenario inputs'!$E$4:$E$213,M453)=0,1,INDEX('Scenario inputs'!$F$4:$M$213,M453,MIN(MAX(F453-G453,0),INDEX('Scenario inputs'!$E$4:$E$213,M453)-1)+1)),0)</f>
        <v>1</v>
      </c>
      <c r="P453" s="11" t="n">
        <f aca="false">H453*O453</f>
        <v>86300</v>
      </c>
      <c r="Q453" s="0" t="str">
        <f aca="false">IF(M453=0,"",IF(ISNUMBER(INDEX('Scenario inputs'!$N$4:$N$213,M453)),INDEX('Scenario inputs'!$N$4:$N$213,M453),""))</f>
        <v/>
      </c>
      <c r="R453" s="0" t="str">
        <f aca="false">IF(NOT(N453),"",IF(OR(E453="cash",E453="revenue"),E453,IF(E453="avoided_cost",IF(AND(I453,LEN(TRIM(J453))&gt;0),"avoided_cost_realised","avoided_cost_beside"),IF(ISNUMBER(Q453),"capacity_converted","capacity_hours"))))</f>
        <v>cash</v>
      </c>
      <c r="S453" s="11" t="n">
        <f aca="false">IF(OR(R453="",R453="capacity_hours"),0,IF(R453="capacity_converted",P453*Q453,P453))</f>
        <v>86300</v>
      </c>
      <c r="T453" s="11" t="n">
        <f aca="false">IF(OR(R453="cash",R453="revenue",R453="avoided_cost_realised",R453="capacity_converted"),1,0)</f>
        <v>1</v>
      </c>
      <c r="U453" s="11" t="n">
        <f aca="false">IF(AND(N453,R453&lt;&gt;"capacity_hours",LEN(K453)&gt;0),1,0)</f>
        <v>1</v>
      </c>
      <c r="V453" s="11" t="n">
        <f aca="false">IF(U453=1,SUMPRODUCT(($K$4:$K$703=K453)*($F$4:$F$703=F453)*($U$4:$U$703=1)*($B$4:$B$703&lt;&gt;B453)),0)</f>
        <v>0</v>
      </c>
      <c r="W453" s="11" t="n">
        <f aca="false">IF(AND(U453=1,V453&gt;0),1+SUMPRODUCT(($K$4:$K$703=K453)*($F$4:$F$703=F453)*($U$4:$U$703=1)*($S$4:$S$703&gt;S453))+SUMPRODUCT(($K$4:$K$703=K453)*($F$4:$F$703=F453)*($U$4:$U$703=1)*($S$4:$S$703=S453)*($T$4:$T$703&gt;T453))+SUMPRODUCT(($K$4:$K$703=K453)*($F$4:$F$703=F453)*($U$4:$U$703=1)*($S$4:$S$703=S453)*($T$4:$T$703=T453)*($C$4:$C$703&lt;C453))+SUMPRODUCT(($K$4:$K$703=K453)*($F$4:$F$703=F453)*($U$4:$U$703=1)*($S$4:$S$703=S453)*($T$4:$T$703=T453)*($C$4:$C$703=C453)*($D$4:$D$703&lt;D453)),0)</f>
        <v>0</v>
      </c>
      <c r="X453" s="11" t="n">
        <f aca="false">IF(AND(U453=1,V453&gt;0,W453&gt;1),S453,0)</f>
        <v>0</v>
      </c>
      <c r="Y453" s="11" t="n">
        <f aca="false">IF(T453=1,X453/(1+Controls!$B$11)^F453,0)</f>
        <v>0</v>
      </c>
      <c r="Z453" s="11" t="n">
        <f aca="false">IF(AND(N453,E453="capacity",LEN(K453)&gt;0),1,0)</f>
        <v>0</v>
      </c>
      <c r="AA453" s="11" t="n">
        <f aca="false">IF(Z453=1,SUMPRODUCT(($K$4:$K$703=K453)*($F$4:$F$703=F453)*($Z$4:$Z$703=1)*($B$4:$B$703&lt;&gt;B453)),0)</f>
        <v>0</v>
      </c>
      <c r="AB453" s="11" t="n">
        <f aca="false">IF(AND(Z453=1,AA453&gt;0),1+SUMPRODUCT(($K$4:$K$703=K453)*($F$4:$F$703=F453)*($Z$4:$Z$703=1)*($P$4:$P$703&gt;P453))+SUMPRODUCT(($K$4:$K$703=K453)*($F$4:$F$703=F453)*($Z$4:$Z$703=1)*($P$4:$P$703=P453)*($C$4:$C$703&lt;C453))+SUMPRODUCT(($K$4:$K$703=K453)*($F$4:$F$703=F453)*($Z$4:$Z$703=1)*($P$4:$P$703=P453)*($C$4:$C$703=C453)*($D$4:$D$703&lt;D453)),0)</f>
        <v>0</v>
      </c>
      <c r="AC453" s="11" t="n">
        <f aca="false">IF(AND(Z453=1,AA453&gt;0,AB453&gt;1),P453,0)</f>
        <v>0</v>
      </c>
    </row>
    <row r="454" customFormat="false" ht="15" hidden="false" customHeight="false" outlineLevel="0" collapsed="false">
      <c r="A454" s="4" t="s">
        <v>696</v>
      </c>
      <c r="B454" s="4" t="s">
        <v>97</v>
      </c>
      <c r="C454" s="4" t="n">
        <v>15</v>
      </c>
      <c r="D454" s="4" t="n">
        <v>451</v>
      </c>
      <c r="E454" s="4" t="s">
        <v>112</v>
      </c>
      <c r="F454" s="4" t="n">
        <v>12</v>
      </c>
      <c r="G454" s="4" t="n">
        <v>4</v>
      </c>
      <c r="H454" s="4" t="n">
        <v>86300</v>
      </c>
      <c r="I454" s="13" t="b">
        <f aca="false">FALSE()</f>
        <v>0</v>
      </c>
      <c r="K454" s="4" t="s">
        <v>688</v>
      </c>
      <c r="L454" s="4" t="n">
        <v>8155.35</v>
      </c>
      <c r="M454" s="11" t="n">
        <f aca="false">IFERROR(MATCH(Controls!$B$3&amp;"|"&amp;B454,'Scenario inputs'!$A$4:$A$213,0),0)</f>
        <v>146</v>
      </c>
      <c r="N454" s="8" t="b">
        <f aca="false">IF(M454=0,FALSE(),F454&lt;Controls!$B$12)</f>
        <v>1</v>
      </c>
      <c r="O454" s="11" t="n">
        <f aca="false">IF(N454,IF(INDEX('Scenario inputs'!$E$4:$E$213,M454)=0,1,INDEX('Scenario inputs'!$F$4:$M$213,M454,MIN(MAX(F454-G454,0),INDEX('Scenario inputs'!$E$4:$E$213,M454)-1)+1)),0)</f>
        <v>1</v>
      </c>
      <c r="P454" s="11" t="n">
        <f aca="false">H454*O454</f>
        <v>86300</v>
      </c>
      <c r="Q454" s="0" t="str">
        <f aca="false">IF(M454=0,"",IF(ISNUMBER(INDEX('Scenario inputs'!$N$4:$N$213,M454)),INDEX('Scenario inputs'!$N$4:$N$213,M454),""))</f>
        <v/>
      </c>
      <c r="R454" s="0" t="str">
        <f aca="false">IF(NOT(N454),"",IF(OR(E454="cash",E454="revenue"),E454,IF(E454="avoided_cost",IF(AND(I454,LEN(TRIM(J454))&gt;0),"avoided_cost_realised","avoided_cost_beside"),IF(ISNUMBER(Q454),"capacity_converted","capacity_hours"))))</f>
        <v>cash</v>
      </c>
      <c r="S454" s="11" t="n">
        <f aca="false">IF(OR(R454="",R454="capacity_hours"),0,IF(R454="capacity_converted",P454*Q454,P454))</f>
        <v>86300</v>
      </c>
      <c r="T454" s="11" t="n">
        <f aca="false">IF(OR(R454="cash",R454="revenue",R454="avoided_cost_realised",R454="capacity_converted"),1,0)</f>
        <v>1</v>
      </c>
      <c r="U454" s="11" t="n">
        <f aca="false">IF(AND(N454,R454&lt;&gt;"capacity_hours",LEN(K454)&gt;0),1,0)</f>
        <v>1</v>
      </c>
      <c r="V454" s="11" t="n">
        <f aca="false">IF(U454=1,SUMPRODUCT(($K$4:$K$703=K454)*($F$4:$F$703=F454)*($U$4:$U$703=1)*($B$4:$B$703&lt;&gt;B454)),0)</f>
        <v>0</v>
      </c>
      <c r="W454" s="11" t="n">
        <f aca="false">IF(AND(U454=1,V454&gt;0),1+SUMPRODUCT(($K$4:$K$703=K454)*($F$4:$F$703=F454)*($U$4:$U$703=1)*($S$4:$S$703&gt;S454))+SUMPRODUCT(($K$4:$K$703=K454)*($F$4:$F$703=F454)*($U$4:$U$703=1)*($S$4:$S$703=S454)*($T$4:$T$703&gt;T454))+SUMPRODUCT(($K$4:$K$703=K454)*($F$4:$F$703=F454)*($U$4:$U$703=1)*($S$4:$S$703=S454)*($T$4:$T$703=T454)*($C$4:$C$703&lt;C454))+SUMPRODUCT(($K$4:$K$703=K454)*($F$4:$F$703=F454)*($U$4:$U$703=1)*($S$4:$S$703=S454)*($T$4:$T$703=T454)*($C$4:$C$703=C454)*($D$4:$D$703&lt;D454)),0)</f>
        <v>0</v>
      </c>
      <c r="X454" s="11" t="n">
        <f aca="false">IF(AND(U454=1,V454&gt;0,W454&gt;1),S454,0)</f>
        <v>0</v>
      </c>
      <c r="Y454" s="11" t="n">
        <f aca="false">IF(T454=1,X454/(1+Controls!$B$11)^F454,0)</f>
        <v>0</v>
      </c>
      <c r="Z454" s="11" t="n">
        <f aca="false">IF(AND(N454,E454="capacity",LEN(K454)&gt;0),1,0)</f>
        <v>0</v>
      </c>
      <c r="AA454" s="11" t="n">
        <f aca="false">IF(Z454=1,SUMPRODUCT(($K$4:$K$703=K454)*($F$4:$F$703=F454)*($Z$4:$Z$703=1)*($B$4:$B$703&lt;&gt;B454)),0)</f>
        <v>0</v>
      </c>
      <c r="AB454" s="11" t="n">
        <f aca="false">IF(AND(Z454=1,AA454&gt;0),1+SUMPRODUCT(($K$4:$K$703=K454)*($F$4:$F$703=F454)*($Z$4:$Z$703=1)*($P$4:$P$703&gt;P454))+SUMPRODUCT(($K$4:$K$703=K454)*($F$4:$F$703=F454)*($Z$4:$Z$703=1)*($P$4:$P$703=P454)*($C$4:$C$703&lt;C454))+SUMPRODUCT(($K$4:$K$703=K454)*($F$4:$F$703=F454)*($Z$4:$Z$703=1)*($P$4:$P$703=P454)*($C$4:$C$703=C454)*($D$4:$D$703&lt;D454)),0)</f>
        <v>0</v>
      </c>
      <c r="AC454" s="11" t="n">
        <f aca="false">IF(AND(Z454=1,AA454&gt;0,AB454&gt;1),P454,0)</f>
        <v>0</v>
      </c>
    </row>
    <row r="455" customFormat="false" ht="15" hidden="false" customHeight="false" outlineLevel="0" collapsed="false">
      <c r="A455" s="4" t="s">
        <v>697</v>
      </c>
      <c r="B455" s="4" t="s">
        <v>97</v>
      </c>
      <c r="C455" s="4" t="n">
        <v>15</v>
      </c>
      <c r="D455" s="4" t="n">
        <v>452</v>
      </c>
      <c r="E455" s="4" t="s">
        <v>112</v>
      </c>
      <c r="F455" s="4" t="n">
        <v>13</v>
      </c>
      <c r="G455" s="4" t="n">
        <v>4</v>
      </c>
      <c r="H455" s="4" t="n">
        <v>86300</v>
      </c>
      <c r="I455" s="13" t="b">
        <f aca="false">FALSE()</f>
        <v>0</v>
      </c>
      <c r="K455" s="4" t="s">
        <v>688</v>
      </c>
      <c r="L455" s="4" t="n">
        <v>8155.35</v>
      </c>
      <c r="M455" s="11" t="n">
        <f aca="false">IFERROR(MATCH(Controls!$B$3&amp;"|"&amp;B455,'Scenario inputs'!$A$4:$A$213,0),0)</f>
        <v>146</v>
      </c>
      <c r="N455" s="8" t="b">
        <f aca="false">IF(M455=0,FALSE(),F455&lt;Controls!$B$12)</f>
        <v>1</v>
      </c>
      <c r="O455" s="11" t="n">
        <f aca="false">IF(N455,IF(INDEX('Scenario inputs'!$E$4:$E$213,M455)=0,1,INDEX('Scenario inputs'!$F$4:$M$213,M455,MIN(MAX(F455-G455,0),INDEX('Scenario inputs'!$E$4:$E$213,M455)-1)+1)),0)</f>
        <v>1</v>
      </c>
      <c r="P455" s="11" t="n">
        <f aca="false">H455*O455</f>
        <v>86300</v>
      </c>
      <c r="Q455" s="0" t="str">
        <f aca="false">IF(M455=0,"",IF(ISNUMBER(INDEX('Scenario inputs'!$N$4:$N$213,M455)),INDEX('Scenario inputs'!$N$4:$N$213,M455),""))</f>
        <v/>
      </c>
      <c r="R455" s="0" t="str">
        <f aca="false">IF(NOT(N455),"",IF(OR(E455="cash",E455="revenue"),E455,IF(E455="avoided_cost",IF(AND(I455,LEN(TRIM(J455))&gt;0),"avoided_cost_realised","avoided_cost_beside"),IF(ISNUMBER(Q455),"capacity_converted","capacity_hours"))))</f>
        <v>cash</v>
      </c>
      <c r="S455" s="11" t="n">
        <f aca="false">IF(OR(R455="",R455="capacity_hours"),0,IF(R455="capacity_converted",P455*Q455,P455))</f>
        <v>86300</v>
      </c>
      <c r="T455" s="11" t="n">
        <f aca="false">IF(OR(R455="cash",R455="revenue",R455="avoided_cost_realised",R455="capacity_converted"),1,0)</f>
        <v>1</v>
      </c>
      <c r="U455" s="11" t="n">
        <f aca="false">IF(AND(N455,R455&lt;&gt;"capacity_hours",LEN(K455)&gt;0),1,0)</f>
        <v>1</v>
      </c>
      <c r="V455" s="11" t="n">
        <f aca="false">IF(U455=1,SUMPRODUCT(($K$4:$K$703=K455)*($F$4:$F$703=F455)*($U$4:$U$703=1)*($B$4:$B$703&lt;&gt;B455)),0)</f>
        <v>0</v>
      </c>
      <c r="W455" s="11" t="n">
        <f aca="false">IF(AND(U455=1,V455&gt;0),1+SUMPRODUCT(($K$4:$K$703=K455)*($F$4:$F$703=F455)*($U$4:$U$703=1)*($S$4:$S$703&gt;S455))+SUMPRODUCT(($K$4:$K$703=K455)*($F$4:$F$703=F455)*($U$4:$U$703=1)*($S$4:$S$703=S455)*($T$4:$T$703&gt;T455))+SUMPRODUCT(($K$4:$K$703=K455)*($F$4:$F$703=F455)*($U$4:$U$703=1)*($S$4:$S$703=S455)*($T$4:$T$703=T455)*($C$4:$C$703&lt;C455))+SUMPRODUCT(($K$4:$K$703=K455)*($F$4:$F$703=F455)*($U$4:$U$703=1)*($S$4:$S$703=S455)*($T$4:$T$703=T455)*($C$4:$C$703=C455)*($D$4:$D$703&lt;D455)),0)</f>
        <v>0</v>
      </c>
      <c r="X455" s="11" t="n">
        <f aca="false">IF(AND(U455=1,V455&gt;0,W455&gt;1),S455,0)</f>
        <v>0</v>
      </c>
      <c r="Y455" s="11" t="n">
        <f aca="false">IF(T455=1,X455/(1+Controls!$B$11)^F455,0)</f>
        <v>0</v>
      </c>
      <c r="Z455" s="11" t="n">
        <f aca="false">IF(AND(N455,E455="capacity",LEN(K455)&gt;0),1,0)</f>
        <v>0</v>
      </c>
      <c r="AA455" s="11" t="n">
        <f aca="false">IF(Z455=1,SUMPRODUCT(($K$4:$K$703=K455)*($F$4:$F$703=F455)*($Z$4:$Z$703=1)*($B$4:$B$703&lt;&gt;B455)),0)</f>
        <v>0</v>
      </c>
      <c r="AB455" s="11" t="n">
        <f aca="false">IF(AND(Z455=1,AA455&gt;0),1+SUMPRODUCT(($K$4:$K$703=K455)*($F$4:$F$703=F455)*($Z$4:$Z$703=1)*($P$4:$P$703&gt;P455))+SUMPRODUCT(($K$4:$K$703=K455)*($F$4:$F$703=F455)*($Z$4:$Z$703=1)*($P$4:$P$703=P455)*($C$4:$C$703&lt;C455))+SUMPRODUCT(($K$4:$K$703=K455)*($F$4:$F$703=F455)*($Z$4:$Z$703=1)*($P$4:$P$703=P455)*($C$4:$C$703=C455)*($D$4:$D$703&lt;D455)),0)</f>
        <v>0</v>
      </c>
      <c r="AC455" s="11" t="n">
        <f aca="false">IF(AND(Z455=1,AA455&gt;0,AB455&gt;1),P455,0)</f>
        <v>0</v>
      </c>
    </row>
    <row r="456" customFormat="false" ht="15" hidden="false" customHeight="false" outlineLevel="0" collapsed="false">
      <c r="A456" s="4" t="s">
        <v>698</v>
      </c>
      <c r="B456" s="4" t="s">
        <v>97</v>
      </c>
      <c r="C456" s="4" t="n">
        <v>15</v>
      </c>
      <c r="D456" s="4" t="n">
        <v>453</v>
      </c>
      <c r="E456" s="4" t="s">
        <v>112</v>
      </c>
      <c r="F456" s="4" t="n">
        <v>14</v>
      </c>
      <c r="G456" s="4" t="n">
        <v>4</v>
      </c>
      <c r="H456" s="4" t="n">
        <v>86300</v>
      </c>
      <c r="I456" s="13" t="b">
        <f aca="false">FALSE()</f>
        <v>0</v>
      </c>
      <c r="K456" s="4" t="s">
        <v>688</v>
      </c>
      <c r="L456" s="4" t="n">
        <v>8155.35</v>
      </c>
      <c r="M456" s="11" t="n">
        <f aca="false">IFERROR(MATCH(Controls!$B$3&amp;"|"&amp;B456,'Scenario inputs'!$A$4:$A$213,0),0)</f>
        <v>146</v>
      </c>
      <c r="N456" s="8" t="b">
        <f aca="false">IF(M456=0,FALSE(),F456&lt;Controls!$B$12)</f>
        <v>1</v>
      </c>
      <c r="O456" s="11" t="n">
        <f aca="false">IF(N456,IF(INDEX('Scenario inputs'!$E$4:$E$213,M456)=0,1,INDEX('Scenario inputs'!$F$4:$M$213,M456,MIN(MAX(F456-G456,0),INDEX('Scenario inputs'!$E$4:$E$213,M456)-1)+1)),0)</f>
        <v>1</v>
      </c>
      <c r="P456" s="11" t="n">
        <f aca="false">H456*O456</f>
        <v>86300</v>
      </c>
      <c r="Q456" s="0" t="str">
        <f aca="false">IF(M456=0,"",IF(ISNUMBER(INDEX('Scenario inputs'!$N$4:$N$213,M456)),INDEX('Scenario inputs'!$N$4:$N$213,M456),""))</f>
        <v/>
      </c>
      <c r="R456" s="0" t="str">
        <f aca="false">IF(NOT(N456),"",IF(OR(E456="cash",E456="revenue"),E456,IF(E456="avoided_cost",IF(AND(I456,LEN(TRIM(J456))&gt;0),"avoided_cost_realised","avoided_cost_beside"),IF(ISNUMBER(Q456),"capacity_converted","capacity_hours"))))</f>
        <v>cash</v>
      </c>
      <c r="S456" s="11" t="n">
        <f aca="false">IF(OR(R456="",R456="capacity_hours"),0,IF(R456="capacity_converted",P456*Q456,P456))</f>
        <v>86300</v>
      </c>
      <c r="T456" s="11" t="n">
        <f aca="false">IF(OR(R456="cash",R456="revenue",R456="avoided_cost_realised",R456="capacity_converted"),1,0)</f>
        <v>1</v>
      </c>
      <c r="U456" s="11" t="n">
        <f aca="false">IF(AND(N456,R456&lt;&gt;"capacity_hours",LEN(K456)&gt;0),1,0)</f>
        <v>1</v>
      </c>
      <c r="V456" s="11" t="n">
        <f aca="false">IF(U456=1,SUMPRODUCT(($K$4:$K$703=K456)*($F$4:$F$703=F456)*($U$4:$U$703=1)*($B$4:$B$703&lt;&gt;B456)),0)</f>
        <v>0</v>
      </c>
      <c r="W456" s="11" t="n">
        <f aca="false">IF(AND(U456=1,V456&gt;0),1+SUMPRODUCT(($K$4:$K$703=K456)*($F$4:$F$703=F456)*($U$4:$U$703=1)*($S$4:$S$703&gt;S456))+SUMPRODUCT(($K$4:$K$703=K456)*($F$4:$F$703=F456)*($U$4:$U$703=1)*($S$4:$S$703=S456)*($T$4:$T$703&gt;T456))+SUMPRODUCT(($K$4:$K$703=K456)*($F$4:$F$703=F456)*($U$4:$U$703=1)*($S$4:$S$703=S456)*($T$4:$T$703=T456)*($C$4:$C$703&lt;C456))+SUMPRODUCT(($K$4:$K$703=K456)*($F$4:$F$703=F456)*($U$4:$U$703=1)*($S$4:$S$703=S456)*($T$4:$T$703=T456)*($C$4:$C$703=C456)*($D$4:$D$703&lt;D456)),0)</f>
        <v>0</v>
      </c>
      <c r="X456" s="11" t="n">
        <f aca="false">IF(AND(U456=1,V456&gt;0,W456&gt;1),S456,0)</f>
        <v>0</v>
      </c>
      <c r="Y456" s="11" t="n">
        <f aca="false">IF(T456=1,X456/(1+Controls!$B$11)^F456,0)</f>
        <v>0</v>
      </c>
      <c r="Z456" s="11" t="n">
        <f aca="false">IF(AND(N456,E456="capacity",LEN(K456)&gt;0),1,0)</f>
        <v>0</v>
      </c>
      <c r="AA456" s="11" t="n">
        <f aca="false">IF(Z456=1,SUMPRODUCT(($K$4:$K$703=K456)*($F$4:$F$703=F456)*($Z$4:$Z$703=1)*($B$4:$B$703&lt;&gt;B456)),0)</f>
        <v>0</v>
      </c>
      <c r="AB456" s="11" t="n">
        <f aca="false">IF(AND(Z456=1,AA456&gt;0),1+SUMPRODUCT(($K$4:$K$703=K456)*($F$4:$F$703=F456)*($Z$4:$Z$703=1)*($P$4:$P$703&gt;P456))+SUMPRODUCT(($K$4:$K$703=K456)*($F$4:$F$703=F456)*($Z$4:$Z$703=1)*($P$4:$P$703=P456)*($C$4:$C$703&lt;C456))+SUMPRODUCT(($K$4:$K$703=K456)*($F$4:$F$703=F456)*($Z$4:$Z$703=1)*($P$4:$P$703=P456)*($C$4:$C$703=C456)*($D$4:$D$703&lt;D456)),0)</f>
        <v>0</v>
      </c>
      <c r="AC456" s="11" t="n">
        <f aca="false">IF(AND(Z456=1,AA456&gt;0,AB456&gt;1),P456,0)</f>
        <v>0</v>
      </c>
    </row>
    <row r="457" customFormat="false" ht="15" hidden="false" customHeight="false" outlineLevel="0" collapsed="false">
      <c r="A457" s="4" t="s">
        <v>699</v>
      </c>
      <c r="B457" s="4" t="s">
        <v>97</v>
      </c>
      <c r="C457" s="4" t="n">
        <v>15</v>
      </c>
      <c r="D457" s="4" t="n">
        <v>454</v>
      </c>
      <c r="E457" s="4" t="s">
        <v>112</v>
      </c>
      <c r="F457" s="4" t="n">
        <v>15</v>
      </c>
      <c r="G457" s="4" t="n">
        <v>4</v>
      </c>
      <c r="H457" s="4" t="n">
        <v>86300</v>
      </c>
      <c r="I457" s="13" t="b">
        <f aca="false">FALSE()</f>
        <v>0</v>
      </c>
      <c r="K457" s="4" t="s">
        <v>688</v>
      </c>
      <c r="L457" s="4" t="n">
        <v>8155.35</v>
      </c>
      <c r="M457" s="11" t="n">
        <f aca="false">IFERROR(MATCH(Controls!$B$3&amp;"|"&amp;B457,'Scenario inputs'!$A$4:$A$213,0),0)</f>
        <v>146</v>
      </c>
      <c r="N457" s="8" t="b">
        <f aca="false">IF(M457=0,FALSE(),F457&lt;Controls!$B$12)</f>
        <v>1</v>
      </c>
      <c r="O457" s="11" t="n">
        <f aca="false">IF(N457,IF(INDEX('Scenario inputs'!$E$4:$E$213,M457)=0,1,INDEX('Scenario inputs'!$F$4:$M$213,M457,MIN(MAX(F457-G457,0),INDEX('Scenario inputs'!$E$4:$E$213,M457)-1)+1)),0)</f>
        <v>1</v>
      </c>
      <c r="P457" s="11" t="n">
        <f aca="false">H457*O457</f>
        <v>86300</v>
      </c>
      <c r="Q457" s="0" t="str">
        <f aca="false">IF(M457=0,"",IF(ISNUMBER(INDEX('Scenario inputs'!$N$4:$N$213,M457)),INDEX('Scenario inputs'!$N$4:$N$213,M457),""))</f>
        <v/>
      </c>
      <c r="R457" s="0" t="str">
        <f aca="false">IF(NOT(N457),"",IF(OR(E457="cash",E457="revenue"),E457,IF(E457="avoided_cost",IF(AND(I457,LEN(TRIM(J457))&gt;0),"avoided_cost_realised","avoided_cost_beside"),IF(ISNUMBER(Q457),"capacity_converted","capacity_hours"))))</f>
        <v>cash</v>
      </c>
      <c r="S457" s="11" t="n">
        <f aca="false">IF(OR(R457="",R457="capacity_hours"),0,IF(R457="capacity_converted",P457*Q457,P457))</f>
        <v>86300</v>
      </c>
      <c r="T457" s="11" t="n">
        <f aca="false">IF(OR(R457="cash",R457="revenue",R457="avoided_cost_realised",R457="capacity_converted"),1,0)</f>
        <v>1</v>
      </c>
      <c r="U457" s="11" t="n">
        <f aca="false">IF(AND(N457,R457&lt;&gt;"capacity_hours",LEN(K457)&gt;0),1,0)</f>
        <v>1</v>
      </c>
      <c r="V457" s="11" t="n">
        <f aca="false">IF(U457=1,SUMPRODUCT(($K$4:$K$703=K457)*($F$4:$F$703=F457)*($U$4:$U$703=1)*($B$4:$B$703&lt;&gt;B457)),0)</f>
        <v>0</v>
      </c>
      <c r="W457" s="11" t="n">
        <f aca="false">IF(AND(U457=1,V457&gt;0),1+SUMPRODUCT(($K$4:$K$703=K457)*($F$4:$F$703=F457)*($U$4:$U$703=1)*($S$4:$S$703&gt;S457))+SUMPRODUCT(($K$4:$K$703=K457)*($F$4:$F$703=F457)*($U$4:$U$703=1)*($S$4:$S$703=S457)*($T$4:$T$703&gt;T457))+SUMPRODUCT(($K$4:$K$703=K457)*($F$4:$F$703=F457)*($U$4:$U$703=1)*($S$4:$S$703=S457)*($T$4:$T$703=T457)*($C$4:$C$703&lt;C457))+SUMPRODUCT(($K$4:$K$703=K457)*($F$4:$F$703=F457)*($U$4:$U$703=1)*($S$4:$S$703=S457)*($T$4:$T$703=T457)*($C$4:$C$703=C457)*($D$4:$D$703&lt;D457)),0)</f>
        <v>0</v>
      </c>
      <c r="X457" s="11" t="n">
        <f aca="false">IF(AND(U457=1,V457&gt;0,W457&gt;1),S457,0)</f>
        <v>0</v>
      </c>
      <c r="Y457" s="11" t="n">
        <f aca="false">IF(T457=1,X457/(1+Controls!$B$11)^F457,0)</f>
        <v>0</v>
      </c>
      <c r="Z457" s="11" t="n">
        <f aca="false">IF(AND(N457,E457="capacity",LEN(K457)&gt;0),1,0)</f>
        <v>0</v>
      </c>
      <c r="AA457" s="11" t="n">
        <f aca="false">IF(Z457=1,SUMPRODUCT(($K$4:$K$703=K457)*($F$4:$F$703=F457)*($Z$4:$Z$703=1)*($B$4:$B$703&lt;&gt;B457)),0)</f>
        <v>0</v>
      </c>
      <c r="AB457" s="11" t="n">
        <f aca="false">IF(AND(Z457=1,AA457&gt;0),1+SUMPRODUCT(($K$4:$K$703=K457)*($F$4:$F$703=F457)*($Z$4:$Z$703=1)*($P$4:$P$703&gt;P457))+SUMPRODUCT(($K$4:$K$703=K457)*($F$4:$F$703=F457)*($Z$4:$Z$703=1)*($P$4:$P$703=P457)*($C$4:$C$703&lt;C457))+SUMPRODUCT(($K$4:$K$703=K457)*($F$4:$F$703=F457)*($Z$4:$Z$703=1)*($P$4:$P$703=P457)*($C$4:$C$703=C457)*($D$4:$D$703&lt;D457)),0)</f>
        <v>0</v>
      </c>
      <c r="AC457" s="11" t="n">
        <f aca="false">IF(AND(Z457=1,AA457&gt;0,AB457&gt;1),P457,0)</f>
        <v>0</v>
      </c>
    </row>
    <row r="458" customFormat="false" ht="15" hidden="false" customHeight="false" outlineLevel="0" collapsed="false">
      <c r="A458" s="4" t="s">
        <v>700</v>
      </c>
      <c r="B458" s="4" t="s">
        <v>97</v>
      </c>
      <c r="C458" s="4" t="n">
        <v>15</v>
      </c>
      <c r="D458" s="4" t="n">
        <v>455</v>
      </c>
      <c r="E458" s="4" t="s">
        <v>205</v>
      </c>
      <c r="F458" s="4" t="n">
        <v>5</v>
      </c>
      <c r="G458" s="4" t="n">
        <v>5</v>
      </c>
      <c r="H458" s="4" t="n">
        <v>25900</v>
      </c>
      <c r="I458" s="13" t="b">
        <f aca="false">FALSE()</f>
        <v>0</v>
      </c>
      <c r="K458" s="4" t="s">
        <v>701</v>
      </c>
      <c r="L458" s="4" t="n">
        <v>36.96</v>
      </c>
      <c r="M458" s="11" t="n">
        <f aca="false">IFERROR(MATCH(Controls!$B$3&amp;"|"&amp;B458,'Scenario inputs'!$A$4:$A$213,0),0)</f>
        <v>146</v>
      </c>
      <c r="N458" s="8" t="b">
        <f aca="false">IF(M458=0,FALSE(),F458&lt;Controls!$B$12)</f>
        <v>1</v>
      </c>
      <c r="O458" s="11" t="n">
        <f aca="false">IF(N458,IF(INDEX('Scenario inputs'!$E$4:$E$213,M458)=0,1,INDEX('Scenario inputs'!$F$4:$M$213,M458,MIN(MAX(F458-G458,0),INDEX('Scenario inputs'!$E$4:$E$213,M458)-1)+1)),0)</f>
        <v>0.035714</v>
      </c>
      <c r="P458" s="11" t="n">
        <f aca="false">H458*O458</f>
        <v>924.9926</v>
      </c>
      <c r="Q458" s="0" t="str">
        <f aca="false">IF(M458=0,"",IF(ISNUMBER(INDEX('Scenario inputs'!$N$4:$N$213,M458)),INDEX('Scenario inputs'!$N$4:$N$213,M458),""))</f>
        <v/>
      </c>
      <c r="R458" s="0" t="str">
        <f aca="false">IF(NOT(N458),"",IF(OR(E458="cash",E458="revenue"),E458,IF(E458="avoided_cost",IF(AND(I458,LEN(TRIM(J458))&gt;0),"avoided_cost_realised","avoided_cost_beside"),IF(ISNUMBER(Q458),"capacity_converted","capacity_hours"))))</f>
        <v>avoided_cost_beside</v>
      </c>
      <c r="S458" s="11" t="n">
        <f aca="false">IF(OR(R458="",R458="capacity_hours"),0,IF(R458="capacity_converted",P458*Q458,P458))</f>
        <v>924.9926</v>
      </c>
      <c r="T458" s="11" t="n">
        <f aca="false">IF(OR(R458="cash",R458="revenue",R458="avoided_cost_realised",R458="capacity_converted"),1,0)</f>
        <v>0</v>
      </c>
      <c r="U458" s="11" t="n">
        <f aca="false">IF(AND(N458,R458&lt;&gt;"capacity_hours",LEN(K458)&gt;0),1,0)</f>
        <v>1</v>
      </c>
      <c r="V458" s="11" t="n">
        <f aca="false">IF(U458=1,SUMPRODUCT(($K$4:$K$703=K458)*($F$4:$F$703=F458)*($U$4:$U$703=1)*($B$4:$B$703&lt;&gt;B458)),0)</f>
        <v>0</v>
      </c>
      <c r="W458" s="11" t="n">
        <f aca="false">IF(AND(U458=1,V458&gt;0),1+SUMPRODUCT(($K$4:$K$703=K458)*($F$4:$F$703=F458)*($U$4:$U$703=1)*($S$4:$S$703&gt;S458))+SUMPRODUCT(($K$4:$K$703=K458)*($F$4:$F$703=F458)*($U$4:$U$703=1)*($S$4:$S$703=S458)*($T$4:$T$703&gt;T458))+SUMPRODUCT(($K$4:$K$703=K458)*($F$4:$F$703=F458)*($U$4:$U$703=1)*($S$4:$S$703=S458)*($T$4:$T$703=T458)*($C$4:$C$703&lt;C458))+SUMPRODUCT(($K$4:$K$703=K458)*($F$4:$F$703=F458)*($U$4:$U$703=1)*($S$4:$S$703=S458)*($T$4:$T$703=T458)*($C$4:$C$703=C458)*($D$4:$D$703&lt;D458)),0)</f>
        <v>0</v>
      </c>
      <c r="X458" s="11" t="n">
        <f aca="false">IF(AND(U458=1,V458&gt;0,W458&gt;1),S458,0)</f>
        <v>0</v>
      </c>
      <c r="Y458" s="11" t="n">
        <f aca="false">IF(T458=1,X458/(1+Controls!$B$11)^F458,0)</f>
        <v>0</v>
      </c>
      <c r="Z458" s="11" t="n">
        <f aca="false">IF(AND(N458,E458="capacity",LEN(K458)&gt;0),1,0)</f>
        <v>0</v>
      </c>
      <c r="AA458" s="11" t="n">
        <f aca="false">IF(Z458=1,SUMPRODUCT(($K$4:$K$703=K458)*($F$4:$F$703=F458)*($Z$4:$Z$703=1)*($B$4:$B$703&lt;&gt;B458)),0)</f>
        <v>0</v>
      </c>
      <c r="AB458" s="11" t="n">
        <f aca="false">IF(AND(Z458=1,AA458&gt;0),1+SUMPRODUCT(($K$4:$K$703=K458)*($F$4:$F$703=F458)*($Z$4:$Z$703=1)*($P$4:$P$703&gt;P458))+SUMPRODUCT(($K$4:$K$703=K458)*($F$4:$F$703=F458)*($Z$4:$Z$703=1)*($P$4:$P$703=P458)*($C$4:$C$703&lt;C458))+SUMPRODUCT(($K$4:$K$703=K458)*($F$4:$F$703=F458)*($Z$4:$Z$703=1)*($P$4:$P$703=P458)*($C$4:$C$703=C458)*($D$4:$D$703&lt;D458)),0)</f>
        <v>0</v>
      </c>
      <c r="AC458" s="11" t="n">
        <f aca="false">IF(AND(Z458=1,AA458&gt;0,AB458&gt;1),P458,0)</f>
        <v>0</v>
      </c>
    </row>
    <row r="459" customFormat="false" ht="15" hidden="false" customHeight="false" outlineLevel="0" collapsed="false">
      <c r="A459" s="4" t="s">
        <v>702</v>
      </c>
      <c r="B459" s="4" t="s">
        <v>97</v>
      </c>
      <c r="C459" s="4" t="n">
        <v>15</v>
      </c>
      <c r="D459" s="4" t="n">
        <v>456</v>
      </c>
      <c r="E459" s="4" t="s">
        <v>205</v>
      </c>
      <c r="F459" s="4" t="n">
        <v>6</v>
      </c>
      <c r="G459" s="4" t="n">
        <v>5</v>
      </c>
      <c r="H459" s="4" t="n">
        <v>25900</v>
      </c>
      <c r="I459" s="13" t="b">
        <f aca="false">FALSE()</f>
        <v>0</v>
      </c>
      <c r="K459" s="4" t="s">
        <v>701</v>
      </c>
      <c r="L459" s="4" t="n">
        <v>109.78</v>
      </c>
      <c r="M459" s="11" t="n">
        <f aca="false">IFERROR(MATCH(Controls!$B$3&amp;"|"&amp;B459,'Scenario inputs'!$A$4:$A$213,0),0)</f>
        <v>146</v>
      </c>
      <c r="N459" s="8" t="b">
        <f aca="false">IF(M459=0,FALSE(),F459&lt;Controls!$B$12)</f>
        <v>1</v>
      </c>
      <c r="O459" s="11" t="n">
        <f aca="false">IF(N459,IF(INDEX('Scenario inputs'!$E$4:$E$213,M459)=0,1,INDEX('Scenario inputs'!$F$4:$M$213,M459,MIN(MAX(F459-G459,0),INDEX('Scenario inputs'!$E$4:$E$213,M459)-1)+1)),0)</f>
        <v>0.107143</v>
      </c>
      <c r="P459" s="11" t="n">
        <f aca="false">H459*O459</f>
        <v>2775.0037</v>
      </c>
      <c r="Q459" s="0" t="str">
        <f aca="false">IF(M459=0,"",IF(ISNUMBER(INDEX('Scenario inputs'!$N$4:$N$213,M459)),INDEX('Scenario inputs'!$N$4:$N$213,M459),""))</f>
        <v/>
      </c>
      <c r="R459" s="0" t="str">
        <f aca="false">IF(NOT(N459),"",IF(OR(E459="cash",E459="revenue"),E459,IF(E459="avoided_cost",IF(AND(I459,LEN(TRIM(J459))&gt;0),"avoided_cost_realised","avoided_cost_beside"),IF(ISNUMBER(Q459),"capacity_converted","capacity_hours"))))</f>
        <v>avoided_cost_beside</v>
      </c>
      <c r="S459" s="11" t="n">
        <f aca="false">IF(OR(R459="",R459="capacity_hours"),0,IF(R459="capacity_converted",P459*Q459,P459))</f>
        <v>2775.0037</v>
      </c>
      <c r="T459" s="11" t="n">
        <f aca="false">IF(OR(R459="cash",R459="revenue",R459="avoided_cost_realised",R459="capacity_converted"),1,0)</f>
        <v>0</v>
      </c>
      <c r="U459" s="11" t="n">
        <f aca="false">IF(AND(N459,R459&lt;&gt;"capacity_hours",LEN(K459)&gt;0),1,0)</f>
        <v>1</v>
      </c>
      <c r="V459" s="11" t="n">
        <f aca="false">IF(U459=1,SUMPRODUCT(($K$4:$K$703=K459)*($F$4:$F$703=F459)*($U$4:$U$703=1)*($B$4:$B$703&lt;&gt;B459)),0)</f>
        <v>0</v>
      </c>
      <c r="W459" s="11" t="n">
        <f aca="false">IF(AND(U459=1,V459&gt;0),1+SUMPRODUCT(($K$4:$K$703=K459)*($F$4:$F$703=F459)*($U$4:$U$703=1)*($S$4:$S$703&gt;S459))+SUMPRODUCT(($K$4:$K$703=K459)*($F$4:$F$703=F459)*($U$4:$U$703=1)*($S$4:$S$703=S459)*($T$4:$T$703&gt;T459))+SUMPRODUCT(($K$4:$K$703=K459)*($F$4:$F$703=F459)*($U$4:$U$703=1)*($S$4:$S$703=S459)*($T$4:$T$703=T459)*($C$4:$C$703&lt;C459))+SUMPRODUCT(($K$4:$K$703=K459)*($F$4:$F$703=F459)*($U$4:$U$703=1)*($S$4:$S$703=S459)*($T$4:$T$703=T459)*($C$4:$C$703=C459)*($D$4:$D$703&lt;D459)),0)</f>
        <v>0</v>
      </c>
      <c r="X459" s="11" t="n">
        <f aca="false">IF(AND(U459=1,V459&gt;0,W459&gt;1),S459,0)</f>
        <v>0</v>
      </c>
      <c r="Y459" s="11" t="n">
        <f aca="false">IF(T459=1,X459/(1+Controls!$B$11)^F459,0)</f>
        <v>0</v>
      </c>
      <c r="Z459" s="11" t="n">
        <f aca="false">IF(AND(N459,E459="capacity",LEN(K459)&gt;0),1,0)</f>
        <v>0</v>
      </c>
      <c r="AA459" s="11" t="n">
        <f aca="false">IF(Z459=1,SUMPRODUCT(($K$4:$K$703=K459)*($F$4:$F$703=F459)*($Z$4:$Z$703=1)*($B$4:$B$703&lt;&gt;B459)),0)</f>
        <v>0</v>
      </c>
      <c r="AB459" s="11" t="n">
        <f aca="false">IF(AND(Z459=1,AA459&gt;0),1+SUMPRODUCT(($K$4:$K$703=K459)*($F$4:$F$703=F459)*($Z$4:$Z$703=1)*($P$4:$P$703&gt;P459))+SUMPRODUCT(($K$4:$K$703=K459)*($F$4:$F$703=F459)*($Z$4:$Z$703=1)*($P$4:$P$703=P459)*($C$4:$C$703&lt;C459))+SUMPRODUCT(($K$4:$K$703=K459)*($F$4:$F$703=F459)*($Z$4:$Z$703=1)*($P$4:$P$703=P459)*($C$4:$C$703=C459)*($D$4:$D$703&lt;D459)),0)</f>
        <v>0</v>
      </c>
      <c r="AC459" s="11" t="n">
        <f aca="false">IF(AND(Z459=1,AA459&gt;0,AB459&gt;1),P459,0)</f>
        <v>0</v>
      </c>
    </row>
    <row r="460" customFormat="false" ht="15" hidden="false" customHeight="false" outlineLevel="0" collapsed="false">
      <c r="A460" s="4" t="s">
        <v>703</v>
      </c>
      <c r="B460" s="4" t="s">
        <v>97</v>
      </c>
      <c r="C460" s="4" t="n">
        <v>15</v>
      </c>
      <c r="D460" s="4" t="n">
        <v>457</v>
      </c>
      <c r="E460" s="4" t="s">
        <v>205</v>
      </c>
      <c r="F460" s="4" t="n">
        <v>7</v>
      </c>
      <c r="G460" s="4" t="n">
        <v>5</v>
      </c>
      <c r="H460" s="4" t="n">
        <v>25900</v>
      </c>
      <c r="I460" s="13" t="b">
        <f aca="false">FALSE()</f>
        <v>0</v>
      </c>
      <c r="K460" s="4" t="s">
        <v>701</v>
      </c>
      <c r="L460" s="4" t="n">
        <v>217.34</v>
      </c>
      <c r="M460" s="11" t="n">
        <f aca="false">IFERROR(MATCH(Controls!$B$3&amp;"|"&amp;B460,'Scenario inputs'!$A$4:$A$213,0),0)</f>
        <v>146</v>
      </c>
      <c r="N460" s="8" t="b">
        <f aca="false">IF(M460=0,FALSE(),F460&lt;Controls!$B$12)</f>
        <v>1</v>
      </c>
      <c r="O460" s="11" t="n">
        <f aca="false">IF(N460,IF(INDEX('Scenario inputs'!$E$4:$E$213,M460)=0,1,INDEX('Scenario inputs'!$F$4:$M$213,M460,MIN(MAX(F460-G460,0),INDEX('Scenario inputs'!$E$4:$E$213,M460)-1)+1)),0)</f>
        <v>0.214286</v>
      </c>
      <c r="P460" s="11" t="n">
        <f aca="false">H460*O460</f>
        <v>5550.0074</v>
      </c>
      <c r="Q460" s="0" t="str">
        <f aca="false">IF(M460=0,"",IF(ISNUMBER(INDEX('Scenario inputs'!$N$4:$N$213,M460)),INDEX('Scenario inputs'!$N$4:$N$213,M460),""))</f>
        <v/>
      </c>
      <c r="R460" s="0" t="str">
        <f aca="false">IF(NOT(N460),"",IF(OR(E460="cash",E460="revenue"),E460,IF(E460="avoided_cost",IF(AND(I460,LEN(TRIM(J460))&gt;0),"avoided_cost_realised","avoided_cost_beside"),IF(ISNUMBER(Q460),"capacity_converted","capacity_hours"))))</f>
        <v>avoided_cost_beside</v>
      </c>
      <c r="S460" s="11" t="n">
        <f aca="false">IF(OR(R460="",R460="capacity_hours"),0,IF(R460="capacity_converted",P460*Q460,P460))</f>
        <v>5550.0074</v>
      </c>
      <c r="T460" s="11" t="n">
        <f aca="false">IF(OR(R460="cash",R460="revenue",R460="avoided_cost_realised",R460="capacity_converted"),1,0)</f>
        <v>0</v>
      </c>
      <c r="U460" s="11" t="n">
        <f aca="false">IF(AND(N460,R460&lt;&gt;"capacity_hours",LEN(K460)&gt;0),1,0)</f>
        <v>1</v>
      </c>
      <c r="V460" s="11" t="n">
        <f aca="false">IF(U460=1,SUMPRODUCT(($K$4:$K$703=K460)*($F$4:$F$703=F460)*($U$4:$U$703=1)*($B$4:$B$703&lt;&gt;B460)),0)</f>
        <v>0</v>
      </c>
      <c r="W460" s="11" t="n">
        <f aca="false">IF(AND(U460=1,V460&gt;0),1+SUMPRODUCT(($K$4:$K$703=K460)*($F$4:$F$703=F460)*($U$4:$U$703=1)*($S$4:$S$703&gt;S460))+SUMPRODUCT(($K$4:$K$703=K460)*($F$4:$F$703=F460)*($U$4:$U$703=1)*($S$4:$S$703=S460)*($T$4:$T$703&gt;T460))+SUMPRODUCT(($K$4:$K$703=K460)*($F$4:$F$703=F460)*($U$4:$U$703=1)*($S$4:$S$703=S460)*($T$4:$T$703=T460)*($C$4:$C$703&lt;C460))+SUMPRODUCT(($K$4:$K$703=K460)*($F$4:$F$703=F460)*($U$4:$U$703=1)*($S$4:$S$703=S460)*($T$4:$T$703=T460)*($C$4:$C$703=C460)*($D$4:$D$703&lt;D460)),0)</f>
        <v>0</v>
      </c>
      <c r="X460" s="11" t="n">
        <f aca="false">IF(AND(U460=1,V460&gt;0,W460&gt;1),S460,0)</f>
        <v>0</v>
      </c>
      <c r="Y460" s="11" t="n">
        <f aca="false">IF(T460=1,X460/(1+Controls!$B$11)^F460,0)</f>
        <v>0</v>
      </c>
      <c r="Z460" s="11" t="n">
        <f aca="false">IF(AND(N460,E460="capacity",LEN(K460)&gt;0),1,0)</f>
        <v>0</v>
      </c>
      <c r="AA460" s="11" t="n">
        <f aca="false">IF(Z460=1,SUMPRODUCT(($K$4:$K$703=K460)*($F$4:$F$703=F460)*($Z$4:$Z$703=1)*($B$4:$B$703&lt;&gt;B460)),0)</f>
        <v>0</v>
      </c>
      <c r="AB460" s="11" t="n">
        <f aca="false">IF(AND(Z460=1,AA460&gt;0),1+SUMPRODUCT(($K$4:$K$703=K460)*($F$4:$F$703=F460)*($Z$4:$Z$703=1)*($P$4:$P$703&gt;P460))+SUMPRODUCT(($K$4:$K$703=K460)*($F$4:$F$703=F460)*($Z$4:$Z$703=1)*($P$4:$P$703=P460)*($C$4:$C$703&lt;C460))+SUMPRODUCT(($K$4:$K$703=K460)*($F$4:$F$703=F460)*($Z$4:$Z$703=1)*($P$4:$P$703=P460)*($C$4:$C$703=C460)*($D$4:$D$703&lt;D460)),0)</f>
        <v>0</v>
      </c>
      <c r="AC460" s="11" t="n">
        <f aca="false">IF(AND(Z460=1,AA460&gt;0,AB460&gt;1),P460,0)</f>
        <v>0</v>
      </c>
    </row>
    <row r="461" customFormat="false" ht="15" hidden="false" customHeight="false" outlineLevel="0" collapsed="false">
      <c r="A461" s="4" t="s">
        <v>704</v>
      </c>
      <c r="B461" s="4" t="s">
        <v>97</v>
      </c>
      <c r="C461" s="4" t="n">
        <v>15</v>
      </c>
      <c r="D461" s="4" t="n">
        <v>458</v>
      </c>
      <c r="E461" s="4" t="s">
        <v>205</v>
      </c>
      <c r="F461" s="4" t="n">
        <v>8</v>
      </c>
      <c r="G461" s="4" t="n">
        <v>5</v>
      </c>
      <c r="H461" s="4" t="n">
        <v>25900</v>
      </c>
      <c r="I461" s="13" t="b">
        <f aca="false">FALSE()</f>
        <v>0</v>
      </c>
      <c r="K461" s="4" t="s">
        <v>701</v>
      </c>
      <c r="L461" s="4" t="n">
        <v>369.63</v>
      </c>
      <c r="M461" s="11" t="n">
        <f aca="false">IFERROR(MATCH(Controls!$B$3&amp;"|"&amp;B461,'Scenario inputs'!$A$4:$A$213,0),0)</f>
        <v>146</v>
      </c>
      <c r="N461" s="8" t="b">
        <f aca="false">IF(M461=0,FALSE(),F461&lt;Controls!$B$12)</f>
        <v>1</v>
      </c>
      <c r="O461" s="11" t="n">
        <f aca="false">IF(N461,IF(INDEX('Scenario inputs'!$E$4:$E$213,M461)=0,1,INDEX('Scenario inputs'!$F$4:$M$213,M461,MIN(MAX(F461-G461,0),INDEX('Scenario inputs'!$E$4:$E$213,M461)-1)+1)),0)</f>
        <v>0.357143</v>
      </c>
      <c r="P461" s="11" t="n">
        <f aca="false">H461*O461</f>
        <v>9250.0037</v>
      </c>
      <c r="Q461" s="0" t="str">
        <f aca="false">IF(M461=0,"",IF(ISNUMBER(INDEX('Scenario inputs'!$N$4:$N$213,M461)),INDEX('Scenario inputs'!$N$4:$N$213,M461),""))</f>
        <v/>
      </c>
      <c r="R461" s="0" t="str">
        <f aca="false">IF(NOT(N461),"",IF(OR(E461="cash",E461="revenue"),E461,IF(E461="avoided_cost",IF(AND(I461,LEN(TRIM(J461))&gt;0),"avoided_cost_realised","avoided_cost_beside"),IF(ISNUMBER(Q461),"capacity_converted","capacity_hours"))))</f>
        <v>avoided_cost_beside</v>
      </c>
      <c r="S461" s="11" t="n">
        <f aca="false">IF(OR(R461="",R461="capacity_hours"),0,IF(R461="capacity_converted",P461*Q461,P461))</f>
        <v>9250.0037</v>
      </c>
      <c r="T461" s="11" t="n">
        <f aca="false">IF(OR(R461="cash",R461="revenue",R461="avoided_cost_realised",R461="capacity_converted"),1,0)</f>
        <v>0</v>
      </c>
      <c r="U461" s="11" t="n">
        <f aca="false">IF(AND(N461,R461&lt;&gt;"capacity_hours",LEN(K461)&gt;0),1,0)</f>
        <v>1</v>
      </c>
      <c r="V461" s="11" t="n">
        <f aca="false">IF(U461=1,SUMPRODUCT(($K$4:$K$703=K461)*($F$4:$F$703=F461)*($U$4:$U$703=1)*($B$4:$B$703&lt;&gt;B461)),0)</f>
        <v>0</v>
      </c>
      <c r="W461" s="11" t="n">
        <f aca="false">IF(AND(U461=1,V461&gt;0),1+SUMPRODUCT(($K$4:$K$703=K461)*($F$4:$F$703=F461)*($U$4:$U$703=1)*($S$4:$S$703&gt;S461))+SUMPRODUCT(($K$4:$K$703=K461)*($F$4:$F$703=F461)*($U$4:$U$703=1)*($S$4:$S$703=S461)*($T$4:$T$703&gt;T461))+SUMPRODUCT(($K$4:$K$703=K461)*($F$4:$F$703=F461)*($U$4:$U$703=1)*($S$4:$S$703=S461)*($T$4:$T$703=T461)*($C$4:$C$703&lt;C461))+SUMPRODUCT(($K$4:$K$703=K461)*($F$4:$F$703=F461)*($U$4:$U$703=1)*($S$4:$S$703=S461)*($T$4:$T$703=T461)*($C$4:$C$703=C461)*($D$4:$D$703&lt;D461)),0)</f>
        <v>0</v>
      </c>
      <c r="X461" s="11" t="n">
        <f aca="false">IF(AND(U461=1,V461&gt;0,W461&gt;1),S461,0)</f>
        <v>0</v>
      </c>
      <c r="Y461" s="11" t="n">
        <f aca="false">IF(T461=1,X461/(1+Controls!$B$11)^F461,0)</f>
        <v>0</v>
      </c>
      <c r="Z461" s="11" t="n">
        <f aca="false">IF(AND(N461,E461="capacity",LEN(K461)&gt;0),1,0)</f>
        <v>0</v>
      </c>
      <c r="AA461" s="11" t="n">
        <f aca="false">IF(Z461=1,SUMPRODUCT(($K$4:$K$703=K461)*($F$4:$F$703=F461)*($Z$4:$Z$703=1)*($B$4:$B$703&lt;&gt;B461)),0)</f>
        <v>0</v>
      </c>
      <c r="AB461" s="11" t="n">
        <f aca="false">IF(AND(Z461=1,AA461&gt;0),1+SUMPRODUCT(($K$4:$K$703=K461)*($F$4:$F$703=F461)*($Z$4:$Z$703=1)*($P$4:$P$703&gt;P461))+SUMPRODUCT(($K$4:$K$703=K461)*($F$4:$F$703=F461)*($Z$4:$Z$703=1)*($P$4:$P$703=P461)*($C$4:$C$703&lt;C461))+SUMPRODUCT(($K$4:$K$703=K461)*($F$4:$F$703=F461)*($Z$4:$Z$703=1)*($P$4:$P$703=P461)*($C$4:$C$703=C461)*($D$4:$D$703&lt;D461)),0)</f>
        <v>0</v>
      </c>
      <c r="AC461" s="11" t="n">
        <f aca="false">IF(AND(Z461=1,AA461&gt;0,AB461&gt;1),P461,0)</f>
        <v>0</v>
      </c>
    </row>
    <row r="462" customFormat="false" ht="15" hidden="false" customHeight="false" outlineLevel="0" collapsed="false">
      <c r="A462" s="4" t="s">
        <v>705</v>
      </c>
      <c r="B462" s="4" t="s">
        <v>97</v>
      </c>
      <c r="C462" s="4" t="n">
        <v>15</v>
      </c>
      <c r="D462" s="4" t="n">
        <v>459</v>
      </c>
      <c r="E462" s="4" t="s">
        <v>205</v>
      </c>
      <c r="F462" s="4" t="n">
        <v>9</v>
      </c>
      <c r="G462" s="4" t="n">
        <v>5</v>
      </c>
      <c r="H462" s="4" t="n">
        <v>25900</v>
      </c>
      <c r="I462" s="13" t="b">
        <f aca="false">FALSE()</f>
        <v>0</v>
      </c>
      <c r="K462" s="4" t="s">
        <v>701</v>
      </c>
      <c r="L462" s="4" t="n">
        <v>749.25</v>
      </c>
      <c r="M462" s="11" t="n">
        <f aca="false">IFERROR(MATCH(Controls!$B$3&amp;"|"&amp;B462,'Scenario inputs'!$A$4:$A$213,0),0)</f>
        <v>146</v>
      </c>
      <c r="N462" s="8" t="b">
        <f aca="false">IF(M462=0,FALSE(),F462&lt;Controls!$B$12)</f>
        <v>1</v>
      </c>
      <c r="O462" s="11" t="n">
        <f aca="false">IF(N462,IF(INDEX('Scenario inputs'!$E$4:$E$213,M462)=0,1,INDEX('Scenario inputs'!$F$4:$M$213,M462,MIN(MAX(F462-G462,0),INDEX('Scenario inputs'!$E$4:$E$213,M462)-1)+1)),0)</f>
        <v>0.535714</v>
      </c>
      <c r="P462" s="11" t="n">
        <f aca="false">H462*O462</f>
        <v>13874.9926</v>
      </c>
      <c r="Q462" s="0" t="str">
        <f aca="false">IF(M462=0,"",IF(ISNUMBER(INDEX('Scenario inputs'!$N$4:$N$213,M462)),INDEX('Scenario inputs'!$N$4:$N$213,M462),""))</f>
        <v/>
      </c>
      <c r="R462" s="0" t="str">
        <f aca="false">IF(NOT(N462),"",IF(OR(E462="cash",E462="revenue"),E462,IF(E462="avoided_cost",IF(AND(I462,LEN(TRIM(J462))&gt;0),"avoided_cost_realised","avoided_cost_beside"),IF(ISNUMBER(Q462),"capacity_converted","capacity_hours"))))</f>
        <v>avoided_cost_beside</v>
      </c>
      <c r="S462" s="11" t="n">
        <f aca="false">IF(OR(R462="",R462="capacity_hours"),0,IF(R462="capacity_converted",P462*Q462,P462))</f>
        <v>13874.9926</v>
      </c>
      <c r="T462" s="11" t="n">
        <f aca="false">IF(OR(R462="cash",R462="revenue",R462="avoided_cost_realised",R462="capacity_converted"),1,0)</f>
        <v>0</v>
      </c>
      <c r="U462" s="11" t="n">
        <f aca="false">IF(AND(N462,R462&lt;&gt;"capacity_hours",LEN(K462)&gt;0),1,0)</f>
        <v>1</v>
      </c>
      <c r="V462" s="11" t="n">
        <f aca="false">IF(U462=1,SUMPRODUCT(($K$4:$K$703=K462)*($F$4:$F$703=F462)*($U$4:$U$703=1)*($B$4:$B$703&lt;&gt;B462)),0)</f>
        <v>0</v>
      </c>
      <c r="W462" s="11" t="n">
        <f aca="false">IF(AND(U462=1,V462&gt;0),1+SUMPRODUCT(($K$4:$K$703=K462)*($F$4:$F$703=F462)*($U$4:$U$703=1)*($S$4:$S$703&gt;S462))+SUMPRODUCT(($K$4:$K$703=K462)*($F$4:$F$703=F462)*($U$4:$U$703=1)*($S$4:$S$703=S462)*($T$4:$T$703&gt;T462))+SUMPRODUCT(($K$4:$K$703=K462)*($F$4:$F$703=F462)*($U$4:$U$703=1)*($S$4:$S$703=S462)*($T$4:$T$703=T462)*($C$4:$C$703&lt;C462))+SUMPRODUCT(($K$4:$K$703=K462)*($F$4:$F$703=F462)*($U$4:$U$703=1)*($S$4:$S$703=S462)*($T$4:$T$703=T462)*($C$4:$C$703=C462)*($D$4:$D$703&lt;D462)),0)</f>
        <v>0</v>
      </c>
      <c r="X462" s="11" t="n">
        <f aca="false">IF(AND(U462=1,V462&gt;0,W462&gt;1),S462,0)</f>
        <v>0</v>
      </c>
      <c r="Y462" s="11" t="n">
        <f aca="false">IF(T462=1,X462/(1+Controls!$B$11)^F462,0)</f>
        <v>0</v>
      </c>
      <c r="Z462" s="11" t="n">
        <f aca="false">IF(AND(N462,E462="capacity",LEN(K462)&gt;0),1,0)</f>
        <v>0</v>
      </c>
      <c r="AA462" s="11" t="n">
        <f aca="false">IF(Z462=1,SUMPRODUCT(($K$4:$K$703=K462)*($F$4:$F$703=F462)*($Z$4:$Z$703=1)*($B$4:$B$703&lt;&gt;B462)),0)</f>
        <v>0</v>
      </c>
      <c r="AB462" s="11" t="n">
        <f aca="false">IF(AND(Z462=1,AA462&gt;0),1+SUMPRODUCT(($K$4:$K$703=K462)*($F$4:$F$703=F462)*($Z$4:$Z$703=1)*($P$4:$P$703&gt;P462))+SUMPRODUCT(($K$4:$K$703=K462)*($F$4:$F$703=F462)*($Z$4:$Z$703=1)*($P$4:$P$703=P462)*($C$4:$C$703&lt;C462))+SUMPRODUCT(($K$4:$K$703=K462)*($F$4:$F$703=F462)*($Z$4:$Z$703=1)*($P$4:$P$703=P462)*($C$4:$C$703=C462)*($D$4:$D$703&lt;D462)),0)</f>
        <v>0</v>
      </c>
      <c r="AC462" s="11" t="n">
        <f aca="false">IF(AND(Z462=1,AA462&gt;0,AB462&gt;1),P462,0)</f>
        <v>0</v>
      </c>
    </row>
    <row r="463" customFormat="false" ht="15" hidden="false" customHeight="false" outlineLevel="0" collapsed="false">
      <c r="A463" s="4" t="s">
        <v>706</v>
      </c>
      <c r="B463" s="4" t="s">
        <v>97</v>
      </c>
      <c r="C463" s="4" t="n">
        <v>15</v>
      </c>
      <c r="D463" s="4" t="n">
        <v>460</v>
      </c>
      <c r="E463" s="4" t="s">
        <v>205</v>
      </c>
      <c r="F463" s="4" t="n">
        <v>10</v>
      </c>
      <c r="G463" s="4" t="n">
        <v>5</v>
      </c>
      <c r="H463" s="4" t="n">
        <v>25900</v>
      </c>
      <c r="I463" s="13" t="b">
        <f aca="false">FALSE()</f>
        <v>0</v>
      </c>
      <c r="K463" s="4" t="s">
        <v>701</v>
      </c>
      <c r="L463" s="4" t="n">
        <v>1048.95</v>
      </c>
      <c r="M463" s="11" t="n">
        <f aca="false">IFERROR(MATCH(Controls!$B$3&amp;"|"&amp;B463,'Scenario inputs'!$A$4:$A$213,0),0)</f>
        <v>146</v>
      </c>
      <c r="N463" s="8" t="b">
        <f aca="false">IF(M463=0,FALSE(),F463&lt;Controls!$B$12)</f>
        <v>1</v>
      </c>
      <c r="O463" s="11" t="n">
        <f aca="false">IF(N463,IF(INDEX('Scenario inputs'!$E$4:$E$213,M463)=0,1,INDEX('Scenario inputs'!$F$4:$M$213,M463,MIN(MAX(F463-G463,0),INDEX('Scenario inputs'!$E$4:$E$213,M463)-1)+1)),0)</f>
        <v>0.75</v>
      </c>
      <c r="P463" s="11" t="n">
        <f aca="false">H463*O463</f>
        <v>19425</v>
      </c>
      <c r="Q463" s="0" t="str">
        <f aca="false">IF(M463=0,"",IF(ISNUMBER(INDEX('Scenario inputs'!$N$4:$N$213,M463)),INDEX('Scenario inputs'!$N$4:$N$213,M463),""))</f>
        <v/>
      </c>
      <c r="R463" s="0" t="str">
        <f aca="false">IF(NOT(N463),"",IF(OR(E463="cash",E463="revenue"),E463,IF(E463="avoided_cost",IF(AND(I463,LEN(TRIM(J463))&gt;0),"avoided_cost_realised","avoided_cost_beside"),IF(ISNUMBER(Q463),"capacity_converted","capacity_hours"))))</f>
        <v>avoided_cost_beside</v>
      </c>
      <c r="S463" s="11" t="n">
        <f aca="false">IF(OR(R463="",R463="capacity_hours"),0,IF(R463="capacity_converted",P463*Q463,P463))</f>
        <v>19425</v>
      </c>
      <c r="T463" s="11" t="n">
        <f aca="false">IF(OR(R463="cash",R463="revenue",R463="avoided_cost_realised",R463="capacity_converted"),1,0)</f>
        <v>0</v>
      </c>
      <c r="U463" s="11" t="n">
        <f aca="false">IF(AND(N463,R463&lt;&gt;"capacity_hours",LEN(K463)&gt;0),1,0)</f>
        <v>1</v>
      </c>
      <c r="V463" s="11" t="n">
        <f aca="false">IF(U463=1,SUMPRODUCT(($K$4:$K$703=K463)*($F$4:$F$703=F463)*($U$4:$U$703=1)*($B$4:$B$703&lt;&gt;B463)),0)</f>
        <v>0</v>
      </c>
      <c r="W463" s="11" t="n">
        <f aca="false">IF(AND(U463=1,V463&gt;0),1+SUMPRODUCT(($K$4:$K$703=K463)*($F$4:$F$703=F463)*($U$4:$U$703=1)*($S$4:$S$703&gt;S463))+SUMPRODUCT(($K$4:$K$703=K463)*($F$4:$F$703=F463)*($U$4:$U$703=1)*($S$4:$S$703=S463)*($T$4:$T$703&gt;T463))+SUMPRODUCT(($K$4:$K$703=K463)*($F$4:$F$703=F463)*($U$4:$U$703=1)*($S$4:$S$703=S463)*($T$4:$T$703=T463)*($C$4:$C$703&lt;C463))+SUMPRODUCT(($K$4:$K$703=K463)*($F$4:$F$703=F463)*($U$4:$U$703=1)*($S$4:$S$703=S463)*($T$4:$T$703=T463)*($C$4:$C$703=C463)*($D$4:$D$703&lt;D463)),0)</f>
        <v>0</v>
      </c>
      <c r="X463" s="11" t="n">
        <f aca="false">IF(AND(U463=1,V463&gt;0,W463&gt;1),S463,0)</f>
        <v>0</v>
      </c>
      <c r="Y463" s="11" t="n">
        <f aca="false">IF(T463=1,X463/(1+Controls!$B$11)^F463,0)</f>
        <v>0</v>
      </c>
      <c r="Z463" s="11" t="n">
        <f aca="false">IF(AND(N463,E463="capacity",LEN(K463)&gt;0),1,0)</f>
        <v>0</v>
      </c>
      <c r="AA463" s="11" t="n">
        <f aca="false">IF(Z463=1,SUMPRODUCT(($K$4:$K$703=K463)*($F$4:$F$703=F463)*($Z$4:$Z$703=1)*($B$4:$B$703&lt;&gt;B463)),0)</f>
        <v>0</v>
      </c>
      <c r="AB463" s="11" t="n">
        <f aca="false">IF(AND(Z463=1,AA463&gt;0),1+SUMPRODUCT(($K$4:$K$703=K463)*($F$4:$F$703=F463)*($Z$4:$Z$703=1)*($P$4:$P$703&gt;P463))+SUMPRODUCT(($K$4:$K$703=K463)*($F$4:$F$703=F463)*($Z$4:$Z$703=1)*($P$4:$P$703=P463)*($C$4:$C$703&lt;C463))+SUMPRODUCT(($K$4:$K$703=K463)*($F$4:$F$703=F463)*($Z$4:$Z$703=1)*($P$4:$P$703=P463)*($C$4:$C$703=C463)*($D$4:$D$703&lt;D463)),0)</f>
        <v>0</v>
      </c>
      <c r="AC463" s="11" t="n">
        <f aca="false">IF(AND(Z463=1,AA463&gt;0,AB463&gt;1),P463,0)</f>
        <v>0</v>
      </c>
    </row>
    <row r="464" customFormat="false" ht="15" hidden="false" customHeight="false" outlineLevel="0" collapsed="false">
      <c r="A464" s="4" t="s">
        <v>707</v>
      </c>
      <c r="B464" s="4" t="s">
        <v>97</v>
      </c>
      <c r="C464" s="4" t="n">
        <v>15</v>
      </c>
      <c r="D464" s="4" t="n">
        <v>461</v>
      </c>
      <c r="E464" s="4" t="s">
        <v>205</v>
      </c>
      <c r="F464" s="4" t="n">
        <v>11</v>
      </c>
      <c r="G464" s="4" t="n">
        <v>5</v>
      </c>
      <c r="H464" s="4" t="n">
        <v>25900</v>
      </c>
      <c r="I464" s="13" t="b">
        <f aca="false">FALSE()</f>
        <v>0</v>
      </c>
      <c r="K464" s="4" t="s">
        <v>701</v>
      </c>
      <c r="L464" s="4" t="n">
        <v>1398.6</v>
      </c>
      <c r="M464" s="11" t="n">
        <f aca="false">IFERROR(MATCH(Controls!$B$3&amp;"|"&amp;B464,'Scenario inputs'!$A$4:$A$213,0),0)</f>
        <v>146</v>
      </c>
      <c r="N464" s="8" t="b">
        <f aca="false">IF(M464=0,FALSE(),F464&lt;Controls!$B$12)</f>
        <v>1</v>
      </c>
      <c r="O464" s="11" t="n">
        <f aca="false">IF(N464,IF(INDEX('Scenario inputs'!$E$4:$E$213,M464)=0,1,INDEX('Scenario inputs'!$F$4:$M$213,M464,MIN(MAX(F464-G464,0),INDEX('Scenario inputs'!$E$4:$E$213,M464)-1)+1)),0)</f>
        <v>1</v>
      </c>
      <c r="P464" s="11" t="n">
        <f aca="false">H464*O464</f>
        <v>25900</v>
      </c>
      <c r="Q464" s="0" t="str">
        <f aca="false">IF(M464=0,"",IF(ISNUMBER(INDEX('Scenario inputs'!$N$4:$N$213,M464)),INDEX('Scenario inputs'!$N$4:$N$213,M464),""))</f>
        <v/>
      </c>
      <c r="R464" s="0" t="str">
        <f aca="false">IF(NOT(N464),"",IF(OR(E464="cash",E464="revenue"),E464,IF(E464="avoided_cost",IF(AND(I464,LEN(TRIM(J464))&gt;0),"avoided_cost_realised","avoided_cost_beside"),IF(ISNUMBER(Q464),"capacity_converted","capacity_hours"))))</f>
        <v>avoided_cost_beside</v>
      </c>
      <c r="S464" s="11" t="n">
        <f aca="false">IF(OR(R464="",R464="capacity_hours"),0,IF(R464="capacity_converted",P464*Q464,P464))</f>
        <v>25900</v>
      </c>
      <c r="T464" s="11" t="n">
        <f aca="false">IF(OR(R464="cash",R464="revenue",R464="avoided_cost_realised",R464="capacity_converted"),1,0)</f>
        <v>0</v>
      </c>
      <c r="U464" s="11" t="n">
        <f aca="false">IF(AND(N464,R464&lt;&gt;"capacity_hours",LEN(K464)&gt;0),1,0)</f>
        <v>1</v>
      </c>
      <c r="V464" s="11" t="n">
        <f aca="false">IF(U464=1,SUMPRODUCT(($K$4:$K$703=K464)*($F$4:$F$703=F464)*($U$4:$U$703=1)*($B$4:$B$703&lt;&gt;B464)),0)</f>
        <v>0</v>
      </c>
      <c r="W464" s="11" t="n">
        <f aca="false">IF(AND(U464=1,V464&gt;0),1+SUMPRODUCT(($K$4:$K$703=K464)*($F$4:$F$703=F464)*($U$4:$U$703=1)*($S$4:$S$703&gt;S464))+SUMPRODUCT(($K$4:$K$703=K464)*($F$4:$F$703=F464)*($U$4:$U$703=1)*($S$4:$S$703=S464)*($T$4:$T$703&gt;T464))+SUMPRODUCT(($K$4:$K$703=K464)*($F$4:$F$703=F464)*($U$4:$U$703=1)*($S$4:$S$703=S464)*($T$4:$T$703=T464)*($C$4:$C$703&lt;C464))+SUMPRODUCT(($K$4:$K$703=K464)*($F$4:$F$703=F464)*($U$4:$U$703=1)*($S$4:$S$703=S464)*($T$4:$T$703=T464)*($C$4:$C$703=C464)*($D$4:$D$703&lt;D464)),0)</f>
        <v>0</v>
      </c>
      <c r="X464" s="11" t="n">
        <f aca="false">IF(AND(U464=1,V464&gt;0,W464&gt;1),S464,0)</f>
        <v>0</v>
      </c>
      <c r="Y464" s="11" t="n">
        <f aca="false">IF(T464=1,X464/(1+Controls!$B$11)^F464,0)</f>
        <v>0</v>
      </c>
      <c r="Z464" s="11" t="n">
        <f aca="false">IF(AND(N464,E464="capacity",LEN(K464)&gt;0),1,0)</f>
        <v>0</v>
      </c>
      <c r="AA464" s="11" t="n">
        <f aca="false">IF(Z464=1,SUMPRODUCT(($K$4:$K$703=K464)*($F$4:$F$703=F464)*($Z$4:$Z$703=1)*($B$4:$B$703&lt;&gt;B464)),0)</f>
        <v>0</v>
      </c>
      <c r="AB464" s="11" t="n">
        <f aca="false">IF(AND(Z464=1,AA464&gt;0),1+SUMPRODUCT(($K$4:$K$703=K464)*($F$4:$F$703=F464)*($Z$4:$Z$703=1)*($P$4:$P$703&gt;P464))+SUMPRODUCT(($K$4:$K$703=K464)*($F$4:$F$703=F464)*($Z$4:$Z$703=1)*($P$4:$P$703=P464)*($C$4:$C$703&lt;C464))+SUMPRODUCT(($K$4:$K$703=K464)*($F$4:$F$703=F464)*($Z$4:$Z$703=1)*($P$4:$P$703=P464)*($C$4:$C$703=C464)*($D$4:$D$703&lt;D464)),0)</f>
        <v>0</v>
      </c>
      <c r="AC464" s="11" t="n">
        <f aca="false">IF(AND(Z464=1,AA464&gt;0,AB464&gt;1),P464,0)</f>
        <v>0</v>
      </c>
    </row>
    <row r="465" customFormat="false" ht="15" hidden="false" customHeight="false" outlineLevel="0" collapsed="false">
      <c r="A465" s="4" t="s">
        <v>708</v>
      </c>
      <c r="B465" s="4" t="s">
        <v>97</v>
      </c>
      <c r="C465" s="4" t="n">
        <v>15</v>
      </c>
      <c r="D465" s="4" t="n">
        <v>462</v>
      </c>
      <c r="E465" s="4" t="s">
        <v>205</v>
      </c>
      <c r="F465" s="4" t="n">
        <v>12</v>
      </c>
      <c r="G465" s="4" t="n">
        <v>5</v>
      </c>
      <c r="H465" s="4" t="n">
        <v>25900</v>
      </c>
      <c r="I465" s="13" t="b">
        <f aca="false">FALSE()</f>
        <v>0</v>
      </c>
      <c r="K465" s="4" t="s">
        <v>701</v>
      </c>
      <c r="L465" s="4" t="n">
        <v>1398.6</v>
      </c>
      <c r="M465" s="11" t="n">
        <f aca="false">IFERROR(MATCH(Controls!$B$3&amp;"|"&amp;B465,'Scenario inputs'!$A$4:$A$213,0),0)</f>
        <v>146</v>
      </c>
      <c r="N465" s="8" t="b">
        <f aca="false">IF(M465=0,FALSE(),F465&lt;Controls!$B$12)</f>
        <v>1</v>
      </c>
      <c r="O465" s="11" t="n">
        <f aca="false">IF(N465,IF(INDEX('Scenario inputs'!$E$4:$E$213,M465)=0,1,INDEX('Scenario inputs'!$F$4:$M$213,M465,MIN(MAX(F465-G465,0),INDEX('Scenario inputs'!$E$4:$E$213,M465)-1)+1)),0)</f>
        <v>1</v>
      </c>
      <c r="P465" s="11" t="n">
        <f aca="false">H465*O465</f>
        <v>25900</v>
      </c>
      <c r="Q465" s="0" t="str">
        <f aca="false">IF(M465=0,"",IF(ISNUMBER(INDEX('Scenario inputs'!$N$4:$N$213,M465)),INDEX('Scenario inputs'!$N$4:$N$213,M465),""))</f>
        <v/>
      </c>
      <c r="R465" s="0" t="str">
        <f aca="false">IF(NOT(N465),"",IF(OR(E465="cash",E465="revenue"),E465,IF(E465="avoided_cost",IF(AND(I465,LEN(TRIM(J465))&gt;0),"avoided_cost_realised","avoided_cost_beside"),IF(ISNUMBER(Q465),"capacity_converted","capacity_hours"))))</f>
        <v>avoided_cost_beside</v>
      </c>
      <c r="S465" s="11" t="n">
        <f aca="false">IF(OR(R465="",R465="capacity_hours"),0,IF(R465="capacity_converted",P465*Q465,P465))</f>
        <v>25900</v>
      </c>
      <c r="T465" s="11" t="n">
        <f aca="false">IF(OR(R465="cash",R465="revenue",R465="avoided_cost_realised",R465="capacity_converted"),1,0)</f>
        <v>0</v>
      </c>
      <c r="U465" s="11" t="n">
        <f aca="false">IF(AND(N465,R465&lt;&gt;"capacity_hours",LEN(K465)&gt;0),1,0)</f>
        <v>1</v>
      </c>
      <c r="V465" s="11" t="n">
        <f aca="false">IF(U465=1,SUMPRODUCT(($K$4:$K$703=K465)*($F$4:$F$703=F465)*($U$4:$U$703=1)*($B$4:$B$703&lt;&gt;B465)),0)</f>
        <v>0</v>
      </c>
      <c r="W465" s="11" t="n">
        <f aca="false">IF(AND(U465=1,V465&gt;0),1+SUMPRODUCT(($K$4:$K$703=K465)*($F$4:$F$703=F465)*($U$4:$U$703=1)*($S$4:$S$703&gt;S465))+SUMPRODUCT(($K$4:$K$703=K465)*($F$4:$F$703=F465)*($U$4:$U$703=1)*($S$4:$S$703=S465)*($T$4:$T$703&gt;T465))+SUMPRODUCT(($K$4:$K$703=K465)*($F$4:$F$703=F465)*($U$4:$U$703=1)*($S$4:$S$703=S465)*($T$4:$T$703=T465)*($C$4:$C$703&lt;C465))+SUMPRODUCT(($K$4:$K$703=K465)*($F$4:$F$703=F465)*($U$4:$U$703=1)*($S$4:$S$703=S465)*($T$4:$T$703=T465)*($C$4:$C$703=C465)*($D$4:$D$703&lt;D465)),0)</f>
        <v>0</v>
      </c>
      <c r="X465" s="11" t="n">
        <f aca="false">IF(AND(U465=1,V465&gt;0,W465&gt;1),S465,0)</f>
        <v>0</v>
      </c>
      <c r="Y465" s="11" t="n">
        <f aca="false">IF(T465=1,X465/(1+Controls!$B$11)^F465,0)</f>
        <v>0</v>
      </c>
      <c r="Z465" s="11" t="n">
        <f aca="false">IF(AND(N465,E465="capacity",LEN(K465)&gt;0),1,0)</f>
        <v>0</v>
      </c>
      <c r="AA465" s="11" t="n">
        <f aca="false">IF(Z465=1,SUMPRODUCT(($K$4:$K$703=K465)*($F$4:$F$703=F465)*($Z$4:$Z$703=1)*($B$4:$B$703&lt;&gt;B465)),0)</f>
        <v>0</v>
      </c>
      <c r="AB465" s="11" t="n">
        <f aca="false">IF(AND(Z465=1,AA465&gt;0),1+SUMPRODUCT(($K$4:$K$703=K465)*($F$4:$F$703=F465)*($Z$4:$Z$703=1)*($P$4:$P$703&gt;P465))+SUMPRODUCT(($K$4:$K$703=K465)*($F$4:$F$703=F465)*($Z$4:$Z$703=1)*($P$4:$P$703=P465)*($C$4:$C$703&lt;C465))+SUMPRODUCT(($K$4:$K$703=K465)*($F$4:$F$703=F465)*($Z$4:$Z$703=1)*($P$4:$P$703=P465)*($C$4:$C$703=C465)*($D$4:$D$703&lt;D465)),0)</f>
        <v>0</v>
      </c>
      <c r="AC465" s="11" t="n">
        <f aca="false">IF(AND(Z465=1,AA465&gt;0,AB465&gt;1),P465,0)</f>
        <v>0</v>
      </c>
    </row>
    <row r="466" customFormat="false" ht="15" hidden="false" customHeight="false" outlineLevel="0" collapsed="false">
      <c r="A466" s="4" t="s">
        <v>709</v>
      </c>
      <c r="B466" s="4" t="s">
        <v>97</v>
      </c>
      <c r="C466" s="4" t="n">
        <v>15</v>
      </c>
      <c r="D466" s="4" t="n">
        <v>463</v>
      </c>
      <c r="E466" s="4" t="s">
        <v>205</v>
      </c>
      <c r="F466" s="4" t="n">
        <v>13</v>
      </c>
      <c r="G466" s="4" t="n">
        <v>5</v>
      </c>
      <c r="H466" s="4" t="n">
        <v>25900</v>
      </c>
      <c r="I466" s="13" t="b">
        <f aca="false">FALSE()</f>
        <v>0</v>
      </c>
      <c r="K466" s="4" t="s">
        <v>701</v>
      </c>
      <c r="L466" s="4" t="n">
        <v>1398.6</v>
      </c>
      <c r="M466" s="11" t="n">
        <f aca="false">IFERROR(MATCH(Controls!$B$3&amp;"|"&amp;B466,'Scenario inputs'!$A$4:$A$213,0),0)</f>
        <v>146</v>
      </c>
      <c r="N466" s="8" t="b">
        <f aca="false">IF(M466=0,FALSE(),F466&lt;Controls!$B$12)</f>
        <v>1</v>
      </c>
      <c r="O466" s="11" t="n">
        <f aca="false">IF(N466,IF(INDEX('Scenario inputs'!$E$4:$E$213,M466)=0,1,INDEX('Scenario inputs'!$F$4:$M$213,M466,MIN(MAX(F466-G466,0),INDEX('Scenario inputs'!$E$4:$E$213,M466)-1)+1)),0)</f>
        <v>1</v>
      </c>
      <c r="P466" s="11" t="n">
        <f aca="false">H466*O466</f>
        <v>25900</v>
      </c>
      <c r="Q466" s="0" t="str">
        <f aca="false">IF(M466=0,"",IF(ISNUMBER(INDEX('Scenario inputs'!$N$4:$N$213,M466)),INDEX('Scenario inputs'!$N$4:$N$213,M466),""))</f>
        <v/>
      </c>
      <c r="R466" s="0" t="str">
        <f aca="false">IF(NOT(N466),"",IF(OR(E466="cash",E466="revenue"),E466,IF(E466="avoided_cost",IF(AND(I466,LEN(TRIM(J466))&gt;0),"avoided_cost_realised","avoided_cost_beside"),IF(ISNUMBER(Q466),"capacity_converted","capacity_hours"))))</f>
        <v>avoided_cost_beside</v>
      </c>
      <c r="S466" s="11" t="n">
        <f aca="false">IF(OR(R466="",R466="capacity_hours"),0,IF(R466="capacity_converted",P466*Q466,P466))</f>
        <v>25900</v>
      </c>
      <c r="T466" s="11" t="n">
        <f aca="false">IF(OR(R466="cash",R466="revenue",R466="avoided_cost_realised",R466="capacity_converted"),1,0)</f>
        <v>0</v>
      </c>
      <c r="U466" s="11" t="n">
        <f aca="false">IF(AND(N466,R466&lt;&gt;"capacity_hours",LEN(K466)&gt;0),1,0)</f>
        <v>1</v>
      </c>
      <c r="V466" s="11" t="n">
        <f aca="false">IF(U466=1,SUMPRODUCT(($K$4:$K$703=K466)*($F$4:$F$703=F466)*($U$4:$U$703=1)*($B$4:$B$703&lt;&gt;B466)),0)</f>
        <v>0</v>
      </c>
      <c r="W466" s="11" t="n">
        <f aca="false">IF(AND(U466=1,V466&gt;0),1+SUMPRODUCT(($K$4:$K$703=K466)*($F$4:$F$703=F466)*($U$4:$U$703=1)*($S$4:$S$703&gt;S466))+SUMPRODUCT(($K$4:$K$703=K466)*($F$4:$F$703=F466)*($U$4:$U$703=1)*($S$4:$S$703=S466)*($T$4:$T$703&gt;T466))+SUMPRODUCT(($K$4:$K$703=K466)*($F$4:$F$703=F466)*($U$4:$U$703=1)*($S$4:$S$703=S466)*($T$4:$T$703=T466)*($C$4:$C$703&lt;C466))+SUMPRODUCT(($K$4:$K$703=K466)*($F$4:$F$703=F466)*($U$4:$U$703=1)*($S$4:$S$703=S466)*($T$4:$T$703=T466)*($C$4:$C$703=C466)*($D$4:$D$703&lt;D466)),0)</f>
        <v>0</v>
      </c>
      <c r="X466" s="11" t="n">
        <f aca="false">IF(AND(U466=1,V466&gt;0,W466&gt;1),S466,0)</f>
        <v>0</v>
      </c>
      <c r="Y466" s="11" t="n">
        <f aca="false">IF(T466=1,X466/(1+Controls!$B$11)^F466,0)</f>
        <v>0</v>
      </c>
      <c r="Z466" s="11" t="n">
        <f aca="false">IF(AND(N466,E466="capacity",LEN(K466)&gt;0),1,0)</f>
        <v>0</v>
      </c>
      <c r="AA466" s="11" t="n">
        <f aca="false">IF(Z466=1,SUMPRODUCT(($K$4:$K$703=K466)*($F$4:$F$703=F466)*($Z$4:$Z$703=1)*($B$4:$B$703&lt;&gt;B466)),0)</f>
        <v>0</v>
      </c>
      <c r="AB466" s="11" t="n">
        <f aca="false">IF(AND(Z466=1,AA466&gt;0),1+SUMPRODUCT(($K$4:$K$703=K466)*($F$4:$F$703=F466)*($Z$4:$Z$703=1)*($P$4:$P$703&gt;P466))+SUMPRODUCT(($K$4:$K$703=K466)*($F$4:$F$703=F466)*($Z$4:$Z$703=1)*($P$4:$P$703=P466)*($C$4:$C$703&lt;C466))+SUMPRODUCT(($K$4:$K$703=K466)*($F$4:$F$703=F466)*($Z$4:$Z$703=1)*($P$4:$P$703=P466)*($C$4:$C$703=C466)*($D$4:$D$703&lt;D466)),0)</f>
        <v>0</v>
      </c>
      <c r="AC466" s="11" t="n">
        <f aca="false">IF(AND(Z466=1,AA466&gt;0,AB466&gt;1),P466,0)</f>
        <v>0</v>
      </c>
    </row>
    <row r="467" customFormat="false" ht="15" hidden="false" customHeight="false" outlineLevel="0" collapsed="false">
      <c r="A467" s="4" t="s">
        <v>710</v>
      </c>
      <c r="B467" s="4" t="s">
        <v>97</v>
      </c>
      <c r="C467" s="4" t="n">
        <v>15</v>
      </c>
      <c r="D467" s="4" t="n">
        <v>464</v>
      </c>
      <c r="E467" s="4" t="s">
        <v>205</v>
      </c>
      <c r="F467" s="4" t="n">
        <v>14</v>
      </c>
      <c r="G467" s="4" t="n">
        <v>5</v>
      </c>
      <c r="H467" s="4" t="n">
        <v>25900</v>
      </c>
      <c r="I467" s="13" t="b">
        <f aca="false">FALSE()</f>
        <v>0</v>
      </c>
      <c r="K467" s="4" t="s">
        <v>701</v>
      </c>
      <c r="L467" s="4" t="n">
        <v>1398.6</v>
      </c>
      <c r="M467" s="11" t="n">
        <f aca="false">IFERROR(MATCH(Controls!$B$3&amp;"|"&amp;B467,'Scenario inputs'!$A$4:$A$213,0),0)</f>
        <v>146</v>
      </c>
      <c r="N467" s="8" t="b">
        <f aca="false">IF(M467=0,FALSE(),F467&lt;Controls!$B$12)</f>
        <v>1</v>
      </c>
      <c r="O467" s="11" t="n">
        <f aca="false">IF(N467,IF(INDEX('Scenario inputs'!$E$4:$E$213,M467)=0,1,INDEX('Scenario inputs'!$F$4:$M$213,M467,MIN(MAX(F467-G467,0),INDEX('Scenario inputs'!$E$4:$E$213,M467)-1)+1)),0)</f>
        <v>1</v>
      </c>
      <c r="P467" s="11" t="n">
        <f aca="false">H467*O467</f>
        <v>25900</v>
      </c>
      <c r="Q467" s="0" t="str">
        <f aca="false">IF(M467=0,"",IF(ISNUMBER(INDEX('Scenario inputs'!$N$4:$N$213,M467)),INDEX('Scenario inputs'!$N$4:$N$213,M467),""))</f>
        <v/>
      </c>
      <c r="R467" s="0" t="str">
        <f aca="false">IF(NOT(N467),"",IF(OR(E467="cash",E467="revenue"),E467,IF(E467="avoided_cost",IF(AND(I467,LEN(TRIM(J467))&gt;0),"avoided_cost_realised","avoided_cost_beside"),IF(ISNUMBER(Q467),"capacity_converted","capacity_hours"))))</f>
        <v>avoided_cost_beside</v>
      </c>
      <c r="S467" s="11" t="n">
        <f aca="false">IF(OR(R467="",R467="capacity_hours"),0,IF(R467="capacity_converted",P467*Q467,P467))</f>
        <v>25900</v>
      </c>
      <c r="T467" s="11" t="n">
        <f aca="false">IF(OR(R467="cash",R467="revenue",R467="avoided_cost_realised",R467="capacity_converted"),1,0)</f>
        <v>0</v>
      </c>
      <c r="U467" s="11" t="n">
        <f aca="false">IF(AND(N467,R467&lt;&gt;"capacity_hours",LEN(K467)&gt;0),1,0)</f>
        <v>1</v>
      </c>
      <c r="V467" s="11" t="n">
        <f aca="false">IF(U467=1,SUMPRODUCT(($K$4:$K$703=K467)*($F$4:$F$703=F467)*($U$4:$U$703=1)*($B$4:$B$703&lt;&gt;B467)),0)</f>
        <v>0</v>
      </c>
      <c r="W467" s="11" t="n">
        <f aca="false">IF(AND(U467=1,V467&gt;0),1+SUMPRODUCT(($K$4:$K$703=K467)*($F$4:$F$703=F467)*($U$4:$U$703=1)*($S$4:$S$703&gt;S467))+SUMPRODUCT(($K$4:$K$703=K467)*($F$4:$F$703=F467)*($U$4:$U$703=1)*($S$4:$S$703=S467)*($T$4:$T$703&gt;T467))+SUMPRODUCT(($K$4:$K$703=K467)*($F$4:$F$703=F467)*($U$4:$U$703=1)*($S$4:$S$703=S467)*($T$4:$T$703=T467)*($C$4:$C$703&lt;C467))+SUMPRODUCT(($K$4:$K$703=K467)*($F$4:$F$703=F467)*($U$4:$U$703=1)*($S$4:$S$703=S467)*($T$4:$T$703=T467)*($C$4:$C$703=C467)*($D$4:$D$703&lt;D467)),0)</f>
        <v>0</v>
      </c>
      <c r="X467" s="11" t="n">
        <f aca="false">IF(AND(U467=1,V467&gt;0,W467&gt;1),S467,0)</f>
        <v>0</v>
      </c>
      <c r="Y467" s="11" t="n">
        <f aca="false">IF(T467=1,X467/(1+Controls!$B$11)^F467,0)</f>
        <v>0</v>
      </c>
      <c r="Z467" s="11" t="n">
        <f aca="false">IF(AND(N467,E467="capacity",LEN(K467)&gt;0),1,0)</f>
        <v>0</v>
      </c>
      <c r="AA467" s="11" t="n">
        <f aca="false">IF(Z467=1,SUMPRODUCT(($K$4:$K$703=K467)*($F$4:$F$703=F467)*($Z$4:$Z$703=1)*($B$4:$B$703&lt;&gt;B467)),0)</f>
        <v>0</v>
      </c>
      <c r="AB467" s="11" t="n">
        <f aca="false">IF(AND(Z467=1,AA467&gt;0),1+SUMPRODUCT(($K$4:$K$703=K467)*($F$4:$F$703=F467)*($Z$4:$Z$703=1)*($P$4:$P$703&gt;P467))+SUMPRODUCT(($K$4:$K$703=K467)*($F$4:$F$703=F467)*($Z$4:$Z$703=1)*($P$4:$P$703=P467)*($C$4:$C$703&lt;C467))+SUMPRODUCT(($K$4:$K$703=K467)*($F$4:$F$703=F467)*($Z$4:$Z$703=1)*($P$4:$P$703=P467)*($C$4:$C$703=C467)*($D$4:$D$703&lt;D467)),0)</f>
        <v>0</v>
      </c>
      <c r="AC467" s="11" t="n">
        <f aca="false">IF(AND(Z467=1,AA467&gt;0,AB467&gt;1),P467,0)</f>
        <v>0</v>
      </c>
    </row>
    <row r="468" customFormat="false" ht="15" hidden="false" customHeight="false" outlineLevel="0" collapsed="false">
      <c r="A468" s="4" t="s">
        <v>711</v>
      </c>
      <c r="B468" s="4" t="s">
        <v>97</v>
      </c>
      <c r="C468" s="4" t="n">
        <v>15</v>
      </c>
      <c r="D468" s="4" t="n">
        <v>465</v>
      </c>
      <c r="E468" s="4" t="s">
        <v>205</v>
      </c>
      <c r="F468" s="4" t="n">
        <v>15</v>
      </c>
      <c r="G468" s="4" t="n">
        <v>5</v>
      </c>
      <c r="H468" s="4" t="n">
        <v>25900</v>
      </c>
      <c r="I468" s="13" t="b">
        <f aca="false">FALSE()</f>
        <v>0</v>
      </c>
      <c r="K468" s="4" t="s">
        <v>701</v>
      </c>
      <c r="L468" s="4" t="n">
        <v>1398.6</v>
      </c>
      <c r="M468" s="11" t="n">
        <f aca="false">IFERROR(MATCH(Controls!$B$3&amp;"|"&amp;B468,'Scenario inputs'!$A$4:$A$213,0),0)</f>
        <v>146</v>
      </c>
      <c r="N468" s="8" t="b">
        <f aca="false">IF(M468=0,FALSE(),F468&lt;Controls!$B$12)</f>
        <v>1</v>
      </c>
      <c r="O468" s="11" t="n">
        <f aca="false">IF(N468,IF(INDEX('Scenario inputs'!$E$4:$E$213,M468)=0,1,INDEX('Scenario inputs'!$F$4:$M$213,M468,MIN(MAX(F468-G468,0),INDEX('Scenario inputs'!$E$4:$E$213,M468)-1)+1)),0)</f>
        <v>1</v>
      </c>
      <c r="P468" s="11" t="n">
        <f aca="false">H468*O468</f>
        <v>25900</v>
      </c>
      <c r="Q468" s="0" t="str">
        <f aca="false">IF(M468=0,"",IF(ISNUMBER(INDEX('Scenario inputs'!$N$4:$N$213,M468)),INDEX('Scenario inputs'!$N$4:$N$213,M468),""))</f>
        <v/>
      </c>
      <c r="R468" s="0" t="str">
        <f aca="false">IF(NOT(N468),"",IF(OR(E468="cash",E468="revenue"),E468,IF(E468="avoided_cost",IF(AND(I468,LEN(TRIM(J468))&gt;0),"avoided_cost_realised","avoided_cost_beside"),IF(ISNUMBER(Q468),"capacity_converted","capacity_hours"))))</f>
        <v>avoided_cost_beside</v>
      </c>
      <c r="S468" s="11" t="n">
        <f aca="false">IF(OR(R468="",R468="capacity_hours"),0,IF(R468="capacity_converted",P468*Q468,P468))</f>
        <v>25900</v>
      </c>
      <c r="T468" s="11" t="n">
        <f aca="false">IF(OR(R468="cash",R468="revenue",R468="avoided_cost_realised",R468="capacity_converted"),1,0)</f>
        <v>0</v>
      </c>
      <c r="U468" s="11" t="n">
        <f aca="false">IF(AND(N468,R468&lt;&gt;"capacity_hours",LEN(K468)&gt;0),1,0)</f>
        <v>1</v>
      </c>
      <c r="V468" s="11" t="n">
        <f aca="false">IF(U468=1,SUMPRODUCT(($K$4:$K$703=K468)*($F$4:$F$703=F468)*($U$4:$U$703=1)*($B$4:$B$703&lt;&gt;B468)),0)</f>
        <v>0</v>
      </c>
      <c r="W468" s="11" t="n">
        <f aca="false">IF(AND(U468=1,V468&gt;0),1+SUMPRODUCT(($K$4:$K$703=K468)*($F$4:$F$703=F468)*($U$4:$U$703=1)*($S$4:$S$703&gt;S468))+SUMPRODUCT(($K$4:$K$703=K468)*($F$4:$F$703=F468)*($U$4:$U$703=1)*($S$4:$S$703=S468)*($T$4:$T$703&gt;T468))+SUMPRODUCT(($K$4:$K$703=K468)*($F$4:$F$703=F468)*($U$4:$U$703=1)*($S$4:$S$703=S468)*($T$4:$T$703=T468)*($C$4:$C$703&lt;C468))+SUMPRODUCT(($K$4:$K$703=K468)*($F$4:$F$703=F468)*($U$4:$U$703=1)*($S$4:$S$703=S468)*($T$4:$T$703=T468)*($C$4:$C$703=C468)*($D$4:$D$703&lt;D468)),0)</f>
        <v>0</v>
      </c>
      <c r="X468" s="11" t="n">
        <f aca="false">IF(AND(U468=1,V468&gt;0,W468&gt;1),S468,0)</f>
        <v>0</v>
      </c>
      <c r="Y468" s="11" t="n">
        <f aca="false">IF(T468=1,X468/(1+Controls!$B$11)^F468,0)</f>
        <v>0</v>
      </c>
      <c r="Z468" s="11" t="n">
        <f aca="false">IF(AND(N468,E468="capacity",LEN(K468)&gt;0),1,0)</f>
        <v>0</v>
      </c>
      <c r="AA468" s="11" t="n">
        <f aca="false">IF(Z468=1,SUMPRODUCT(($K$4:$K$703=K468)*($F$4:$F$703=F468)*($Z$4:$Z$703=1)*($B$4:$B$703&lt;&gt;B468)),0)</f>
        <v>0</v>
      </c>
      <c r="AB468" s="11" t="n">
        <f aca="false">IF(AND(Z468=1,AA468&gt;0),1+SUMPRODUCT(($K$4:$K$703=K468)*($F$4:$F$703=F468)*($Z$4:$Z$703=1)*($P$4:$P$703&gt;P468))+SUMPRODUCT(($K$4:$K$703=K468)*($F$4:$F$703=F468)*($Z$4:$Z$703=1)*($P$4:$P$703=P468)*($C$4:$C$703&lt;C468))+SUMPRODUCT(($K$4:$K$703=K468)*($F$4:$F$703=F468)*($Z$4:$Z$703=1)*($P$4:$P$703=P468)*($C$4:$C$703=C468)*($D$4:$D$703&lt;D468)),0)</f>
        <v>0</v>
      </c>
      <c r="AC468" s="11" t="n">
        <f aca="false">IF(AND(Z468=1,AA468&gt;0,AB468&gt;1),P468,0)</f>
        <v>0</v>
      </c>
    </row>
    <row r="469" customFormat="false" ht="15" hidden="false" customHeight="false" outlineLevel="0" collapsed="false">
      <c r="A469" s="4" t="s">
        <v>712</v>
      </c>
      <c r="B469" s="4" t="s">
        <v>97</v>
      </c>
      <c r="C469" s="4" t="n">
        <v>15</v>
      </c>
      <c r="D469" s="4" t="n">
        <v>466</v>
      </c>
      <c r="E469" s="4" t="s">
        <v>205</v>
      </c>
      <c r="F469" s="4" t="n">
        <v>16</v>
      </c>
      <c r="G469" s="4" t="n">
        <v>5</v>
      </c>
      <c r="H469" s="4" t="n">
        <v>25900</v>
      </c>
      <c r="I469" s="13" t="b">
        <f aca="false">FALSE()</f>
        <v>0</v>
      </c>
      <c r="K469" s="4" t="s">
        <v>701</v>
      </c>
      <c r="L469" s="4" t="n">
        <v>1398.6</v>
      </c>
      <c r="M469" s="11" t="n">
        <f aca="false">IFERROR(MATCH(Controls!$B$3&amp;"|"&amp;B469,'Scenario inputs'!$A$4:$A$213,0),0)</f>
        <v>146</v>
      </c>
      <c r="N469" s="8" t="b">
        <f aca="false">IF(M469=0,FALSE(),F469&lt;Controls!$B$12)</f>
        <v>1</v>
      </c>
      <c r="O469" s="11" t="n">
        <f aca="false">IF(N469,IF(INDEX('Scenario inputs'!$E$4:$E$213,M469)=0,1,INDEX('Scenario inputs'!$F$4:$M$213,M469,MIN(MAX(F469-G469,0),INDEX('Scenario inputs'!$E$4:$E$213,M469)-1)+1)),0)</f>
        <v>1</v>
      </c>
      <c r="P469" s="11" t="n">
        <f aca="false">H469*O469</f>
        <v>25900</v>
      </c>
      <c r="Q469" s="0" t="str">
        <f aca="false">IF(M469=0,"",IF(ISNUMBER(INDEX('Scenario inputs'!$N$4:$N$213,M469)),INDEX('Scenario inputs'!$N$4:$N$213,M469),""))</f>
        <v/>
      </c>
      <c r="R469" s="0" t="str">
        <f aca="false">IF(NOT(N469),"",IF(OR(E469="cash",E469="revenue"),E469,IF(E469="avoided_cost",IF(AND(I469,LEN(TRIM(J469))&gt;0),"avoided_cost_realised","avoided_cost_beside"),IF(ISNUMBER(Q469),"capacity_converted","capacity_hours"))))</f>
        <v>avoided_cost_beside</v>
      </c>
      <c r="S469" s="11" t="n">
        <f aca="false">IF(OR(R469="",R469="capacity_hours"),0,IF(R469="capacity_converted",P469*Q469,P469))</f>
        <v>25900</v>
      </c>
      <c r="T469" s="11" t="n">
        <f aca="false">IF(OR(R469="cash",R469="revenue",R469="avoided_cost_realised",R469="capacity_converted"),1,0)</f>
        <v>0</v>
      </c>
      <c r="U469" s="11" t="n">
        <f aca="false">IF(AND(N469,R469&lt;&gt;"capacity_hours",LEN(K469)&gt;0),1,0)</f>
        <v>1</v>
      </c>
      <c r="V469" s="11" t="n">
        <f aca="false">IF(U469=1,SUMPRODUCT(($K$4:$K$703=K469)*($F$4:$F$703=F469)*($U$4:$U$703=1)*($B$4:$B$703&lt;&gt;B469)),0)</f>
        <v>0</v>
      </c>
      <c r="W469" s="11" t="n">
        <f aca="false">IF(AND(U469=1,V469&gt;0),1+SUMPRODUCT(($K$4:$K$703=K469)*($F$4:$F$703=F469)*($U$4:$U$703=1)*($S$4:$S$703&gt;S469))+SUMPRODUCT(($K$4:$K$703=K469)*($F$4:$F$703=F469)*($U$4:$U$703=1)*($S$4:$S$703=S469)*($T$4:$T$703&gt;T469))+SUMPRODUCT(($K$4:$K$703=K469)*($F$4:$F$703=F469)*($U$4:$U$703=1)*($S$4:$S$703=S469)*($T$4:$T$703=T469)*($C$4:$C$703&lt;C469))+SUMPRODUCT(($K$4:$K$703=K469)*($F$4:$F$703=F469)*($U$4:$U$703=1)*($S$4:$S$703=S469)*($T$4:$T$703=T469)*($C$4:$C$703=C469)*($D$4:$D$703&lt;D469)),0)</f>
        <v>0</v>
      </c>
      <c r="X469" s="11" t="n">
        <f aca="false">IF(AND(U469=1,V469&gt;0,W469&gt;1),S469,0)</f>
        <v>0</v>
      </c>
      <c r="Y469" s="11" t="n">
        <f aca="false">IF(T469=1,X469/(1+Controls!$B$11)^F469,0)</f>
        <v>0</v>
      </c>
      <c r="Z469" s="11" t="n">
        <f aca="false">IF(AND(N469,E469="capacity",LEN(K469)&gt;0),1,0)</f>
        <v>0</v>
      </c>
      <c r="AA469" s="11" t="n">
        <f aca="false">IF(Z469=1,SUMPRODUCT(($K$4:$K$703=K469)*($F$4:$F$703=F469)*($Z$4:$Z$703=1)*($B$4:$B$703&lt;&gt;B469)),0)</f>
        <v>0</v>
      </c>
      <c r="AB469" s="11" t="n">
        <f aca="false">IF(AND(Z469=1,AA469&gt;0),1+SUMPRODUCT(($K$4:$K$703=K469)*($F$4:$F$703=F469)*($Z$4:$Z$703=1)*($P$4:$P$703&gt;P469))+SUMPRODUCT(($K$4:$K$703=K469)*($F$4:$F$703=F469)*($Z$4:$Z$703=1)*($P$4:$P$703=P469)*($C$4:$C$703&lt;C469))+SUMPRODUCT(($K$4:$K$703=K469)*($F$4:$F$703=F469)*($Z$4:$Z$703=1)*($P$4:$P$703=P469)*($C$4:$C$703=C469)*($D$4:$D$703&lt;D469)),0)</f>
        <v>0</v>
      </c>
      <c r="AC469" s="11" t="n">
        <f aca="false">IF(AND(Z469=1,AA469&gt;0,AB469&gt;1),P469,0)</f>
        <v>0</v>
      </c>
    </row>
    <row r="470" customFormat="false" ht="15" hidden="false" customHeight="false" outlineLevel="0" collapsed="false">
      <c r="A470" s="4" t="s">
        <v>713</v>
      </c>
      <c r="B470" s="4" t="s">
        <v>97</v>
      </c>
      <c r="C470" s="4" t="n">
        <v>15</v>
      </c>
      <c r="D470" s="4" t="n">
        <v>467</v>
      </c>
      <c r="E470" s="4" t="s">
        <v>233</v>
      </c>
      <c r="F470" s="4" t="n">
        <v>5</v>
      </c>
      <c r="G470" s="4" t="n">
        <v>5</v>
      </c>
      <c r="H470" s="4" t="n">
        <v>1689.01</v>
      </c>
      <c r="I470" s="13" t="b">
        <f aca="false">FALSE()</f>
        <v>0</v>
      </c>
      <c r="K470" s="4" t="s">
        <v>714</v>
      </c>
      <c r="L470" s="4" t="n">
        <v>5.48</v>
      </c>
      <c r="M470" s="11" t="n">
        <f aca="false">IFERROR(MATCH(Controls!$B$3&amp;"|"&amp;B470,'Scenario inputs'!$A$4:$A$213,0),0)</f>
        <v>146</v>
      </c>
      <c r="N470" s="8" t="b">
        <f aca="false">IF(M470=0,FALSE(),F470&lt;Controls!$B$12)</f>
        <v>1</v>
      </c>
      <c r="O470" s="11" t="n">
        <f aca="false">IF(N470,IF(INDEX('Scenario inputs'!$E$4:$E$213,M470)=0,1,INDEX('Scenario inputs'!$F$4:$M$213,M470,MIN(MAX(F470-G470,0),INDEX('Scenario inputs'!$E$4:$E$213,M470)-1)+1)),0)</f>
        <v>0.035714</v>
      </c>
      <c r="P470" s="11" t="n">
        <f aca="false">H470*O470</f>
        <v>60.32130314</v>
      </c>
      <c r="Q470" s="0" t="str">
        <f aca="false">IF(M470=0,"",IF(ISNUMBER(INDEX('Scenario inputs'!$N$4:$N$213,M470)),INDEX('Scenario inputs'!$N$4:$N$213,M470),""))</f>
        <v/>
      </c>
      <c r="R470" s="0" t="str">
        <f aca="false">IF(NOT(N470),"",IF(OR(E470="cash",E470="revenue"),E470,IF(E470="avoided_cost",IF(AND(I470,LEN(TRIM(J470))&gt;0),"avoided_cost_realised","avoided_cost_beside"),IF(ISNUMBER(Q470),"capacity_converted","capacity_hours"))))</f>
        <v>capacity_hours</v>
      </c>
      <c r="S470" s="11" t="n">
        <f aca="false">IF(OR(R470="",R470="capacity_hours"),0,IF(R470="capacity_converted",P470*Q470,P470))</f>
        <v>0</v>
      </c>
      <c r="T470" s="11" t="n">
        <f aca="false">IF(OR(R470="cash",R470="revenue",R470="avoided_cost_realised",R470="capacity_converted"),1,0)</f>
        <v>0</v>
      </c>
      <c r="U470" s="11" t="n">
        <f aca="false">IF(AND(N470,R470&lt;&gt;"capacity_hours",LEN(K470)&gt;0),1,0)</f>
        <v>0</v>
      </c>
      <c r="V470" s="11" t="n">
        <f aca="false">IF(U470=1,SUMPRODUCT(($K$4:$K$703=K470)*($F$4:$F$703=F470)*($U$4:$U$703=1)*($B$4:$B$703&lt;&gt;B470)),0)</f>
        <v>0</v>
      </c>
      <c r="W470" s="11" t="n">
        <f aca="false">IF(AND(U470=1,V470&gt;0),1+SUMPRODUCT(($K$4:$K$703=K470)*($F$4:$F$703=F470)*($U$4:$U$703=1)*($S$4:$S$703&gt;S470))+SUMPRODUCT(($K$4:$K$703=K470)*($F$4:$F$703=F470)*($U$4:$U$703=1)*($S$4:$S$703=S470)*($T$4:$T$703&gt;T470))+SUMPRODUCT(($K$4:$K$703=K470)*($F$4:$F$703=F470)*($U$4:$U$703=1)*($S$4:$S$703=S470)*($T$4:$T$703=T470)*($C$4:$C$703&lt;C470))+SUMPRODUCT(($K$4:$K$703=K470)*($F$4:$F$703=F470)*($U$4:$U$703=1)*($S$4:$S$703=S470)*($T$4:$T$703=T470)*($C$4:$C$703=C470)*($D$4:$D$703&lt;D470)),0)</f>
        <v>0</v>
      </c>
      <c r="X470" s="11" t="n">
        <f aca="false">IF(AND(U470=1,V470&gt;0,W470&gt;1),S470,0)</f>
        <v>0</v>
      </c>
      <c r="Y470" s="11" t="n">
        <f aca="false">IF(T470=1,X470/(1+Controls!$B$11)^F470,0)</f>
        <v>0</v>
      </c>
      <c r="Z470" s="11" t="n">
        <f aca="false">IF(AND(N470,E470="capacity",LEN(K470)&gt;0),1,0)</f>
        <v>1</v>
      </c>
      <c r="AA470" s="11" t="n">
        <f aca="false">IF(Z470=1,SUMPRODUCT(($K$4:$K$703=K470)*($F$4:$F$703=F470)*($Z$4:$Z$703=1)*($B$4:$B$703&lt;&gt;B470)),0)</f>
        <v>0</v>
      </c>
      <c r="AB470" s="11" t="n">
        <f aca="false">IF(AND(Z470=1,AA470&gt;0),1+SUMPRODUCT(($K$4:$K$703=K470)*($F$4:$F$703=F470)*($Z$4:$Z$703=1)*($P$4:$P$703&gt;P470))+SUMPRODUCT(($K$4:$K$703=K470)*($F$4:$F$703=F470)*($Z$4:$Z$703=1)*($P$4:$P$703=P470)*($C$4:$C$703&lt;C470))+SUMPRODUCT(($K$4:$K$703=K470)*($F$4:$F$703=F470)*($Z$4:$Z$703=1)*($P$4:$P$703=P470)*($C$4:$C$703=C470)*($D$4:$D$703&lt;D470)),0)</f>
        <v>0</v>
      </c>
      <c r="AC470" s="11" t="n">
        <f aca="false">IF(AND(Z470=1,AA470&gt;0,AB470&gt;1),P470,0)</f>
        <v>0</v>
      </c>
    </row>
    <row r="471" customFormat="false" ht="15" hidden="false" customHeight="false" outlineLevel="0" collapsed="false">
      <c r="A471" s="4" t="s">
        <v>715</v>
      </c>
      <c r="B471" s="4" t="s">
        <v>97</v>
      </c>
      <c r="C471" s="4" t="n">
        <v>15</v>
      </c>
      <c r="D471" s="4" t="n">
        <v>468</v>
      </c>
      <c r="E471" s="4" t="s">
        <v>233</v>
      </c>
      <c r="F471" s="4" t="n">
        <v>6</v>
      </c>
      <c r="G471" s="4" t="n">
        <v>5</v>
      </c>
      <c r="H471" s="4" t="n">
        <v>1689.01</v>
      </c>
      <c r="I471" s="13" t="b">
        <f aca="false">FALSE()</f>
        <v>0</v>
      </c>
      <c r="K471" s="4" t="s">
        <v>714</v>
      </c>
      <c r="L471" s="4" t="n">
        <v>16.13</v>
      </c>
      <c r="M471" s="11" t="n">
        <f aca="false">IFERROR(MATCH(Controls!$B$3&amp;"|"&amp;B471,'Scenario inputs'!$A$4:$A$213,0),0)</f>
        <v>146</v>
      </c>
      <c r="N471" s="8" t="b">
        <f aca="false">IF(M471=0,FALSE(),F471&lt;Controls!$B$12)</f>
        <v>1</v>
      </c>
      <c r="O471" s="11" t="n">
        <f aca="false">IF(N471,IF(INDEX('Scenario inputs'!$E$4:$E$213,M471)=0,1,INDEX('Scenario inputs'!$F$4:$M$213,M471,MIN(MAX(F471-G471,0),INDEX('Scenario inputs'!$E$4:$E$213,M471)-1)+1)),0)</f>
        <v>0.107143</v>
      </c>
      <c r="P471" s="11" t="n">
        <f aca="false">H471*O471</f>
        <v>180.96559843</v>
      </c>
      <c r="Q471" s="0" t="str">
        <f aca="false">IF(M471=0,"",IF(ISNUMBER(INDEX('Scenario inputs'!$N$4:$N$213,M471)),INDEX('Scenario inputs'!$N$4:$N$213,M471),""))</f>
        <v/>
      </c>
      <c r="R471" s="0" t="str">
        <f aca="false">IF(NOT(N471),"",IF(OR(E471="cash",E471="revenue"),E471,IF(E471="avoided_cost",IF(AND(I471,LEN(TRIM(J471))&gt;0),"avoided_cost_realised","avoided_cost_beside"),IF(ISNUMBER(Q471),"capacity_converted","capacity_hours"))))</f>
        <v>capacity_hours</v>
      </c>
      <c r="S471" s="11" t="n">
        <f aca="false">IF(OR(R471="",R471="capacity_hours"),0,IF(R471="capacity_converted",P471*Q471,P471))</f>
        <v>0</v>
      </c>
      <c r="T471" s="11" t="n">
        <f aca="false">IF(OR(R471="cash",R471="revenue",R471="avoided_cost_realised",R471="capacity_converted"),1,0)</f>
        <v>0</v>
      </c>
      <c r="U471" s="11" t="n">
        <f aca="false">IF(AND(N471,R471&lt;&gt;"capacity_hours",LEN(K471)&gt;0),1,0)</f>
        <v>0</v>
      </c>
      <c r="V471" s="11" t="n">
        <f aca="false">IF(U471=1,SUMPRODUCT(($K$4:$K$703=K471)*($F$4:$F$703=F471)*($U$4:$U$703=1)*($B$4:$B$703&lt;&gt;B471)),0)</f>
        <v>0</v>
      </c>
      <c r="W471" s="11" t="n">
        <f aca="false">IF(AND(U471=1,V471&gt;0),1+SUMPRODUCT(($K$4:$K$703=K471)*($F$4:$F$703=F471)*($U$4:$U$703=1)*($S$4:$S$703&gt;S471))+SUMPRODUCT(($K$4:$K$703=K471)*($F$4:$F$703=F471)*($U$4:$U$703=1)*($S$4:$S$703=S471)*($T$4:$T$703&gt;T471))+SUMPRODUCT(($K$4:$K$703=K471)*($F$4:$F$703=F471)*($U$4:$U$703=1)*($S$4:$S$703=S471)*($T$4:$T$703=T471)*($C$4:$C$703&lt;C471))+SUMPRODUCT(($K$4:$K$703=K471)*($F$4:$F$703=F471)*($U$4:$U$703=1)*($S$4:$S$703=S471)*($T$4:$T$703=T471)*($C$4:$C$703=C471)*($D$4:$D$703&lt;D471)),0)</f>
        <v>0</v>
      </c>
      <c r="X471" s="11" t="n">
        <f aca="false">IF(AND(U471=1,V471&gt;0,W471&gt;1),S471,0)</f>
        <v>0</v>
      </c>
      <c r="Y471" s="11" t="n">
        <f aca="false">IF(T471=1,X471/(1+Controls!$B$11)^F471,0)</f>
        <v>0</v>
      </c>
      <c r="Z471" s="11" t="n">
        <f aca="false">IF(AND(N471,E471="capacity",LEN(K471)&gt;0),1,0)</f>
        <v>1</v>
      </c>
      <c r="AA471" s="11" t="n">
        <f aca="false">IF(Z471=1,SUMPRODUCT(($K$4:$K$703=K471)*($F$4:$F$703=F471)*($Z$4:$Z$703=1)*($B$4:$B$703&lt;&gt;B471)),0)</f>
        <v>0</v>
      </c>
      <c r="AB471" s="11" t="n">
        <f aca="false">IF(AND(Z471=1,AA471&gt;0),1+SUMPRODUCT(($K$4:$K$703=K471)*($F$4:$F$703=F471)*($Z$4:$Z$703=1)*($P$4:$P$703&gt;P471))+SUMPRODUCT(($K$4:$K$703=K471)*($F$4:$F$703=F471)*($Z$4:$Z$703=1)*($P$4:$P$703=P471)*($C$4:$C$703&lt;C471))+SUMPRODUCT(($K$4:$K$703=K471)*($F$4:$F$703=F471)*($Z$4:$Z$703=1)*($P$4:$P$703=P471)*($C$4:$C$703=C471)*($D$4:$D$703&lt;D471)),0)</f>
        <v>0</v>
      </c>
      <c r="AC471" s="11" t="n">
        <f aca="false">IF(AND(Z471=1,AA471&gt;0,AB471&gt;1),P471,0)</f>
        <v>0</v>
      </c>
    </row>
    <row r="472" customFormat="false" ht="15" hidden="false" customHeight="false" outlineLevel="0" collapsed="false">
      <c r="A472" s="4" t="s">
        <v>716</v>
      </c>
      <c r="B472" s="4" t="s">
        <v>97</v>
      </c>
      <c r="C472" s="4" t="n">
        <v>15</v>
      </c>
      <c r="D472" s="4" t="n">
        <v>469</v>
      </c>
      <c r="E472" s="4" t="s">
        <v>233</v>
      </c>
      <c r="F472" s="4" t="n">
        <v>7</v>
      </c>
      <c r="G472" s="4" t="n">
        <v>5</v>
      </c>
      <c r="H472" s="4" t="n">
        <v>1689.01</v>
      </c>
      <c r="I472" s="13" t="b">
        <f aca="false">FALSE()</f>
        <v>0</v>
      </c>
      <c r="K472" s="4" t="s">
        <v>714</v>
      </c>
      <c r="L472" s="4" t="n">
        <v>32.88</v>
      </c>
      <c r="M472" s="11" t="n">
        <f aca="false">IFERROR(MATCH(Controls!$B$3&amp;"|"&amp;B472,'Scenario inputs'!$A$4:$A$213,0),0)</f>
        <v>146</v>
      </c>
      <c r="N472" s="8" t="b">
        <f aca="false">IF(M472=0,FALSE(),F472&lt;Controls!$B$12)</f>
        <v>1</v>
      </c>
      <c r="O472" s="11" t="n">
        <f aca="false">IF(N472,IF(INDEX('Scenario inputs'!$E$4:$E$213,M472)=0,1,INDEX('Scenario inputs'!$F$4:$M$213,M472,MIN(MAX(F472-G472,0),INDEX('Scenario inputs'!$E$4:$E$213,M472)-1)+1)),0)</f>
        <v>0.214286</v>
      </c>
      <c r="P472" s="11" t="n">
        <f aca="false">H472*O472</f>
        <v>361.93119686</v>
      </c>
      <c r="Q472" s="0" t="str">
        <f aca="false">IF(M472=0,"",IF(ISNUMBER(INDEX('Scenario inputs'!$N$4:$N$213,M472)),INDEX('Scenario inputs'!$N$4:$N$213,M472),""))</f>
        <v/>
      </c>
      <c r="R472" s="0" t="str">
        <f aca="false">IF(NOT(N472),"",IF(OR(E472="cash",E472="revenue"),E472,IF(E472="avoided_cost",IF(AND(I472,LEN(TRIM(J472))&gt;0),"avoided_cost_realised","avoided_cost_beside"),IF(ISNUMBER(Q472),"capacity_converted","capacity_hours"))))</f>
        <v>capacity_hours</v>
      </c>
      <c r="S472" s="11" t="n">
        <f aca="false">IF(OR(R472="",R472="capacity_hours"),0,IF(R472="capacity_converted",P472*Q472,P472))</f>
        <v>0</v>
      </c>
      <c r="T472" s="11" t="n">
        <f aca="false">IF(OR(R472="cash",R472="revenue",R472="avoided_cost_realised",R472="capacity_converted"),1,0)</f>
        <v>0</v>
      </c>
      <c r="U472" s="11" t="n">
        <f aca="false">IF(AND(N472,R472&lt;&gt;"capacity_hours",LEN(K472)&gt;0),1,0)</f>
        <v>0</v>
      </c>
      <c r="V472" s="11" t="n">
        <f aca="false">IF(U472=1,SUMPRODUCT(($K$4:$K$703=K472)*($F$4:$F$703=F472)*($U$4:$U$703=1)*($B$4:$B$703&lt;&gt;B472)),0)</f>
        <v>0</v>
      </c>
      <c r="W472" s="11" t="n">
        <f aca="false">IF(AND(U472=1,V472&gt;0),1+SUMPRODUCT(($K$4:$K$703=K472)*($F$4:$F$703=F472)*($U$4:$U$703=1)*($S$4:$S$703&gt;S472))+SUMPRODUCT(($K$4:$K$703=K472)*($F$4:$F$703=F472)*($U$4:$U$703=1)*($S$4:$S$703=S472)*($T$4:$T$703&gt;T472))+SUMPRODUCT(($K$4:$K$703=K472)*($F$4:$F$703=F472)*($U$4:$U$703=1)*($S$4:$S$703=S472)*($T$4:$T$703=T472)*($C$4:$C$703&lt;C472))+SUMPRODUCT(($K$4:$K$703=K472)*($F$4:$F$703=F472)*($U$4:$U$703=1)*($S$4:$S$703=S472)*($T$4:$T$703=T472)*($C$4:$C$703=C472)*($D$4:$D$703&lt;D472)),0)</f>
        <v>0</v>
      </c>
      <c r="X472" s="11" t="n">
        <f aca="false">IF(AND(U472=1,V472&gt;0,W472&gt;1),S472,0)</f>
        <v>0</v>
      </c>
      <c r="Y472" s="11" t="n">
        <f aca="false">IF(T472=1,X472/(1+Controls!$B$11)^F472,0)</f>
        <v>0</v>
      </c>
      <c r="Z472" s="11" t="n">
        <f aca="false">IF(AND(N472,E472="capacity",LEN(K472)&gt;0),1,0)</f>
        <v>1</v>
      </c>
      <c r="AA472" s="11" t="n">
        <f aca="false">IF(Z472=1,SUMPRODUCT(($K$4:$K$703=K472)*($F$4:$F$703=F472)*($Z$4:$Z$703=1)*($B$4:$B$703&lt;&gt;B472)),0)</f>
        <v>0</v>
      </c>
      <c r="AB472" s="11" t="n">
        <f aca="false">IF(AND(Z472=1,AA472&gt;0),1+SUMPRODUCT(($K$4:$K$703=K472)*($F$4:$F$703=F472)*($Z$4:$Z$703=1)*($P$4:$P$703&gt;P472))+SUMPRODUCT(($K$4:$K$703=K472)*($F$4:$F$703=F472)*($Z$4:$Z$703=1)*($P$4:$P$703=P472)*($C$4:$C$703&lt;C472))+SUMPRODUCT(($K$4:$K$703=K472)*($F$4:$F$703=F472)*($Z$4:$Z$703=1)*($P$4:$P$703=P472)*($C$4:$C$703=C472)*($D$4:$D$703&lt;D472)),0)</f>
        <v>0</v>
      </c>
      <c r="AC472" s="11" t="n">
        <f aca="false">IF(AND(Z472=1,AA472&gt;0,AB472&gt;1),P472,0)</f>
        <v>0</v>
      </c>
    </row>
    <row r="473" customFormat="false" ht="15" hidden="false" customHeight="false" outlineLevel="0" collapsed="false">
      <c r="A473" s="4" t="s">
        <v>717</v>
      </c>
      <c r="B473" s="4" t="s">
        <v>97</v>
      </c>
      <c r="C473" s="4" t="n">
        <v>15</v>
      </c>
      <c r="D473" s="4" t="n">
        <v>470</v>
      </c>
      <c r="E473" s="4" t="s">
        <v>233</v>
      </c>
      <c r="F473" s="4" t="n">
        <v>8</v>
      </c>
      <c r="G473" s="4" t="n">
        <v>5</v>
      </c>
      <c r="H473" s="4" t="n">
        <v>1689.01</v>
      </c>
      <c r="I473" s="13" t="b">
        <f aca="false">FALSE()</f>
        <v>0</v>
      </c>
      <c r="K473" s="4" t="s">
        <v>714</v>
      </c>
      <c r="L473" s="4" t="n">
        <v>54.81</v>
      </c>
      <c r="M473" s="11" t="n">
        <f aca="false">IFERROR(MATCH(Controls!$B$3&amp;"|"&amp;B473,'Scenario inputs'!$A$4:$A$213,0),0)</f>
        <v>146</v>
      </c>
      <c r="N473" s="8" t="b">
        <f aca="false">IF(M473=0,FALSE(),F473&lt;Controls!$B$12)</f>
        <v>1</v>
      </c>
      <c r="O473" s="11" t="n">
        <f aca="false">IF(N473,IF(INDEX('Scenario inputs'!$E$4:$E$213,M473)=0,1,INDEX('Scenario inputs'!$F$4:$M$213,M473,MIN(MAX(F473-G473,0),INDEX('Scenario inputs'!$E$4:$E$213,M473)-1)+1)),0)</f>
        <v>0.357143</v>
      </c>
      <c r="P473" s="11" t="n">
        <f aca="false">H473*O473</f>
        <v>603.21809843</v>
      </c>
      <c r="Q473" s="0" t="str">
        <f aca="false">IF(M473=0,"",IF(ISNUMBER(INDEX('Scenario inputs'!$N$4:$N$213,M473)),INDEX('Scenario inputs'!$N$4:$N$213,M473),""))</f>
        <v/>
      </c>
      <c r="R473" s="0" t="str">
        <f aca="false">IF(NOT(N473),"",IF(OR(E473="cash",E473="revenue"),E473,IF(E473="avoided_cost",IF(AND(I473,LEN(TRIM(J473))&gt;0),"avoided_cost_realised","avoided_cost_beside"),IF(ISNUMBER(Q473),"capacity_converted","capacity_hours"))))</f>
        <v>capacity_hours</v>
      </c>
      <c r="S473" s="11" t="n">
        <f aca="false">IF(OR(R473="",R473="capacity_hours"),0,IF(R473="capacity_converted",P473*Q473,P473))</f>
        <v>0</v>
      </c>
      <c r="T473" s="11" t="n">
        <f aca="false">IF(OR(R473="cash",R473="revenue",R473="avoided_cost_realised",R473="capacity_converted"),1,0)</f>
        <v>0</v>
      </c>
      <c r="U473" s="11" t="n">
        <f aca="false">IF(AND(N473,R473&lt;&gt;"capacity_hours",LEN(K473)&gt;0),1,0)</f>
        <v>0</v>
      </c>
      <c r="V473" s="11" t="n">
        <f aca="false">IF(U473=1,SUMPRODUCT(($K$4:$K$703=K473)*($F$4:$F$703=F473)*($U$4:$U$703=1)*($B$4:$B$703&lt;&gt;B473)),0)</f>
        <v>0</v>
      </c>
      <c r="W473" s="11" t="n">
        <f aca="false">IF(AND(U473=1,V473&gt;0),1+SUMPRODUCT(($K$4:$K$703=K473)*($F$4:$F$703=F473)*($U$4:$U$703=1)*($S$4:$S$703&gt;S473))+SUMPRODUCT(($K$4:$K$703=K473)*($F$4:$F$703=F473)*($U$4:$U$703=1)*($S$4:$S$703=S473)*($T$4:$T$703&gt;T473))+SUMPRODUCT(($K$4:$K$703=K473)*($F$4:$F$703=F473)*($U$4:$U$703=1)*($S$4:$S$703=S473)*($T$4:$T$703=T473)*($C$4:$C$703&lt;C473))+SUMPRODUCT(($K$4:$K$703=K473)*($F$4:$F$703=F473)*($U$4:$U$703=1)*($S$4:$S$703=S473)*($T$4:$T$703=T473)*($C$4:$C$703=C473)*($D$4:$D$703&lt;D473)),0)</f>
        <v>0</v>
      </c>
      <c r="X473" s="11" t="n">
        <f aca="false">IF(AND(U473=1,V473&gt;0,W473&gt;1),S473,0)</f>
        <v>0</v>
      </c>
      <c r="Y473" s="11" t="n">
        <f aca="false">IF(T473=1,X473/(1+Controls!$B$11)^F473,0)</f>
        <v>0</v>
      </c>
      <c r="Z473" s="11" t="n">
        <f aca="false">IF(AND(N473,E473="capacity",LEN(K473)&gt;0),1,0)</f>
        <v>1</v>
      </c>
      <c r="AA473" s="11" t="n">
        <f aca="false">IF(Z473=1,SUMPRODUCT(($K$4:$K$703=K473)*($F$4:$F$703=F473)*($Z$4:$Z$703=1)*($B$4:$B$703&lt;&gt;B473)),0)</f>
        <v>0</v>
      </c>
      <c r="AB473" s="11" t="n">
        <f aca="false">IF(AND(Z473=1,AA473&gt;0),1+SUMPRODUCT(($K$4:$K$703=K473)*($F$4:$F$703=F473)*($Z$4:$Z$703=1)*($P$4:$P$703&gt;P473))+SUMPRODUCT(($K$4:$K$703=K473)*($F$4:$F$703=F473)*($Z$4:$Z$703=1)*($P$4:$P$703=P473)*($C$4:$C$703&lt;C473))+SUMPRODUCT(($K$4:$K$703=K473)*($F$4:$F$703=F473)*($Z$4:$Z$703=1)*($P$4:$P$703=P473)*($C$4:$C$703=C473)*($D$4:$D$703&lt;D473)),0)</f>
        <v>0</v>
      </c>
      <c r="AC473" s="11" t="n">
        <f aca="false">IF(AND(Z473=1,AA473&gt;0,AB473&gt;1),P473,0)</f>
        <v>0</v>
      </c>
    </row>
    <row r="474" customFormat="false" ht="15" hidden="false" customHeight="false" outlineLevel="0" collapsed="false">
      <c r="A474" s="4" t="s">
        <v>718</v>
      </c>
      <c r="B474" s="4" t="s">
        <v>97</v>
      </c>
      <c r="C474" s="4" t="n">
        <v>15</v>
      </c>
      <c r="D474" s="4" t="n">
        <v>471</v>
      </c>
      <c r="E474" s="4" t="s">
        <v>233</v>
      </c>
      <c r="F474" s="4" t="n">
        <v>9</v>
      </c>
      <c r="G474" s="4" t="n">
        <v>5</v>
      </c>
      <c r="H474" s="4" t="n">
        <v>1689.01</v>
      </c>
      <c r="I474" s="13" t="b">
        <f aca="false">FALSE()</f>
        <v>0</v>
      </c>
      <c r="K474" s="4" t="s">
        <v>714</v>
      </c>
      <c r="L474" s="4" t="n">
        <v>86.86</v>
      </c>
      <c r="M474" s="11" t="n">
        <f aca="false">IFERROR(MATCH(Controls!$B$3&amp;"|"&amp;B474,'Scenario inputs'!$A$4:$A$213,0),0)</f>
        <v>146</v>
      </c>
      <c r="N474" s="8" t="b">
        <f aca="false">IF(M474=0,FALSE(),F474&lt;Controls!$B$12)</f>
        <v>1</v>
      </c>
      <c r="O474" s="11" t="n">
        <f aca="false">IF(N474,IF(INDEX('Scenario inputs'!$E$4:$E$213,M474)=0,1,INDEX('Scenario inputs'!$F$4:$M$213,M474,MIN(MAX(F474-G474,0),INDEX('Scenario inputs'!$E$4:$E$213,M474)-1)+1)),0)</f>
        <v>0.535714</v>
      </c>
      <c r="P474" s="11" t="n">
        <f aca="false">H474*O474</f>
        <v>904.82630314</v>
      </c>
      <c r="Q474" s="0" t="str">
        <f aca="false">IF(M474=0,"",IF(ISNUMBER(INDEX('Scenario inputs'!$N$4:$N$213,M474)),INDEX('Scenario inputs'!$N$4:$N$213,M474),""))</f>
        <v/>
      </c>
      <c r="R474" s="0" t="str">
        <f aca="false">IF(NOT(N474),"",IF(OR(E474="cash",E474="revenue"),E474,IF(E474="avoided_cost",IF(AND(I474,LEN(TRIM(J474))&gt;0),"avoided_cost_realised","avoided_cost_beside"),IF(ISNUMBER(Q474),"capacity_converted","capacity_hours"))))</f>
        <v>capacity_hours</v>
      </c>
      <c r="S474" s="11" t="n">
        <f aca="false">IF(OR(R474="",R474="capacity_hours"),0,IF(R474="capacity_converted",P474*Q474,P474))</f>
        <v>0</v>
      </c>
      <c r="T474" s="11" t="n">
        <f aca="false">IF(OR(R474="cash",R474="revenue",R474="avoided_cost_realised",R474="capacity_converted"),1,0)</f>
        <v>0</v>
      </c>
      <c r="U474" s="11" t="n">
        <f aca="false">IF(AND(N474,R474&lt;&gt;"capacity_hours",LEN(K474)&gt;0),1,0)</f>
        <v>0</v>
      </c>
      <c r="V474" s="11" t="n">
        <f aca="false">IF(U474=1,SUMPRODUCT(($K$4:$K$703=K474)*($F$4:$F$703=F474)*($U$4:$U$703=1)*($B$4:$B$703&lt;&gt;B474)),0)</f>
        <v>0</v>
      </c>
      <c r="W474" s="11" t="n">
        <f aca="false">IF(AND(U474=1,V474&gt;0),1+SUMPRODUCT(($K$4:$K$703=K474)*($F$4:$F$703=F474)*($U$4:$U$703=1)*($S$4:$S$703&gt;S474))+SUMPRODUCT(($K$4:$K$703=K474)*($F$4:$F$703=F474)*($U$4:$U$703=1)*($S$4:$S$703=S474)*($T$4:$T$703&gt;T474))+SUMPRODUCT(($K$4:$K$703=K474)*($F$4:$F$703=F474)*($U$4:$U$703=1)*($S$4:$S$703=S474)*($T$4:$T$703=T474)*($C$4:$C$703&lt;C474))+SUMPRODUCT(($K$4:$K$703=K474)*($F$4:$F$703=F474)*($U$4:$U$703=1)*($S$4:$S$703=S474)*($T$4:$T$703=T474)*($C$4:$C$703=C474)*($D$4:$D$703&lt;D474)),0)</f>
        <v>0</v>
      </c>
      <c r="X474" s="11" t="n">
        <f aca="false">IF(AND(U474=1,V474&gt;0,W474&gt;1),S474,0)</f>
        <v>0</v>
      </c>
      <c r="Y474" s="11" t="n">
        <f aca="false">IF(T474=1,X474/(1+Controls!$B$11)^F474,0)</f>
        <v>0</v>
      </c>
      <c r="Z474" s="11" t="n">
        <f aca="false">IF(AND(N474,E474="capacity",LEN(K474)&gt;0),1,0)</f>
        <v>1</v>
      </c>
      <c r="AA474" s="11" t="n">
        <f aca="false">IF(Z474=1,SUMPRODUCT(($K$4:$K$703=K474)*($F$4:$F$703=F474)*($Z$4:$Z$703=1)*($B$4:$B$703&lt;&gt;B474)),0)</f>
        <v>0</v>
      </c>
      <c r="AB474" s="11" t="n">
        <f aca="false">IF(AND(Z474=1,AA474&gt;0),1+SUMPRODUCT(($K$4:$K$703=K474)*($F$4:$F$703=F474)*($Z$4:$Z$703=1)*($P$4:$P$703&gt;P474))+SUMPRODUCT(($K$4:$K$703=K474)*($F$4:$F$703=F474)*($Z$4:$Z$703=1)*($P$4:$P$703=P474)*($C$4:$C$703&lt;C474))+SUMPRODUCT(($K$4:$K$703=K474)*($F$4:$F$703=F474)*($Z$4:$Z$703=1)*($P$4:$P$703=P474)*($C$4:$C$703=C474)*($D$4:$D$703&lt;D474)),0)</f>
        <v>0</v>
      </c>
      <c r="AC474" s="11" t="n">
        <f aca="false">IF(AND(Z474=1,AA474&gt;0,AB474&gt;1),P474,0)</f>
        <v>0</v>
      </c>
    </row>
    <row r="475" customFormat="false" ht="15" hidden="false" customHeight="false" outlineLevel="0" collapsed="false">
      <c r="A475" s="4" t="s">
        <v>719</v>
      </c>
      <c r="B475" s="4" t="s">
        <v>97</v>
      </c>
      <c r="C475" s="4" t="n">
        <v>15</v>
      </c>
      <c r="D475" s="4" t="n">
        <v>472</v>
      </c>
      <c r="E475" s="4" t="s">
        <v>233</v>
      </c>
      <c r="F475" s="4" t="n">
        <v>10</v>
      </c>
      <c r="G475" s="4" t="n">
        <v>5</v>
      </c>
      <c r="H475" s="4" t="n">
        <v>1689.01</v>
      </c>
      <c r="I475" s="13" t="b">
        <f aca="false">FALSE()</f>
        <v>0</v>
      </c>
      <c r="K475" s="4" t="s">
        <v>714</v>
      </c>
      <c r="L475" s="4" t="n">
        <v>121.61</v>
      </c>
      <c r="M475" s="11" t="n">
        <f aca="false">IFERROR(MATCH(Controls!$B$3&amp;"|"&amp;B475,'Scenario inputs'!$A$4:$A$213,0),0)</f>
        <v>146</v>
      </c>
      <c r="N475" s="8" t="b">
        <f aca="false">IF(M475=0,FALSE(),F475&lt;Controls!$B$12)</f>
        <v>1</v>
      </c>
      <c r="O475" s="11" t="n">
        <f aca="false">IF(N475,IF(INDEX('Scenario inputs'!$E$4:$E$213,M475)=0,1,INDEX('Scenario inputs'!$F$4:$M$213,M475,MIN(MAX(F475-G475,0),INDEX('Scenario inputs'!$E$4:$E$213,M475)-1)+1)),0)</f>
        <v>0.75</v>
      </c>
      <c r="P475" s="11" t="n">
        <f aca="false">H475*O475</f>
        <v>1266.7575</v>
      </c>
      <c r="Q475" s="0" t="str">
        <f aca="false">IF(M475=0,"",IF(ISNUMBER(INDEX('Scenario inputs'!$N$4:$N$213,M475)),INDEX('Scenario inputs'!$N$4:$N$213,M475),""))</f>
        <v/>
      </c>
      <c r="R475" s="0" t="str">
        <f aca="false">IF(NOT(N475),"",IF(OR(E475="cash",E475="revenue"),E475,IF(E475="avoided_cost",IF(AND(I475,LEN(TRIM(J475))&gt;0),"avoided_cost_realised","avoided_cost_beside"),IF(ISNUMBER(Q475),"capacity_converted","capacity_hours"))))</f>
        <v>capacity_hours</v>
      </c>
      <c r="S475" s="11" t="n">
        <f aca="false">IF(OR(R475="",R475="capacity_hours"),0,IF(R475="capacity_converted",P475*Q475,P475))</f>
        <v>0</v>
      </c>
      <c r="T475" s="11" t="n">
        <f aca="false">IF(OR(R475="cash",R475="revenue",R475="avoided_cost_realised",R475="capacity_converted"),1,0)</f>
        <v>0</v>
      </c>
      <c r="U475" s="11" t="n">
        <f aca="false">IF(AND(N475,R475&lt;&gt;"capacity_hours",LEN(K475)&gt;0),1,0)</f>
        <v>0</v>
      </c>
      <c r="V475" s="11" t="n">
        <f aca="false">IF(U475=1,SUMPRODUCT(($K$4:$K$703=K475)*($F$4:$F$703=F475)*($U$4:$U$703=1)*($B$4:$B$703&lt;&gt;B475)),0)</f>
        <v>0</v>
      </c>
      <c r="W475" s="11" t="n">
        <f aca="false">IF(AND(U475=1,V475&gt;0),1+SUMPRODUCT(($K$4:$K$703=K475)*($F$4:$F$703=F475)*($U$4:$U$703=1)*($S$4:$S$703&gt;S475))+SUMPRODUCT(($K$4:$K$703=K475)*($F$4:$F$703=F475)*($U$4:$U$703=1)*($S$4:$S$703=S475)*($T$4:$T$703&gt;T475))+SUMPRODUCT(($K$4:$K$703=K475)*($F$4:$F$703=F475)*($U$4:$U$703=1)*($S$4:$S$703=S475)*($T$4:$T$703=T475)*($C$4:$C$703&lt;C475))+SUMPRODUCT(($K$4:$K$703=K475)*($F$4:$F$703=F475)*($U$4:$U$703=1)*($S$4:$S$703=S475)*($T$4:$T$703=T475)*($C$4:$C$703=C475)*($D$4:$D$703&lt;D475)),0)</f>
        <v>0</v>
      </c>
      <c r="X475" s="11" t="n">
        <f aca="false">IF(AND(U475=1,V475&gt;0,W475&gt;1),S475,0)</f>
        <v>0</v>
      </c>
      <c r="Y475" s="11" t="n">
        <f aca="false">IF(T475=1,X475/(1+Controls!$B$11)^F475,0)</f>
        <v>0</v>
      </c>
      <c r="Z475" s="11" t="n">
        <f aca="false">IF(AND(N475,E475="capacity",LEN(K475)&gt;0),1,0)</f>
        <v>1</v>
      </c>
      <c r="AA475" s="11" t="n">
        <f aca="false">IF(Z475=1,SUMPRODUCT(($K$4:$K$703=K475)*($F$4:$F$703=F475)*($Z$4:$Z$703=1)*($B$4:$B$703&lt;&gt;B475)),0)</f>
        <v>0</v>
      </c>
      <c r="AB475" s="11" t="n">
        <f aca="false">IF(AND(Z475=1,AA475&gt;0),1+SUMPRODUCT(($K$4:$K$703=K475)*($F$4:$F$703=F475)*($Z$4:$Z$703=1)*($P$4:$P$703&gt;P475))+SUMPRODUCT(($K$4:$K$703=K475)*($F$4:$F$703=F475)*($Z$4:$Z$703=1)*($P$4:$P$703=P475)*($C$4:$C$703&lt;C475))+SUMPRODUCT(($K$4:$K$703=K475)*($F$4:$F$703=F475)*($Z$4:$Z$703=1)*($P$4:$P$703=P475)*($C$4:$C$703=C475)*($D$4:$D$703&lt;D475)),0)</f>
        <v>0</v>
      </c>
      <c r="AC475" s="11" t="n">
        <f aca="false">IF(AND(Z475=1,AA475&gt;0,AB475&gt;1),P475,0)</f>
        <v>0</v>
      </c>
    </row>
    <row r="476" customFormat="false" ht="15" hidden="false" customHeight="false" outlineLevel="0" collapsed="false">
      <c r="A476" s="4" t="s">
        <v>720</v>
      </c>
      <c r="B476" s="4" t="s">
        <v>97</v>
      </c>
      <c r="C476" s="4" t="n">
        <v>15</v>
      </c>
      <c r="D476" s="4" t="n">
        <v>473</v>
      </c>
      <c r="E476" s="4" t="s">
        <v>233</v>
      </c>
      <c r="F476" s="4" t="n">
        <v>11</v>
      </c>
      <c r="G476" s="4" t="n">
        <v>5</v>
      </c>
      <c r="H476" s="4" t="n">
        <v>1689.01</v>
      </c>
      <c r="I476" s="13" t="b">
        <f aca="false">FALSE()</f>
        <v>0</v>
      </c>
      <c r="K476" s="4" t="s">
        <v>714</v>
      </c>
      <c r="L476" s="4" t="n">
        <v>162.14</v>
      </c>
      <c r="M476" s="11" t="n">
        <f aca="false">IFERROR(MATCH(Controls!$B$3&amp;"|"&amp;B476,'Scenario inputs'!$A$4:$A$213,0),0)</f>
        <v>146</v>
      </c>
      <c r="N476" s="8" t="b">
        <f aca="false">IF(M476=0,FALSE(),F476&lt;Controls!$B$12)</f>
        <v>1</v>
      </c>
      <c r="O476" s="11" t="n">
        <f aca="false">IF(N476,IF(INDEX('Scenario inputs'!$E$4:$E$213,M476)=0,1,INDEX('Scenario inputs'!$F$4:$M$213,M476,MIN(MAX(F476-G476,0),INDEX('Scenario inputs'!$E$4:$E$213,M476)-1)+1)),0)</f>
        <v>1</v>
      </c>
      <c r="P476" s="11" t="n">
        <f aca="false">H476*O476</f>
        <v>1689.01</v>
      </c>
      <c r="Q476" s="0" t="str">
        <f aca="false">IF(M476=0,"",IF(ISNUMBER(INDEX('Scenario inputs'!$N$4:$N$213,M476)),INDEX('Scenario inputs'!$N$4:$N$213,M476),""))</f>
        <v/>
      </c>
      <c r="R476" s="0" t="str">
        <f aca="false">IF(NOT(N476),"",IF(OR(E476="cash",E476="revenue"),E476,IF(E476="avoided_cost",IF(AND(I476,LEN(TRIM(J476))&gt;0),"avoided_cost_realised","avoided_cost_beside"),IF(ISNUMBER(Q476),"capacity_converted","capacity_hours"))))</f>
        <v>capacity_hours</v>
      </c>
      <c r="S476" s="11" t="n">
        <f aca="false">IF(OR(R476="",R476="capacity_hours"),0,IF(R476="capacity_converted",P476*Q476,P476))</f>
        <v>0</v>
      </c>
      <c r="T476" s="11" t="n">
        <f aca="false">IF(OR(R476="cash",R476="revenue",R476="avoided_cost_realised",R476="capacity_converted"),1,0)</f>
        <v>0</v>
      </c>
      <c r="U476" s="11" t="n">
        <f aca="false">IF(AND(N476,R476&lt;&gt;"capacity_hours",LEN(K476)&gt;0),1,0)</f>
        <v>0</v>
      </c>
      <c r="V476" s="11" t="n">
        <f aca="false">IF(U476=1,SUMPRODUCT(($K$4:$K$703=K476)*($F$4:$F$703=F476)*($U$4:$U$703=1)*($B$4:$B$703&lt;&gt;B476)),0)</f>
        <v>0</v>
      </c>
      <c r="W476" s="11" t="n">
        <f aca="false">IF(AND(U476=1,V476&gt;0),1+SUMPRODUCT(($K$4:$K$703=K476)*($F$4:$F$703=F476)*($U$4:$U$703=1)*($S$4:$S$703&gt;S476))+SUMPRODUCT(($K$4:$K$703=K476)*($F$4:$F$703=F476)*($U$4:$U$703=1)*($S$4:$S$703=S476)*($T$4:$T$703&gt;T476))+SUMPRODUCT(($K$4:$K$703=K476)*($F$4:$F$703=F476)*($U$4:$U$703=1)*($S$4:$S$703=S476)*($T$4:$T$703=T476)*($C$4:$C$703&lt;C476))+SUMPRODUCT(($K$4:$K$703=K476)*($F$4:$F$703=F476)*($U$4:$U$703=1)*($S$4:$S$703=S476)*($T$4:$T$703=T476)*($C$4:$C$703=C476)*($D$4:$D$703&lt;D476)),0)</f>
        <v>0</v>
      </c>
      <c r="X476" s="11" t="n">
        <f aca="false">IF(AND(U476=1,V476&gt;0,W476&gt;1),S476,0)</f>
        <v>0</v>
      </c>
      <c r="Y476" s="11" t="n">
        <f aca="false">IF(T476=1,X476/(1+Controls!$B$11)^F476,0)</f>
        <v>0</v>
      </c>
      <c r="Z476" s="11" t="n">
        <f aca="false">IF(AND(N476,E476="capacity",LEN(K476)&gt;0),1,0)</f>
        <v>1</v>
      </c>
      <c r="AA476" s="11" t="n">
        <f aca="false">IF(Z476=1,SUMPRODUCT(($K$4:$K$703=K476)*($F$4:$F$703=F476)*($Z$4:$Z$703=1)*($B$4:$B$703&lt;&gt;B476)),0)</f>
        <v>0</v>
      </c>
      <c r="AB476" s="11" t="n">
        <f aca="false">IF(AND(Z476=1,AA476&gt;0),1+SUMPRODUCT(($K$4:$K$703=K476)*($F$4:$F$703=F476)*($Z$4:$Z$703=1)*($P$4:$P$703&gt;P476))+SUMPRODUCT(($K$4:$K$703=K476)*($F$4:$F$703=F476)*($Z$4:$Z$703=1)*($P$4:$P$703=P476)*($C$4:$C$703&lt;C476))+SUMPRODUCT(($K$4:$K$703=K476)*($F$4:$F$703=F476)*($Z$4:$Z$703=1)*($P$4:$P$703=P476)*($C$4:$C$703=C476)*($D$4:$D$703&lt;D476)),0)</f>
        <v>0</v>
      </c>
      <c r="AC476" s="11" t="n">
        <f aca="false">IF(AND(Z476=1,AA476&gt;0,AB476&gt;1),P476,0)</f>
        <v>0</v>
      </c>
    </row>
    <row r="477" customFormat="false" ht="15" hidden="false" customHeight="false" outlineLevel="0" collapsed="false">
      <c r="A477" s="4" t="s">
        <v>721</v>
      </c>
      <c r="B477" s="4" t="s">
        <v>97</v>
      </c>
      <c r="C477" s="4" t="n">
        <v>15</v>
      </c>
      <c r="D477" s="4" t="n">
        <v>474</v>
      </c>
      <c r="E477" s="4" t="s">
        <v>233</v>
      </c>
      <c r="F477" s="4" t="n">
        <v>12</v>
      </c>
      <c r="G477" s="4" t="n">
        <v>5</v>
      </c>
      <c r="H477" s="4" t="n">
        <v>1689.01</v>
      </c>
      <c r="I477" s="13" t="b">
        <f aca="false">FALSE()</f>
        <v>0</v>
      </c>
      <c r="K477" s="4" t="s">
        <v>714</v>
      </c>
      <c r="L477" s="4" t="n">
        <v>162.14</v>
      </c>
      <c r="M477" s="11" t="n">
        <f aca="false">IFERROR(MATCH(Controls!$B$3&amp;"|"&amp;B477,'Scenario inputs'!$A$4:$A$213,0),0)</f>
        <v>146</v>
      </c>
      <c r="N477" s="8" t="b">
        <f aca="false">IF(M477=0,FALSE(),F477&lt;Controls!$B$12)</f>
        <v>1</v>
      </c>
      <c r="O477" s="11" t="n">
        <f aca="false">IF(N477,IF(INDEX('Scenario inputs'!$E$4:$E$213,M477)=0,1,INDEX('Scenario inputs'!$F$4:$M$213,M477,MIN(MAX(F477-G477,0),INDEX('Scenario inputs'!$E$4:$E$213,M477)-1)+1)),0)</f>
        <v>1</v>
      </c>
      <c r="P477" s="11" t="n">
        <f aca="false">H477*O477</f>
        <v>1689.01</v>
      </c>
      <c r="Q477" s="0" t="str">
        <f aca="false">IF(M477=0,"",IF(ISNUMBER(INDEX('Scenario inputs'!$N$4:$N$213,M477)),INDEX('Scenario inputs'!$N$4:$N$213,M477),""))</f>
        <v/>
      </c>
      <c r="R477" s="0" t="str">
        <f aca="false">IF(NOT(N477),"",IF(OR(E477="cash",E477="revenue"),E477,IF(E477="avoided_cost",IF(AND(I477,LEN(TRIM(J477))&gt;0),"avoided_cost_realised","avoided_cost_beside"),IF(ISNUMBER(Q477),"capacity_converted","capacity_hours"))))</f>
        <v>capacity_hours</v>
      </c>
      <c r="S477" s="11" t="n">
        <f aca="false">IF(OR(R477="",R477="capacity_hours"),0,IF(R477="capacity_converted",P477*Q477,P477))</f>
        <v>0</v>
      </c>
      <c r="T477" s="11" t="n">
        <f aca="false">IF(OR(R477="cash",R477="revenue",R477="avoided_cost_realised",R477="capacity_converted"),1,0)</f>
        <v>0</v>
      </c>
      <c r="U477" s="11" t="n">
        <f aca="false">IF(AND(N477,R477&lt;&gt;"capacity_hours",LEN(K477)&gt;0),1,0)</f>
        <v>0</v>
      </c>
      <c r="V477" s="11" t="n">
        <f aca="false">IF(U477=1,SUMPRODUCT(($K$4:$K$703=K477)*($F$4:$F$703=F477)*($U$4:$U$703=1)*($B$4:$B$703&lt;&gt;B477)),0)</f>
        <v>0</v>
      </c>
      <c r="W477" s="11" t="n">
        <f aca="false">IF(AND(U477=1,V477&gt;0),1+SUMPRODUCT(($K$4:$K$703=K477)*($F$4:$F$703=F477)*($U$4:$U$703=1)*($S$4:$S$703&gt;S477))+SUMPRODUCT(($K$4:$K$703=K477)*($F$4:$F$703=F477)*($U$4:$U$703=1)*($S$4:$S$703=S477)*($T$4:$T$703&gt;T477))+SUMPRODUCT(($K$4:$K$703=K477)*($F$4:$F$703=F477)*($U$4:$U$703=1)*($S$4:$S$703=S477)*($T$4:$T$703=T477)*($C$4:$C$703&lt;C477))+SUMPRODUCT(($K$4:$K$703=K477)*($F$4:$F$703=F477)*($U$4:$U$703=1)*($S$4:$S$703=S477)*($T$4:$T$703=T477)*($C$4:$C$703=C477)*($D$4:$D$703&lt;D477)),0)</f>
        <v>0</v>
      </c>
      <c r="X477" s="11" t="n">
        <f aca="false">IF(AND(U477=1,V477&gt;0,W477&gt;1),S477,0)</f>
        <v>0</v>
      </c>
      <c r="Y477" s="11" t="n">
        <f aca="false">IF(T477=1,X477/(1+Controls!$B$11)^F477,0)</f>
        <v>0</v>
      </c>
      <c r="Z477" s="11" t="n">
        <f aca="false">IF(AND(N477,E477="capacity",LEN(K477)&gt;0),1,0)</f>
        <v>1</v>
      </c>
      <c r="AA477" s="11" t="n">
        <f aca="false">IF(Z477=1,SUMPRODUCT(($K$4:$K$703=K477)*($F$4:$F$703=F477)*($Z$4:$Z$703=1)*($B$4:$B$703&lt;&gt;B477)),0)</f>
        <v>0</v>
      </c>
      <c r="AB477" s="11" t="n">
        <f aca="false">IF(AND(Z477=1,AA477&gt;0),1+SUMPRODUCT(($K$4:$K$703=K477)*($F$4:$F$703=F477)*($Z$4:$Z$703=1)*($P$4:$P$703&gt;P477))+SUMPRODUCT(($K$4:$K$703=K477)*($F$4:$F$703=F477)*($Z$4:$Z$703=1)*($P$4:$P$703=P477)*($C$4:$C$703&lt;C477))+SUMPRODUCT(($K$4:$K$703=K477)*($F$4:$F$703=F477)*($Z$4:$Z$703=1)*($P$4:$P$703=P477)*($C$4:$C$703=C477)*($D$4:$D$703&lt;D477)),0)</f>
        <v>0</v>
      </c>
      <c r="AC477" s="11" t="n">
        <f aca="false">IF(AND(Z477=1,AA477&gt;0,AB477&gt;1),P477,0)</f>
        <v>0</v>
      </c>
    </row>
    <row r="478" customFormat="false" ht="15" hidden="false" customHeight="false" outlineLevel="0" collapsed="false">
      <c r="A478" s="4" t="s">
        <v>722</v>
      </c>
      <c r="B478" s="4" t="s">
        <v>97</v>
      </c>
      <c r="C478" s="4" t="n">
        <v>15</v>
      </c>
      <c r="D478" s="4" t="n">
        <v>475</v>
      </c>
      <c r="E478" s="4" t="s">
        <v>233</v>
      </c>
      <c r="F478" s="4" t="n">
        <v>13</v>
      </c>
      <c r="G478" s="4" t="n">
        <v>5</v>
      </c>
      <c r="H478" s="4" t="n">
        <v>1689.01</v>
      </c>
      <c r="I478" s="13" t="b">
        <f aca="false">FALSE()</f>
        <v>0</v>
      </c>
      <c r="K478" s="4" t="s">
        <v>714</v>
      </c>
      <c r="L478" s="4" t="n">
        <v>162.14</v>
      </c>
      <c r="M478" s="11" t="n">
        <f aca="false">IFERROR(MATCH(Controls!$B$3&amp;"|"&amp;B478,'Scenario inputs'!$A$4:$A$213,0),0)</f>
        <v>146</v>
      </c>
      <c r="N478" s="8" t="b">
        <f aca="false">IF(M478=0,FALSE(),F478&lt;Controls!$B$12)</f>
        <v>1</v>
      </c>
      <c r="O478" s="11" t="n">
        <f aca="false">IF(N478,IF(INDEX('Scenario inputs'!$E$4:$E$213,M478)=0,1,INDEX('Scenario inputs'!$F$4:$M$213,M478,MIN(MAX(F478-G478,0),INDEX('Scenario inputs'!$E$4:$E$213,M478)-1)+1)),0)</f>
        <v>1</v>
      </c>
      <c r="P478" s="11" t="n">
        <f aca="false">H478*O478</f>
        <v>1689.01</v>
      </c>
      <c r="Q478" s="0" t="str">
        <f aca="false">IF(M478=0,"",IF(ISNUMBER(INDEX('Scenario inputs'!$N$4:$N$213,M478)),INDEX('Scenario inputs'!$N$4:$N$213,M478),""))</f>
        <v/>
      </c>
      <c r="R478" s="0" t="str">
        <f aca="false">IF(NOT(N478),"",IF(OR(E478="cash",E478="revenue"),E478,IF(E478="avoided_cost",IF(AND(I478,LEN(TRIM(J478))&gt;0),"avoided_cost_realised","avoided_cost_beside"),IF(ISNUMBER(Q478),"capacity_converted","capacity_hours"))))</f>
        <v>capacity_hours</v>
      </c>
      <c r="S478" s="11" t="n">
        <f aca="false">IF(OR(R478="",R478="capacity_hours"),0,IF(R478="capacity_converted",P478*Q478,P478))</f>
        <v>0</v>
      </c>
      <c r="T478" s="11" t="n">
        <f aca="false">IF(OR(R478="cash",R478="revenue",R478="avoided_cost_realised",R478="capacity_converted"),1,0)</f>
        <v>0</v>
      </c>
      <c r="U478" s="11" t="n">
        <f aca="false">IF(AND(N478,R478&lt;&gt;"capacity_hours",LEN(K478)&gt;0),1,0)</f>
        <v>0</v>
      </c>
      <c r="V478" s="11" t="n">
        <f aca="false">IF(U478=1,SUMPRODUCT(($K$4:$K$703=K478)*($F$4:$F$703=F478)*($U$4:$U$703=1)*($B$4:$B$703&lt;&gt;B478)),0)</f>
        <v>0</v>
      </c>
      <c r="W478" s="11" t="n">
        <f aca="false">IF(AND(U478=1,V478&gt;0),1+SUMPRODUCT(($K$4:$K$703=K478)*($F$4:$F$703=F478)*($U$4:$U$703=1)*($S$4:$S$703&gt;S478))+SUMPRODUCT(($K$4:$K$703=K478)*($F$4:$F$703=F478)*($U$4:$U$703=1)*($S$4:$S$703=S478)*($T$4:$T$703&gt;T478))+SUMPRODUCT(($K$4:$K$703=K478)*($F$4:$F$703=F478)*($U$4:$U$703=1)*($S$4:$S$703=S478)*($T$4:$T$703=T478)*($C$4:$C$703&lt;C478))+SUMPRODUCT(($K$4:$K$703=K478)*($F$4:$F$703=F478)*($U$4:$U$703=1)*($S$4:$S$703=S478)*($T$4:$T$703=T478)*($C$4:$C$703=C478)*($D$4:$D$703&lt;D478)),0)</f>
        <v>0</v>
      </c>
      <c r="X478" s="11" t="n">
        <f aca="false">IF(AND(U478=1,V478&gt;0,W478&gt;1),S478,0)</f>
        <v>0</v>
      </c>
      <c r="Y478" s="11" t="n">
        <f aca="false">IF(T478=1,X478/(1+Controls!$B$11)^F478,0)</f>
        <v>0</v>
      </c>
      <c r="Z478" s="11" t="n">
        <f aca="false">IF(AND(N478,E478="capacity",LEN(K478)&gt;0),1,0)</f>
        <v>1</v>
      </c>
      <c r="AA478" s="11" t="n">
        <f aca="false">IF(Z478=1,SUMPRODUCT(($K$4:$K$703=K478)*($F$4:$F$703=F478)*($Z$4:$Z$703=1)*($B$4:$B$703&lt;&gt;B478)),0)</f>
        <v>0</v>
      </c>
      <c r="AB478" s="11" t="n">
        <f aca="false">IF(AND(Z478=1,AA478&gt;0),1+SUMPRODUCT(($K$4:$K$703=K478)*($F$4:$F$703=F478)*($Z$4:$Z$703=1)*($P$4:$P$703&gt;P478))+SUMPRODUCT(($K$4:$K$703=K478)*($F$4:$F$703=F478)*($Z$4:$Z$703=1)*($P$4:$P$703=P478)*($C$4:$C$703&lt;C478))+SUMPRODUCT(($K$4:$K$703=K478)*($F$4:$F$703=F478)*($Z$4:$Z$703=1)*($P$4:$P$703=P478)*($C$4:$C$703=C478)*($D$4:$D$703&lt;D478)),0)</f>
        <v>0</v>
      </c>
      <c r="AC478" s="11" t="n">
        <f aca="false">IF(AND(Z478=1,AA478&gt;0,AB478&gt;1),P478,0)</f>
        <v>0</v>
      </c>
    </row>
    <row r="479" customFormat="false" ht="15" hidden="false" customHeight="false" outlineLevel="0" collapsed="false">
      <c r="A479" s="4" t="s">
        <v>723</v>
      </c>
      <c r="B479" s="4" t="s">
        <v>97</v>
      </c>
      <c r="C479" s="4" t="n">
        <v>15</v>
      </c>
      <c r="D479" s="4" t="n">
        <v>476</v>
      </c>
      <c r="E479" s="4" t="s">
        <v>233</v>
      </c>
      <c r="F479" s="4" t="n">
        <v>14</v>
      </c>
      <c r="G479" s="4" t="n">
        <v>5</v>
      </c>
      <c r="H479" s="4" t="n">
        <v>1689.01</v>
      </c>
      <c r="I479" s="13" t="b">
        <f aca="false">FALSE()</f>
        <v>0</v>
      </c>
      <c r="K479" s="4" t="s">
        <v>714</v>
      </c>
      <c r="L479" s="4" t="n">
        <v>162.14</v>
      </c>
      <c r="M479" s="11" t="n">
        <f aca="false">IFERROR(MATCH(Controls!$B$3&amp;"|"&amp;B479,'Scenario inputs'!$A$4:$A$213,0),0)</f>
        <v>146</v>
      </c>
      <c r="N479" s="8" t="b">
        <f aca="false">IF(M479=0,FALSE(),F479&lt;Controls!$B$12)</f>
        <v>1</v>
      </c>
      <c r="O479" s="11" t="n">
        <f aca="false">IF(N479,IF(INDEX('Scenario inputs'!$E$4:$E$213,M479)=0,1,INDEX('Scenario inputs'!$F$4:$M$213,M479,MIN(MAX(F479-G479,0),INDEX('Scenario inputs'!$E$4:$E$213,M479)-1)+1)),0)</f>
        <v>1</v>
      </c>
      <c r="P479" s="11" t="n">
        <f aca="false">H479*O479</f>
        <v>1689.01</v>
      </c>
      <c r="Q479" s="0" t="str">
        <f aca="false">IF(M479=0,"",IF(ISNUMBER(INDEX('Scenario inputs'!$N$4:$N$213,M479)),INDEX('Scenario inputs'!$N$4:$N$213,M479),""))</f>
        <v/>
      </c>
      <c r="R479" s="0" t="str">
        <f aca="false">IF(NOT(N479),"",IF(OR(E479="cash",E479="revenue"),E479,IF(E479="avoided_cost",IF(AND(I479,LEN(TRIM(J479))&gt;0),"avoided_cost_realised","avoided_cost_beside"),IF(ISNUMBER(Q479),"capacity_converted","capacity_hours"))))</f>
        <v>capacity_hours</v>
      </c>
      <c r="S479" s="11" t="n">
        <f aca="false">IF(OR(R479="",R479="capacity_hours"),0,IF(R479="capacity_converted",P479*Q479,P479))</f>
        <v>0</v>
      </c>
      <c r="T479" s="11" t="n">
        <f aca="false">IF(OR(R479="cash",R479="revenue",R479="avoided_cost_realised",R479="capacity_converted"),1,0)</f>
        <v>0</v>
      </c>
      <c r="U479" s="11" t="n">
        <f aca="false">IF(AND(N479,R479&lt;&gt;"capacity_hours",LEN(K479)&gt;0),1,0)</f>
        <v>0</v>
      </c>
      <c r="V479" s="11" t="n">
        <f aca="false">IF(U479=1,SUMPRODUCT(($K$4:$K$703=K479)*($F$4:$F$703=F479)*($U$4:$U$703=1)*($B$4:$B$703&lt;&gt;B479)),0)</f>
        <v>0</v>
      </c>
      <c r="W479" s="11" t="n">
        <f aca="false">IF(AND(U479=1,V479&gt;0),1+SUMPRODUCT(($K$4:$K$703=K479)*($F$4:$F$703=F479)*($U$4:$U$703=1)*($S$4:$S$703&gt;S479))+SUMPRODUCT(($K$4:$K$703=K479)*($F$4:$F$703=F479)*($U$4:$U$703=1)*($S$4:$S$703=S479)*($T$4:$T$703&gt;T479))+SUMPRODUCT(($K$4:$K$703=K479)*($F$4:$F$703=F479)*($U$4:$U$703=1)*($S$4:$S$703=S479)*($T$4:$T$703=T479)*($C$4:$C$703&lt;C479))+SUMPRODUCT(($K$4:$K$703=K479)*($F$4:$F$703=F479)*($U$4:$U$703=1)*($S$4:$S$703=S479)*($T$4:$T$703=T479)*($C$4:$C$703=C479)*($D$4:$D$703&lt;D479)),0)</f>
        <v>0</v>
      </c>
      <c r="X479" s="11" t="n">
        <f aca="false">IF(AND(U479=1,V479&gt;0,W479&gt;1),S479,0)</f>
        <v>0</v>
      </c>
      <c r="Y479" s="11" t="n">
        <f aca="false">IF(T479=1,X479/(1+Controls!$B$11)^F479,0)</f>
        <v>0</v>
      </c>
      <c r="Z479" s="11" t="n">
        <f aca="false">IF(AND(N479,E479="capacity",LEN(K479)&gt;0),1,0)</f>
        <v>1</v>
      </c>
      <c r="AA479" s="11" t="n">
        <f aca="false">IF(Z479=1,SUMPRODUCT(($K$4:$K$703=K479)*($F$4:$F$703=F479)*($Z$4:$Z$703=1)*($B$4:$B$703&lt;&gt;B479)),0)</f>
        <v>0</v>
      </c>
      <c r="AB479" s="11" t="n">
        <f aca="false">IF(AND(Z479=1,AA479&gt;0),1+SUMPRODUCT(($K$4:$K$703=K479)*($F$4:$F$703=F479)*($Z$4:$Z$703=1)*($P$4:$P$703&gt;P479))+SUMPRODUCT(($K$4:$K$703=K479)*($F$4:$F$703=F479)*($Z$4:$Z$703=1)*($P$4:$P$703=P479)*($C$4:$C$703&lt;C479))+SUMPRODUCT(($K$4:$K$703=K479)*($F$4:$F$703=F479)*($Z$4:$Z$703=1)*($P$4:$P$703=P479)*($C$4:$C$703=C479)*($D$4:$D$703&lt;D479)),0)</f>
        <v>0</v>
      </c>
      <c r="AC479" s="11" t="n">
        <f aca="false">IF(AND(Z479=1,AA479&gt;0,AB479&gt;1),P479,0)</f>
        <v>0</v>
      </c>
    </row>
    <row r="480" customFormat="false" ht="15" hidden="false" customHeight="false" outlineLevel="0" collapsed="false">
      <c r="A480" s="4" t="s">
        <v>724</v>
      </c>
      <c r="B480" s="4" t="s">
        <v>97</v>
      </c>
      <c r="C480" s="4" t="n">
        <v>15</v>
      </c>
      <c r="D480" s="4" t="n">
        <v>477</v>
      </c>
      <c r="E480" s="4" t="s">
        <v>233</v>
      </c>
      <c r="F480" s="4" t="n">
        <v>15</v>
      </c>
      <c r="G480" s="4" t="n">
        <v>5</v>
      </c>
      <c r="H480" s="4" t="n">
        <v>1689.01</v>
      </c>
      <c r="I480" s="13" t="b">
        <f aca="false">FALSE()</f>
        <v>0</v>
      </c>
      <c r="K480" s="4" t="s">
        <v>714</v>
      </c>
      <c r="L480" s="4" t="n">
        <v>162.14</v>
      </c>
      <c r="M480" s="11" t="n">
        <f aca="false">IFERROR(MATCH(Controls!$B$3&amp;"|"&amp;B480,'Scenario inputs'!$A$4:$A$213,0),0)</f>
        <v>146</v>
      </c>
      <c r="N480" s="8" t="b">
        <f aca="false">IF(M480=0,FALSE(),F480&lt;Controls!$B$12)</f>
        <v>1</v>
      </c>
      <c r="O480" s="11" t="n">
        <f aca="false">IF(N480,IF(INDEX('Scenario inputs'!$E$4:$E$213,M480)=0,1,INDEX('Scenario inputs'!$F$4:$M$213,M480,MIN(MAX(F480-G480,0),INDEX('Scenario inputs'!$E$4:$E$213,M480)-1)+1)),0)</f>
        <v>1</v>
      </c>
      <c r="P480" s="11" t="n">
        <f aca="false">H480*O480</f>
        <v>1689.01</v>
      </c>
      <c r="Q480" s="0" t="str">
        <f aca="false">IF(M480=0,"",IF(ISNUMBER(INDEX('Scenario inputs'!$N$4:$N$213,M480)),INDEX('Scenario inputs'!$N$4:$N$213,M480),""))</f>
        <v/>
      </c>
      <c r="R480" s="0" t="str">
        <f aca="false">IF(NOT(N480),"",IF(OR(E480="cash",E480="revenue"),E480,IF(E480="avoided_cost",IF(AND(I480,LEN(TRIM(J480))&gt;0),"avoided_cost_realised","avoided_cost_beside"),IF(ISNUMBER(Q480),"capacity_converted","capacity_hours"))))</f>
        <v>capacity_hours</v>
      </c>
      <c r="S480" s="11" t="n">
        <f aca="false">IF(OR(R480="",R480="capacity_hours"),0,IF(R480="capacity_converted",P480*Q480,P480))</f>
        <v>0</v>
      </c>
      <c r="T480" s="11" t="n">
        <f aca="false">IF(OR(R480="cash",R480="revenue",R480="avoided_cost_realised",R480="capacity_converted"),1,0)</f>
        <v>0</v>
      </c>
      <c r="U480" s="11" t="n">
        <f aca="false">IF(AND(N480,R480&lt;&gt;"capacity_hours",LEN(K480)&gt;0),1,0)</f>
        <v>0</v>
      </c>
      <c r="V480" s="11" t="n">
        <f aca="false">IF(U480=1,SUMPRODUCT(($K$4:$K$703=K480)*($F$4:$F$703=F480)*($U$4:$U$703=1)*($B$4:$B$703&lt;&gt;B480)),0)</f>
        <v>0</v>
      </c>
      <c r="W480" s="11" t="n">
        <f aca="false">IF(AND(U480=1,V480&gt;0),1+SUMPRODUCT(($K$4:$K$703=K480)*($F$4:$F$703=F480)*($U$4:$U$703=1)*($S$4:$S$703&gt;S480))+SUMPRODUCT(($K$4:$K$703=K480)*($F$4:$F$703=F480)*($U$4:$U$703=1)*($S$4:$S$703=S480)*($T$4:$T$703&gt;T480))+SUMPRODUCT(($K$4:$K$703=K480)*($F$4:$F$703=F480)*($U$4:$U$703=1)*($S$4:$S$703=S480)*($T$4:$T$703=T480)*($C$4:$C$703&lt;C480))+SUMPRODUCT(($K$4:$K$703=K480)*($F$4:$F$703=F480)*($U$4:$U$703=1)*($S$4:$S$703=S480)*($T$4:$T$703=T480)*($C$4:$C$703=C480)*($D$4:$D$703&lt;D480)),0)</f>
        <v>0</v>
      </c>
      <c r="X480" s="11" t="n">
        <f aca="false">IF(AND(U480=1,V480&gt;0,W480&gt;1),S480,0)</f>
        <v>0</v>
      </c>
      <c r="Y480" s="11" t="n">
        <f aca="false">IF(T480=1,X480/(1+Controls!$B$11)^F480,0)</f>
        <v>0</v>
      </c>
      <c r="Z480" s="11" t="n">
        <f aca="false">IF(AND(N480,E480="capacity",LEN(K480)&gt;0),1,0)</f>
        <v>1</v>
      </c>
      <c r="AA480" s="11" t="n">
        <f aca="false">IF(Z480=1,SUMPRODUCT(($K$4:$K$703=K480)*($F$4:$F$703=F480)*($Z$4:$Z$703=1)*($B$4:$B$703&lt;&gt;B480)),0)</f>
        <v>0</v>
      </c>
      <c r="AB480" s="11" t="n">
        <f aca="false">IF(AND(Z480=1,AA480&gt;0),1+SUMPRODUCT(($K$4:$K$703=K480)*($F$4:$F$703=F480)*($Z$4:$Z$703=1)*($P$4:$P$703&gt;P480))+SUMPRODUCT(($K$4:$K$703=K480)*($F$4:$F$703=F480)*($Z$4:$Z$703=1)*($P$4:$P$703=P480)*($C$4:$C$703&lt;C480))+SUMPRODUCT(($K$4:$K$703=K480)*($F$4:$F$703=F480)*($Z$4:$Z$703=1)*($P$4:$P$703=P480)*($C$4:$C$703=C480)*($D$4:$D$703&lt;D480)),0)</f>
        <v>0</v>
      </c>
      <c r="AC480" s="11" t="n">
        <f aca="false">IF(AND(Z480=1,AA480&gt;0,AB480&gt;1),P480,0)</f>
        <v>0</v>
      </c>
    </row>
    <row r="481" customFormat="false" ht="15" hidden="false" customHeight="false" outlineLevel="0" collapsed="false">
      <c r="A481" s="4" t="s">
        <v>725</v>
      </c>
      <c r="B481" s="4" t="s">
        <v>97</v>
      </c>
      <c r="C481" s="4" t="n">
        <v>15</v>
      </c>
      <c r="D481" s="4" t="n">
        <v>478</v>
      </c>
      <c r="E481" s="4" t="s">
        <v>233</v>
      </c>
      <c r="F481" s="4" t="n">
        <v>16</v>
      </c>
      <c r="G481" s="4" t="n">
        <v>5</v>
      </c>
      <c r="H481" s="4" t="n">
        <v>1689.01</v>
      </c>
      <c r="I481" s="13" t="b">
        <f aca="false">FALSE()</f>
        <v>0</v>
      </c>
      <c r="K481" s="4" t="s">
        <v>714</v>
      </c>
      <c r="L481" s="4" t="n">
        <v>162.14</v>
      </c>
      <c r="M481" s="11" t="n">
        <f aca="false">IFERROR(MATCH(Controls!$B$3&amp;"|"&amp;B481,'Scenario inputs'!$A$4:$A$213,0),0)</f>
        <v>146</v>
      </c>
      <c r="N481" s="8" t="b">
        <f aca="false">IF(M481=0,FALSE(),F481&lt;Controls!$B$12)</f>
        <v>1</v>
      </c>
      <c r="O481" s="11" t="n">
        <f aca="false">IF(N481,IF(INDEX('Scenario inputs'!$E$4:$E$213,M481)=0,1,INDEX('Scenario inputs'!$F$4:$M$213,M481,MIN(MAX(F481-G481,0),INDEX('Scenario inputs'!$E$4:$E$213,M481)-1)+1)),0)</f>
        <v>1</v>
      </c>
      <c r="P481" s="11" t="n">
        <f aca="false">H481*O481</f>
        <v>1689.01</v>
      </c>
      <c r="Q481" s="0" t="str">
        <f aca="false">IF(M481=0,"",IF(ISNUMBER(INDEX('Scenario inputs'!$N$4:$N$213,M481)),INDEX('Scenario inputs'!$N$4:$N$213,M481),""))</f>
        <v/>
      </c>
      <c r="R481" s="0" t="str">
        <f aca="false">IF(NOT(N481),"",IF(OR(E481="cash",E481="revenue"),E481,IF(E481="avoided_cost",IF(AND(I481,LEN(TRIM(J481))&gt;0),"avoided_cost_realised","avoided_cost_beside"),IF(ISNUMBER(Q481),"capacity_converted","capacity_hours"))))</f>
        <v>capacity_hours</v>
      </c>
      <c r="S481" s="11" t="n">
        <f aca="false">IF(OR(R481="",R481="capacity_hours"),0,IF(R481="capacity_converted",P481*Q481,P481))</f>
        <v>0</v>
      </c>
      <c r="T481" s="11" t="n">
        <f aca="false">IF(OR(R481="cash",R481="revenue",R481="avoided_cost_realised",R481="capacity_converted"),1,0)</f>
        <v>0</v>
      </c>
      <c r="U481" s="11" t="n">
        <f aca="false">IF(AND(N481,R481&lt;&gt;"capacity_hours",LEN(K481)&gt;0),1,0)</f>
        <v>0</v>
      </c>
      <c r="V481" s="11" t="n">
        <f aca="false">IF(U481=1,SUMPRODUCT(($K$4:$K$703=K481)*($F$4:$F$703=F481)*($U$4:$U$703=1)*($B$4:$B$703&lt;&gt;B481)),0)</f>
        <v>0</v>
      </c>
      <c r="W481" s="11" t="n">
        <f aca="false">IF(AND(U481=1,V481&gt;0),1+SUMPRODUCT(($K$4:$K$703=K481)*($F$4:$F$703=F481)*($U$4:$U$703=1)*($S$4:$S$703&gt;S481))+SUMPRODUCT(($K$4:$K$703=K481)*($F$4:$F$703=F481)*($U$4:$U$703=1)*($S$4:$S$703=S481)*($T$4:$T$703&gt;T481))+SUMPRODUCT(($K$4:$K$703=K481)*($F$4:$F$703=F481)*($U$4:$U$703=1)*($S$4:$S$703=S481)*($T$4:$T$703=T481)*($C$4:$C$703&lt;C481))+SUMPRODUCT(($K$4:$K$703=K481)*($F$4:$F$703=F481)*($U$4:$U$703=1)*($S$4:$S$703=S481)*($T$4:$T$703=T481)*($C$4:$C$703=C481)*($D$4:$D$703&lt;D481)),0)</f>
        <v>0</v>
      </c>
      <c r="X481" s="11" t="n">
        <f aca="false">IF(AND(U481=1,V481&gt;0,W481&gt;1),S481,0)</f>
        <v>0</v>
      </c>
      <c r="Y481" s="11" t="n">
        <f aca="false">IF(T481=1,X481/(1+Controls!$B$11)^F481,0)</f>
        <v>0</v>
      </c>
      <c r="Z481" s="11" t="n">
        <f aca="false">IF(AND(N481,E481="capacity",LEN(K481)&gt;0),1,0)</f>
        <v>1</v>
      </c>
      <c r="AA481" s="11" t="n">
        <f aca="false">IF(Z481=1,SUMPRODUCT(($K$4:$K$703=K481)*($F$4:$F$703=F481)*($Z$4:$Z$703=1)*($B$4:$B$703&lt;&gt;B481)),0)</f>
        <v>0</v>
      </c>
      <c r="AB481" s="11" t="n">
        <f aca="false">IF(AND(Z481=1,AA481&gt;0),1+SUMPRODUCT(($K$4:$K$703=K481)*($F$4:$F$703=F481)*($Z$4:$Z$703=1)*($P$4:$P$703&gt;P481))+SUMPRODUCT(($K$4:$K$703=K481)*($F$4:$F$703=F481)*($Z$4:$Z$703=1)*($P$4:$P$703=P481)*($C$4:$C$703&lt;C481))+SUMPRODUCT(($K$4:$K$703=K481)*($F$4:$F$703=F481)*($Z$4:$Z$703=1)*($P$4:$P$703=P481)*($C$4:$C$703=C481)*($D$4:$D$703&lt;D481)),0)</f>
        <v>0</v>
      </c>
      <c r="AC481" s="11" t="n">
        <f aca="false">IF(AND(Z481=1,AA481&gt;0,AB481&gt;1),P481,0)</f>
        <v>0</v>
      </c>
    </row>
    <row r="482" customFormat="false" ht="15" hidden="false" customHeight="false" outlineLevel="0" collapsed="false">
      <c r="A482" s="4" t="s">
        <v>726</v>
      </c>
      <c r="B482" s="4" t="s">
        <v>98</v>
      </c>
      <c r="C482" s="4" t="n">
        <v>16</v>
      </c>
      <c r="D482" s="4" t="n">
        <v>479</v>
      </c>
      <c r="E482" s="4" t="s">
        <v>112</v>
      </c>
      <c r="F482" s="4" t="n">
        <v>6</v>
      </c>
      <c r="G482" s="4" t="n">
        <v>6</v>
      </c>
      <c r="H482" s="4" t="n">
        <v>59900</v>
      </c>
      <c r="I482" s="13" t="b">
        <f aca="false">FALSE()</f>
        <v>0</v>
      </c>
      <c r="K482" s="4" t="s">
        <v>727</v>
      </c>
      <c r="L482" s="4" t="n">
        <v>392.84</v>
      </c>
      <c r="M482" s="11" t="n">
        <f aca="false">IFERROR(MATCH(Controls!$B$3&amp;"|"&amp;B482,'Scenario inputs'!$A$4:$A$213,0),0)</f>
        <v>147</v>
      </c>
      <c r="N482" s="8" t="b">
        <f aca="false">IF(M482=0,FALSE(),F482&lt;Controls!$B$12)</f>
        <v>1</v>
      </c>
      <c r="O482" s="11" t="n">
        <f aca="false">IF(N482,IF(INDEX('Scenario inputs'!$E$4:$E$213,M482)=0,1,INDEX('Scenario inputs'!$F$4:$M$213,M482,MIN(MAX(F482-G482,0),INDEX('Scenario inputs'!$E$4:$E$213,M482)-1)+1)),0)</f>
        <v>0.035714</v>
      </c>
      <c r="P482" s="11" t="n">
        <f aca="false">H482*O482</f>
        <v>2139.2686</v>
      </c>
      <c r="Q482" s="0" t="str">
        <f aca="false">IF(M482=0,"",IF(ISNUMBER(INDEX('Scenario inputs'!$N$4:$N$213,M482)),INDEX('Scenario inputs'!$N$4:$N$213,M482),""))</f>
        <v/>
      </c>
      <c r="R482" s="0" t="str">
        <f aca="false">IF(NOT(N482),"",IF(OR(E482="cash",E482="revenue"),E482,IF(E482="avoided_cost",IF(AND(I482,LEN(TRIM(J482))&gt;0),"avoided_cost_realised","avoided_cost_beside"),IF(ISNUMBER(Q482),"capacity_converted","capacity_hours"))))</f>
        <v>cash</v>
      </c>
      <c r="S482" s="11" t="n">
        <f aca="false">IF(OR(R482="",R482="capacity_hours"),0,IF(R482="capacity_converted",P482*Q482,P482))</f>
        <v>2139.2686</v>
      </c>
      <c r="T482" s="11" t="n">
        <f aca="false">IF(OR(R482="cash",R482="revenue",R482="avoided_cost_realised",R482="capacity_converted"),1,0)</f>
        <v>1</v>
      </c>
      <c r="U482" s="11" t="n">
        <f aca="false">IF(AND(N482,R482&lt;&gt;"capacity_hours",LEN(K482)&gt;0),1,0)</f>
        <v>1</v>
      </c>
      <c r="V482" s="11" t="n">
        <f aca="false">IF(U482=1,SUMPRODUCT(($K$4:$K$703=K482)*($F$4:$F$703=F482)*($U$4:$U$703=1)*($B$4:$B$703&lt;&gt;B482)),0)</f>
        <v>0</v>
      </c>
      <c r="W482" s="11" t="n">
        <f aca="false">IF(AND(U482=1,V482&gt;0),1+SUMPRODUCT(($K$4:$K$703=K482)*($F$4:$F$703=F482)*($U$4:$U$703=1)*($S$4:$S$703&gt;S482))+SUMPRODUCT(($K$4:$K$703=K482)*($F$4:$F$703=F482)*($U$4:$U$703=1)*($S$4:$S$703=S482)*($T$4:$T$703&gt;T482))+SUMPRODUCT(($K$4:$K$703=K482)*($F$4:$F$703=F482)*($U$4:$U$703=1)*($S$4:$S$703=S482)*($T$4:$T$703=T482)*($C$4:$C$703&lt;C482))+SUMPRODUCT(($K$4:$K$703=K482)*($F$4:$F$703=F482)*($U$4:$U$703=1)*($S$4:$S$703=S482)*($T$4:$T$703=T482)*($C$4:$C$703=C482)*($D$4:$D$703&lt;D482)),0)</f>
        <v>0</v>
      </c>
      <c r="X482" s="11" t="n">
        <f aca="false">IF(AND(U482=1,V482&gt;0,W482&gt;1),S482,0)</f>
        <v>0</v>
      </c>
      <c r="Y482" s="11" t="n">
        <f aca="false">IF(T482=1,X482/(1+Controls!$B$11)^F482,0)</f>
        <v>0</v>
      </c>
      <c r="Z482" s="11" t="n">
        <f aca="false">IF(AND(N482,E482="capacity",LEN(K482)&gt;0),1,0)</f>
        <v>0</v>
      </c>
      <c r="AA482" s="11" t="n">
        <f aca="false">IF(Z482=1,SUMPRODUCT(($K$4:$K$703=K482)*($F$4:$F$703=F482)*($Z$4:$Z$703=1)*($B$4:$B$703&lt;&gt;B482)),0)</f>
        <v>0</v>
      </c>
      <c r="AB482" s="11" t="n">
        <f aca="false">IF(AND(Z482=1,AA482&gt;0),1+SUMPRODUCT(($K$4:$K$703=K482)*($F$4:$F$703=F482)*($Z$4:$Z$703=1)*($P$4:$P$703&gt;P482))+SUMPRODUCT(($K$4:$K$703=K482)*($F$4:$F$703=F482)*($Z$4:$Z$703=1)*($P$4:$P$703=P482)*($C$4:$C$703&lt;C482))+SUMPRODUCT(($K$4:$K$703=K482)*($F$4:$F$703=F482)*($Z$4:$Z$703=1)*($P$4:$P$703=P482)*($C$4:$C$703=C482)*($D$4:$D$703&lt;D482)),0)</f>
        <v>0</v>
      </c>
      <c r="AC482" s="11" t="n">
        <f aca="false">IF(AND(Z482=1,AA482&gt;0,AB482&gt;1),P482,0)</f>
        <v>0</v>
      </c>
    </row>
    <row r="483" customFormat="false" ht="15" hidden="false" customHeight="false" outlineLevel="0" collapsed="false">
      <c r="A483" s="4" t="s">
        <v>728</v>
      </c>
      <c r="B483" s="4" t="s">
        <v>98</v>
      </c>
      <c r="C483" s="4" t="n">
        <v>16</v>
      </c>
      <c r="D483" s="4" t="n">
        <v>480</v>
      </c>
      <c r="E483" s="4" t="s">
        <v>112</v>
      </c>
      <c r="F483" s="4" t="n">
        <v>7</v>
      </c>
      <c r="G483" s="4" t="n">
        <v>6</v>
      </c>
      <c r="H483" s="4" t="n">
        <v>59900</v>
      </c>
      <c r="I483" s="13" t="b">
        <f aca="false">FALSE()</f>
        <v>0</v>
      </c>
      <c r="K483" s="4" t="s">
        <v>727</v>
      </c>
      <c r="L483" s="4" t="n">
        <v>1213.54</v>
      </c>
      <c r="M483" s="11" t="n">
        <f aca="false">IFERROR(MATCH(Controls!$B$3&amp;"|"&amp;B483,'Scenario inputs'!$A$4:$A$213,0),0)</f>
        <v>147</v>
      </c>
      <c r="N483" s="8" t="b">
        <f aca="false">IF(M483=0,FALSE(),F483&lt;Controls!$B$12)</f>
        <v>1</v>
      </c>
      <c r="O483" s="11" t="n">
        <f aca="false">IF(N483,IF(INDEX('Scenario inputs'!$E$4:$E$213,M483)=0,1,INDEX('Scenario inputs'!$F$4:$M$213,M483,MIN(MAX(F483-G483,0),INDEX('Scenario inputs'!$E$4:$E$213,M483)-1)+1)),0)</f>
        <v>0.107143</v>
      </c>
      <c r="P483" s="11" t="n">
        <f aca="false">H483*O483</f>
        <v>6417.8657</v>
      </c>
      <c r="Q483" s="0" t="str">
        <f aca="false">IF(M483=0,"",IF(ISNUMBER(INDEX('Scenario inputs'!$N$4:$N$213,M483)),INDEX('Scenario inputs'!$N$4:$N$213,M483),""))</f>
        <v/>
      </c>
      <c r="R483" s="0" t="str">
        <f aca="false">IF(NOT(N483),"",IF(OR(E483="cash",E483="revenue"),E483,IF(E483="avoided_cost",IF(AND(I483,LEN(TRIM(J483))&gt;0),"avoided_cost_realised","avoided_cost_beside"),IF(ISNUMBER(Q483),"capacity_converted","capacity_hours"))))</f>
        <v>cash</v>
      </c>
      <c r="S483" s="11" t="n">
        <f aca="false">IF(OR(R483="",R483="capacity_hours"),0,IF(R483="capacity_converted",P483*Q483,P483))</f>
        <v>6417.8657</v>
      </c>
      <c r="T483" s="11" t="n">
        <f aca="false">IF(OR(R483="cash",R483="revenue",R483="avoided_cost_realised",R483="capacity_converted"),1,0)</f>
        <v>1</v>
      </c>
      <c r="U483" s="11" t="n">
        <f aca="false">IF(AND(N483,R483&lt;&gt;"capacity_hours",LEN(K483)&gt;0),1,0)</f>
        <v>1</v>
      </c>
      <c r="V483" s="11" t="n">
        <f aca="false">IF(U483=1,SUMPRODUCT(($K$4:$K$703=K483)*($F$4:$F$703=F483)*($U$4:$U$703=1)*($B$4:$B$703&lt;&gt;B483)),0)</f>
        <v>0</v>
      </c>
      <c r="W483" s="11" t="n">
        <f aca="false">IF(AND(U483=1,V483&gt;0),1+SUMPRODUCT(($K$4:$K$703=K483)*($F$4:$F$703=F483)*($U$4:$U$703=1)*($S$4:$S$703&gt;S483))+SUMPRODUCT(($K$4:$K$703=K483)*($F$4:$F$703=F483)*($U$4:$U$703=1)*($S$4:$S$703=S483)*($T$4:$T$703&gt;T483))+SUMPRODUCT(($K$4:$K$703=K483)*($F$4:$F$703=F483)*($U$4:$U$703=1)*($S$4:$S$703=S483)*($T$4:$T$703=T483)*($C$4:$C$703&lt;C483))+SUMPRODUCT(($K$4:$K$703=K483)*($F$4:$F$703=F483)*($U$4:$U$703=1)*($S$4:$S$703=S483)*($T$4:$T$703=T483)*($C$4:$C$703=C483)*($D$4:$D$703&lt;D483)),0)</f>
        <v>0</v>
      </c>
      <c r="X483" s="11" t="n">
        <f aca="false">IF(AND(U483=1,V483&gt;0,W483&gt;1),S483,0)</f>
        <v>0</v>
      </c>
      <c r="Y483" s="11" t="n">
        <f aca="false">IF(T483=1,X483/(1+Controls!$B$11)^F483,0)</f>
        <v>0</v>
      </c>
      <c r="Z483" s="11" t="n">
        <f aca="false">IF(AND(N483,E483="capacity",LEN(K483)&gt;0),1,0)</f>
        <v>0</v>
      </c>
      <c r="AA483" s="11" t="n">
        <f aca="false">IF(Z483=1,SUMPRODUCT(($K$4:$K$703=K483)*($F$4:$F$703=F483)*($Z$4:$Z$703=1)*($B$4:$B$703&lt;&gt;B483)),0)</f>
        <v>0</v>
      </c>
      <c r="AB483" s="11" t="n">
        <f aca="false">IF(AND(Z483=1,AA483&gt;0),1+SUMPRODUCT(($K$4:$K$703=K483)*($F$4:$F$703=F483)*($Z$4:$Z$703=1)*($P$4:$P$703&gt;P483))+SUMPRODUCT(($K$4:$K$703=K483)*($F$4:$F$703=F483)*($Z$4:$Z$703=1)*($P$4:$P$703=P483)*($C$4:$C$703&lt;C483))+SUMPRODUCT(($K$4:$K$703=K483)*($F$4:$F$703=F483)*($Z$4:$Z$703=1)*($P$4:$P$703=P483)*($C$4:$C$703=C483)*($D$4:$D$703&lt;D483)),0)</f>
        <v>0</v>
      </c>
      <c r="AC483" s="11" t="n">
        <f aca="false">IF(AND(Z483=1,AA483&gt;0,AB483&gt;1),P483,0)</f>
        <v>0</v>
      </c>
    </row>
    <row r="484" customFormat="false" ht="15" hidden="false" customHeight="false" outlineLevel="0" collapsed="false">
      <c r="A484" s="4" t="s">
        <v>729</v>
      </c>
      <c r="B484" s="4" t="s">
        <v>98</v>
      </c>
      <c r="C484" s="4" t="n">
        <v>16</v>
      </c>
      <c r="D484" s="4" t="n">
        <v>481</v>
      </c>
      <c r="E484" s="4" t="s">
        <v>112</v>
      </c>
      <c r="F484" s="4" t="n">
        <v>8</v>
      </c>
      <c r="G484" s="4" t="n">
        <v>6</v>
      </c>
      <c r="H484" s="4" t="n">
        <v>59900</v>
      </c>
      <c r="I484" s="13" t="b">
        <f aca="false">FALSE()</f>
        <v>0</v>
      </c>
      <c r="K484" s="4" t="s">
        <v>727</v>
      </c>
      <c r="L484" s="4" t="n">
        <v>2240.38</v>
      </c>
      <c r="M484" s="11" t="n">
        <f aca="false">IFERROR(MATCH(Controls!$B$3&amp;"|"&amp;B484,'Scenario inputs'!$A$4:$A$213,0),0)</f>
        <v>147</v>
      </c>
      <c r="N484" s="8" t="b">
        <f aca="false">IF(M484=0,FALSE(),F484&lt;Controls!$B$12)</f>
        <v>1</v>
      </c>
      <c r="O484" s="11" t="n">
        <f aca="false">IF(N484,IF(INDEX('Scenario inputs'!$E$4:$E$213,M484)=0,1,INDEX('Scenario inputs'!$F$4:$M$213,M484,MIN(MAX(F484-G484,0),INDEX('Scenario inputs'!$E$4:$E$213,M484)-1)+1)),0)</f>
        <v>0.214286</v>
      </c>
      <c r="P484" s="11" t="n">
        <f aca="false">H484*O484</f>
        <v>12835.7314</v>
      </c>
      <c r="Q484" s="0" t="str">
        <f aca="false">IF(M484=0,"",IF(ISNUMBER(INDEX('Scenario inputs'!$N$4:$N$213,M484)),INDEX('Scenario inputs'!$N$4:$N$213,M484),""))</f>
        <v/>
      </c>
      <c r="R484" s="0" t="str">
        <f aca="false">IF(NOT(N484),"",IF(OR(E484="cash",E484="revenue"),E484,IF(E484="avoided_cost",IF(AND(I484,LEN(TRIM(J484))&gt;0),"avoided_cost_realised","avoided_cost_beside"),IF(ISNUMBER(Q484),"capacity_converted","capacity_hours"))))</f>
        <v>cash</v>
      </c>
      <c r="S484" s="11" t="n">
        <f aca="false">IF(OR(R484="",R484="capacity_hours"),0,IF(R484="capacity_converted",P484*Q484,P484))</f>
        <v>12835.7314</v>
      </c>
      <c r="T484" s="11" t="n">
        <f aca="false">IF(OR(R484="cash",R484="revenue",R484="avoided_cost_realised",R484="capacity_converted"),1,0)</f>
        <v>1</v>
      </c>
      <c r="U484" s="11" t="n">
        <f aca="false">IF(AND(N484,R484&lt;&gt;"capacity_hours",LEN(K484)&gt;0),1,0)</f>
        <v>1</v>
      </c>
      <c r="V484" s="11" t="n">
        <f aca="false">IF(U484=1,SUMPRODUCT(($K$4:$K$703=K484)*($F$4:$F$703=F484)*($U$4:$U$703=1)*($B$4:$B$703&lt;&gt;B484)),0)</f>
        <v>0</v>
      </c>
      <c r="W484" s="11" t="n">
        <f aca="false">IF(AND(U484=1,V484&gt;0),1+SUMPRODUCT(($K$4:$K$703=K484)*($F$4:$F$703=F484)*($U$4:$U$703=1)*($S$4:$S$703&gt;S484))+SUMPRODUCT(($K$4:$K$703=K484)*($F$4:$F$703=F484)*($U$4:$U$703=1)*($S$4:$S$703=S484)*($T$4:$T$703&gt;T484))+SUMPRODUCT(($K$4:$K$703=K484)*($F$4:$F$703=F484)*($U$4:$U$703=1)*($S$4:$S$703=S484)*($T$4:$T$703=T484)*($C$4:$C$703&lt;C484))+SUMPRODUCT(($K$4:$K$703=K484)*($F$4:$F$703=F484)*($U$4:$U$703=1)*($S$4:$S$703=S484)*($T$4:$T$703=T484)*($C$4:$C$703=C484)*($D$4:$D$703&lt;D484)),0)</f>
        <v>0</v>
      </c>
      <c r="X484" s="11" t="n">
        <f aca="false">IF(AND(U484=1,V484&gt;0,W484&gt;1),S484,0)</f>
        <v>0</v>
      </c>
      <c r="Y484" s="11" t="n">
        <f aca="false">IF(T484=1,X484/(1+Controls!$B$11)^F484,0)</f>
        <v>0</v>
      </c>
      <c r="Z484" s="11" t="n">
        <f aca="false">IF(AND(N484,E484="capacity",LEN(K484)&gt;0),1,0)</f>
        <v>0</v>
      </c>
      <c r="AA484" s="11" t="n">
        <f aca="false">IF(Z484=1,SUMPRODUCT(($K$4:$K$703=K484)*($F$4:$F$703=F484)*($Z$4:$Z$703=1)*($B$4:$B$703&lt;&gt;B484)),0)</f>
        <v>0</v>
      </c>
      <c r="AB484" s="11" t="n">
        <f aca="false">IF(AND(Z484=1,AA484&gt;0),1+SUMPRODUCT(($K$4:$K$703=K484)*($F$4:$F$703=F484)*($Z$4:$Z$703=1)*($P$4:$P$703&gt;P484))+SUMPRODUCT(($K$4:$K$703=K484)*($F$4:$F$703=F484)*($Z$4:$Z$703=1)*($P$4:$P$703=P484)*($C$4:$C$703&lt;C484))+SUMPRODUCT(($K$4:$K$703=K484)*($F$4:$F$703=F484)*($Z$4:$Z$703=1)*($P$4:$P$703=P484)*($C$4:$C$703=C484)*($D$4:$D$703&lt;D484)),0)</f>
        <v>0</v>
      </c>
      <c r="AC484" s="11" t="n">
        <f aca="false">IF(AND(Z484=1,AA484&gt;0,AB484&gt;1),P484,0)</f>
        <v>0</v>
      </c>
    </row>
    <row r="485" customFormat="false" ht="15" hidden="false" customHeight="false" outlineLevel="0" collapsed="false">
      <c r="A485" s="4" t="s">
        <v>730</v>
      </c>
      <c r="B485" s="4" t="s">
        <v>98</v>
      </c>
      <c r="C485" s="4" t="n">
        <v>16</v>
      </c>
      <c r="D485" s="4" t="n">
        <v>482</v>
      </c>
      <c r="E485" s="4" t="s">
        <v>112</v>
      </c>
      <c r="F485" s="4" t="n">
        <v>9</v>
      </c>
      <c r="G485" s="4" t="n">
        <v>6</v>
      </c>
      <c r="H485" s="4" t="n">
        <v>59900</v>
      </c>
      <c r="I485" s="13" t="b">
        <f aca="false">FALSE()</f>
        <v>0</v>
      </c>
      <c r="K485" s="4" t="s">
        <v>727</v>
      </c>
      <c r="L485" s="4" t="n">
        <v>4575.93</v>
      </c>
      <c r="M485" s="11" t="n">
        <f aca="false">IFERROR(MATCH(Controls!$B$3&amp;"|"&amp;B485,'Scenario inputs'!$A$4:$A$213,0),0)</f>
        <v>147</v>
      </c>
      <c r="N485" s="8" t="b">
        <f aca="false">IF(M485=0,FALSE(),F485&lt;Controls!$B$12)</f>
        <v>1</v>
      </c>
      <c r="O485" s="11" t="n">
        <f aca="false">IF(N485,IF(INDEX('Scenario inputs'!$E$4:$E$213,M485)=0,1,INDEX('Scenario inputs'!$F$4:$M$213,M485,MIN(MAX(F485-G485,0),INDEX('Scenario inputs'!$E$4:$E$213,M485)-1)+1)),0)</f>
        <v>0.357143</v>
      </c>
      <c r="P485" s="11" t="n">
        <f aca="false">H485*O485</f>
        <v>21392.8657</v>
      </c>
      <c r="Q485" s="0" t="str">
        <f aca="false">IF(M485=0,"",IF(ISNUMBER(INDEX('Scenario inputs'!$N$4:$N$213,M485)),INDEX('Scenario inputs'!$N$4:$N$213,M485),""))</f>
        <v/>
      </c>
      <c r="R485" s="0" t="str">
        <f aca="false">IF(NOT(N485),"",IF(OR(E485="cash",E485="revenue"),E485,IF(E485="avoided_cost",IF(AND(I485,LEN(TRIM(J485))&gt;0),"avoided_cost_realised","avoided_cost_beside"),IF(ISNUMBER(Q485),"capacity_converted","capacity_hours"))))</f>
        <v>cash</v>
      </c>
      <c r="S485" s="11" t="n">
        <f aca="false">IF(OR(R485="",R485="capacity_hours"),0,IF(R485="capacity_converted",P485*Q485,P485))</f>
        <v>21392.8657</v>
      </c>
      <c r="T485" s="11" t="n">
        <f aca="false">IF(OR(R485="cash",R485="revenue",R485="avoided_cost_realised",R485="capacity_converted"),1,0)</f>
        <v>1</v>
      </c>
      <c r="U485" s="11" t="n">
        <f aca="false">IF(AND(N485,R485&lt;&gt;"capacity_hours",LEN(K485)&gt;0),1,0)</f>
        <v>1</v>
      </c>
      <c r="V485" s="11" t="n">
        <f aca="false">IF(U485=1,SUMPRODUCT(($K$4:$K$703=K485)*($F$4:$F$703=F485)*($U$4:$U$703=1)*($B$4:$B$703&lt;&gt;B485)),0)</f>
        <v>0</v>
      </c>
      <c r="W485" s="11" t="n">
        <f aca="false">IF(AND(U485=1,V485&gt;0),1+SUMPRODUCT(($K$4:$K$703=K485)*($F$4:$F$703=F485)*($U$4:$U$703=1)*($S$4:$S$703&gt;S485))+SUMPRODUCT(($K$4:$K$703=K485)*($F$4:$F$703=F485)*($U$4:$U$703=1)*($S$4:$S$703=S485)*($T$4:$T$703&gt;T485))+SUMPRODUCT(($K$4:$K$703=K485)*($F$4:$F$703=F485)*($U$4:$U$703=1)*($S$4:$S$703=S485)*($T$4:$T$703=T485)*($C$4:$C$703&lt;C485))+SUMPRODUCT(($K$4:$K$703=K485)*($F$4:$F$703=F485)*($U$4:$U$703=1)*($S$4:$S$703=S485)*($T$4:$T$703=T485)*($C$4:$C$703=C485)*($D$4:$D$703&lt;D485)),0)</f>
        <v>0</v>
      </c>
      <c r="X485" s="11" t="n">
        <f aca="false">IF(AND(U485=1,V485&gt;0,W485&gt;1),S485,0)</f>
        <v>0</v>
      </c>
      <c r="Y485" s="11" t="n">
        <f aca="false">IF(T485=1,X485/(1+Controls!$B$11)^F485,0)</f>
        <v>0</v>
      </c>
      <c r="Z485" s="11" t="n">
        <f aca="false">IF(AND(N485,E485="capacity",LEN(K485)&gt;0),1,0)</f>
        <v>0</v>
      </c>
      <c r="AA485" s="11" t="n">
        <f aca="false">IF(Z485=1,SUMPRODUCT(($K$4:$K$703=K485)*($F$4:$F$703=F485)*($Z$4:$Z$703=1)*($B$4:$B$703&lt;&gt;B485)),0)</f>
        <v>0</v>
      </c>
      <c r="AB485" s="11" t="n">
        <f aca="false">IF(AND(Z485=1,AA485&gt;0),1+SUMPRODUCT(($K$4:$K$703=K485)*($F$4:$F$703=F485)*($Z$4:$Z$703=1)*($P$4:$P$703&gt;P485))+SUMPRODUCT(($K$4:$K$703=K485)*($F$4:$F$703=F485)*($Z$4:$Z$703=1)*($P$4:$P$703=P485)*($C$4:$C$703&lt;C485))+SUMPRODUCT(($K$4:$K$703=K485)*($F$4:$F$703=F485)*($Z$4:$Z$703=1)*($P$4:$P$703=P485)*($C$4:$C$703=C485)*($D$4:$D$703&lt;D485)),0)</f>
        <v>0</v>
      </c>
      <c r="AC485" s="11" t="n">
        <f aca="false">IF(AND(Z485=1,AA485&gt;0,AB485&gt;1),P485,0)</f>
        <v>0</v>
      </c>
    </row>
    <row r="486" customFormat="false" ht="15" hidden="false" customHeight="false" outlineLevel="0" collapsed="false">
      <c r="A486" s="4" t="s">
        <v>731</v>
      </c>
      <c r="B486" s="4" t="s">
        <v>98</v>
      </c>
      <c r="C486" s="4" t="n">
        <v>16</v>
      </c>
      <c r="D486" s="4" t="n">
        <v>483</v>
      </c>
      <c r="E486" s="4" t="s">
        <v>112</v>
      </c>
      <c r="F486" s="4" t="n">
        <v>10</v>
      </c>
      <c r="G486" s="4" t="n">
        <v>6</v>
      </c>
      <c r="H486" s="4" t="n">
        <v>59900</v>
      </c>
      <c r="I486" s="13" t="b">
        <f aca="false">FALSE()</f>
        <v>0</v>
      </c>
      <c r="K486" s="4" t="s">
        <v>727</v>
      </c>
      <c r="L486" s="4" t="n">
        <v>6863.89</v>
      </c>
      <c r="M486" s="11" t="n">
        <f aca="false">IFERROR(MATCH(Controls!$B$3&amp;"|"&amp;B486,'Scenario inputs'!$A$4:$A$213,0),0)</f>
        <v>147</v>
      </c>
      <c r="N486" s="8" t="b">
        <f aca="false">IF(M486=0,FALSE(),F486&lt;Controls!$B$12)</f>
        <v>1</v>
      </c>
      <c r="O486" s="11" t="n">
        <f aca="false">IF(N486,IF(INDEX('Scenario inputs'!$E$4:$E$213,M486)=0,1,INDEX('Scenario inputs'!$F$4:$M$213,M486,MIN(MAX(F486-G486,0),INDEX('Scenario inputs'!$E$4:$E$213,M486)-1)+1)),0)</f>
        <v>0.535714</v>
      </c>
      <c r="P486" s="11" t="n">
        <f aca="false">H486*O486</f>
        <v>32089.2686</v>
      </c>
      <c r="Q486" s="0" t="str">
        <f aca="false">IF(M486=0,"",IF(ISNUMBER(INDEX('Scenario inputs'!$N$4:$N$213,M486)),INDEX('Scenario inputs'!$N$4:$N$213,M486),""))</f>
        <v/>
      </c>
      <c r="R486" s="0" t="str">
        <f aca="false">IF(NOT(N486),"",IF(OR(E486="cash",E486="revenue"),E486,IF(E486="avoided_cost",IF(AND(I486,LEN(TRIM(J486))&gt;0),"avoided_cost_realised","avoided_cost_beside"),IF(ISNUMBER(Q486),"capacity_converted","capacity_hours"))))</f>
        <v>cash</v>
      </c>
      <c r="S486" s="11" t="n">
        <f aca="false">IF(OR(R486="",R486="capacity_hours"),0,IF(R486="capacity_converted",P486*Q486,P486))</f>
        <v>32089.2686</v>
      </c>
      <c r="T486" s="11" t="n">
        <f aca="false">IF(OR(R486="cash",R486="revenue",R486="avoided_cost_realised",R486="capacity_converted"),1,0)</f>
        <v>1</v>
      </c>
      <c r="U486" s="11" t="n">
        <f aca="false">IF(AND(N486,R486&lt;&gt;"capacity_hours",LEN(K486)&gt;0),1,0)</f>
        <v>1</v>
      </c>
      <c r="V486" s="11" t="n">
        <f aca="false">IF(U486=1,SUMPRODUCT(($K$4:$K$703=K486)*($F$4:$F$703=F486)*($U$4:$U$703=1)*($B$4:$B$703&lt;&gt;B486)),0)</f>
        <v>0</v>
      </c>
      <c r="W486" s="11" t="n">
        <f aca="false">IF(AND(U486=1,V486&gt;0),1+SUMPRODUCT(($K$4:$K$703=K486)*($F$4:$F$703=F486)*($U$4:$U$703=1)*($S$4:$S$703&gt;S486))+SUMPRODUCT(($K$4:$K$703=K486)*($F$4:$F$703=F486)*($U$4:$U$703=1)*($S$4:$S$703=S486)*($T$4:$T$703&gt;T486))+SUMPRODUCT(($K$4:$K$703=K486)*($F$4:$F$703=F486)*($U$4:$U$703=1)*($S$4:$S$703=S486)*($T$4:$T$703=T486)*($C$4:$C$703&lt;C486))+SUMPRODUCT(($K$4:$K$703=K486)*($F$4:$F$703=F486)*($U$4:$U$703=1)*($S$4:$S$703=S486)*($T$4:$T$703=T486)*($C$4:$C$703=C486)*($D$4:$D$703&lt;D486)),0)</f>
        <v>0</v>
      </c>
      <c r="X486" s="11" t="n">
        <f aca="false">IF(AND(U486=1,V486&gt;0,W486&gt;1),S486,0)</f>
        <v>0</v>
      </c>
      <c r="Y486" s="11" t="n">
        <f aca="false">IF(T486=1,X486/(1+Controls!$B$11)^F486,0)</f>
        <v>0</v>
      </c>
      <c r="Z486" s="11" t="n">
        <f aca="false">IF(AND(N486,E486="capacity",LEN(K486)&gt;0),1,0)</f>
        <v>0</v>
      </c>
      <c r="AA486" s="11" t="n">
        <f aca="false">IF(Z486=1,SUMPRODUCT(($K$4:$K$703=K486)*($F$4:$F$703=F486)*($Z$4:$Z$703=1)*($B$4:$B$703&lt;&gt;B486)),0)</f>
        <v>0</v>
      </c>
      <c r="AB486" s="11" t="n">
        <f aca="false">IF(AND(Z486=1,AA486&gt;0),1+SUMPRODUCT(($K$4:$K$703=K486)*($F$4:$F$703=F486)*($Z$4:$Z$703=1)*($P$4:$P$703&gt;P486))+SUMPRODUCT(($K$4:$K$703=K486)*($F$4:$F$703=F486)*($Z$4:$Z$703=1)*($P$4:$P$703=P486)*($C$4:$C$703&lt;C486))+SUMPRODUCT(($K$4:$K$703=K486)*($F$4:$F$703=F486)*($Z$4:$Z$703=1)*($P$4:$P$703=P486)*($C$4:$C$703=C486)*($D$4:$D$703&lt;D486)),0)</f>
        <v>0</v>
      </c>
      <c r="AC486" s="11" t="n">
        <f aca="false">IF(AND(Z486=1,AA486&gt;0,AB486&gt;1),P486,0)</f>
        <v>0</v>
      </c>
    </row>
    <row r="487" customFormat="false" ht="15" hidden="false" customHeight="false" outlineLevel="0" collapsed="false">
      <c r="A487" s="4" t="s">
        <v>732</v>
      </c>
      <c r="B487" s="4" t="s">
        <v>98</v>
      </c>
      <c r="C487" s="4" t="n">
        <v>16</v>
      </c>
      <c r="D487" s="4" t="n">
        <v>484</v>
      </c>
      <c r="E487" s="4" t="s">
        <v>112</v>
      </c>
      <c r="F487" s="4" t="n">
        <v>11</v>
      </c>
      <c r="G487" s="4" t="n">
        <v>6</v>
      </c>
      <c r="H487" s="4" t="n">
        <v>59900</v>
      </c>
      <c r="I487" s="13" t="b">
        <f aca="false">FALSE()</f>
        <v>0</v>
      </c>
      <c r="K487" s="4" t="s">
        <v>727</v>
      </c>
      <c r="L487" s="4" t="n">
        <v>9609.46</v>
      </c>
      <c r="M487" s="11" t="n">
        <f aca="false">IFERROR(MATCH(Controls!$B$3&amp;"|"&amp;B487,'Scenario inputs'!$A$4:$A$213,0),0)</f>
        <v>147</v>
      </c>
      <c r="N487" s="8" t="b">
        <f aca="false">IF(M487=0,FALSE(),F487&lt;Controls!$B$12)</f>
        <v>1</v>
      </c>
      <c r="O487" s="11" t="n">
        <f aca="false">IF(N487,IF(INDEX('Scenario inputs'!$E$4:$E$213,M487)=0,1,INDEX('Scenario inputs'!$F$4:$M$213,M487,MIN(MAX(F487-G487,0),INDEX('Scenario inputs'!$E$4:$E$213,M487)-1)+1)),0)</f>
        <v>0.75</v>
      </c>
      <c r="P487" s="11" t="n">
        <f aca="false">H487*O487</f>
        <v>44925</v>
      </c>
      <c r="Q487" s="0" t="str">
        <f aca="false">IF(M487=0,"",IF(ISNUMBER(INDEX('Scenario inputs'!$N$4:$N$213,M487)),INDEX('Scenario inputs'!$N$4:$N$213,M487),""))</f>
        <v/>
      </c>
      <c r="R487" s="0" t="str">
        <f aca="false">IF(NOT(N487),"",IF(OR(E487="cash",E487="revenue"),E487,IF(E487="avoided_cost",IF(AND(I487,LEN(TRIM(J487))&gt;0),"avoided_cost_realised","avoided_cost_beside"),IF(ISNUMBER(Q487),"capacity_converted","capacity_hours"))))</f>
        <v>cash</v>
      </c>
      <c r="S487" s="11" t="n">
        <f aca="false">IF(OR(R487="",R487="capacity_hours"),0,IF(R487="capacity_converted",P487*Q487,P487))</f>
        <v>44925</v>
      </c>
      <c r="T487" s="11" t="n">
        <f aca="false">IF(OR(R487="cash",R487="revenue",R487="avoided_cost_realised",R487="capacity_converted"),1,0)</f>
        <v>1</v>
      </c>
      <c r="U487" s="11" t="n">
        <f aca="false">IF(AND(N487,R487&lt;&gt;"capacity_hours",LEN(K487)&gt;0),1,0)</f>
        <v>1</v>
      </c>
      <c r="V487" s="11" t="n">
        <f aca="false">IF(U487=1,SUMPRODUCT(($K$4:$K$703=K487)*($F$4:$F$703=F487)*($U$4:$U$703=1)*($B$4:$B$703&lt;&gt;B487)),0)</f>
        <v>0</v>
      </c>
      <c r="W487" s="11" t="n">
        <f aca="false">IF(AND(U487=1,V487&gt;0),1+SUMPRODUCT(($K$4:$K$703=K487)*($F$4:$F$703=F487)*($U$4:$U$703=1)*($S$4:$S$703&gt;S487))+SUMPRODUCT(($K$4:$K$703=K487)*($F$4:$F$703=F487)*($U$4:$U$703=1)*($S$4:$S$703=S487)*($T$4:$T$703&gt;T487))+SUMPRODUCT(($K$4:$K$703=K487)*($F$4:$F$703=F487)*($U$4:$U$703=1)*($S$4:$S$703=S487)*($T$4:$T$703=T487)*($C$4:$C$703&lt;C487))+SUMPRODUCT(($K$4:$K$703=K487)*($F$4:$F$703=F487)*($U$4:$U$703=1)*($S$4:$S$703=S487)*($T$4:$T$703=T487)*($C$4:$C$703=C487)*($D$4:$D$703&lt;D487)),0)</f>
        <v>0</v>
      </c>
      <c r="X487" s="11" t="n">
        <f aca="false">IF(AND(U487=1,V487&gt;0,W487&gt;1),S487,0)</f>
        <v>0</v>
      </c>
      <c r="Y487" s="11" t="n">
        <f aca="false">IF(T487=1,X487/(1+Controls!$B$11)^F487,0)</f>
        <v>0</v>
      </c>
      <c r="Z487" s="11" t="n">
        <f aca="false">IF(AND(N487,E487="capacity",LEN(K487)&gt;0),1,0)</f>
        <v>0</v>
      </c>
      <c r="AA487" s="11" t="n">
        <f aca="false">IF(Z487=1,SUMPRODUCT(($K$4:$K$703=K487)*($F$4:$F$703=F487)*($Z$4:$Z$703=1)*($B$4:$B$703&lt;&gt;B487)),0)</f>
        <v>0</v>
      </c>
      <c r="AB487" s="11" t="n">
        <f aca="false">IF(AND(Z487=1,AA487&gt;0),1+SUMPRODUCT(($K$4:$K$703=K487)*($F$4:$F$703=F487)*($Z$4:$Z$703=1)*($P$4:$P$703&gt;P487))+SUMPRODUCT(($K$4:$K$703=K487)*($F$4:$F$703=F487)*($Z$4:$Z$703=1)*($P$4:$P$703=P487)*($C$4:$C$703&lt;C487))+SUMPRODUCT(($K$4:$K$703=K487)*($F$4:$F$703=F487)*($Z$4:$Z$703=1)*($P$4:$P$703=P487)*($C$4:$C$703=C487)*($D$4:$D$703&lt;D487)),0)</f>
        <v>0</v>
      </c>
      <c r="AC487" s="11" t="n">
        <f aca="false">IF(AND(Z487=1,AA487&gt;0,AB487&gt;1),P487,0)</f>
        <v>0</v>
      </c>
    </row>
    <row r="488" customFormat="false" ht="15" hidden="false" customHeight="false" outlineLevel="0" collapsed="false">
      <c r="A488" s="4" t="s">
        <v>733</v>
      </c>
      <c r="B488" s="4" t="s">
        <v>98</v>
      </c>
      <c r="C488" s="4" t="n">
        <v>16</v>
      </c>
      <c r="D488" s="4" t="n">
        <v>485</v>
      </c>
      <c r="E488" s="4" t="s">
        <v>112</v>
      </c>
      <c r="F488" s="4" t="n">
        <v>12</v>
      </c>
      <c r="G488" s="4" t="n">
        <v>6</v>
      </c>
      <c r="H488" s="4" t="n">
        <v>59900</v>
      </c>
      <c r="I488" s="13" t="b">
        <f aca="false">FALSE()</f>
        <v>0</v>
      </c>
      <c r="K488" s="4" t="s">
        <v>727</v>
      </c>
      <c r="L488" s="4" t="n">
        <v>12812.61</v>
      </c>
      <c r="M488" s="11" t="n">
        <f aca="false">IFERROR(MATCH(Controls!$B$3&amp;"|"&amp;B488,'Scenario inputs'!$A$4:$A$213,0),0)</f>
        <v>147</v>
      </c>
      <c r="N488" s="8" t="b">
        <f aca="false">IF(M488=0,FALSE(),F488&lt;Controls!$B$12)</f>
        <v>1</v>
      </c>
      <c r="O488" s="11" t="n">
        <f aca="false">IF(N488,IF(INDEX('Scenario inputs'!$E$4:$E$213,M488)=0,1,INDEX('Scenario inputs'!$F$4:$M$213,M488,MIN(MAX(F488-G488,0),INDEX('Scenario inputs'!$E$4:$E$213,M488)-1)+1)),0)</f>
        <v>1</v>
      </c>
      <c r="P488" s="11" t="n">
        <f aca="false">H488*O488</f>
        <v>59900</v>
      </c>
      <c r="Q488" s="0" t="str">
        <f aca="false">IF(M488=0,"",IF(ISNUMBER(INDEX('Scenario inputs'!$N$4:$N$213,M488)),INDEX('Scenario inputs'!$N$4:$N$213,M488),""))</f>
        <v/>
      </c>
      <c r="R488" s="0" t="str">
        <f aca="false">IF(NOT(N488),"",IF(OR(E488="cash",E488="revenue"),E488,IF(E488="avoided_cost",IF(AND(I488,LEN(TRIM(J488))&gt;0),"avoided_cost_realised","avoided_cost_beside"),IF(ISNUMBER(Q488),"capacity_converted","capacity_hours"))))</f>
        <v>cash</v>
      </c>
      <c r="S488" s="11" t="n">
        <f aca="false">IF(OR(R488="",R488="capacity_hours"),0,IF(R488="capacity_converted",P488*Q488,P488))</f>
        <v>59900</v>
      </c>
      <c r="T488" s="11" t="n">
        <f aca="false">IF(OR(R488="cash",R488="revenue",R488="avoided_cost_realised",R488="capacity_converted"),1,0)</f>
        <v>1</v>
      </c>
      <c r="U488" s="11" t="n">
        <f aca="false">IF(AND(N488,R488&lt;&gt;"capacity_hours",LEN(K488)&gt;0),1,0)</f>
        <v>1</v>
      </c>
      <c r="V488" s="11" t="n">
        <f aca="false">IF(U488=1,SUMPRODUCT(($K$4:$K$703=K488)*($F$4:$F$703=F488)*($U$4:$U$703=1)*($B$4:$B$703&lt;&gt;B488)),0)</f>
        <v>0</v>
      </c>
      <c r="W488" s="11" t="n">
        <f aca="false">IF(AND(U488=1,V488&gt;0),1+SUMPRODUCT(($K$4:$K$703=K488)*($F$4:$F$703=F488)*($U$4:$U$703=1)*($S$4:$S$703&gt;S488))+SUMPRODUCT(($K$4:$K$703=K488)*($F$4:$F$703=F488)*($U$4:$U$703=1)*($S$4:$S$703=S488)*($T$4:$T$703&gt;T488))+SUMPRODUCT(($K$4:$K$703=K488)*($F$4:$F$703=F488)*($U$4:$U$703=1)*($S$4:$S$703=S488)*($T$4:$T$703=T488)*($C$4:$C$703&lt;C488))+SUMPRODUCT(($K$4:$K$703=K488)*($F$4:$F$703=F488)*($U$4:$U$703=1)*($S$4:$S$703=S488)*($T$4:$T$703=T488)*($C$4:$C$703=C488)*($D$4:$D$703&lt;D488)),0)</f>
        <v>0</v>
      </c>
      <c r="X488" s="11" t="n">
        <f aca="false">IF(AND(U488=1,V488&gt;0,W488&gt;1),S488,0)</f>
        <v>0</v>
      </c>
      <c r="Y488" s="11" t="n">
        <f aca="false">IF(T488=1,X488/(1+Controls!$B$11)^F488,0)</f>
        <v>0</v>
      </c>
      <c r="Z488" s="11" t="n">
        <f aca="false">IF(AND(N488,E488="capacity",LEN(K488)&gt;0),1,0)</f>
        <v>0</v>
      </c>
      <c r="AA488" s="11" t="n">
        <f aca="false">IF(Z488=1,SUMPRODUCT(($K$4:$K$703=K488)*($F$4:$F$703=F488)*($Z$4:$Z$703=1)*($B$4:$B$703&lt;&gt;B488)),0)</f>
        <v>0</v>
      </c>
      <c r="AB488" s="11" t="n">
        <f aca="false">IF(AND(Z488=1,AA488&gt;0),1+SUMPRODUCT(($K$4:$K$703=K488)*($F$4:$F$703=F488)*($Z$4:$Z$703=1)*($P$4:$P$703&gt;P488))+SUMPRODUCT(($K$4:$K$703=K488)*($F$4:$F$703=F488)*($Z$4:$Z$703=1)*($P$4:$P$703=P488)*($C$4:$C$703&lt;C488))+SUMPRODUCT(($K$4:$K$703=K488)*($F$4:$F$703=F488)*($Z$4:$Z$703=1)*($P$4:$P$703=P488)*($C$4:$C$703=C488)*($D$4:$D$703&lt;D488)),0)</f>
        <v>0</v>
      </c>
      <c r="AC488" s="11" t="n">
        <f aca="false">IF(AND(Z488=1,AA488&gt;0,AB488&gt;1),P488,0)</f>
        <v>0</v>
      </c>
    </row>
    <row r="489" customFormat="false" ht="15" hidden="false" customHeight="false" outlineLevel="0" collapsed="false">
      <c r="A489" s="4" t="s">
        <v>734</v>
      </c>
      <c r="B489" s="4" t="s">
        <v>98</v>
      </c>
      <c r="C489" s="4" t="n">
        <v>16</v>
      </c>
      <c r="D489" s="4" t="n">
        <v>486</v>
      </c>
      <c r="E489" s="4" t="s">
        <v>112</v>
      </c>
      <c r="F489" s="4" t="n">
        <v>13</v>
      </c>
      <c r="G489" s="4" t="n">
        <v>6</v>
      </c>
      <c r="H489" s="4" t="n">
        <v>59900</v>
      </c>
      <c r="I489" s="13" t="b">
        <f aca="false">FALSE()</f>
        <v>0</v>
      </c>
      <c r="K489" s="4" t="s">
        <v>727</v>
      </c>
      <c r="L489" s="4" t="n">
        <v>12812.61</v>
      </c>
      <c r="M489" s="11" t="n">
        <f aca="false">IFERROR(MATCH(Controls!$B$3&amp;"|"&amp;B489,'Scenario inputs'!$A$4:$A$213,0),0)</f>
        <v>147</v>
      </c>
      <c r="N489" s="8" t="b">
        <f aca="false">IF(M489=0,FALSE(),F489&lt;Controls!$B$12)</f>
        <v>1</v>
      </c>
      <c r="O489" s="11" t="n">
        <f aca="false">IF(N489,IF(INDEX('Scenario inputs'!$E$4:$E$213,M489)=0,1,INDEX('Scenario inputs'!$F$4:$M$213,M489,MIN(MAX(F489-G489,0),INDEX('Scenario inputs'!$E$4:$E$213,M489)-1)+1)),0)</f>
        <v>1</v>
      </c>
      <c r="P489" s="11" t="n">
        <f aca="false">H489*O489</f>
        <v>59900</v>
      </c>
      <c r="Q489" s="0" t="str">
        <f aca="false">IF(M489=0,"",IF(ISNUMBER(INDEX('Scenario inputs'!$N$4:$N$213,M489)),INDEX('Scenario inputs'!$N$4:$N$213,M489),""))</f>
        <v/>
      </c>
      <c r="R489" s="0" t="str">
        <f aca="false">IF(NOT(N489),"",IF(OR(E489="cash",E489="revenue"),E489,IF(E489="avoided_cost",IF(AND(I489,LEN(TRIM(J489))&gt;0),"avoided_cost_realised","avoided_cost_beside"),IF(ISNUMBER(Q489),"capacity_converted","capacity_hours"))))</f>
        <v>cash</v>
      </c>
      <c r="S489" s="11" t="n">
        <f aca="false">IF(OR(R489="",R489="capacity_hours"),0,IF(R489="capacity_converted",P489*Q489,P489))</f>
        <v>59900</v>
      </c>
      <c r="T489" s="11" t="n">
        <f aca="false">IF(OR(R489="cash",R489="revenue",R489="avoided_cost_realised",R489="capacity_converted"),1,0)</f>
        <v>1</v>
      </c>
      <c r="U489" s="11" t="n">
        <f aca="false">IF(AND(N489,R489&lt;&gt;"capacity_hours",LEN(K489)&gt;0),1,0)</f>
        <v>1</v>
      </c>
      <c r="V489" s="11" t="n">
        <f aca="false">IF(U489=1,SUMPRODUCT(($K$4:$K$703=K489)*($F$4:$F$703=F489)*($U$4:$U$703=1)*($B$4:$B$703&lt;&gt;B489)),0)</f>
        <v>0</v>
      </c>
      <c r="W489" s="11" t="n">
        <f aca="false">IF(AND(U489=1,V489&gt;0),1+SUMPRODUCT(($K$4:$K$703=K489)*($F$4:$F$703=F489)*($U$4:$U$703=1)*($S$4:$S$703&gt;S489))+SUMPRODUCT(($K$4:$K$703=K489)*($F$4:$F$703=F489)*($U$4:$U$703=1)*($S$4:$S$703=S489)*($T$4:$T$703&gt;T489))+SUMPRODUCT(($K$4:$K$703=K489)*($F$4:$F$703=F489)*($U$4:$U$703=1)*($S$4:$S$703=S489)*($T$4:$T$703=T489)*($C$4:$C$703&lt;C489))+SUMPRODUCT(($K$4:$K$703=K489)*($F$4:$F$703=F489)*($U$4:$U$703=1)*($S$4:$S$703=S489)*($T$4:$T$703=T489)*($C$4:$C$703=C489)*($D$4:$D$703&lt;D489)),0)</f>
        <v>0</v>
      </c>
      <c r="X489" s="11" t="n">
        <f aca="false">IF(AND(U489=1,V489&gt;0,W489&gt;1),S489,0)</f>
        <v>0</v>
      </c>
      <c r="Y489" s="11" t="n">
        <f aca="false">IF(T489=1,X489/(1+Controls!$B$11)^F489,0)</f>
        <v>0</v>
      </c>
      <c r="Z489" s="11" t="n">
        <f aca="false">IF(AND(N489,E489="capacity",LEN(K489)&gt;0),1,0)</f>
        <v>0</v>
      </c>
      <c r="AA489" s="11" t="n">
        <f aca="false">IF(Z489=1,SUMPRODUCT(($K$4:$K$703=K489)*($F$4:$F$703=F489)*($Z$4:$Z$703=1)*($B$4:$B$703&lt;&gt;B489)),0)</f>
        <v>0</v>
      </c>
      <c r="AB489" s="11" t="n">
        <f aca="false">IF(AND(Z489=1,AA489&gt;0),1+SUMPRODUCT(($K$4:$K$703=K489)*($F$4:$F$703=F489)*($Z$4:$Z$703=1)*($P$4:$P$703&gt;P489))+SUMPRODUCT(($K$4:$K$703=K489)*($F$4:$F$703=F489)*($Z$4:$Z$703=1)*($P$4:$P$703=P489)*($C$4:$C$703&lt;C489))+SUMPRODUCT(($K$4:$K$703=K489)*($F$4:$F$703=F489)*($Z$4:$Z$703=1)*($P$4:$P$703=P489)*($C$4:$C$703=C489)*($D$4:$D$703&lt;D489)),0)</f>
        <v>0</v>
      </c>
      <c r="AC489" s="11" t="n">
        <f aca="false">IF(AND(Z489=1,AA489&gt;0,AB489&gt;1),P489,0)</f>
        <v>0</v>
      </c>
    </row>
    <row r="490" customFormat="false" ht="15" hidden="false" customHeight="false" outlineLevel="0" collapsed="false">
      <c r="A490" s="4" t="s">
        <v>735</v>
      </c>
      <c r="B490" s="4" t="s">
        <v>98</v>
      </c>
      <c r="C490" s="4" t="n">
        <v>16</v>
      </c>
      <c r="D490" s="4" t="n">
        <v>487</v>
      </c>
      <c r="E490" s="4" t="s">
        <v>112</v>
      </c>
      <c r="F490" s="4" t="n">
        <v>14</v>
      </c>
      <c r="G490" s="4" t="n">
        <v>6</v>
      </c>
      <c r="H490" s="4" t="n">
        <v>59900</v>
      </c>
      <c r="I490" s="13" t="b">
        <f aca="false">FALSE()</f>
        <v>0</v>
      </c>
      <c r="K490" s="4" t="s">
        <v>727</v>
      </c>
      <c r="L490" s="4" t="n">
        <v>12812.61</v>
      </c>
      <c r="M490" s="11" t="n">
        <f aca="false">IFERROR(MATCH(Controls!$B$3&amp;"|"&amp;B490,'Scenario inputs'!$A$4:$A$213,0),0)</f>
        <v>147</v>
      </c>
      <c r="N490" s="8" t="b">
        <f aca="false">IF(M490=0,FALSE(),F490&lt;Controls!$B$12)</f>
        <v>1</v>
      </c>
      <c r="O490" s="11" t="n">
        <f aca="false">IF(N490,IF(INDEX('Scenario inputs'!$E$4:$E$213,M490)=0,1,INDEX('Scenario inputs'!$F$4:$M$213,M490,MIN(MAX(F490-G490,0),INDEX('Scenario inputs'!$E$4:$E$213,M490)-1)+1)),0)</f>
        <v>1</v>
      </c>
      <c r="P490" s="11" t="n">
        <f aca="false">H490*O490</f>
        <v>59900</v>
      </c>
      <c r="Q490" s="0" t="str">
        <f aca="false">IF(M490=0,"",IF(ISNUMBER(INDEX('Scenario inputs'!$N$4:$N$213,M490)),INDEX('Scenario inputs'!$N$4:$N$213,M490),""))</f>
        <v/>
      </c>
      <c r="R490" s="0" t="str">
        <f aca="false">IF(NOT(N490),"",IF(OR(E490="cash",E490="revenue"),E490,IF(E490="avoided_cost",IF(AND(I490,LEN(TRIM(J490))&gt;0),"avoided_cost_realised","avoided_cost_beside"),IF(ISNUMBER(Q490),"capacity_converted","capacity_hours"))))</f>
        <v>cash</v>
      </c>
      <c r="S490" s="11" t="n">
        <f aca="false">IF(OR(R490="",R490="capacity_hours"),0,IF(R490="capacity_converted",P490*Q490,P490))</f>
        <v>59900</v>
      </c>
      <c r="T490" s="11" t="n">
        <f aca="false">IF(OR(R490="cash",R490="revenue",R490="avoided_cost_realised",R490="capacity_converted"),1,0)</f>
        <v>1</v>
      </c>
      <c r="U490" s="11" t="n">
        <f aca="false">IF(AND(N490,R490&lt;&gt;"capacity_hours",LEN(K490)&gt;0),1,0)</f>
        <v>1</v>
      </c>
      <c r="V490" s="11" t="n">
        <f aca="false">IF(U490=1,SUMPRODUCT(($K$4:$K$703=K490)*($F$4:$F$703=F490)*($U$4:$U$703=1)*($B$4:$B$703&lt;&gt;B490)),0)</f>
        <v>0</v>
      </c>
      <c r="W490" s="11" t="n">
        <f aca="false">IF(AND(U490=1,V490&gt;0),1+SUMPRODUCT(($K$4:$K$703=K490)*($F$4:$F$703=F490)*($U$4:$U$703=1)*($S$4:$S$703&gt;S490))+SUMPRODUCT(($K$4:$K$703=K490)*($F$4:$F$703=F490)*($U$4:$U$703=1)*($S$4:$S$703=S490)*($T$4:$T$703&gt;T490))+SUMPRODUCT(($K$4:$K$703=K490)*($F$4:$F$703=F490)*($U$4:$U$703=1)*($S$4:$S$703=S490)*($T$4:$T$703=T490)*($C$4:$C$703&lt;C490))+SUMPRODUCT(($K$4:$K$703=K490)*($F$4:$F$703=F490)*($U$4:$U$703=1)*($S$4:$S$703=S490)*($T$4:$T$703=T490)*($C$4:$C$703=C490)*($D$4:$D$703&lt;D490)),0)</f>
        <v>0</v>
      </c>
      <c r="X490" s="11" t="n">
        <f aca="false">IF(AND(U490=1,V490&gt;0,W490&gt;1),S490,0)</f>
        <v>0</v>
      </c>
      <c r="Y490" s="11" t="n">
        <f aca="false">IF(T490=1,X490/(1+Controls!$B$11)^F490,0)</f>
        <v>0</v>
      </c>
      <c r="Z490" s="11" t="n">
        <f aca="false">IF(AND(N490,E490="capacity",LEN(K490)&gt;0),1,0)</f>
        <v>0</v>
      </c>
      <c r="AA490" s="11" t="n">
        <f aca="false">IF(Z490=1,SUMPRODUCT(($K$4:$K$703=K490)*($F$4:$F$703=F490)*($Z$4:$Z$703=1)*($B$4:$B$703&lt;&gt;B490)),0)</f>
        <v>0</v>
      </c>
      <c r="AB490" s="11" t="n">
        <f aca="false">IF(AND(Z490=1,AA490&gt;0),1+SUMPRODUCT(($K$4:$K$703=K490)*($F$4:$F$703=F490)*($Z$4:$Z$703=1)*($P$4:$P$703&gt;P490))+SUMPRODUCT(($K$4:$K$703=K490)*($F$4:$F$703=F490)*($Z$4:$Z$703=1)*($P$4:$P$703=P490)*($C$4:$C$703&lt;C490))+SUMPRODUCT(($K$4:$K$703=K490)*($F$4:$F$703=F490)*($Z$4:$Z$703=1)*($P$4:$P$703=P490)*($C$4:$C$703=C490)*($D$4:$D$703&lt;D490)),0)</f>
        <v>0</v>
      </c>
      <c r="AC490" s="11" t="n">
        <f aca="false">IF(AND(Z490=1,AA490&gt;0,AB490&gt;1),P490,0)</f>
        <v>0</v>
      </c>
    </row>
    <row r="491" customFormat="false" ht="15" hidden="false" customHeight="false" outlineLevel="0" collapsed="false">
      <c r="A491" s="4" t="s">
        <v>736</v>
      </c>
      <c r="B491" s="4" t="s">
        <v>98</v>
      </c>
      <c r="C491" s="4" t="n">
        <v>16</v>
      </c>
      <c r="D491" s="4" t="n">
        <v>488</v>
      </c>
      <c r="E491" s="4" t="s">
        <v>112</v>
      </c>
      <c r="F491" s="4" t="n">
        <v>15</v>
      </c>
      <c r="G491" s="4" t="n">
        <v>6</v>
      </c>
      <c r="H491" s="4" t="n">
        <v>59900</v>
      </c>
      <c r="I491" s="13" t="b">
        <f aca="false">FALSE()</f>
        <v>0</v>
      </c>
      <c r="K491" s="4" t="s">
        <v>727</v>
      </c>
      <c r="L491" s="4" t="n">
        <v>12812.61</v>
      </c>
      <c r="M491" s="11" t="n">
        <f aca="false">IFERROR(MATCH(Controls!$B$3&amp;"|"&amp;B491,'Scenario inputs'!$A$4:$A$213,0),0)</f>
        <v>147</v>
      </c>
      <c r="N491" s="8" t="b">
        <f aca="false">IF(M491=0,FALSE(),F491&lt;Controls!$B$12)</f>
        <v>1</v>
      </c>
      <c r="O491" s="11" t="n">
        <f aca="false">IF(N491,IF(INDEX('Scenario inputs'!$E$4:$E$213,M491)=0,1,INDEX('Scenario inputs'!$F$4:$M$213,M491,MIN(MAX(F491-G491,0),INDEX('Scenario inputs'!$E$4:$E$213,M491)-1)+1)),0)</f>
        <v>1</v>
      </c>
      <c r="P491" s="11" t="n">
        <f aca="false">H491*O491</f>
        <v>59900</v>
      </c>
      <c r="Q491" s="0" t="str">
        <f aca="false">IF(M491=0,"",IF(ISNUMBER(INDEX('Scenario inputs'!$N$4:$N$213,M491)),INDEX('Scenario inputs'!$N$4:$N$213,M491),""))</f>
        <v/>
      </c>
      <c r="R491" s="0" t="str">
        <f aca="false">IF(NOT(N491),"",IF(OR(E491="cash",E491="revenue"),E491,IF(E491="avoided_cost",IF(AND(I491,LEN(TRIM(J491))&gt;0),"avoided_cost_realised","avoided_cost_beside"),IF(ISNUMBER(Q491),"capacity_converted","capacity_hours"))))</f>
        <v>cash</v>
      </c>
      <c r="S491" s="11" t="n">
        <f aca="false">IF(OR(R491="",R491="capacity_hours"),0,IF(R491="capacity_converted",P491*Q491,P491))</f>
        <v>59900</v>
      </c>
      <c r="T491" s="11" t="n">
        <f aca="false">IF(OR(R491="cash",R491="revenue",R491="avoided_cost_realised",R491="capacity_converted"),1,0)</f>
        <v>1</v>
      </c>
      <c r="U491" s="11" t="n">
        <f aca="false">IF(AND(N491,R491&lt;&gt;"capacity_hours",LEN(K491)&gt;0),1,0)</f>
        <v>1</v>
      </c>
      <c r="V491" s="11" t="n">
        <f aca="false">IF(U491=1,SUMPRODUCT(($K$4:$K$703=K491)*($F$4:$F$703=F491)*($U$4:$U$703=1)*($B$4:$B$703&lt;&gt;B491)),0)</f>
        <v>0</v>
      </c>
      <c r="W491" s="11" t="n">
        <f aca="false">IF(AND(U491=1,V491&gt;0),1+SUMPRODUCT(($K$4:$K$703=K491)*($F$4:$F$703=F491)*($U$4:$U$703=1)*($S$4:$S$703&gt;S491))+SUMPRODUCT(($K$4:$K$703=K491)*($F$4:$F$703=F491)*($U$4:$U$703=1)*($S$4:$S$703=S491)*($T$4:$T$703&gt;T491))+SUMPRODUCT(($K$4:$K$703=K491)*($F$4:$F$703=F491)*($U$4:$U$703=1)*($S$4:$S$703=S491)*($T$4:$T$703=T491)*($C$4:$C$703&lt;C491))+SUMPRODUCT(($K$4:$K$703=K491)*($F$4:$F$703=F491)*($U$4:$U$703=1)*($S$4:$S$703=S491)*($T$4:$T$703=T491)*($C$4:$C$703=C491)*($D$4:$D$703&lt;D491)),0)</f>
        <v>0</v>
      </c>
      <c r="X491" s="11" t="n">
        <f aca="false">IF(AND(U491=1,V491&gt;0,W491&gt;1),S491,0)</f>
        <v>0</v>
      </c>
      <c r="Y491" s="11" t="n">
        <f aca="false">IF(T491=1,X491/(1+Controls!$B$11)^F491,0)</f>
        <v>0</v>
      </c>
      <c r="Z491" s="11" t="n">
        <f aca="false">IF(AND(N491,E491="capacity",LEN(K491)&gt;0),1,0)</f>
        <v>0</v>
      </c>
      <c r="AA491" s="11" t="n">
        <f aca="false">IF(Z491=1,SUMPRODUCT(($K$4:$K$703=K491)*($F$4:$F$703=F491)*($Z$4:$Z$703=1)*($B$4:$B$703&lt;&gt;B491)),0)</f>
        <v>0</v>
      </c>
      <c r="AB491" s="11" t="n">
        <f aca="false">IF(AND(Z491=1,AA491&gt;0),1+SUMPRODUCT(($K$4:$K$703=K491)*($F$4:$F$703=F491)*($Z$4:$Z$703=1)*($P$4:$P$703&gt;P491))+SUMPRODUCT(($K$4:$K$703=K491)*($F$4:$F$703=F491)*($Z$4:$Z$703=1)*($P$4:$P$703=P491)*($C$4:$C$703&lt;C491))+SUMPRODUCT(($K$4:$K$703=K491)*($F$4:$F$703=F491)*($Z$4:$Z$703=1)*($P$4:$P$703=P491)*($C$4:$C$703=C491)*($D$4:$D$703&lt;D491)),0)</f>
        <v>0</v>
      </c>
      <c r="AC491" s="11" t="n">
        <f aca="false">IF(AND(Z491=1,AA491&gt;0,AB491&gt;1),P491,0)</f>
        <v>0</v>
      </c>
    </row>
    <row r="492" customFormat="false" ht="15" hidden="false" customHeight="false" outlineLevel="0" collapsed="false">
      <c r="A492" s="4" t="s">
        <v>737</v>
      </c>
      <c r="B492" s="4" t="s">
        <v>98</v>
      </c>
      <c r="C492" s="4" t="n">
        <v>16</v>
      </c>
      <c r="D492" s="4" t="n">
        <v>489</v>
      </c>
      <c r="E492" s="4" t="s">
        <v>112</v>
      </c>
      <c r="F492" s="4" t="n">
        <v>16</v>
      </c>
      <c r="G492" s="4" t="n">
        <v>6</v>
      </c>
      <c r="H492" s="4" t="n">
        <v>59900</v>
      </c>
      <c r="I492" s="13" t="b">
        <f aca="false">FALSE()</f>
        <v>0</v>
      </c>
      <c r="K492" s="4" t="s">
        <v>727</v>
      </c>
      <c r="L492" s="4" t="n">
        <v>12812.61</v>
      </c>
      <c r="M492" s="11" t="n">
        <f aca="false">IFERROR(MATCH(Controls!$B$3&amp;"|"&amp;B492,'Scenario inputs'!$A$4:$A$213,0),0)</f>
        <v>147</v>
      </c>
      <c r="N492" s="8" t="b">
        <f aca="false">IF(M492=0,FALSE(),F492&lt;Controls!$B$12)</f>
        <v>1</v>
      </c>
      <c r="O492" s="11" t="n">
        <f aca="false">IF(N492,IF(INDEX('Scenario inputs'!$E$4:$E$213,M492)=0,1,INDEX('Scenario inputs'!$F$4:$M$213,M492,MIN(MAX(F492-G492,0),INDEX('Scenario inputs'!$E$4:$E$213,M492)-1)+1)),0)</f>
        <v>1</v>
      </c>
      <c r="P492" s="11" t="n">
        <f aca="false">H492*O492</f>
        <v>59900</v>
      </c>
      <c r="Q492" s="0" t="str">
        <f aca="false">IF(M492=0,"",IF(ISNUMBER(INDEX('Scenario inputs'!$N$4:$N$213,M492)),INDEX('Scenario inputs'!$N$4:$N$213,M492),""))</f>
        <v/>
      </c>
      <c r="R492" s="0" t="str">
        <f aca="false">IF(NOT(N492),"",IF(OR(E492="cash",E492="revenue"),E492,IF(E492="avoided_cost",IF(AND(I492,LEN(TRIM(J492))&gt;0),"avoided_cost_realised","avoided_cost_beside"),IF(ISNUMBER(Q492),"capacity_converted","capacity_hours"))))</f>
        <v>cash</v>
      </c>
      <c r="S492" s="11" t="n">
        <f aca="false">IF(OR(R492="",R492="capacity_hours"),0,IF(R492="capacity_converted",P492*Q492,P492))</f>
        <v>59900</v>
      </c>
      <c r="T492" s="11" t="n">
        <f aca="false">IF(OR(R492="cash",R492="revenue",R492="avoided_cost_realised",R492="capacity_converted"),1,0)</f>
        <v>1</v>
      </c>
      <c r="U492" s="11" t="n">
        <f aca="false">IF(AND(N492,R492&lt;&gt;"capacity_hours",LEN(K492)&gt;0),1,0)</f>
        <v>1</v>
      </c>
      <c r="V492" s="11" t="n">
        <f aca="false">IF(U492=1,SUMPRODUCT(($K$4:$K$703=K492)*($F$4:$F$703=F492)*($U$4:$U$703=1)*($B$4:$B$703&lt;&gt;B492)),0)</f>
        <v>0</v>
      </c>
      <c r="W492" s="11" t="n">
        <f aca="false">IF(AND(U492=1,V492&gt;0),1+SUMPRODUCT(($K$4:$K$703=K492)*($F$4:$F$703=F492)*($U$4:$U$703=1)*($S$4:$S$703&gt;S492))+SUMPRODUCT(($K$4:$K$703=K492)*($F$4:$F$703=F492)*($U$4:$U$703=1)*($S$4:$S$703=S492)*($T$4:$T$703&gt;T492))+SUMPRODUCT(($K$4:$K$703=K492)*($F$4:$F$703=F492)*($U$4:$U$703=1)*($S$4:$S$703=S492)*($T$4:$T$703=T492)*($C$4:$C$703&lt;C492))+SUMPRODUCT(($K$4:$K$703=K492)*($F$4:$F$703=F492)*($U$4:$U$703=1)*($S$4:$S$703=S492)*($T$4:$T$703=T492)*($C$4:$C$703=C492)*($D$4:$D$703&lt;D492)),0)</f>
        <v>0</v>
      </c>
      <c r="X492" s="11" t="n">
        <f aca="false">IF(AND(U492=1,V492&gt;0,W492&gt;1),S492,0)</f>
        <v>0</v>
      </c>
      <c r="Y492" s="11" t="n">
        <f aca="false">IF(T492=1,X492/(1+Controls!$B$11)^F492,0)</f>
        <v>0</v>
      </c>
      <c r="Z492" s="11" t="n">
        <f aca="false">IF(AND(N492,E492="capacity",LEN(K492)&gt;0),1,0)</f>
        <v>0</v>
      </c>
      <c r="AA492" s="11" t="n">
        <f aca="false">IF(Z492=1,SUMPRODUCT(($K$4:$K$703=K492)*($F$4:$F$703=F492)*($Z$4:$Z$703=1)*($B$4:$B$703&lt;&gt;B492)),0)</f>
        <v>0</v>
      </c>
      <c r="AB492" s="11" t="n">
        <f aca="false">IF(AND(Z492=1,AA492&gt;0),1+SUMPRODUCT(($K$4:$K$703=K492)*($F$4:$F$703=F492)*($Z$4:$Z$703=1)*($P$4:$P$703&gt;P492))+SUMPRODUCT(($K$4:$K$703=K492)*($F$4:$F$703=F492)*($Z$4:$Z$703=1)*($P$4:$P$703=P492)*($C$4:$C$703&lt;C492))+SUMPRODUCT(($K$4:$K$703=K492)*($F$4:$F$703=F492)*($Z$4:$Z$703=1)*($P$4:$P$703=P492)*($C$4:$C$703=C492)*($D$4:$D$703&lt;D492)),0)</f>
        <v>0</v>
      </c>
      <c r="AC492" s="11" t="n">
        <f aca="false">IF(AND(Z492=1,AA492&gt;0,AB492&gt;1),P492,0)</f>
        <v>0</v>
      </c>
    </row>
    <row r="493" customFormat="false" ht="15" hidden="false" customHeight="false" outlineLevel="0" collapsed="false">
      <c r="A493" s="4" t="s">
        <v>738</v>
      </c>
      <c r="B493" s="4" t="s">
        <v>98</v>
      </c>
      <c r="C493" s="4" t="n">
        <v>16</v>
      </c>
      <c r="D493" s="4" t="n">
        <v>490</v>
      </c>
      <c r="E493" s="4" t="s">
        <v>112</v>
      </c>
      <c r="F493" s="4" t="n">
        <v>17</v>
      </c>
      <c r="G493" s="4" t="n">
        <v>6</v>
      </c>
      <c r="H493" s="4" t="n">
        <v>59900</v>
      </c>
      <c r="I493" s="13" t="b">
        <f aca="false">FALSE()</f>
        <v>0</v>
      </c>
      <c r="K493" s="4" t="s">
        <v>727</v>
      </c>
      <c r="L493" s="4" t="n">
        <v>12812.61</v>
      </c>
      <c r="M493" s="11" t="n">
        <f aca="false">IFERROR(MATCH(Controls!$B$3&amp;"|"&amp;B493,'Scenario inputs'!$A$4:$A$213,0),0)</f>
        <v>147</v>
      </c>
      <c r="N493" s="8" t="b">
        <f aca="false">IF(M493=0,FALSE(),F493&lt;Controls!$B$12)</f>
        <v>1</v>
      </c>
      <c r="O493" s="11" t="n">
        <f aca="false">IF(N493,IF(INDEX('Scenario inputs'!$E$4:$E$213,M493)=0,1,INDEX('Scenario inputs'!$F$4:$M$213,M493,MIN(MAX(F493-G493,0),INDEX('Scenario inputs'!$E$4:$E$213,M493)-1)+1)),0)</f>
        <v>1</v>
      </c>
      <c r="P493" s="11" t="n">
        <f aca="false">H493*O493</f>
        <v>59900</v>
      </c>
      <c r="Q493" s="0" t="str">
        <f aca="false">IF(M493=0,"",IF(ISNUMBER(INDEX('Scenario inputs'!$N$4:$N$213,M493)),INDEX('Scenario inputs'!$N$4:$N$213,M493),""))</f>
        <v/>
      </c>
      <c r="R493" s="0" t="str">
        <f aca="false">IF(NOT(N493),"",IF(OR(E493="cash",E493="revenue"),E493,IF(E493="avoided_cost",IF(AND(I493,LEN(TRIM(J493))&gt;0),"avoided_cost_realised","avoided_cost_beside"),IF(ISNUMBER(Q493),"capacity_converted","capacity_hours"))))</f>
        <v>cash</v>
      </c>
      <c r="S493" s="11" t="n">
        <f aca="false">IF(OR(R493="",R493="capacity_hours"),0,IF(R493="capacity_converted",P493*Q493,P493))</f>
        <v>59900</v>
      </c>
      <c r="T493" s="11" t="n">
        <f aca="false">IF(OR(R493="cash",R493="revenue",R493="avoided_cost_realised",R493="capacity_converted"),1,0)</f>
        <v>1</v>
      </c>
      <c r="U493" s="11" t="n">
        <f aca="false">IF(AND(N493,R493&lt;&gt;"capacity_hours",LEN(K493)&gt;0),1,0)</f>
        <v>1</v>
      </c>
      <c r="V493" s="11" t="n">
        <f aca="false">IF(U493=1,SUMPRODUCT(($K$4:$K$703=K493)*($F$4:$F$703=F493)*($U$4:$U$703=1)*($B$4:$B$703&lt;&gt;B493)),0)</f>
        <v>0</v>
      </c>
      <c r="W493" s="11" t="n">
        <f aca="false">IF(AND(U493=1,V493&gt;0),1+SUMPRODUCT(($K$4:$K$703=K493)*($F$4:$F$703=F493)*($U$4:$U$703=1)*($S$4:$S$703&gt;S493))+SUMPRODUCT(($K$4:$K$703=K493)*($F$4:$F$703=F493)*($U$4:$U$703=1)*($S$4:$S$703=S493)*($T$4:$T$703&gt;T493))+SUMPRODUCT(($K$4:$K$703=K493)*($F$4:$F$703=F493)*($U$4:$U$703=1)*($S$4:$S$703=S493)*($T$4:$T$703=T493)*($C$4:$C$703&lt;C493))+SUMPRODUCT(($K$4:$K$703=K493)*($F$4:$F$703=F493)*($U$4:$U$703=1)*($S$4:$S$703=S493)*($T$4:$T$703=T493)*($C$4:$C$703=C493)*($D$4:$D$703&lt;D493)),0)</f>
        <v>0</v>
      </c>
      <c r="X493" s="11" t="n">
        <f aca="false">IF(AND(U493=1,V493&gt;0,W493&gt;1),S493,0)</f>
        <v>0</v>
      </c>
      <c r="Y493" s="11" t="n">
        <f aca="false">IF(T493=1,X493/(1+Controls!$B$11)^F493,0)</f>
        <v>0</v>
      </c>
      <c r="Z493" s="11" t="n">
        <f aca="false">IF(AND(N493,E493="capacity",LEN(K493)&gt;0),1,0)</f>
        <v>0</v>
      </c>
      <c r="AA493" s="11" t="n">
        <f aca="false">IF(Z493=1,SUMPRODUCT(($K$4:$K$703=K493)*($F$4:$F$703=F493)*($Z$4:$Z$703=1)*($B$4:$B$703&lt;&gt;B493)),0)</f>
        <v>0</v>
      </c>
      <c r="AB493" s="11" t="n">
        <f aca="false">IF(AND(Z493=1,AA493&gt;0),1+SUMPRODUCT(($K$4:$K$703=K493)*($F$4:$F$703=F493)*($Z$4:$Z$703=1)*($P$4:$P$703&gt;P493))+SUMPRODUCT(($K$4:$K$703=K493)*($F$4:$F$703=F493)*($Z$4:$Z$703=1)*($P$4:$P$703=P493)*($C$4:$C$703&lt;C493))+SUMPRODUCT(($K$4:$K$703=K493)*($F$4:$F$703=F493)*($Z$4:$Z$703=1)*($P$4:$P$703=P493)*($C$4:$C$703=C493)*($D$4:$D$703&lt;D493)),0)</f>
        <v>0</v>
      </c>
      <c r="AC493" s="11" t="n">
        <f aca="false">IF(AND(Z493=1,AA493&gt;0,AB493&gt;1),P493,0)</f>
        <v>0</v>
      </c>
    </row>
    <row r="494" customFormat="false" ht="15" hidden="false" customHeight="false" outlineLevel="0" collapsed="false">
      <c r="A494" s="4" t="s">
        <v>739</v>
      </c>
      <c r="B494" s="4" t="s">
        <v>98</v>
      </c>
      <c r="C494" s="4" t="n">
        <v>16</v>
      </c>
      <c r="D494" s="4" t="n">
        <v>491</v>
      </c>
      <c r="E494" s="4" t="s">
        <v>205</v>
      </c>
      <c r="F494" s="4" t="n">
        <v>7</v>
      </c>
      <c r="G494" s="4" t="n">
        <v>7</v>
      </c>
      <c r="H494" s="4" t="n">
        <v>49000</v>
      </c>
      <c r="I494" s="13" t="b">
        <f aca="false">TRUE()</f>
        <v>1</v>
      </c>
      <c r="J494" s="4" t="s">
        <v>740</v>
      </c>
      <c r="K494" s="4" t="s">
        <v>741</v>
      </c>
      <c r="L494" s="4" t="n">
        <v>380.58</v>
      </c>
      <c r="M494" s="11" t="n">
        <f aca="false">IFERROR(MATCH(Controls!$B$3&amp;"|"&amp;B494,'Scenario inputs'!$A$4:$A$213,0),0)</f>
        <v>147</v>
      </c>
      <c r="N494" s="8" t="b">
        <f aca="false">IF(M494=0,FALSE(),F494&lt;Controls!$B$12)</f>
        <v>1</v>
      </c>
      <c r="O494" s="11" t="n">
        <f aca="false">IF(N494,IF(INDEX('Scenario inputs'!$E$4:$E$213,M494)=0,1,INDEX('Scenario inputs'!$F$4:$M$213,M494,MIN(MAX(F494-G494,0),INDEX('Scenario inputs'!$E$4:$E$213,M494)-1)+1)),0)</f>
        <v>0.035714</v>
      </c>
      <c r="P494" s="11" t="n">
        <f aca="false">H494*O494</f>
        <v>1749.986</v>
      </c>
      <c r="Q494" s="0" t="str">
        <f aca="false">IF(M494=0,"",IF(ISNUMBER(INDEX('Scenario inputs'!$N$4:$N$213,M494)),INDEX('Scenario inputs'!$N$4:$N$213,M494),""))</f>
        <v/>
      </c>
      <c r="R494" s="0" t="str">
        <f aca="false">IF(NOT(N494),"",IF(OR(E494="cash",E494="revenue"),E494,IF(E494="avoided_cost",IF(AND(I494,LEN(TRIM(J494))&gt;0),"avoided_cost_realised","avoided_cost_beside"),IF(ISNUMBER(Q494),"capacity_converted","capacity_hours"))))</f>
        <v>avoided_cost_realised</v>
      </c>
      <c r="S494" s="11" t="n">
        <f aca="false">IF(OR(R494="",R494="capacity_hours"),0,IF(R494="capacity_converted",P494*Q494,P494))</f>
        <v>1749.986</v>
      </c>
      <c r="T494" s="11" t="n">
        <f aca="false">IF(OR(R494="cash",R494="revenue",R494="avoided_cost_realised",R494="capacity_converted"),1,0)</f>
        <v>1</v>
      </c>
      <c r="U494" s="11" t="n">
        <f aca="false">IF(AND(N494,R494&lt;&gt;"capacity_hours",LEN(K494)&gt;0),1,0)</f>
        <v>1</v>
      </c>
      <c r="V494" s="11" t="n">
        <f aca="false">IF(U494=1,SUMPRODUCT(($K$4:$K$703=K494)*($F$4:$F$703=F494)*($U$4:$U$703=1)*($B$4:$B$703&lt;&gt;B494)),0)</f>
        <v>0</v>
      </c>
      <c r="W494" s="11" t="n">
        <f aca="false">IF(AND(U494=1,V494&gt;0),1+SUMPRODUCT(($K$4:$K$703=K494)*($F$4:$F$703=F494)*($U$4:$U$703=1)*($S$4:$S$703&gt;S494))+SUMPRODUCT(($K$4:$K$703=K494)*($F$4:$F$703=F494)*($U$4:$U$703=1)*($S$4:$S$703=S494)*($T$4:$T$703&gt;T494))+SUMPRODUCT(($K$4:$K$703=K494)*($F$4:$F$703=F494)*($U$4:$U$703=1)*($S$4:$S$703=S494)*($T$4:$T$703=T494)*($C$4:$C$703&lt;C494))+SUMPRODUCT(($K$4:$K$703=K494)*($F$4:$F$703=F494)*($U$4:$U$703=1)*($S$4:$S$703=S494)*($T$4:$T$703=T494)*($C$4:$C$703=C494)*($D$4:$D$703&lt;D494)),0)</f>
        <v>0</v>
      </c>
      <c r="X494" s="11" t="n">
        <f aca="false">IF(AND(U494=1,V494&gt;0,W494&gt;1),S494,0)</f>
        <v>0</v>
      </c>
      <c r="Y494" s="11" t="n">
        <f aca="false">IF(T494=1,X494/(1+Controls!$B$11)^F494,0)</f>
        <v>0</v>
      </c>
      <c r="Z494" s="11" t="n">
        <f aca="false">IF(AND(N494,E494="capacity",LEN(K494)&gt;0),1,0)</f>
        <v>0</v>
      </c>
      <c r="AA494" s="11" t="n">
        <f aca="false">IF(Z494=1,SUMPRODUCT(($K$4:$K$703=K494)*($F$4:$F$703=F494)*($Z$4:$Z$703=1)*($B$4:$B$703&lt;&gt;B494)),0)</f>
        <v>0</v>
      </c>
      <c r="AB494" s="11" t="n">
        <f aca="false">IF(AND(Z494=1,AA494&gt;0),1+SUMPRODUCT(($K$4:$K$703=K494)*($F$4:$F$703=F494)*($Z$4:$Z$703=1)*($P$4:$P$703&gt;P494))+SUMPRODUCT(($K$4:$K$703=K494)*($F$4:$F$703=F494)*($Z$4:$Z$703=1)*($P$4:$P$703=P494)*($C$4:$C$703&lt;C494))+SUMPRODUCT(($K$4:$K$703=K494)*($F$4:$F$703=F494)*($Z$4:$Z$703=1)*($P$4:$P$703=P494)*($C$4:$C$703=C494)*($D$4:$D$703&lt;D494)),0)</f>
        <v>0</v>
      </c>
      <c r="AC494" s="11" t="n">
        <f aca="false">IF(AND(Z494=1,AA494&gt;0,AB494&gt;1),P494,0)</f>
        <v>0</v>
      </c>
    </row>
    <row r="495" customFormat="false" ht="15" hidden="false" customHeight="false" outlineLevel="0" collapsed="false">
      <c r="A495" s="4" t="s">
        <v>742</v>
      </c>
      <c r="B495" s="4" t="s">
        <v>98</v>
      </c>
      <c r="C495" s="4" t="n">
        <v>16</v>
      </c>
      <c r="D495" s="4" t="n">
        <v>492</v>
      </c>
      <c r="E495" s="4" t="s">
        <v>205</v>
      </c>
      <c r="F495" s="4" t="n">
        <v>8</v>
      </c>
      <c r="G495" s="4" t="n">
        <v>7</v>
      </c>
      <c r="H495" s="4" t="n">
        <v>49000</v>
      </c>
      <c r="I495" s="13" t="b">
        <f aca="false">TRUE()</f>
        <v>1</v>
      </c>
      <c r="J495" s="4" t="s">
        <v>740</v>
      </c>
      <c r="K495" s="4" t="s">
        <v>741</v>
      </c>
      <c r="L495" s="4" t="n">
        <v>1141.74</v>
      </c>
      <c r="M495" s="11" t="n">
        <f aca="false">IFERROR(MATCH(Controls!$B$3&amp;"|"&amp;B495,'Scenario inputs'!$A$4:$A$213,0),0)</f>
        <v>147</v>
      </c>
      <c r="N495" s="8" t="b">
        <f aca="false">IF(M495=0,FALSE(),F495&lt;Controls!$B$12)</f>
        <v>1</v>
      </c>
      <c r="O495" s="11" t="n">
        <f aca="false">IF(N495,IF(INDEX('Scenario inputs'!$E$4:$E$213,M495)=0,1,INDEX('Scenario inputs'!$F$4:$M$213,M495,MIN(MAX(F495-G495,0),INDEX('Scenario inputs'!$E$4:$E$213,M495)-1)+1)),0)</f>
        <v>0.107143</v>
      </c>
      <c r="P495" s="11" t="n">
        <f aca="false">H495*O495</f>
        <v>5250.007</v>
      </c>
      <c r="Q495" s="0" t="str">
        <f aca="false">IF(M495=0,"",IF(ISNUMBER(INDEX('Scenario inputs'!$N$4:$N$213,M495)),INDEX('Scenario inputs'!$N$4:$N$213,M495),""))</f>
        <v/>
      </c>
      <c r="R495" s="0" t="str">
        <f aca="false">IF(NOT(N495),"",IF(OR(E495="cash",E495="revenue"),E495,IF(E495="avoided_cost",IF(AND(I495,LEN(TRIM(J495))&gt;0),"avoided_cost_realised","avoided_cost_beside"),IF(ISNUMBER(Q495),"capacity_converted","capacity_hours"))))</f>
        <v>avoided_cost_realised</v>
      </c>
      <c r="S495" s="11" t="n">
        <f aca="false">IF(OR(R495="",R495="capacity_hours"),0,IF(R495="capacity_converted",P495*Q495,P495))</f>
        <v>5250.007</v>
      </c>
      <c r="T495" s="11" t="n">
        <f aca="false">IF(OR(R495="cash",R495="revenue",R495="avoided_cost_realised",R495="capacity_converted"),1,0)</f>
        <v>1</v>
      </c>
      <c r="U495" s="11" t="n">
        <f aca="false">IF(AND(N495,R495&lt;&gt;"capacity_hours",LEN(K495)&gt;0),1,0)</f>
        <v>1</v>
      </c>
      <c r="V495" s="11" t="n">
        <f aca="false">IF(U495=1,SUMPRODUCT(($K$4:$K$703=K495)*($F$4:$F$703=F495)*($U$4:$U$703=1)*($B$4:$B$703&lt;&gt;B495)),0)</f>
        <v>0</v>
      </c>
      <c r="W495" s="11" t="n">
        <f aca="false">IF(AND(U495=1,V495&gt;0),1+SUMPRODUCT(($K$4:$K$703=K495)*($F$4:$F$703=F495)*($U$4:$U$703=1)*($S$4:$S$703&gt;S495))+SUMPRODUCT(($K$4:$K$703=K495)*($F$4:$F$703=F495)*($U$4:$U$703=1)*($S$4:$S$703=S495)*($T$4:$T$703&gt;T495))+SUMPRODUCT(($K$4:$K$703=K495)*($F$4:$F$703=F495)*($U$4:$U$703=1)*($S$4:$S$703=S495)*($T$4:$T$703=T495)*($C$4:$C$703&lt;C495))+SUMPRODUCT(($K$4:$K$703=K495)*($F$4:$F$703=F495)*($U$4:$U$703=1)*($S$4:$S$703=S495)*($T$4:$T$703=T495)*($C$4:$C$703=C495)*($D$4:$D$703&lt;D495)),0)</f>
        <v>0</v>
      </c>
      <c r="X495" s="11" t="n">
        <f aca="false">IF(AND(U495=1,V495&gt;0,W495&gt;1),S495,0)</f>
        <v>0</v>
      </c>
      <c r="Y495" s="11" t="n">
        <f aca="false">IF(T495=1,X495/(1+Controls!$B$11)^F495,0)</f>
        <v>0</v>
      </c>
      <c r="Z495" s="11" t="n">
        <f aca="false">IF(AND(N495,E495="capacity",LEN(K495)&gt;0),1,0)</f>
        <v>0</v>
      </c>
      <c r="AA495" s="11" t="n">
        <f aca="false">IF(Z495=1,SUMPRODUCT(($K$4:$K$703=K495)*($F$4:$F$703=F495)*($Z$4:$Z$703=1)*($B$4:$B$703&lt;&gt;B495)),0)</f>
        <v>0</v>
      </c>
      <c r="AB495" s="11" t="n">
        <f aca="false">IF(AND(Z495=1,AA495&gt;0),1+SUMPRODUCT(($K$4:$K$703=K495)*($F$4:$F$703=F495)*($Z$4:$Z$703=1)*($P$4:$P$703&gt;P495))+SUMPRODUCT(($K$4:$K$703=K495)*($F$4:$F$703=F495)*($Z$4:$Z$703=1)*($P$4:$P$703=P495)*($C$4:$C$703&lt;C495))+SUMPRODUCT(($K$4:$K$703=K495)*($F$4:$F$703=F495)*($Z$4:$Z$703=1)*($P$4:$P$703=P495)*($C$4:$C$703=C495)*($D$4:$D$703&lt;D495)),0)</f>
        <v>0</v>
      </c>
      <c r="AC495" s="11" t="n">
        <f aca="false">IF(AND(Z495=1,AA495&gt;0,AB495&gt;1),P495,0)</f>
        <v>0</v>
      </c>
    </row>
    <row r="496" customFormat="false" ht="15" hidden="false" customHeight="false" outlineLevel="0" collapsed="false">
      <c r="A496" s="4" t="s">
        <v>743</v>
      </c>
      <c r="B496" s="4" t="s">
        <v>98</v>
      </c>
      <c r="C496" s="4" t="n">
        <v>16</v>
      </c>
      <c r="D496" s="4" t="n">
        <v>493</v>
      </c>
      <c r="E496" s="4" t="s">
        <v>205</v>
      </c>
      <c r="F496" s="4" t="n">
        <v>9</v>
      </c>
      <c r="G496" s="4" t="n">
        <v>7</v>
      </c>
      <c r="H496" s="4" t="n">
        <v>49000</v>
      </c>
      <c r="I496" s="13" t="b">
        <f aca="false">TRUE()</f>
        <v>1</v>
      </c>
      <c r="J496" s="4" t="s">
        <v>740</v>
      </c>
      <c r="K496" s="4" t="s">
        <v>741</v>
      </c>
      <c r="L496" s="4" t="n">
        <v>2487.45</v>
      </c>
      <c r="M496" s="11" t="n">
        <f aca="false">IFERROR(MATCH(Controls!$B$3&amp;"|"&amp;B496,'Scenario inputs'!$A$4:$A$213,0),0)</f>
        <v>147</v>
      </c>
      <c r="N496" s="8" t="b">
        <f aca="false">IF(M496=0,FALSE(),F496&lt;Controls!$B$12)</f>
        <v>1</v>
      </c>
      <c r="O496" s="11" t="n">
        <f aca="false">IF(N496,IF(INDEX('Scenario inputs'!$E$4:$E$213,M496)=0,1,INDEX('Scenario inputs'!$F$4:$M$213,M496,MIN(MAX(F496-G496,0),INDEX('Scenario inputs'!$E$4:$E$213,M496)-1)+1)),0)</f>
        <v>0.214286</v>
      </c>
      <c r="P496" s="11" t="n">
        <f aca="false">H496*O496</f>
        <v>10500.014</v>
      </c>
      <c r="Q496" s="0" t="str">
        <f aca="false">IF(M496=0,"",IF(ISNUMBER(INDEX('Scenario inputs'!$N$4:$N$213,M496)),INDEX('Scenario inputs'!$N$4:$N$213,M496),""))</f>
        <v/>
      </c>
      <c r="R496" s="0" t="str">
        <f aca="false">IF(NOT(N496),"",IF(OR(E496="cash",E496="revenue"),E496,IF(E496="avoided_cost",IF(AND(I496,LEN(TRIM(J496))&gt;0),"avoided_cost_realised","avoided_cost_beside"),IF(ISNUMBER(Q496),"capacity_converted","capacity_hours"))))</f>
        <v>avoided_cost_realised</v>
      </c>
      <c r="S496" s="11" t="n">
        <f aca="false">IF(OR(R496="",R496="capacity_hours"),0,IF(R496="capacity_converted",P496*Q496,P496))</f>
        <v>10500.014</v>
      </c>
      <c r="T496" s="11" t="n">
        <f aca="false">IF(OR(R496="cash",R496="revenue",R496="avoided_cost_realised",R496="capacity_converted"),1,0)</f>
        <v>1</v>
      </c>
      <c r="U496" s="11" t="n">
        <f aca="false">IF(AND(N496,R496&lt;&gt;"capacity_hours",LEN(K496)&gt;0),1,0)</f>
        <v>1</v>
      </c>
      <c r="V496" s="11" t="n">
        <f aca="false">IF(U496=1,SUMPRODUCT(($K$4:$K$703=K496)*($F$4:$F$703=F496)*($U$4:$U$703=1)*($B$4:$B$703&lt;&gt;B496)),0)</f>
        <v>0</v>
      </c>
      <c r="W496" s="11" t="n">
        <f aca="false">IF(AND(U496=1,V496&gt;0),1+SUMPRODUCT(($K$4:$K$703=K496)*($F$4:$F$703=F496)*($U$4:$U$703=1)*($S$4:$S$703&gt;S496))+SUMPRODUCT(($K$4:$K$703=K496)*($F$4:$F$703=F496)*($U$4:$U$703=1)*($S$4:$S$703=S496)*($T$4:$T$703&gt;T496))+SUMPRODUCT(($K$4:$K$703=K496)*($F$4:$F$703=F496)*($U$4:$U$703=1)*($S$4:$S$703=S496)*($T$4:$T$703=T496)*($C$4:$C$703&lt;C496))+SUMPRODUCT(($K$4:$K$703=K496)*($F$4:$F$703=F496)*($U$4:$U$703=1)*($S$4:$S$703=S496)*($T$4:$T$703=T496)*($C$4:$C$703=C496)*($D$4:$D$703&lt;D496)),0)</f>
        <v>0</v>
      </c>
      <c r="X496" s="11" t="n">
        <f aca="false">IF(AND(U496=1,V496&gt;0,W496&gt;1),S496,0)</f>
        <v>0</v>
      </c>
      <c r="Y496" s="11" t="n">
        <f aca="false">IF(T496=1,X496/(1+Controls!$B$11)^F496,0)</f>
        <v>0</v>
      </c>
      <c r="Z496" s="11" t="n">
        <f aca="false">IF(AND(N496,E496="capacity",LEN(K496)&gt;0),1,0)</f>
        <v>0</v>
      </c>
      <c r="AA496" s="11" t="n">
        <f aca="false">IF(Z496=1,SUMPRODUCT(($K$4:$K$703=K496)*($F$4:$F$703=F496)*($Z$4:$Z$703=1)*($B$4:$B$703&lt;&gt;B496)),0)</f>
        <v>0</v>
      </c>
      <c r="AB496" s="11" t="n">
        <f aca="false">IF(AND(Z496=1,AA496&gt;0),1+SUMPRODUCT(($K$4:$K$703=K496)*($F$4:$F$703=F496)*($Z$4:$Z$703=1)*($P$4:$P$703&gt;P496))+SUMPRODUCT(($K$4:$K$703=K496)*($F$4:$F$703=F496)*($Z$4:$Z$703=1)*($P$4:$P$703=P496)*($C$4:$C$703&lt;C496))+SUMPRODUCT(($K$4:$K$703=K496)*($F$4:$F$703=F496)*($Z$4:$Z$703=1)*($P$4:$P$703=P496)*($C$4:$C$703=C496)*($D$4:$D$703&lt;D496)),0)</f>
        <v>0</v>
      </c>
      <c r="AC496" s="11" t="n">
        <f aca="false">IF(AND(Z496=1,AA496&gt;0,AB496&gt;1),P496,0)</f>
        <v>0</v>
      </c>
    </row>
    <row r="497" customFormat="false" ht="15" hidden="false" customHeight="false" outlineLevel="0" collapsed="false">
      <c r="A497" s="4" t="s">
        <v>744</v>
      </c>
      <c r="B497" s="4" t="s">
        <v>98</v>
      </c>
      <c r="C497" s="4" t="n">
        <v>16</v>
      </c>
      <c r="D497" s="4" t="n">
        <v>494</v>
      </c>
      <c r="E497" s="4" t="s">
        <v>205</v>
      </c>
      <c r="F497" s="4" t="n">
        <v>10</v>
      </c>
      <c r="G497" s="4" t="n">
        <v>7</v>
      </c>
      <c r="H497" s="4" t="n">
        <v>49000</v>
      </c>
      <c r="I497" s="13" t="b">
        <f aca="false">TRUE()</f>
        <v>1</v>
      </c>
      <c r="J497" s="4" t="s">
        <v>740</v>
      </c>
      <c r="K497" s="4" t="s">
        <v>741</v>
      </c>
      <c r="L497" s="4" t="n">
        <v>4145.75</v>
      </c>
      <c r="M497" s="11" t="n">
        <f aca="false">IFERROR(MATCH(Controls!$B$3&amp;"|"&amp;B497,'Scenario inputs'!$A$4:$A$213,0),0)</f>
        <v>147</v>
      </c>
      <c r="N497" s="8" t="b">
        <f aca="false">IF(M497=0,FALSE(),F497&lt;Controls!$B$12)</f>
        <v>1</v>
      </c>
      <c r="O497" s="11" t="n">
        <f aca="false">IF(N497,IF(INDEX('Scenario inputs'!$E$4:$E$213,M497)=0,1,INDEX('Scenario inputs'!$F$4:$M$213,M497,MIN(MAX(F497-G497,0),INDEX('Scenario inputs'!$E$4:$E$213,M497)-1)+1)),0)</f>
        <v>0.357143</v>
      </c>
      <c r="P497" s="11" t="n">
        <f aca="false">H497*O497</f>
        <v>17500.007</v>
      </c>
      <c r="Q497" s="0" t="str">
        <f aca="false">IF(M497=0,"",IF(ISNUMBER(INDEX('Scenario inputs'!$N$4:$N$213,M497)),INDEX('Scenario inputs'!$N$4:$N$213,M497),""))</f>
        <v/>
      </c>
      <c r="R497" s="0" t="str">
        <f aca="false">IF(NOT(N497),"",IF(OR(E497="cash",E497="revenue"),E497,IF(E497="avoided_cost",IF(AND(I497,LEN(TRIM(J497))&gt;0),"avoided_cost_realised","avoided_cost_beside"),IF(ISNUMBER(Q497),"capacity_converted","capacity_hours"))))</f>
        <v>avoided_cost_realised</v>
      </c>
      <c r="S497" s="11" t="n">
        <f aca="false">IF(OR(R497="",R497="capacity_hours"),0,IF(R497="capacity_converted",P497*Q497,P497))</f>
        <v>17500.007</v>
      </c>
      <c r="T497" s="11" t="n">
        <f aca="false">IF(OR(R497="cash",R497="revenue",R497="avoided_cost_realised",R497="capacity_converted"),1,0)</f>
        <v>1</v>
      </c>
      <c r="U497" s="11" t="n">
        <f aca="false">IF(AND(N497,R497&lt;&gt;"capacity_hours",LEN(K497)&gt;0),1,0)</f>
        <v>1</v>
      </c>
      <c r="V497" s="11" t="n">
        <f aca="false">IF(U497=1,SUMPRODUCT(($K$4:$K$703=K497)*($F$4:$F$703=F497)*($U$4:$U$703=1)*($B$4:$B$703&lt;&gt;B497)),0)</f>
        <v>0</v>
      </c>
      <c r="W497" s="11" t="n">
        <f aca="false">IF(AND(U497=1,V497&gt;0),1+SUMPRODUCT(($K$4:$K$703=K497)*($F$4:$F$703=F497)*($U$4:$U$703=1)*($S$4:$S$703&gt;S497))+SUMPRODUCT(($K$4:$K$703=K497)*($F$4:$F$703=F497)*($U$4:$U$703=1)*($S$4:$S$703=S497)*($T$4:$T$703&gt;T497))+SUMPRODUCT(($K$4:$K$703=K497)*($F$4:$F$703=F497)*($U$4:$U$703=1)*($S$4:$S$703=S497)*($T$4:$T$703=T497)*($C$4:$C$703&lt;C497))+SUMPRODUCT(($K$4:$K$703=K497)*($F$4:$F$703=F497)*($U$4:$U$703=1)*($S$4:$S$703=S497)*($T$4:$T$703=T497)*($C$4:$C$703=C497)*($D$4:$D$703&lt;D497)),0)</f>
        <v>0</v>
      </c>
      <c r="X497" s="11" t="n">
        <f aca="false">IF(AND(U497=1,V497&gt;0,W497&gt;1),S497,0)</f>
        <v>0</v>
      </c>
      <c r="Y497" s="11" t="n">
        <f aca="false">IF(T497=1,X497/(1+Controls!$B$11)^F497,0)</f>
        <v>0</v>
      </c>
      <c r="Z497" s="11" t="n">
        <f aca="false">IF(AND(N497,E497="capacity",LEN(K497)&gt;0),1,0)</f>
        <v>0</v>
      </c>
      <c r="AA497" s="11" t="n">
        <f aca="false">IF(Z497=1,SUMPRODUCT(($K$4:$K$703=K497)*($F$4:$F$703=F497)*($Z$4:$Z$703=1)*($B$4:$B$703&lt;&gt;B497)),0)</f>
        <v>0</v>
      </c>
      <c r="AB497" s="11" t="n">
        <f aca="false">IF(AND(Z497=1,AA497&gt;0),1+SUMPRODUCT(($K$4:$K$703=K497)*($F$4:$F$703=F497)*($Z$4:$Z$703=1)*($P$4:$P$703&gt;P497))+SUMPRODUCT(($K$4:$K$703=K497)*($F$4:$F$703=F497)*($Z$4:$Z$703=1)*($P$4:$P$703=P497)*($C$4:$C$703&lt;C497))+SUMPRODUCT(($K$4:$K$703=K497)*($F$4:$F$703=F497)*($Z$4:$Z$703=1)*($P$4:$P$703=P497)*($C$4:$C$703=C497)*($D$4:$D$703&lt;D497)),0)</f>
        <v>0</v>
      </c>
      <c r="AC497" s="11" t="n">
        <f aca="false">IF(AND(Z497=1,AA497&gt;0,AB497&gt;1),P497,0)</f>
        <v>0</v>
      </c>
    </row>
    <row r="498" customFormat="false" ht="15" hidden="false" customHeight="false" outlineLevel="0" collapsed="false">
      <c r="A498" s="4" t="s">
        <v>745</v>
      </c>
      <c r="B498" s="4" t="s">
        <v>98</v>
      </c>
      <c r="C498" s="4" t="n">
        <v>16</v>
      </c>
      <c r="D498" s="4" t="n">
        <v>495</v>
      </c>
      <c r="E498" s="4" t="s">
        <v>205</v>
      </c>
      <c r="F498" s="4" t="n">
        <v>11</v>
      </c>
      <c r="G498" s="4" t="n">
        <v>7</v>
      </c>
      <c r="H498" s="4" t="n">
        <v>49000</v>
      </c>
      <c r="I498" s="13" t="b">
        <f aca="false">TRUE()</f>
        <v>1</v>
      </c>
      <c r="J498" s="4" t="s">
        <v>740</v>
      </c>
      <c r="K498" s="4" t="s">
        <v>741</v>
      </c>
      <c r="L498" s="4" t="n">
        <v>6218.62</v>
      </c>
      <c r="M498" s="11" t="n">
        <f aca="false">IFERROR(MATCH(Controls!$B$3&amp;"|"&amp;B498,'Scenario inputs'!$A$4:$A$213,0),0)</f>
        <v>147</v>
      </c>
      <c r="N498" s="8" t="b">
        <f aca="false">IF(M498=0,FALSE(),F498&lt;Controls!$B$12)</f>
        <v>1</v>
      </c>
      <c r="O498" s="11" t="n">
        <f aca="false">IF(N498,IF(INDEX('Scenario inputs'!$E$4:$E$213,M498)=0,1,INDEX('Scenario inputs'!$F$4:$M$213,M498,MIN(MAX(F498-G498,0),INDEX('Scenario inputs'!$E$4:$E$213,M498)-1)+1)),0)</f>
        <v>0.535714</v>
      </c>
      <c r="P498" s="11" t="n">
        <f aca="false">H498*O498</f>
        <v>26249.986</v>
      </c>
      <c r="Q498" s="0" t="str">
        <f aca="false">IF(M498=0,"",IF(ISNUMBER(INDEX('Scenario inputs'!$N$4:$N$213,M498)),INDEX('Scenario inputs'!$N$4:$N$213,M498),""))</f>
        <v/>
      </c>
      <c r="R498" s="0" t="str">
        <f aca="false">IF(NOT(N498),"",IF(OR(E498="cash",E498="revenue"),E498,IF(E498="avoided_cost",IF(AND(I498,LEN(TRIM(J498))&gt;0),"avoided_cost_realised","avoided_cost_beside"),IF(ISNUMBER(Q498),"capacity_converted","capacity_hours"))))</f>
        <v>avoided_cost_realised</v>
      </c>
      <c r="S498" s="11" t="n">
        <f aca="false">IF(OR(R498="",R498="capacity_hours"),0,IF(R498="capacity_converted",P498*Q498,P498))</f>
        <v>26249.986</v>
      </c>
      <c r="T498" s="11" t="n">
        <f aca="false">IF(OR(R498="cash",R498="revenue",R498="avoided_cost_realised",R498="capacity_converted"),1,0)</f>
        <v>1</v>
      </c>
      <c r="U498" s="11" t="n">
        <f aca="false">IF(AND(N498,R498&lt;&gt;"capacity_hours",LEN(K498)&gt;0),1,0)</f>
        <v>1</v>
      </c>
      <c r="V498" s="11" t="n">
        <f aca="false">IF(U498=1,SUMPRODUCT(($K$4:$K$703=K498)*($F$4:$F$703=F498)*($U$4:$U$703=1)*($B$4:$B$703&lt;&gt;B498)),0)</f>
        <v>0</v>
      </c>
      <c r="W498" s="11" t="n">
        <f aca="false">IF(AND(U498=1,V498&gt;0),1+SUMPRODUCT(($K$4:$K$703=K498)*($F$4:$F$703=F498)*($U$4:$U$703=1)*($S$4:$S$703&gt;S498))+SUMPRODUCT(($K$4:$K$703=K498)*($F$4:$F$703=F498)*($U$4:$U$703=1)*($S$4:$S$703=S498)*($T$4:$T$703&gt;T498))+SUMPRODUCT(($K$4:$K$703=K498)*($F$4:$F$703=F498)*($U$4:$U$703=1)*($S$4:$S$703=S498)*($T$4:$T$703=T498)*($C$4:$C$703&lt;C498))+SUMPRODUCT(($K$4:$K$703=K498)*($F$4:$F$703=F498)*($U$4:$U$703=1)*($S$4:$S$703=S498)*($T$4:$T$703=T498)*($C$4:$C$703=C498)*($D$4:$D$703&lt;D498)),0)</f>
        <v>0</v>
      </c>
      <c r="X498" s="11" t="n">
        <f aca="false">IF(AND(U498=1,V498&gt;0,W498&gt;1),S498,0)</f>
        <v>0</v>
      </c>
      <c r="Y498" s="11" t="n">
        <f aca="false">IF(T498=1,X498/(1+Controls!$B$11)^F498,0)</f>
        <v>0</v>
      </c>
      <c r="Z498" s="11" t="n">
        <f aca="false">IF(AND(N498,E498="capacity",LEN(K498)&gt;0),1,0)</f>
        <v>0</v>
      </c>
      <c r="AA498" s="11" t="n">
        <f aca="false">IF(Z498=1,SUMPRODUCT(($K$4:$K$703=K498)*($F$4:$F$703=F498)*($Z$4:$Z$703=1)*($B$4:$B$703&lt;&gt;B498)),0)</f>
        <v>0</v>
      </c>
      <c r="AB498" s="11" t="n">
        <f aca="false">IF(AND(Z498=1,AA498&gt;0),1+SUMPRODUCT(($K$4:$K$703=K498)*($F$4:$F$703=F498)*($Z$4:$Z$703=1)*($P$4:$P$703&gt;P498))+SUMPRODUCT(($K$4:$K$703=K498)*($F$4:$F$703=F498)*($Z$4:$Z$703=1)*($P$4:$P$703=P498)*($C$4:$C$703&lt;C498))+SUMPRODUCT(($K$4:$K$703=K498)*($F$4:$F$703=F498)*($Z$4:$Z$703=1)*($P$4:$P$703=P498)*($C$4:$C$703=C498)*($D$4:$D$703&lt;D498)),0)</f>
        <v>0</v>
      </c>
      <c r="AC498" s="11" t="n">
        <f aca="false">IF(AND(Z498=1,AA498&gt;0,AB498&gt;1),P498,0)</f>
        <v>0</v>
      </c>
    </row>
    <row r="499" customFormat="false" ht="15" hidden="false" customHeight="false" outlineLevel="0" collapsed="false">
      <c r="A499" s="4" t="s">
        <v>746</v>
      </c>
      <c r="B499" s="4" t="s">
        <v>98</v>
      </c>
      <c r="C499" s="4" t="n">
        <v>16</v>
      </c>
      <c r="D499" s="4" t="n">
        <v>496</v>
      </c>
      <c r="E499" s="4" t="s">
        <v>205</v>
      </c>
      <c r="F499" s="4" t="n">
        <v>12</v>
      </c>
      <c r="G499" s="4" t="n">
        <v>7</v>
      </c>
      <c r="H499" s="4" t="n">
        <v>49000</v>
      </c>
      <c r="I499" s="13" t="b">
        <f aca="false">TRUE()</f>
        <v>1</v>
      </c>
      <c r="J499" s="4" t="s">
        <v>740</v>
      </c>
      <c r="K499" s="4" t="s">
        <v>741</v>
      </c>
      <c r="L499" s="4" t="n">
        <v>8706.08</v>
      </c>
      <c r="M499" s="11" t="n">
        <f aca="false">IFERROR(MATCH(Controls!$B$3&amp;"|"&amp;B499,'Scenario inputs'!$A$4:$A$213,0),0)</f>
        <v>147</v>
      </c>
      <c r="N499" s="8" t="b">
        <f aca="false">IF(M499=0,FALSE(),F499&lt;Controls!$B$12)</f>
        <v>1</v>
      </c>
      <c r="O499" s="11" t="n">
        <f aca="false">IF(N499,IF(INDEX('Scenario inputs'!$E$4:$E$213,M499)=0,1,INDEX('Scenario inputs'!$F$4:$M$213,M499,MIN(MAX(F499-G499,0),INDEX('Scenario inputs'!$E$4:$E$213,M499)-1)+1)),0)</f>
        <v>0.75</v>
      </c>
      <c r="P499" s="11" t="n">
        <f aca="false">H499*O499</f>
        <v>36750</v>
      </c>
      <c r="Q499" s="0" t="str">
        <f aca="false">IF(M499=0,"",IF(ISNUMBER(INDEX('Scenario inputs'!$N$4:$N$213,M499)),INDEX('Scenario inputs'!$N$4:$N$213,M499),""))</f>
        <v/>
      </c>
      <c r="R499" s="0" t="str">
        <f aca="false">IF(NOT(N499),"",IF(OR(E499="cash",E499="revenue"),E499,IF(E499="avoided_cost",IF(AND(I499,LEN(TRIM(J499))&gt;0),"avoided_cost_realised","avoided_cost_beside"),IF(ISNUMBER(Q499),"capacity_converted","capacity_hours"))))</f>
        <v>avoided_cost_realised</v>
      </c>
      <c r="S499" s="11" t="n">
        <f aca="false">IF(OR(R499="",R499="capacity_hours"),0,IF(R499="capacity_converted",P499*Q499,P499))</f>
        <v>36750</v>
      </c>
      <c r="T499" s="11" t="n">
        <f aca="false">IF(OR(R499="cash",R499="revenue",R499="avoided_cost_realised",R499="capacity_converted"),1,0)</f>
        <v>1</v>
      </c>
      <c r="U499" s="11" t="n">
        <f aca="false">IF(AND(N499,R499&lt;&gt;"capacity_hours",LEN(K499)&gt;0),1,0)</f>
        <v>1</v>
      </c>
      <c r="V499" s="11" t="n">
        <f aca="false">IF(U499=1,SUMPRODUCT(($K$4:$K$703=K499)*($F$4:$F$703=F499)*($U$4:$U$703=1)*($B$4:$B$703&lt;&gt;B499)),0)</f>
        <v>0</v>
      </c>
      <c r="W499" s="11" t="n">
        <f aca="false">IF(AND(U499=1,V499&gt;0),1+SUMPRODUCT(($K$4:$K$703=K499)*($F$4:$F$703=F499)*($U$4:$U$703=1)*($S$4:$S$703&gt;S499))+SUMPRODUCT(($K$4:$K$703=K499)*($F$4:$F$703=F499)*($U$4:$U$703=1)*($S$4:$S$703=S499)*($T$4:$T$703&gt;T499))+SUMPRODUCT(($K$4:$K$703=K499)*($F$4:$F$703=F499)*($U$4:$U$703=1)*($S$4:$S$703=S499)*($T$4:$T$703=T499)*($C$4:$C$703&lt;C499))+SUMPRODUCT(($K$4:$K$703=K499)*($F$4:$F$703=F499)*($U$4:$U$703=1)*($S$4:$S$703=S499)*($T$4:$T$703=T499)*($C$4:$C$703=C499)*($D$4:$D$703&lt;D499)),0)</f>
        <v>0</v>
      </c>
      <c r="X499" s="11" t="n">
        <f aca="false">IF(AND(U499=1,V499&gt;0,W499&gt;1),S499,0)</f>
        <v>0</v>
      </c>
      <c r="Y499" s="11" t="n">
        <f aca="false">IF(T499=1,X499/(1+Controls!$B$11)^F499,0)</f>
        <v>0</v>
      </c>
      <c r="Z499" s="11" t="n">
        <f aca="false">IF(AND(N499,E499="capacity",LEN(K499)&gt;0),1,0)</f>
        <v>0</v>
      </c>
      <c r="AA499" s="11" t="n">
        <f aca="false">IF(Z499=1,SUMPRODUCT(($K$4:$K$703=K499)*($F$4:$F$703=F499)*($Z$4:$Z$703=1)*($B$4:$B$703&lt;&gt;B499)),0)</f>
        <v>0</v>
      </c>
      <c r="AB499" s="11" t="n">
        <f aca="false">IF(AND(Z499=1,AA499&gt;0),1+SUMPRODUCT(($K$4:$K$703=K499)*($F$4:$F$703=F499)*($Z$4:$Z$703=1)*($P$4:$P$703&gt;P499))+SUMPRODUCT(($K$4:$K$703=K499)*($F$4:$F$703=F499)*($Z$4:$Z$703=1)*($P$4:$P$703=P499)*($C$4:$C$703&lt;C499))+SUMPRODUCT(($K$4:$K$703=K499)*($F$4:$F$703=F499)*($Z$4:$Z$703=1)*($P$4:$P$703=P499)*($C$4:$C$703=C499)*($D$4:$D$703&lt;D499)),0)</f>
        <v>0</v>
      </c>
      <c r="AC499" s="11" t="n">
        <f aca="false">IF(AND(Z499=1,AA499&gt;0,AB499&gt;1),P499,0)</f>
        <v>0</v>
      </c>
    </row>
    <row r="500" customFormat="false" ht="15" hidden="false" customHeight="false" outlineLevel="0" collapsed="false">
      <c r="A500" s="4" t="s">
        <v>747</v>
      </c>
      <c r="B500" s="4" t="s">
        <v>98</v>
      </c>
      <c r="C500" s="4" t="n">
        <v>16</v>
      </c>
      <c r="D500" s="4" t="n">
        <v>497</v>
      </c>
      <c r="E500" s="4" t="s">
        <v>205</v>
      </c>
      <c r="F500" s="4" t="n">
        <v>13</v>
      </c>
      <c r="G500" s="4" t="n">
        <v>7</v>
      </c>
      <c r="H500" s="4" t="n">
        <v>49000</v>
      </c>
      <c r="I500" s="13" t="b">
        <f aca="false">TRUE()</f>
        <v>1</v>
      </c>
      <c r="J500" s="4" t="s">
        <v>740</v>
      </c>
      <c r="K500" s="4" t="s">
        <v>741</v>
      </c>
      <c r="L500" s="4" t="n">
        <v>11608.1</v>
      </c>
      <c r="M500" s="11" t="n">
        <f aca="false">IFERROR(MATCH(Controls!$B$3&amp;"|"&amp;B500,'Scenario inputs'!$A$4:$A$213,0),0)</f>
        <v>147</v>
      </c>
      <c r="N500" s="8" t="b">
        <f aca="false">IF(M500=0,FALSE(),F500&lt;Controls!$B$12)</f>
        <v>1</v>
      </c>
      <c r="O500" s="11" t="n">
        <f aca="false">IF(N500,IF(INDEX('Scenario inputs'!$E$4:$E$213,M500)=0,1,INDEX('Scenario inputs'!$F$4:$M$213,M500,MIN(MAX(F500-G500,0),INDEX('Scenario inputs'!$E$4:$E$213,M500)-1)+1)),0)</f>
        <v>1</v>
      </c>
      <c r="P500" s="11" t="n">
        <f aca="false">H500*O500</f>
        <v>49000</v>
      </c>
      <c r="Q500" s="0" t="str">
        <f aca="false">IF(M500=0,"",IF(ISNUMBER(INDEX('Scenario inputs'!$N$4:$N$213,M500)),INDEX('Scenario inputs'!$N$4:$N$213,M500),""))</f>
        <v/>
      </c>
      <c r="R500" s="0" t="str">
        <f aca="false">IF(NOT(N500),"",IF(OR(E500="cash",E500="revenue"),E500,IF(E500="avoided_cost",IF(AND(I500,LEN(TRIM(J500))&gt;0),"avoided_cost_realised","avoided_cost_beside"),IF(ISNUMBER(Q500),"capacity_converted","capacity_hours"))))</f>
        <v>avoided_cost_realised</v>
      </c>
      <c r="S500" s="11" t="n">
        <f aca="false">IF(OR(R500="",R500="capacity_hours"),0,IF(R500="capacity_converted",P500*Q500,P500))</f>
        <v>49000</v>
      </c>
      <c r="T500" s="11" t="n">
        <f aca="false">IF(OR(R500="cash",R500="revenue",R500="avoided_cost_realised",R500="capacity_converted"),1,0)</f>
        <v>1</v>
      </c>
      <c r="U500" s="11" t="n">
        <f aca="false">IF(AND(N500,R500&lt;&gt;"capacity_hours",LEN(K500)&gt;0),1,0)</f>
        <v>1</v>
      </c>
      <c r="V500" s="11" t="n">
        <f aca="false">IF(U500=1,SUMPRODUCT(($K$4:$K$703=K500)*($F$4:$F$703=F500)*($U$4:$U$703=1)*($B$4:$B$703&lt;&gt;B500)),0)</f>
        <v>0</v>
      </c>
      <c r="W500" s="11" t="n">
        <f aca="false">IF(AND(U500=1,V500&gt;0),1+SUMPRODUCT(($K$4:$K$703=K500)*($F$4:$F$703=F500)*($U$4:$U$703=1)*($S$4:$S$703&gt;S500))+SUMPRODUCT(($K$4:$K$703=K500)*($F$4:$F$703=F500)*($U$4:$U$703=1)*($S$4:$S$703=S500)*($T$4:$T$703&gt;T500))+SUMPRODUCT(($K$4:$K$703=K500)*($F$4:$F$703=F500)*($U$4:$U$703=1)*($S$4:$S$703=S500)*($T$4:$T$703=T500)*($C$4:$C$703&lt;C500))+SUMPRODUCT(($K$4:$K$703=K500)*($F$4:$F$703=F500)*($U$4:$U$703=1)*($S$4:$S$703=S500)*($T$4:$T$703=T500)*($C$4:$C$703=C500)*($D$4:$D$703&lt;D500)),0)</f>
        <v>0</v>
      </c>
      <c r="X500" s="11" t="n">
        <f aca="false">IF(AND(U500=1,V500&gt;0,W500&gt;1),S500,0)</f>
        <v>0</v>
      </c>
      <c r="Y500" s="11" t="n">
        <f aca="false">IF(T500=1,X500/(1+Controls!$B$11)^F500,0)</f>
        <v>0</v>
      </c>
      <c r="Z500" s="11" t="n">
        <f aca="false">IF(AND(N500,E500="capacity",LEN(K500)&gt;0),1,0)</f>
        <v>0</v>
      </c>
      <c r="AA500" s="11" t="n">
        <f aca="false">IF(Z500=1,SUMPRODUCT(($K$4:$K$703=K500)*($F$4:$F$703=F500)*($Z$4:$Z$703=1)*($B$4:$B$703&lt;&gt;B500)),0)</f>
        <v>0</v>
      </c>
      <c r="AB500" s="11" t="n">
        <f aca="false">IF(AND(Z500=1,AA500&gt;0),1+SUMPRODUCT(($K$4:$K$703=K500)*($F$4:$F$703=F500)*($Z$4:$Z$703=1)*($P$4:$P$703&gt;P500))+SUMPRODUCT(($K$4:$K$703=K500)*($F$4:$F$703=F500)*($Z$4:$Z$703=1)*($P$4:$P$703=P500)*($C$4:$C$703&lt;C500))+SUMPRODUCT(($K$4:$K$703=K500)*($F$4:$F$703=F500)*($Z$4:$Z$703=1)*($P$4:$P$703=P500)*($C$4:$C$703=C500)*($D$4:$D$703&lt;D500)),0)</f>
        <v>0</v>
      </c>
      <c r="AC500" s="11" t="n">
        <f aca="false">IF(AND(Z500=1,AA500&gt;0,AB500&gt;1),P500,0)</f>
        <v>0</v>
      </c>
    </row>
    <row r="501" customFormat="false" ht="15" hidden="false" customHeight="false" outlineLevel="0" collapsed="false">
      <c r="A501" s="4" t="s">
        <v>748</v>
      </c>
      <c r="B501" s="4" t="s">
        <v>98</v>
      </c>
      <c r="C501" s="4" t="n">
        <v>16</v>
      </c>
      <c r="D501" s="4" t="n">
        <v>498</v>
      </c>
      <c r="E501" s="4" t="s">
        <v>205</v>
      </c>
      <c r="F501" s="4" t="n">
        <v>14</v>
      </c>
      <c r="G501" s="4" t="n">
        <v>7</v>
      </c>
      <c r="H501" s="4" t="n">
        <v>49000</v>
      </c>
      <c r="I501" s="13" t="b">
        <f aca="false">TRUE()</f>
        <v>1</v>
      </c>
      <c r="J501" s="4" t="s">
        <v>740</v>
      </c>
      <c r="K501" s="4" t="s">
        <v>741</v>
      </c>
      <c r="L501" s="4" t="n">
        <v>11608.1</v>
      </c>
      <c r="M501" s="11" t="n">
        <f aca="false">IFERROR(MATCH(Controls!$B$3&amp;"|"&amp;B501,'Scenario inputs'!$A$4:$A$213,0),0)</f>
        <v>147</v>
      </c>
      <c r="N501" s="8" t="b">
        <f aca="false">IF(M501=0,FALSE(),F501&lt;Controls!$B$12)</f>
        <v>1</v>
      </c>
      <c r="O501" s="11" t="n">
        <f aca="false">IF(N501,IF(INDEX('Scenario inputs'!$E$4:$E$213,M501)=0,1,INDEX('Scenario inputs'!$F$4:$M$213,M501,MIN(MAX(F501-G501,0),INDEX('Scenario inputs'!$E$4:$E$213,M501)-1)+1)),0)</f>
        <v>1</v>
      </c>
      <c r="P501" s="11" t="n">
        <f aca="false">H501*O501</f>
        <v>49000</v>
      </c>
      <c r="Q501" s="0" t="str">
        <f aca="false">IF(M501=0,"",IF(ISNUMBER(INDEX('Scenario inputs'!$N$4:$N$213,M501)),INDEX('Scenario inputs'!$N$4:$N$213,M501),""))</f>
        <v/>
      </c>
      <c r="R501" s="0" t="str">
        <f aca="false">IF(NOT(N501),"",IF(OR(E501="cash",E501="revenue"),E501,IF(E501="avoided_cost",IF(AND(I501,LEN(TRIM(J501))&gt;0),"avoided_cost_realised","avoided_cost_beside"),IF(ISNUMBER(Q501),"capacity_converted","capacity_hours"))))</f>
        <v>avoided_cost_realised</v>
      </c>
      <c r="S501" s="11" t="n">
        <f aca="false">IF(OR(R501="",R501="capacity_hours"),0,IF(R501="capacity_converted",P501*Q501,P501))</f>
        <v>49000</v>
      </c>
      <c r="T501" s="11" t="n">
        <f aca="false">IF(OR(R501="cash",R501="revenue",R501="avoided_cost_realised",R501="capacity_converted"),1,0)</f>
        <v>1</v>
      </c>
      <c r="U501" s="11" t="n">
        <f aca="false">IF(AND(N501,R501&lt;&gt;"capacity_hours",LEN(K501)&gt;0),1,0)</f>
        <v>1</v>
      </c>
      <c r="V501" s="11" t="n">
        <f aca="false">IF(U501=1,SUMPRODUCT(($K$4:$K$703=K501)*($F$4:$F$703=F501)*($U$4:$U$703=1)*($B$4:$B$703&lt;&gt;B501)),0)</f>
        <v>0</v>
      </c>
      <c r="W501" s="11" t="n">
        <f aca="false">IF(AND(U501=1,V501&gt;0),1+SUMPRODUCT(($K$4:$K$703=K501)*($F$4:$F$703=F501)*($U$4:$U$703=1)*($S$4:$S$703&gt;S501))+SUMPRODUCT(($K$4:$K$703=K501)*($F$4:$F$703=F501)*($U$4:$U$703=1)*($S$4:$S$703=S501)*($T$4:$T$703&gt;T501))+SUMPRODUCT(($K$4:$K$703=K501)*($F$4:$F$703=F501)*($U$4:$U$703=1)*($S$4:$S$703=S501)*($T$4:$T$703=T501)*($C$4:$C$703&lt;C501))+SUMPRODUCT(($K$4:$K$703=K501)*($F$4:$F$703=F501)*($U$4:$U$703=1)*($S$4:$S$703=S501)*($T$4:$T$703=T501)*($C$4:$C$703=C501)*($D$4:$D$703&lt;D501)),0)</f>
        <v>0</v>
      </c>
      <c r="X501" s="11" t="n">
        <f aca="false">IF(AND(U501=1,V501&gt;0,W501&gt;1),S501,0)</f>
        <v>0</v>
      </c>
      <c r="Y501" s="11" t="n">
        <f aca="false">IF(T501=1,X501/(1+Controls!$B$11)^F501,0)</f>
        <v>0</v>
      </c>
      <c r="Z501" s="11" t="n">
        <f aca="false">IF(AND(N501,E501="capacity",LEN(K501)&gt;0),1,0)</f>
        <v>0</v>
      </c>
      <c r="AA501" s="11" t="n">
        <f aca="false">IF(Z501=1,SUMPRODUCT(($K$4:$K$703=K501)*($F$4:$F$703=F501)*($Z$4:$Z$703=1)*($B$4:$B$703&lt;&gt;B501)),0)</f>
        <v>0</v>
      </c>
      <c r="AB501" s="11" t="n">
        <f aca="false">IF(AND(Z501=1,AA501&gt;0),1+SUMPRODUCT(($K$4:$K$703=K501)*($F$4:$F$703=F501)*($Z$4:$Z$703=1)*($P$4:$P$703&gt;P501))+SUMPRODUCT(($K$4:$K$703=K501)*($F$4:$F$703=F501)*($Z$4:$Z$703=1)*($P$4:$P$703=P501)*($C$4:$C$703&lt;C501))+SUMPRODUCT(($K$4:$K$703=K501)*($F$4:$F$703=F501)*($Z$4:$Z$703=1)*($P$4:$P$703=P501)*($C$4:$C$703=C501)*($D$4:$D$703&lt;D501)),0)</f>
        <v>0</v>
      </c>
      <c r="AC501" s="11" t="n">
        <f aca="false">IF(AND(Z501=1,AA501&gt;0,AB501&gt;1),P501,0)</f>
        <v>0</v>
      </c>
    </row>
    <row r="502" customFormat="false" ht="15" hidden="false" customHeight="false" outlineLevel="0" collapsed="false">
      <c r="A502" s="4" t="s">
        <v>749</v>
      </c>
      <c r="B502" s="4" t="s">
        <v>98</v>
      </c>
      <c r="C502" s="4" t="n">
        <v>16</v>
      </c>
      <c r="D502" s="4" t="n">
        <v>499</v>
      </c>
      <c r="E502" s="4" t="s">
        <v>205</v>
      </c>
      <c r="F502" s="4" t="n">
        <v>15</v>
      </c>
      <c r="G502" s="4" t="n">
        <v>7</v>
      </c>
      <c r="H502" s="4" t="n">
        <v>49000</v>
      </c>
      <c r="I502" s="13" t="b">
        <f aca="false">TRUE()</f>
        <v>1</v>
      </c>
      <c r="J502" s="4" t="s">
        <v>740</v>
      </c>
      <c r="K502" s="4" t="s">
        <v>741</v>
      </c>
      <c r="L502" s="4" t="n">
        <v>11608.1</v>
      </c>
      <c r="M502" s="11" t="n">
        <f aca="false">IFERROR(MATCH(Controls!$B$3&amp;"|"&amp;B502,'Scenario inputs'!$A$4:$A$213,0),0)</f>
        <v>147</v>
      </c>
      <c r="N502" s="8" t="b">
        <f aca="false">IF(M502=0,FALSE(),F502&lt;Controls!$B$12)</f>
        <v>1</v>
      </c>
      <c r="O502" s="11" t="n">
        <f aca="false">IF(N502,IF(INDEX('Scenario inputs'!$E$4:$E$213,M502)=0,1,INDEX('Scenario inputs'!$F$4:$M$213,M502,MIN(MAX(F502-G502,0),INDEX('Scenario inputs'!$E$4:$E$213,M502)-1)+1)),0)</f>
        <v>1</v>
      </c>
      <c r="P502" s="11" t="n">
        <f aca="false">H502*O502</f>
        <v>49000</v>
      </c>
      <c r="Q502" s="0" t="str">
        <f aca="false">IF(M502=0,"",IF(ISNUMBER(INDEX('Scenario inputs'!$N$4:$N$213,M502)),INDEX('Scenario inputs'!$N$4:$N$213,M502),""))</f>
        <v/>
      </c>
      <c r="R502" s="0" t="str">
        <f aca="false">IF(NOT(N502),"",IF(OR(E502="cash",E502="revenue"),E502,IF(E502="avoided_cost",IF(AND(I502,LEN(TRIM(J502))&gt;0),"avoided_cost_realised","avoided_cost_beside"),IF(ISNUMBER(Q502),"capacity_converted","capacity_hours"))))</f>
        <v>avoided_cost_realised</v>
      </c>
      <c r="S502" s="11" t="n">
        <f aca="false">IF(OR(R502="",R502="capacity_hours"),0,IF(R502="capacity_converted",P502*Q502,P502))</f>
        <v>49000</v>
      </c>
      <c r="T502" s="11" t="n">
        <f aca="false">IF(OR(R502="cash",R502="revenue",R502="avoided_cost_realised",R502="capacity_converted"),1,0)</f>
        <v>1</v>
      </c>
      <c r="U502" s="11" t="n">
        <f aca="false">IF(AND(N502,R502&lt;&gt;"capacity_hours",LEN(K502)&gt;0),1,0)</f>
        <v>1</v>
      </c>
      <c r="V502" s="11" t="n">
        <f aca="false">IF(U502=1,SUMPRODUCT(($K$4:$K$703=K502)*($F$4:$F$703=F502)*($U$4:$U$703=1)*($B$4:$B$703&lt;&gt;B502)),0)</f>
        <v>0</v>
      </c>
      <c r="W502" s="11" t="n">
        <f aca="false">IF(AND(U502=1,V502&gt;0),1+SUMPRODUCT(($K$4:$K$703=K502)*($F$4:$F$703=F502)*($U$4:$U$703=1)*($S$4:$S$703&gt;S502))+SUMPRODUCT(($K$4:$K$703=K502)*($F$4:$F$703=F502)*($U$4:$U$703=1)*($S$4:$S$703=S502)*($T$4:$T$703&gt;T502))+SUMPRODUCT(($K$4:$K$703=K502)*($F$4:$F$703=F502)*($U$4:$U$703=1)*($S$4:$S$703=S502)*($T$4:$T$703=T502)*($C$4:$C$703&lt;C502))+SUMPRODUCT(($K$4:$K$703=K502)*($F$4:$F$703=F502)*($U$4:$U$703=1)*($S$4:$S$703=S502)*($T$4:$T$703=T502)*($C$4:$C$703=C502)*($D$4:$D$703&lt;D502)),0)</f>
        <v>0</v>
      </c>
      <c r="X502" s="11" t="n">
        <f aca="false">IF(AND(U502=1,V502&gt;0,W502&gt;1),S502,0)</f>
        <v>0</v>
      </c>
      <c r="Y502" s="11" t="n">
        <f aca="false">IF(T502=1,X502/(1+Controls!$B$11)^F502,0)</f>
        <v>0</v>
      </c>
      <c r="Z502" s="11" t="n">
        <f aca="false">IF(AND(N502,E502="capacity",LEN(K502)&gt;0),1,0)</f>
        <v>0</v>
      </c>
      <c r="AA502" s="11" t="n">
        <f aca="false">IF(Z502=1,SUMPRODUCT(($K$4:$K$703=K502)*($F$4:$F$703=F502)*($Z$4:$Z$703=1)*($B$4:$B$703&lt;&gt;B502)),0)</f>
        <v>0</v>
      </c>
      <c r="AB502" s="11" t="n">
        <f aca="false">IF(AND(Z502=1,AA502&gt;0),1+SUMPRODUCT(($K$4:$K$703=K502)*($F$4:$F$703=F502)*($Z$4:$Z$703=1)*($P$4:$P$703&gt;P502))+SUMPRODUCT(($K$4:$K$703=K502)*($F$4:$F$703=F502)*($Z$4:$Z$703=1)*($P$4:$P$703=P502)*($C$4:$C$703&lt;C502))+SUMPRODUCT(($K$4:$K$703=K502)*($F$4:$F$703=F502)*($Z$4:$Z$703=1)*($P$4:$P$703=P502)*($C$4:$C$703=C502)*($D$4:$D$703&lt;D502)),0)</f>
        <v>0</v>
      </c>
      <c r="AC502" s="11" t="n">
        <f aca="false">IF(AND(Z502=1,AA502&gt;0,AB502&gt;1),P502,0)</f>
        <v>0</v>
      </c>
    </row>
    <row r="503" customFormat="false" ht="15" hidden="false" customHeight="false" outlineLevel="0" collapsed="false">
      <c r="A503" s="4" t="s">
        <v>750</v>
      </c>
      <c r="B503" s="4" t="s">
        <v>98</v>
      </c>
      <c r="C503" s="4" t="n">
        <v>16</v>
      </c>
      <c r="D503" s="4" t="n">
        <v>500</v>
      </c>
      <c r="E503" s="4" t="s">
        <v>205</v>
      </c>
      <c r="F503" s="4" t="n">
        <v>16</v>
      </c>
      <c r="G503" s="4" t="n">
        <v>7</v>
      </c>
      <c r="H503" s="4" t="n">
        <v>49000</v>
      </c>
      <c r="I503" s="13" t="b">
        <f aca="false">TRUE()</f>
        <v>1</v>
      </c>
      <c r="J503" s="4" t="s">
        <v>740</v>
      </c>
      <c r="K503" s="4" t="s">
        <v>741</v>
      </c>
      <c r="L503" s="4" t="n">
        <v>11608.1</v>
      </c>
      <c r="M503" s="11" t="n">
        <f aca="false">IFERROR(MATCH(Controls!$B$3&amp;"|"&amp;B503,'Scenario inputs'!$A$4:$A$213,0),0)</f>
        <v>147</v>
      </c>
      <c r="N503" s="8" t="b">
        <f aca="false">IF(M503=0,FALSE(),F503&lt;Controls!$B$12)</f>
        <v>1</v>
      </c>
      <c r="O503" s="11" t="n">
        <f aca="false">IF(N503,IF(INDEX('Scenario inputs'!$E$4:$E$213,M503)=0,1,INDEX('Scenario inputs'!$F$4:$M$213,M503,MIN(MAX(F503-G503,0),INDEX('Scenario inputs'!$E$4:$E$213,M503)-1)+1)),0)</f>
        <v>1</v>
      </c>
      <c r="P503" s="11" t="n">
        <f aca="false">H503*O503</f>
        <v>49000</v>
      </c>
      <c r="Q503" s="0" t="str">
        <f aca="false">IF(M503=0,"",IF(ISNUMBER(INDEX('Scenario inputs'!$N$4:$N$213,M503)),INDEX('Scenario inputs'!$N$4:$N$213,M503),""))</f>
        <v/>
      </c>
      <c r="R503" s="0" t="str">
        <f aca="false">IF(NOT(N503),"",IF(OR(E503="cash",E503="revenue"),E503,IF(E503="avoided_cost",IF(AND(I503,LEN(TRIM(J503))&gt;0),"avoided_cost_realised","avoided_cost_beside"),IF(ISNUMBER(Q503),"capacity_converted","capacity_hours"))))</f>
        <v>avoided_cost_realised</v>
      </c>
      <c r="S503" s="11" t="n">
        <f aca="false">IF(OR(R503="",R503="capacity_hours"),0,IF(R503="capacity_converted",P503*Q503,P503))</f>
        <v>49000</v>
      </c>
      <c r="T503" s="11" t="n">
        <f aca="false">IF(OR(R503="cash",R503="revenue",R503="avoided_cost_realised",R503="capacity_converted"),1,0)</f>
        <v>1</v>
      </c>
      <c r="U503" s="11" t="n">
        <f aca="false">IF(AND(N503,R503&lt;&gt;"capacity_hours",LEN(K503)&gt;0),1,0)</f>
        <v>1</v>
      </c>
      <c r="V503" s="11" t="n">
        <f aca="false">IF(U503=1,SUMPRODUCT(($K$4:$K$703=K503)*($F$4:$F$703=F503)*($U$4:$U$703=1)*($B$4:$B$703&lt;&gt;B503)),0)</f>
        <v>0</v>
      </c>
      <c r="W503" s="11" t="n">
        <f aca="false">IF(AND(U503=1,V503&gt;0),1+SUMPRODUCT(($K$4:$K$703=K503)*($F$4:$F$703=F503)*($U$4:$U$703=1)*($S$4:$S$703&gt;S503))+SUMPRODUCT(($K$4:$K$703=K503)*($F$4:$F$703=F503)*($U$4:$U$703=1)*($S$4:$S$703=S503)*($T$4:$T$703&gt;T503))+SUMPRODUCT(($K$4:$K$703=K503)*($F$4:$F$703=F503)*($U$4:$U$703=1)*($S$4:$S$703=S503)*($T$4:$T$703=T503)*($C$4:$C$703&lt;C503))+SUMPRODUCT(($K$4:$K$703=K503)*($F$4:$F$703=F503)*($U$4:$U$703=1)*($S$4:$S$703=S503)*($T$4:$T$703=T503)*($C$4:$C$703=C503)*($D$4:$D$703&lt;D503)),0)</f>
        <v>0</v>
      </c>
      <c r="X503" s="11" t="n">
        <f aca="false">IF(AND(U503=1,V503&gt;0,W503&gt;1),S503,0)</f>
        <v>0</v>
      </c>
      <c r="Y503" s="11" t="n">
        <f aca="false">IF(T503=1,X503/(1+Controls!$B$11)^F503,0)</f>
        <v>0</v>
      </c>
      <c r="Z503" s="11" t="n">
        <f aca="false">IF(AND(N503,E503="capacity",LEN(K503)&gt;0),1,0)</f>
        <v>0</v>
      </c>
      <c r="AA503" s="11" t="n">
        <f aca="false">IF(Z503=1,SUMPRODUCT(($K$4:$K$703=K503)*($F$4:$F$703=F503)*($Z$4:$Z$703=1)*($B$4:$B$703&lt;&gt;B503)),0)</f>
        <v>0</v>
      </c>
      <c r="AB503" s="11" t="n">
        <f aca="false">IF(AND(Z503=1,AA503&gt;0),1+SUMPRODUCT(($K$4:$K$703=K503)*($F$4:$F$703=F503)*($Z$4:$Z$703=1)*($P$4:$P$703&gt;P503))+SUMPRODUCT(($K$4:$K$703=K503)*($F$4:$F$703=F503)*($Z$4:$Z$703=1)*($P$4:$P$703=P503)*($C$4:$C$703&lt;C503))+SUMPRODUCT(($K$4:$K$703=K503)*($F$4:$F$703=F503)*($Z$4:$Z$703=1)*($P$4:$P$703=P503)*($C$4:$C$703=C503)*($D$4:$D$703&lt;D503)),0)</f>
        <v>0</v>
      </c>
      <c r="AC503" s="11" t="n">
        <f aca="false">IF(AND(Z503=1,AA503&gt;0,AB503&gt;1),P503,0)</f>
        <v>0</v>
      </c>
    </row>
    <row r="504" customFormat="false" ht="15" hidden="false" customHeight="false" outlineLevel="0" collapsed="false">
      <c r="A504" s="4" t="s">
        <v>751</v>
      </c>
      <c r="B504" s="4" t="s">
        <v>98</v>
      </c>
      <c r="C504" s="4" t="n">
        <v>16</v>
      </c>
      <c r="D504" s="4" t="n">
        <v>501</v>
      </c>
      <c r="E504" s="4" t="s">
        <v>205</v>
      </c>
      <c r="F504" s="4" t="n">
        <v>17</v>
      </c>
      <c r="G504" s="4" t="n">
        <v>7</v>
      </c>
      <c r="H504" s="4" t="n">
        <v>49000</v>
      </c>
      <c r="I504" s="13" t="b">
        <f aca="false">TRUE()</f>
        <v>1</v>
      </c>
      <c r="J504" s="4" t="s">
        <v>740</v>
      </c>
      <c r="K504" s="4" t="s">
        <v>741</v>
      </c>
      <c r="L504" s="4" t="n">
        <v>11608.1</v>
      </c>
      <c r="M504" s="11" t="n">
        <f aca="false">IFERROR(MATCH(Controls!$B$3&amp;"|"&amp;B504,'Scenario inputs'!$A$4:$A$213,0),0)</f>
        <v>147</v>
      </c>
      <c r="N504" s="8" t="b">
        <f aca="false">IF(M504=0,FALSE(),F504&lt;Controls!$B$12)</f>
        <v>1</v>
      </c>
      <c r="O504" s="11" t="n">
        <f aca="false">IF(N504,IF(INDEX('Scenario inputs'!$E$4:$E$213,M504)=0,1,INDEX('Scenario inputs'!$F$4:$M$213,M504,MIN(MAX(F504-G504,0),INDEX('Scenario inputs'!$E$4:$E$213,M504)-1)+1)),0)</f>
        <v>1</v>
      </c>
      <c r="P504" s="11" t="n">
        <f aca="false">H504*O504</f>
        <v>49000</v>
      </c>
      <c r="Q504" s="0" t="str">
        <f aca="false">IF(M504=0,"",IF(ISNUMBER(INDEX('Scenario inputs'!$N$4:$N$213,M504)),INDEX('Scenario inputs'!$N$4:$N$213,M504),""))</f>
        <v/>
      </c>
      <c r="R504" s="0" t="str">
        <f aca="false">IF(NOT(N504),"",IF(OR(E504="cash",E504="revenue"),E504,IF(E504="avoided_cost",IF(AND(I504,LEN(TRIM(J504))&gt;0),"avoided_cost_realised","avoided_cost_beside"),IF(ISNUMBER(Q504),"capacity_converted","capacity_hours"))))</f>
        <v>avoided_cost_realised</v>
      </c>
      <c r="S504" s="11" t="n">
        <f aca="false">IF(OR(R504="",R504="capacity_hours"),0,IF(R504="capacity_converted",P504*Q504,P504))</f>
        <v>49000</v>
      </c>
      <c r="T504" s="11" t="n">
        <f aca="false">IF(OR(R504="cash",R504="revenue",R504="avoided_cost_realised",R504="capacity_converted"),1,0)</f>
        <v>1</v>
      </c>
      <c r="U504" s="11" t="n">
        <f aca="false">IF(AND(N504,R504&lt;&gt;"capacity_hours",LEN(K504)&gt;0),1,0)</f>
        <v>1</v>
      </c>
      <c r="V504" s="11" t="n">
        <f aca="false">IF(U504=1,SUMPRODUCT(($K$4:$K$703=K504)*($F$4:$F$703=F504)*($U$4:$U$703=1)*($B$4:$B$703&lt;&gt;B504)),0)</f>
        <v>0</v>
      </c>
      <c r="W504" s="11" t="n">
        <f aca="false">IF(AND(U504=1,V504&gt;0),1+SUMPRODUCT(($K$4:$K$703=K504)*($F$4:$F$703=F504)*($U$4:$U$703=1)*($S$4:$S$703&gt;S504))+SUMPRODUCT(($K$4:$K$703=K504)*($F$4:$F$703=F504)*($U$4:$U$703=1)*($S$4:$S$703=S504)*($T$4:$T$703&gt;T504))+SUMPRODUCT(($K$4:$K$703=K504)*($F$4:$F$703=F504)*($U$4:$U$703=1)*($S$4:$S$703=S504)*($T$4:$T$703=T504)*($C$4:$C$703&lt;C504))+SUMPRODUCT(($K$4:$K$703=K504)*($F$4:$F$703=F504)*($U$4:$U$703=1)*($S$4:$S$703=S504)*($T$4:$T$703=T504)*($C$4:$C$703=C504)*($D$4:$D$703&lt;D504)),0)</f>
        <v>0</v>
      </c>
      <c r="X504" s="11" t="n">
        <f aca="false">IF(AND(U504=1,V504&gt;0,W504&gt;1),S504,0)</f>
        <v>0</v>
      </c>
      <c r="Y504" s="11" t="n">
        <f aca="false">IF(T504=1,X504/(1+Controls!$B$11)^F504,0)</f>
        <v>0</v>
      </c>
      <c r="Z504" s="11" t="n">
        <f aca="false">IF(AND(N504,E504="capacity",LEN(K504)&gt;0),1,0)</f>
        <v>0</v>
      </c>
      <c r="AA504" s="11" t="n">
        <f aca="false">IF(Z504=1,SUMPRODUCT(($K$4:$K$703=K504)*($F$4:$F$703=F504)*($Z$4:$Z$703=1)*($B$4:$B$703&lt;&gt;B504)),0)</f>
        <v>0</v>
      </c>
      <c r="AB504" s="11" t="n">
        <f aca="false">IF(AND(Z504=1,AA504&gt;0),1+SUMPRODUCT(($K$4:$K$703=K504)*($F$4:$F$703=F504)*($Z$4:$Z$703=1)*($P$4:$P$703&gt;P504))+SUMPRODUCT(($K$4:$K$703=K504)*($F$4:$F$703=F504)*($Z$4:$Z$703=1)*($P$4:$P$703=P504)*($C$4:$C$703&lt;C504))+SUMPRODUCT(($K$4:$K$703=K504)*($F$4:$F$703=F504)*($Z$4:$Z$703=1)*($P$4:$P$703=P504)*($C$4:$C$703=C504)*($D$4:$D$703&lt;D504)),0)</f>
        <v>0</v>
      </c>
      <c r="AC504" s="11" t="n">
        <f aca="false">IF(AND(Z504=1,AA504&gt;0,AB504&gt;1),P504,0)</f>
        <v>0</v>
      </c>
    </row>
    <row r="505" customFormat="false" ht="15" hidden="false" customHeight="false" outlineLevel="0" collapsed="false">
      <c r="A505" s="4" t="s">
        <v>752</v>
      </c>
      <c r="B505" s="4" t="s">
        <v>98</v>
      </c>
      <c r="C505" s="4" t="n">
        <v>16</v>
      </c>
      <c r="D505" s="4" t="n">
        <v>502</v>
      </c>
      <c r="E505" s="4" t="s">
        <v>205</v>
      </c>
      <c r="F505" s="4" t="n">
        <v>18</v>
      </c>
      <c r="G505" s="4" t="n">
        <v>7</v>
      </c>
      <c r="H505" s="4" t="n">
        <v>49000</v>
      </c>
      <c r="I505" s="13" t="b">
        <f aca="false">TRUE()</f>
        <v>1</v>
      </c>
      <c r="J505" s="4" t="s">
        <v>740</v>
      </c>
      <c r="K505" s="4" t="s">
        <v>741</v>
      </c>
      <c r="L505" s="4" t="n">
        <v>11608.1</v>
      </c>
      <c r="M505" s="11" t="n">
        <f aca="false">IFERROR(MATCH(Controls!$B$3&amp;"|"&amp;B505,'Scenario inputs'!$A$4:$A$213,0),0)</f>
        <v>147</v>
      </c>
      <c r="N505" s="8" t="b">
        <f aca="false">IF(M505=0,FALSE(),F505&lt;Controls!$B$12)</f>
        <v>1</v>
      </c>
      <c r="O505" s="11" t="n">
        <f aca="false">IF(N505,IF(INDEX('Scenario inputs'!$E$4:$E$213,M505)=0,1,INDEX('Scenario inputs'!$F$4:$M$213,M505,MIN(MAX(F505-G505,0),INDEX('Scenario inputs'!$E$4:$E$213,M505)-1)+1)),0)</f>
        <v>1</v>
      </c>
      <c r="P505" s="11" t="n">
        <f aca="false">H505*O505</f>
        <v>49000</v>
      </c>
      <c r="Q505" s="0" t="str">
        <f aca="false">IF(M505=0,"",IF(ISNUMBER(INDEX('Scenario inputs'!$N$4:$N$213,M505)),INDEX('Scenario inputs'!$N$4:$N$213,M505),""))</f>
        <v/>
      </c>
      <c r="R505" s="0" t="str">
        <f aca="false">IF(NOT(N505),"",IF(OR(E505="cash",E505="revenue"),E505,IF(E505="avoided_cost",IF(AND(I505,LEN(TRIM(J505))&gt;0),"avoided_cost_realised","avoided_cost_beside"),IF(ISNUMBER(Q505),"capacity_converted","capacity_hours"))))</f>
        <v>avoided_cost_realised</v>
      </c>
      <c r="S505" s="11" t="n">
        <f aca="false">IF(OR(R505="",R505="capacity_hours"),0,IF(R505="capacity_converted",P505*Q505,P505))</f>
        <v>49000</v>
      </c>
      <c r="T505" s="11" t="n">
        <f aca="false">IF(OR(R505="cash",R505="revenue",R505="avoided_cost_realised",R505="capacity_converted"),1,0)</f>
        <v>1</v>
      </c>
      <c r="U505" s="11" t="n">
        <f aca="false">IF(AND(N505,R505&lt;&gt;"capacity_hours",LEN(K505)&gt;0),1,0)</f>
        <v>1</v>
      </c>
      <c r="V505" s="11" t="n">
        <f aca="false">IF(U505=1,SUMPRODUCT(($K$4:$K$703=K505)*($F$4:$F$703=F505)*($U$4:$U$703=1)*($B$4:$B$703&lt;&gt;B505)),0)</f>
        <v>0</v>
      </c>
      <c r="W505" s="11" t="n">
        <f aca="false">IF(AND(U505=1,V505&gt;0),1+SUMPRODUCT(($K$4:$K$703=K505)*($F$4:$F$703=F505)*($U$4:$U$703=1)*($S$4:$S$703&gt;S505))+SUMPRODUCT(($K$4:$K$703=K505)*($F$4:$F$703=F505)*($U$4:$U$703=1)*($S$4:$S$703=S505)*($T$4:$T$703&gt;T505))+SUMPRODUCT(($K$4:$K$703=K505)*($F$4:$F$703=F505)*($U$4:$U$703=1)*($S$4:$S$703=S505)*($T$4:$T$703=T505)*($C$4:$C$703&lt;C505))+SUMPRODUCT(($K$4:$K$703=K505)*($F$4:$F$703=F505)*($U$4:$U$703=1)*($S$4:$S$703=S505)*($T$4:$T$703=T505)*($C$4:$C$703=C505)*($D$4:$D$703&lt;D505)),0)</f>
        <v>0</v>
      </c>
      <c r="X505" s="11" t="n">
        <f aca="false">IF(AND(U505=1,V505&gt;0,W505&gt;1),S505,0)</f>
        <v>0</v>
      </c>
      <c r="Y505" s="11" t="n">
        <f aca="false">IF(T505=1,X505/(1+Controls!$B$11)^F505,0)</f>
        <v>0</v>
      </c>
      <c r="Z505" s="11" t="n">
        <f aca="false">IF(AND(N505,E505="capacity",LEN(K505)&gt;0),1,0)</f>
        <v>0</v>
      </c>
      <c r="AA505" s="11" t="n">
        <f aca="false">IF(Z505=1,SUMPRODUCT(($K$4:$K$703=K505)*($F$4:$F$703=F505)*($Z$4:$Z$703=1)*($B$4:$B$703&lt;&gt;B505)),0)</f>
        <v>0</v>
      </c>
      <c r="AB505" s="11" t="n">
        <f aca="false">IF(AND(Z505=1,AA505&gt;0),1+SUMPRODUCT(($K$4:$K$703=K505)*($F$4:$F$703=F505)*($Z$4:$Z$703=1)*($P$4:$P$703&gt;P505))+SUMPRODUCT(($K$4:$K$703=K505)*($F$4:$F$703=F505)*($Z$4:$Z$703=1)*($P$4:$P$703=P505)*($C$4:$C$703&lt;C505))+SUMPRODUCT(($K$4:$K$703=K505)*($F$4:$F$703=F505)*($Z$4:$Z$703=1)*($P$4:$P$703=P505)*($C$4:$C$703=C505)*($D$4:$D$703&lt;D505)),0)</f>
        <v>0</v>
      </c>
      <c r="AC505" s="11" t="n">
        <f aca="false">IF(AND(Z505=1,AA505&gt;0,AB505&gt;1),P505,0)</f>
        <v>0</v>
      </c>
    </row>
    <row r="506" customFormat="false" ht="15" hidden="false" customHeight="false" outlineLevel="0" collapsed="false">
      <c r="A506" s="4" t="s">
        <v>753</v>
      </c>
      <c r="B506" s="4" t="s">
        <v>98</v>
      </c>
      <c r="C506" s="4" t="n">
        <v>16</v>
      </c>
      <c r="D506" s="4" t="n">
        <v>503</v>
      </c>
      <c r="E506" s="4" t="s">
        <v>233</v>
      </c>
      <c r="F506" s="4" t="n">
        <v>7</v>
      </c>
      <c r="G506" s="4" t="n">
        <v>7</v>
      </c>
      <c r="H506" s="4" t="n">
        <v>913.68</v>
      </c>
      <c r="I506" s="13" t="b">
        <f aca="false">FALSE()</f>
        <v>0</v>
      </c>
      <c r="K506" s="4" t="s">
        <v>754</v>
      </c>
      <c r="L506" s="4" t="n">
        <v>3.67</v>
      </c>
      <c r="M506" s="11" t="n">
        <f aca="false">IFERROR(MATCH(Controls!$B$3&amp;"|"&amp;B506,'Scenario inputs'!$A$4:$A$213,0),0)</f>
        <v>147</v>
      </c>
      <c r="N506" s="8" t="b">
        <f aca="false">IF(M506=0,FALSE(),F506&lt;Controls!$B$12)</f>
        <v>1</v>
      </c>
      <c r="O506" s="11" t="n">
        <f aca="false">IF(N506,IF(INDEX('Scenario inputs'!$E$4:$E$213,M506)=0,1,INDEX('Scenario inputs'!$F$4:$M$213,M506,MIN(MAX(F506-G506,0),INDEX('Scenario inputs'!$E$4:$E$213,M506)-1)+1)),0)</f>
        <v>0.035714</v>
      </c>
      <c r="P506" s="11" t="n">
        <f aca="false">H506*O506</f>
        <v>32.63116752</v>
      </c>
      <c r="Q506" s="0" t="str">
        <f aca="false">IF(M506=0,"",IF(ISNUMBER(INDEX('Scenario inputs'!$N$4:$N$213,M506)),INDEX('Scenario inputs'!$N$4:$N$213,M506),""))</f>
        <v/>
      </c>
      <c r="R506" s="0" t="str">
        <f aca="false">IF(NOT(N506),"",IF(OR(E506="cash",E506="revenue"),E506,IF(E506="avoided_cost",IF(AND(I506,LEN(TRIM(J506))&gt;0),"avoided_cost_realised","avoided_cost_beside"),IF(ISNUMBER(Q506),"capacity_converted","capacity_hours"))))</f>
        <v>capacity_hours</v>
      </c>
      <c r="S506" s="11" t="n">
        <f aca="false">IF(OR(R506="",R506="capacity_hours"),0,IF(R506="capacity_converted",P506*Q506,P506))</f>
        <v>0</v>
      </c>
      <c r="T506" s="11" t="n">
        <f aca="false">IF(OR(R506="cash",R506="revenue",R506="avoided_cost_realised",R506="capacity_converted"),1,0)</f>
        <v>0</v>
      </c>
      <c r="U506" s="11" t="n">
        <f aca="false">IF(AND(N506,R506&lt;&gt;"capacity_hours",LEN(K506)&gt;0),1,0)</f>
        <v>0</v>
      </c>
      <c r="V506" s="11" t="n">
        <f aca="false">IF(U506=1,SUMPRODUCT(($K$4:$K$703=K506)*($F$4:$F$703=F506)*($U$4:$U$703=1)*($B$4:$B$703&lt;&gt;B506)),0)</f>
        <v>0</v>
      </c>
      <c r="W506" s="11" t="n">
        <f aca="false">IF(AND(U506=1,V506&gt;0),1+SUMPRODUCT(($K$4:$K$703=K506)*($F$4:$F$703=F506)*($U$4:$U$703=1)*($S$4:$S$703&gt;S506))+SUMPRODUCT(($K$4:$K$703=K506)*($F$4:$F$703=F506)*($U$4:$U$703=1)*($S$4:$S$703=S506)*($T$4:$T$703&gt;T506))+SUMPRODUCT(($K$4:$K$703=K506)*($F$4:$F$703=F506)*($U$4:$U$703=1)*($S$4:$S$703=S506)*($T$4:$T$703=T506)*($C$4:$C$703&lt;C506))+SUMPRODUCT(($K$4:$K$703=K506)*($F$4:$F$703=F506)*($U$4:$U$703=1)*($S$4:$S$703=S506)*($T$4:$T$703=T506)*($C$4:$C$703=C506)*($D$4:$D$703&lt;D506)),0)</f>
        <v>0</v>
      </c>
      <c r="X506" s="11" t="n">
        <f aca="false">IF(AND(U506=1,V506&gt;0,W506&gt;1),S506,0)</f>
        <v>0</v>
      </c>
      <c r="Y506" s="11" t="n">
        <f aca="false">IF(T506=1,X506/(1+Controls!$B$11)^F506,0)</f>
        <v>0</v>
      </c>
      <c r="Z506" s="11" t="n">
        <f aca="false">IF(AND(N506,E506="capacity",LEN(K506)&gt;0),1,0)</f>
        <v>1</v>
      </c>
      <c r="AA506" s="11" t="n">
        <f aca="false">IF(Z506=1,SUMPRODUCT(($K$4:$K$703=K506)*($F$4:$F$703=F506)*($Z$4:$Z$703=1)*($B$4:$B$703&lt;&gt;B506)),0)</f>
        <v>0</v>
      </c>
      <c r="AB506" s="11" t="n">
        <f aca="false">IF(AND(Z506=1,AA506&gt;0),1+SUMPRODUCT(($K$4:$K$703=K506)*($F$4:$F$703=F506)*($Z$4:$Z$703=1)*($P$4:$P$703&gt;P506))+SUMPRODUCT(($K$4:$K$703=K506)*($F$4:$F$703=F506)*($Z$4:$Z$703=1)*($P$4:$P$703=P506)*($C$4:$C$703&lt;C506))+SUMPRODUCT(($K$4:$K$703=K506)*($F$4:$F$703=F506)*($Z$4:$Z$703=1)*($P$4:$P$703=P506)*($C$4:$C$703=C506)*($D$4:$D$703&lt;D506)),0)</f>
        <v>0</v>
      </c>
      <c r="AC506" s="11" t="n">
        <f aca="false">IF(AND(Z506=1,AA506&gt;0,AB506&gt;1),P506,0)</f>
        <v>0</v>
      </c>
    </row>
    <row r="507" customFormat="false" ht="15" hidden="false" customHeight="false" outlineLevel="0" collapsed="false">
      <c r="A507" s="4" t="s">
        <v>755</v>
      </c>
      <c r="B507" s="4" t="s">
        <v>98</v>
      </c>
      <c r="C507" s="4" t="n">
        <v>16</v>
      </c>
      <c r="D507" s="4" t="n">
        <v>504</v>
      </c>
      <c r="E507" s="4" t="s">
        <v>233</v>
      </c>
      <c r="F507" s="4" t="n">
        <v>8</v>
      </c>
      <c r="G507" s="4" t="n">
        <v>7</v>
      </c>
      <c r="H507" s="4" t="n">
        <v>913.68</v>
      </c>
      <c r="I507" s="13" t="b">
        <f aca="false">FALSE()</f>
        <v>0</v>
      </c>
      <c r="K507" s="4" t="s">
        <v>754</v>
      </c>
      <c r="L507" s="4" t="n">
        <v>10.8</v>
      </c>
      <c r="M507" s="11" t="n">
        <f aca="false">IFERROR(MATCH(Controls!$B$3&amp;"|"&amp;B507,'Scenario inputs'!$A$4:$A$213,0),0)</f>
        <v>147</v>
      </c>
      <c r="N507" s="8" t="b">
        <f aca="false">IF(M507=0,FALSE(),F507&lt;Controls!$B$12)</f>
        <v>1</v>
      </c>
      <c r="O507" s="11" t="n">
        <f aca="false">IF(N507,IF(INDEX('Scenario inputs'!$E$4:$E$213,M507)=0,1,INDEX('Scenario inputs'!$F$4:$M$213,M507,MIN(MAX(F507-G507,0),INDEX('Scenario inputs'!$E$4:$E$213,M507)-1)+1)),0)</f>
        <v>0.107143</v>
      </c>
      <c r="P507" s="11" t="n">
        <f aca="false">H507*O507</f>
        <v>97.89441624</v>
      </c>
      <c r="Q507" s="0" t="str">
        <f aca="false">IF(M507=0,"",IF(ISNUMBER(INDEX('Scenario inputs'!$N$4:$N$213,M507)),INDEX('Scenario inputs'!$N$4:$N$213,M507),""))</f>
        <v/>
      </c>
      <c r="R507" s="0" t="str">
        <f aca="false">IF(NOT(N507),"",IF(OR(E507="cash",E507="revenue"),E507,IF(E507="avoided_cost",IF(AND(I507,LEN(TRIM(J507))&gt;0),"avoided_cost_realised","avoided_cost_beside"),IF(ISNUMBER(Q507),"capacity_converted","capacity_hours"))))</f>
        <v>capacity_hours</v>
      </c>
      <c r="S507" s="11" t="n">
        <f aca="false">IF(OR(R507="",R507="capacity_hours"),0,IF(R507="capacity_converted",P507*Q507,P507))</f>
        <v>0</v>
      </c>
      <c r="T507" s="11" t="n">
        <f aca="false">IF(OR(R507="cash",R507="revenue",R507="avoided_cost_realised",R507="capacity_converted"),1,0)</f>
        <v>0</v>
      </c>
      <c r="U507" s="11" t="n">
        <f aca="false">IF(AND(N507,R507&lt;&gt;"capacity_hours",LEN(K507)&gt;0),1,0)</f>
        <v>0</v>
      </c>
      <c r="V507" s="11" t="n">
        <f aca="false">IF(U507=1,SUMPRODUCT(($K$4:$K$703=K507)*($F$4:$F$703=F507)*($U$4:$U$703=1)*($B$4:$B$703&lt;&gt;B507)),0)</f>
        <v>0</v>
      </c>
      <c r="W507" s="11" t="n">
        <f aca="false">IF(AND(U507=1,V507&gt;0),1+SUMPRODUCT(($K$4:$K$703=K507)*($F$4:$F$703=F507)*($U$4:$U$703=1)*($S$4:$S$703&gt;S507))+SUMPRODUCT(($K$4:$K$703=K507)*($F$4:$F$703=F507)*($U$4:$U$703=1)*($S$4:$S$703=S507)*($T$4:$T$703&gt;T507))+SUMPRODUCT(($K$4:$K$703=K507)*($F$4:$F$703=F507)*($U$4:$U$703=1)*($S$4:$S$703=S507)*($T$4:$T$703=T507)*($C$4:$C$703&lt;C507))+SUMPRODUCT(($K$4:$K$703=K507)*($F$4:$F$703=F507)*($U$4:$U$703=1)*($S$4:$S$703=S507)*($T$4:$T$703=T507)*($C$4:$C$703=C507)*($D$4:$D$703&lt;D507)),0)</f>
        <v>0</v>
      </c>
      <c r="X507" s="11" t="n">
        <f aca="false">IF(AND(U507=1,V507&gt;0,W507&gt;1),S507,0)</f>
        <v>0</v>
      </c>
      <c r="Y507" s="11" t="n">
        <f aca="false">IF(T507=1,X507/(1+Controls!$B$11)^F507,0)</f>
        <v>0</v>
      </c>
      <c r="Z507" s="11" t="n">
        <f aca="false">IF(AND(N507,E507="capacity",LEN(K507)&gt;0),1,0)</f>
        <v>1</v>
      </c>
      <c r="AA507" s="11" t="n">
        <f aca="false">IF(Z507=1,SUMPRODUCT(($K$4:$K$703=K507)*($F$4:$F$703=F507)*($Z$4:$Z$703=1)*($B$4:$B$703&lt;&gt;B507)),0)</f>
        <v>0</v>
      </c>
      <c r="AB507" s="11" t="n">
        <f aca="false">IF(AND(Z507=1,AA507&gt;0),1+SUMPRODUCT(($K$4:$K$703=K507)*($F$4:$F$703=F507)*($Z$4:$Z$703=1)*($P$4:$P$703&gt;P507))+SUMPRODUCT(($K$4:$K$703=K507)*($F$4:$F$703=F507)*($Z$4:$Z$703=1)*($P$4:$P$703=P507)*($C$4:$C$703&lt;C507))+SUMPRODUCT(($K$4:$K$703=K507)*($F$4:$F$703=F507)*($Z$4:$Z$703=1)*($P$4:$P$703=P507)*($C$4:$C$703=C507)*($D$4:$D$703&lt;D507)),0)</f>
        <v>0</v>
      </c>
      <c r="AC507" s="11" t="n">
        <f aca="false">IF(AND(Z507=1,AA507&gt;0,AB507&gt;1),P507,0)</f>
        <v>0</v>
      </c>
    </row>
    <row r="508" customFormat="false" ht="15" hidden="false" customHeight="false" outlineLevel="0" collapsed="false">
      <c r="A508" s="4" t="s">
        <v>756</v>
      </c>
      <c r="B508" s="4" t="s">
        <v>98</v>
      </c>
      <c r="C508" s="4" t="n">
        <v>16</v>
      </c>
      <c r="D508" s="4" t="n">
        <v>505</v>
      </c>
      <c r="E508" s="4" t="s">
        <v>233</v>
      </c>
      <c r="F508" s="4" t="n">
        <v>9</v>
      </c>
      <c r="G508" s="4" t="n">
        <v>7</v>
      </c>
      <c r="H508" s="4" t="n">
        <v>913.68</v>
      </c>
      <c r="I508" s="13" t="b">
        <f aca="false">FALSE()</f>
        <v>0</v>
      </c>
      <c r="K508" s="4" t="s">
        <v>754</v>
      </c>
      <c r="L508" s="4" t="n">
        <v>20.75</v>
      </c>
      <c r="M508" s="11" t="n">
        <f aca="false">IFERROR(MATCH(Controls!$B$3&amp;"|"&amp;B508,'Scenario inputs'!$A$4:$A$213,0),0)</f>
        <v>147</v>
      </c>
      <c r="N508" s="8" t="b">
        <f aca="false">IF(M508=0,FALSE(),F508&lt;Controls!$B$12)</f>
        <v>1</v>
      </c>
      <c r="O508" s="11" t="n">
        <f aca="false">IF(N508,IF(INDEX('Scenario inputs'!$E$4:$E$213,M508)=0,1,INDEX('Scenario inputs'!$F$4:$M$213,M508,MIN(MAX(F508-G508,0),INDEX('Scenario inputs'!$E$4:$E$213,M508)-1)+1)),0)</f>
        <v>0.214286</v>
      </c>
      <c r="P508" s="11" t="n">
        <f aca="false">H508*O508</f>
        <v>195.78883248</v>
      </c>
      <c r="Q508" s="0" t="str">
        <f aca="false">IF(M508=0,"",IF(ISNUMBER(INDEX('Scenario inputs'!$N$4:$N$213,M508)),INDEX('Scenario inputs'!$N$4:$N$213,M508),""))</f>
        <v/>
      </c>
      <c r="R508" s="0" t="str">
        <f aca="false">IF(NOT(N508),"",IF(OR(E508="cash",E508="revenue"),E508,IF(E508="avoided_cost",IF(AND(I508,LEN(TRIM(J508))&gt;0),"avoided_cost_realised","avoided_cost_beside"),IF(ISNUMBER(Q508),"capacity_converted","capacity_hours"))))</f>
        <v>capacity_hours</v>
      </c>
      <c r="S508" s="11" t="n">
        <f aca="false">IF(OR(R508="",R508="capacity_hours"),0,IF(R508="capacity_converted",P508*Q508,P508))</f>
        <v>0</v>
      </c>
      <c r="T508" s="11" t="n">
        <f aca="false">IF(OR(R508="cash",R508="revenue",R508="avoided_cost_realised",R508="capacity_converted"),1,0)</f>
        <v>0</v>
      </c>
      <c r="U508" s="11" t="n">
        <f aca="false">IF(AND(N508,R508&lt;&gt;"capacity_hours",LEN(K508)&gt;0),1,0)</f>
        <v>0</v>
      </c>
      <c r="V508" s="11" t="n">
        <f aca="false">IF(U508=1,SUMPRODUCT(($K$4:$K$703=K508)*($F$4:$F$703=F508)*($U$4:$U$703=1)*($B$4:$B$703&lt;&gt;B508)),0)</f>
        <v>0</v>
      </c>
      <c r="W508" s="11" t="n">
        <f aca="false">IF(AND(U508=1,V508&gt;0),1+SUMPRODUCT(($K$4:$K$703=K508)*($F$4:$F$703=F508)*($U$4:$U$703=1)*($S$4:$S$703&gt;S508))+SUMPRODUCT(($K$4:$K$703=K508)*($F$4:$F$703=F508)*($U$4:$U$703=1)*($S$4:$S$703=S508)*($T$4:$T$703&gt;T508))+SUMPRODUCT(($K$4:$K$703=K508)*($F$4:$F$703=F508)*($U$4:$U$703=1)*($S$4:$S$703=S508)*($T$4:$T$703=T508)*($C$4:$C$703&lt;C508))+SUMPRODUCT(($K$4:$K$703=K508)*($F$4:$F$703=F508)*($U$4:$U$703=1)*($S$4:$S$703=S508)*($T$4:$T$703=T508)*($C$4:$C$703=C508)*($D$4:$D$703&lt;D508)),0)</f>
        <v>0</v>
      </c>
      <c r="X508" s="11" t="n">
        <f aca="false">IF(AND(U508=1,V508&gt;0,W508&gt;1),S508,0)</f>
        <v>0</v>
      </c>
      <c r="Y508" s="11" t="n">
        <f aca="false">IF(T508=1,X508/(1+Controls!$B$11)^F508,0)</f>
        <v>0</v>
      </c>
      <c r="Z508" s="11" t="n">
        <f aca="false">IF(AND(N508,E508="capacity",LEN(K508)&gt;0),1,0)</f>
        <v>1</v>
      </c>
      <c r="AA508" s="11" t="n">
        <f aca="false">IF(Z508=1,SUMPRODUCT(($K$4:$K$703=K508)*($F$4:$F$703=F508)*($Z$4:$Z$703=1)*($B$4:$B$703&lt;&gt;B508)),0)</f>
        <v>0</v>
      </c>
      <c r="AB508" s="11" t="n">
        <f aca="false">IF(AND(Z508=1,AA508&gt;0),1+SUMPRODUCT(($K$4:$K$703=K508)*($F$4:$F$703=F508)*($Z$4:$Z$703=1)*($P$4:$P$703&gt;P508))+SUMPRODUCT(($K$4:$K$703=K508)*($F$4:$F$703=F508)*($Z$4:$Z$703=1)*($P$4:$P$703=P508)*($C$4:$C$703&lt;C508))+SUMPRODUCT(($K$4:$K$703=K508)*($F$4:$F$703=F508)*($Z$4:$Z$703=1)*($P$4:$P$703=P508)*($C$4:$C$703=C508)*($D$4:$D$703&lt;D508)),0)</f>
        <v>0</v>
      </c>
      <c r="AC508" s="11" t="n">
        <f aca="false">IF(AND(Z508=1,AA508&gt;0,AB508&gt;1),P508,0)</f>
        <v>0</v>
      </c>
    </row>
    <row r="509" customFormat="false" ht="15" hidden="false" customHeight="false" outlineLevel="0" collapsed="false">
      <c r="A509" s="4" t="s">
        <v>757</v>
      </c>
      <c r="B509" s="4" t="s">
        <v>98</v>
      </c>
      <c r="C509" s="4" t="n">
        <v>16</v>
      </c>
      <c r="D509" s="4" t="n">
        <v>506</v>
      </c>
      <c r="E509" s="4" t="s">
        <v>233</v>
      </c>
      <c r="F509" s="4" t="n">
        <v>10</v>
      </c>
      <c r="G509" s="4" t="n">
        <v>7</v>
      </c>
      <c r="H509" s="4" t="n">
        <v>913.68</v>
      </c>
      <c r="I509" s="13" t="b">
        <f aca="false">FALSE()</f>
        <v>0</v>
      </c>
      <c r="K509" s="4" t="s">
        <v>754</v>
      </c>
      <c r="L509" s="4" t="n">
        <v>34.59</v>
      </c>
      <c r="M509" s="11" t="n">
        <f aca="false">IFERROR(MATCH(Controls!$B$3&amp;"|"&amp;B509,'Scenario inputs'!$A$4:$A$213,0),0)</f>
        <v>147</v>
      </c>
      <c r="N509" s="8" t="b">
        <f aca="false">IF(M509=0,FALSE(),F509&lt;Controls!$B$12)</f>
        <v>1</v>
      </c>
      <c r="O509" s="11" t="n">
        <f aca="false">IF(N509,IF(INDEX('Scenario inputs'!$E$4:$E$213,M509)=0,1,INDEX('Scenario inputs'!$F$4:$M$213,M509,MIN(MAX(F509-G509,0),INDEX('Scenario inputs'!$E$4:$E$213,M509)-1)+1)),0)</f>
        <v>0.357143</v>
      </c>
      <c r="P509" s="11" t="n">
        <f aca="false">H509*O509</f>
        <v>326.31441624</v>
      </c>
      <c r="Q509" s="0" t="str">
        <f aca="false">IF(M509=0,"",IF(ISNUMBER(INDEX('Scenario inputs'!$N$4:$N$213,M509)),INDEX('Scenario inputs'!$N$4:$N$213,M509),""))</f>
        <v/>
      </c>
      <c r="R509" s="0" t="str">
        <f aca="false">IF(NOT(N509),"",IF(OR(E509="cash",E509="revenue"),E509,IF(E509="avoided_cost",IF(AND(I509,LEN(TRIM(J509))&gt;0),"avoided_cost_realised","avoided_cost_beside"),IF(ISNUMBER(Q509),"capacity_converted","capacity_hours"))))</f>
        <v>capacity_hours</v>
      </c>
      <c r="S509" s="11" t="n">
        <f aca="false">IF(OR(R509="",R509="capacity_hours"),0,IF(R509="capacity_converted",P509*Q509,P509))</f>
        <v>0</v>
      </c>
      <c r="T509" s="11" t="n">
        <f aca="false">IF(OR(R509="cash",R509="revenue",R509="avoided_cost_realised",R509="capacity_converted"),1,0)</f>
        <v>0</v>
      </c>
      <c r="U509" s="11" t="n">
        <f aca="false">IF(AND(N509,R509&lt;&gt;"capacity_hours",LEN(K509)&gt;0),1,0)</f>
        <v>0</v>
      </c>
      <c r="V509" s="11" t="n">
        <f aca="false">IF(U509=1,SUMPRODUCT(($K$4:$K$703=K509)*($F$4:$F$703=F509)*($U$4:$U$703=1)*($B$4:$B$703&lt;&gt;B509)),0)</f>
        <v>0</v>
      </c>
      <c r="W509" s="11" t="n">
        <f aca="false">IF(AND(U509=1,V509&gt;0),1+SUMPRODUCT(($K$4:$K$703=K509)*($F$4:$F$703=F509)*($U$4:$U$703=1)*($S$4:$S$703&gt;S509))+SUMPRODUCT(($K$4:$K$703=K509)*($F$4:$F$703=F509)*($U$4:$U$703=1)*($S$4:$S$703=S509)*($T$4:$T$703&gt;T509))+SUMPRODUCT(($K$4:$K$703=K509)*($F$4:$F$703=F509)*($U$4:$U$703=1)*($S$4:$S$703=S509)*($T$4:$T$703=T509)*($C$4:$C$703&lt;C509))+SUMPRODUCT(($K$4:$K$703=K509)*($F$4:$F$703=F509)*($U$4:$U$703=1)*($S$4:$S$703=S509)*($T$4:$T$703=T509)*($C$4:$C$703=C509)*($D$4:$D$703&lt;D509)),0)</f>
        <v>0</v>
      </c>
      <c r="X509" s="11" t="n">
        <f aca="false">IF(AND(U509=1,V509&gt;0,W509&gt;1),S509,0)</f>
        <v>0</v>
      </c>
      <c r="Y509" s="11" t="n">
        <f aca="false">IF(T509=1,X509/(1+Controls!$B$11)^F509,0)</f>
        <v>0</v>
      </c>
      <c r="Z509" s="11" t="n">
        <f aca="false">IF(AND(N509,E509="capacity",LEN(K509)&gt;0),1,0)</f>
        <v>1</v>
      </c>
      <c r="AA509" s="11" t="n">
        <f aca="false">IF(Z509=1,SUMPRODUCT(($K$4:$K$703=K509)*($F$4:$F$703=F509)*($Z$4:$Z$703=1)*($B$4:$B$703&lt;&gt;B509)),0)</f>
        <v>0</v>
      </c>
      <c r="AB509" s="11" t="n">
        <f aca="false">IF(AND(Z509=1,AA509&gt;0),1+SUMPRODUCT(($K$4:$K$703=K509)*($F$4:$F$703=F509)*($Z$4:$Z$703=1)*($P$4:$P$703&gt;P509))+SUMPRODUCT(($K$4:$K$703=K509)*($F$4:$F$703=F509)*($Z$4:$Z$703=1)*($P$4:$P$703=P509)*($C$4:$C$703&lt;C509))+SUMPRODUCT(($K$4:$K$703=K509)*($F$4:$F$703=F509)*($Z$4:$Z$703=1)*($P$4:$P$703=P509)*($C$4:$C$703=C509)*($D$4:$D$703&lt;D509)),0)</f>
        <v>0</v>
      </c>
      <c r="AC509" s="11" t="n">
        <f aca="false">IF(AND(Z509=1,AA509&gt;0,AB509&gt;1),P509,0)</f>
        <v>0</v>
      </c>
    </row>
    <row r="510" customFormat="false" ht="15" hidden="false" customHeight="false" outlineLevel="0" collapsed="false">
      <c r="A510" s="4" t="s">
        <v>758</v>
      </c>
      <c r="B510" s="4" t="s">
        <v>98</v>
      </c>
      <c r="C510" s="4" t="n">
        <v>16</v>
      </c>
      <c r="D510" s="4" t="n">
        <v>507</v>
      </c>
      <c r="E510" s="4" t="s">
        <v>233</v>
      </c>
      <c r="F510" s="4" t="n">
        <v>11</v>
      </c>
      <c r="G510" s="4" t="n">
        <v>7</v>
      </c>
      <c r="H510" s="4" t="n">
        <v>913.68</v>
      </c>
      <c r="I510" s="13" t="b">
        <f aca="false">FALSE()</f>
        <v>0</v>
      </c>
      <c r="K510" s="4" t="s">
        <v>754</v>
      </c>
      <c r="L510" s="4" t="n">
        <v>51.88</v>
      </c>
      <c r="M510" s="11" t="n">
        <f aca="false">IFERROR(MATCH(Controls!$B$3&amp;"|"&amp;B510,'Scenario inputs'!$A$4:$A$213,0),0)</f>
        <v>147</v>
      </c>
      <c r="N510" s="8" t="b">
        <f aca="false">IF(M510=0,FALSE(),F510&lt;Controls!$B$12)</f>
        <v>1</v>
      </c>
      <c r="O510" s="11" t="n">
        <f aca="false">IF(N510,IF(INDEX('Scenario inputs'!$E$4:$E$213,M510)=0,1,INDEX('Scenario inputs'!$F$4:$M$213,M510,MIN(MAX(F510-G510,0),INDEX('Scenario inputs'!$E$4:$E$213,M510)-1)+1)),0)</f>
        <v>0.535714</v>
      </c>
      <c r="P510" s="11" t="n">
        <f aca="false">H510*O510</f>
        <v>489.47116752</v>
      </c>
      <c r="Q510" s="0" t="str">
        <f aca="false">IF(M510=0,"",IF(ISNUMBER(INDEX('Scenario inputs'!$N$4:$N$213,M510)),INDEX('Scenario inputs'!$N$4:$N$213,M510),""))</f>
        <v/>
      </c>
      <c r="R510" s="0" t="str">
        <f aca="false">IF(NOT(N510),"",IF(OR(E510="cash",E510="revenue"),E510,IF(E510="avoided_cost",IF(AND(I510,LEN(TRIM(J510))&gt;0),"avoided_cost_realised","avoided_cost_beside"),IF(ISNUMBER(Q510),"capacity_converted","capacity_hours"))))</f>
        <v>capacity_hours</v>
      </c>
      <c r="S510" s="11" t="n">
        <f aca="false">IF(OR(R510="",R510="capacity_hours"),0,IF(R510="capacity_converted",P510*Q510,P510))</f>
        <v>0</v>
      </c>
      <c r="T510" s="11" t="n">
        <f aca="false">IF(OR(R510="cash",R510="revenue",R510="avoided_cost_realised",R510="capacity_converted"),1,0)</f>
        <v>0</v>
      </c>
      <c r="U510" s="11" t="n">
        <f aca="false">IF(AND(N510,R510&lt;&gt;"capacity_hours",LEN(K510)&gt;0),1,0)</f>
        <v>0</v>
      </c>
      <c r="V510" s="11" t="n">
        <f aca="false">IF(U510=1,SUMPRODUCT(($K$4:$K$703=K510)*($F$4:$F$703=F510)*($U$4:$U$703=1)*($B$4:$B$703&lt;&gt;B510)),0)</f>
        <v>0</v>
      </c>
      <c r="W510" s="11" t="n">
        <f aca="false">IF(AND(U510=1,V510&gt;0),1+SUMPRODUCT(($K$4:$K$703=K510)*($F$4:$F$703=F510)*($U$4:$U$703=1)*($S$4:$S$703&gt;S510))+SUMPRODUCT(($K$4:$K$703=K510)*($F$4:$F$703=F510)*($U$4:$U$703=1)*($S$4:$S$703=S510)*($T$4:$T$703&gt;T510))+SUMPRODUCT(($K$4:$K$703=K510)*($F$4:$F$703=F510)*($U$4:$U$703=1)*($S$4:$S$703=S510)*($T$4:$T$703=T510)*($C$4:$C$703&lt;C510))+SUMPRODUCT(($K$4:$K$703=K510)*($F$4:$F$703=F510)*($U$4:$U$703=1)*($S$4:$S$703=S510)*($T$4:$T$703=T510)*($C$4:$C$703=C510)*($D$4:$D$703&lt;D510)),0)</f>
        <v>0</v>
      </c>
      <c r="X510" s="11" t="n">
        <f aca="false">IF(AND(U510=1,V510&gt;0,W510&gt;1),S510,0)</f>
        <v>0</v>
      </c>
      <c r="Y510" s="11" t="n">
        <f aca="false">IF(T510=1,X510/(1+Controls!$B$11)^F510,0)</f>
        <v>0</v>
      </c>
      <c r="Z510" s="11" t="n">
        <f aca="false">IF(AND(N510,E510="capacity",LEN(K510)&gt;0),1,0)</f>
        <v>1</v>
      </c>
      <c r="AA510" s="11" t="n">
        <f aca="false">IF(Z510=1,SUMPRODUCT(($K$4:$K$703=K510)*($F$4:$F$703=F510)*($Z$4:$Z$703=1)*($B$4:$B$703&lt;&gt;B510)),0)</f>
        <v>0</v>
      </c>
      <c r="AB510" s="11" t="n">
        <f aca="false">IF(AND(Z510=1,AA510&gt;0),1+SUMPRODUCT(($K$4:$K$703=K510)*($F$4:$F$703=F510)*($Z$4:$Z$703=1)*($P$4:$P$703&gt;P510))+SUMPRODUCT(($K$4:$K$703=K510)*($F$4:$F$703=F510)*($Z$4:$Z$703=1)*($P$4:$P$703=P510)*($C$4:$C$703&lt;C510))+SUMPRODUCT(($K$4:$K$703=K510)*($F$4:$F$703=F510)*($Z$4:$Z$703=1)*($P$4:$P$703=P510)*($C$4:$C$703=C510)*($D$4:$D$703&lt;D510)),0)</f>
        <v>0</v>
      </c>
      <c r="AC510" s="11" t="n">
        <f aca="false">IF(AND(Z510=1,AA510&gt;0,AB510&gt;1),P510,0)</f>
        <v>0</v>
      </c>
    </row>
    <row r="511" customFormat="false" ht="15" hidden="false" customHeight="false" outlineLevel="0" collapsed="false">
      <c r="A511" s="4" t="s">
        <v>759</v>
      </c>
      <c r="B511" s="4" t="s">
        <v>98</v>
      </c>
      <c r="C511" s="4" t="n">
        <v>16</v>
      </c>
      <c r="D511" s="4" t="n">
        <v>508</v>
      </c>
      <c r="E511" s="4" t="s">
        <v>233</v>
      </c>
      <c r="F511" s="4" t="n">
        <v>12</v>
      </c>
      <c r="G511" s="4" t="n">
        <v>7</v>
      </c>
      <c r="H511" s="4" t="n">
        <v>913.68</v>
      </c>
      <c r="I511" s="13" t="b">
        <f aca="false">FALSE()</f>
        <v>0</v>
      </c>
      <c r="K511" s="4" t="s">
        <v>754</v>
      </c>
      <c r="L511" s="4" t="n">
        <v>72.64</v>
      </c>
      <c r="M511" s="11" t="n">
        <f aca="false">IFERROR(MATCH(Controls!$B$3&amp;"|"&amp;B511,'Scenario inputs'!$A$4:$A$213,0),0)</f>
        <v>147</v>
      </c>
      <c r="N511" s="8" t="b">
        <f aca="false">IF(M511=0,FALSE(),F511&lt;Controls!$B$12)</f>
        <v>1</v>
      </c>
      <c r="O511" s="11" t="n">
        <f aca="false">IF(N511,IF(INDEX('Scenario inputs'!$E$4:$E$213,M511)=0,1,INDEX('Scenario inputs'!$F$4:$M$213,M511,MIN(MAX(F511-G511,0),INDEX('Scenario inputs'!$E$4:$E$213,M511)-1)+1)),0)</f>
        <v>0.75</v>
      </c>
      <c r="P511" s="11" t="n">
        <f aca="false">H511*O511</f>
        <v>685.26</v>
      </c>
      <c r="Q511" s="0" t="str">
        <f aca="false">IF(M511=0,"",IF(ISNUMBER(INDEX('Scenario inputs'!$N$4:$N$213,M511)),INDEX('Scenario inputs'!$N$4:$N$213,M511),""))</f>
        <v/>
      </c>
      <c r="R511" s="0" t="str">
        <f aca="false">IF(NOT(N511),"",IF(OR(E511="cash",E511="revenue"),E511,IF(E511="avoided_cost",IF(AND(I511,LEN(TRIM(J511))&gt;0),"avoided_cost_realised","avoided_cost_beside"),IF(ISNUMBER(Q511),"capacity_converted","capacity_hours"))))</f>
        <v>capacity_hours</v>
      </c>
      <c r="S511" s="11" t="n">
        <f aca="false">IF(OR(R511="",R511="capacity_hours"),0,IF(R511="capacity_converted",P511*Q511,P511))</f>
        <v>0</v>
      </c>
      <c r="T511" s="11" t="n">
        <f aca="false">IF(OR(R511="cash",R511="revenue",R511="avoided_cost_realised",R511="capacity_converted"),1,0)</f>
        <v>0</v>
      </c>
      <c r="U511" s="11" t="n">
        <f aca="false">IF(AND(N511,R511&lt;&gt;"capacity_hours",LEN(K511)&gt;0),1,0)</f>
        <v>0</v>
      </c>
      <c r="V511" s="11" t="n">
        <f aca="false">IF(U511=1,SUMPRODUCT(($K$4:$K$703=K511)*($F$4:$F$703=F511)*($U$4:$U$703=1)*($B$4:$B$703&lt;&gt;B511)),0)</f>
        <v>0</v>
      </c>
      <c r="W511" s="11" t="n">
        <f aca="false">IF(AND(U511=1,V511&gt;0),1+SUMPRODUCT(($K$4:$K$703=K511)*($F$4:$F$703=F511)*($U$4:$U$703=1)*($S$4:$S$703&gt;S511))+SUMPRODUCT(($K$4:$K$703=K511)*($F$4:$F$703=F511)*($U$4:$U$703=1)*($S$4:$S$703=S511)*($T$4:$T$703&gt;T511))+SUMPRODUCT(($K$4:$K$703=K511)*($F$4:$F$703=F511)*($U$4:$U$703=1)*($S$4:$S$703=S511)*($T$4:$T$703=T511)*($C$4:$C$703&lt;C511))+SUMPRODUCT(($K$4:$K$703=K511)*($F$4:$F$703=F511)*($U$4:$U$703=1)*($S$4:$S$703=S511)*($T$4:$T$703=T511)*($C$4:$C$703=C511)*($D$4:$D$703&lt;D511)),0)</f>
        <v>0</v>
      </c>
      <c r="X511" s="11" t="n">
        <f aca="false">IF(AND(U511=1,V511&gt;0,W511&gt;1),S511,0)</f>
        <v>0</v>
      </c>
      <c r="Y511" s="11" t="n">
        <f aca="false">IF(T511=1,X511/(1+Controls!$B$11)^F511,0)</f>
        <v>0</v>
      </c>
      <c r="Z511" s="11" t="n">
        <f aca="false">IF(AND(N511,E511="capacity",LEN(K511)&gt;0),1,0)</f>
        <v>1</v>
      </c>
      <c r="AA511" s="11" t="n">
        <f aca="false">IF(Z511=1,SUMPRODUCT(($K$4:$K$703=K511)*($F$4:$F$703=F511)*($Z$4:$Z$703=1)*($B$4:$B$703&lt;&gt;B511)),0)</f>
        <v>0</v>
      </c>
      <c r="AB511" s="11" t="n">
        <f aca="false">IF(AND(Z511=1,AA511&gt;0),1+SUMPRODUCT(($K$4:$K$703=K511)*($F$4:$F$703=F511)*($Z$4:$Z$703=1)*($P$4:$P$703&gt;P511))+SUMPRODUCT(($K$4:$K$703=K511)*($F$4:$F$703=F511)*($Z$4:$Z$703=1)*($P$4:$P$703=P511)*($C$4:$C$703&lt;C511))+SUMPRODUCT(($K$4:$K$703=K511)*($F$4:$F$703=F511)*($Z$4:$Z$703=1)*($P$4:$P$703=P511)*($C$4:$C$703=C511)*($D$4:$D$703&lt;D511)),0)</f>
        <v>0</v>
      </c>
      <c r="AC511" s="11" t="n">
        <f aca="false">IF(AND(Z511=1,AA511&gt;0,AB511&gt;1),P511,0)</f>
        <v>0</v>
      </c>
    </row>
    <row r="512" customFormat="false" ht="15" hidden="false" customHeight="false" outlineLevel="0" collapsed="false">
      <c r="A512" s="4" t="s">
        <v>760</v>
      </c>
      <c r="B512" s="4" t="s">
        <v>98</v>
      </c>
      <c r="C512" s="4" t="n">
        <v>16</v>
      </c>
      <c r="D512" s="4" t="n">
        <v>509</v>
      </c>
      <c r="E512" s="4" t="s">
        <v>233</v>
      </c>
      <c r="F512" s="4" t="n">
        <v>13</v>
      </c>
      <c r="G512" s="4" t="n">
        <v>7</v>
      </c>
      <c r="H512" s="4" t="n">
        <v>913.68</v>
      </c>
      <c r="I512" s="13" t="b">
        <f aca="false">FALSE()</f>
        <v>0</v>
      </c>
      <c r="K512" s="4" t="s">
        <v>754</v>
      </c>
      <c r="L512" s="4" t="n">
        <v>96.85</v>
      </c>
      <c r="M512" s="11" t="n">
        <f aca="false">IFERROR(MATCH(Controls!$B$3&amp;"|"&amp;B512,'Scenario inputs'!$A$4:$A$213,0),0)</f>
        <v>147</v>
      </c>
      <c r="N512" s="8" t="b">
        <f aca="false">IF(M512=0,FALSE(),F512&lt;Controls!$B$12)</f>
        <v>1</v>
      </c>
      <c r="O512" s="11" t="n">
        <f aca="false">IF(N512,IF(INDEX('Scenario inputs'!$E$4:$E$213,M512)=0,1,INDEX('Scenario inputs'!$F$4:$M$213,M512,MIN(MAX(F512-G512,0),INDEX('Scenario inputs'!$E$4:$E$213,M512)-1)+1)),0)</f>
        <v>1</v>
      </c>
      <c r="P512" s="11" t="n">
        <f aca="false">H512*O512</f>
        <v>913.68</v>
      </c>
      <c r="Q512" s="0" t="str">
        <f aca="false">IF(M512=0,"",IF(ISNUMBER(INDEX('Scenario inputs'!$N$4:$N$213,M512)),INDEX('Scenario inputs'!$N$4:$N$213,M512),""))</f>
        <v/>
      </c>
      <c r="R512" s="0" t="str">
        <f aca="false">IF(NOT(N512),"",IF(OR(E512="cash",E512="revenue"),E512,IF(E512="avoided_cost",IF(AND(I512,LEN(TRIM(J512))&gt;0),"avoided_cost_realised","avoided_cost_beside"),IF(ISNUMBER(Q512),"capacity_converted","capacity_hours"))))</f>
        <v>capacity_hours</v>
      </c>
      <c r="S512" s="11" t="n">
        <f aca="false">IF(OR(R512="",R512="capacity_hours"),0,IF(R512="capacity_converted",P512*Q512,P512))</f>
        <v>0</v>
      </c>
      <c r="T512" s="11" t="n">
        <f aca="false">IF(OR(R512="cash",R512="revenue",R512="avoided_cost_realised",R512="capacity_converted"),1,0)</f>
        <v>0</v>
      </c>
      <c r="U512" s="11" t="n">
        <f aca="false">IF(AND(N512,R512&lt;&gt;"capacity_hours",LEN(K512)&gt;0),1,0)</f>
        <v>0</v>
      </c>
      <c r="V512" s="11" t="n">
        <f aca="false">IF(U512=1,SUMPRODUCT(($K$4:$K$703=K512)*($F$4:$F$703=F512)*($U$4:$U$703=1)*($B$4:$B$703&lt;&gt;B512)),0)</f>
        <v>0</v>
      </c>
      <c r="W512" s="11" t="n">
        <f aca="false">IF(AND(U512=1,V512&gt;0),1+SUMPRODUCT(($K$4:$K$703=K512)*($F$4:$F$703=F512)*($U$4:$U$703=1)*($S$4:$S$703&gt;S512))+SUMPRODUCT(($K$4:$K$703=K512)*($F$4:$F$703=F512)*($U$4:$U$703=1)*($S$4:$S$703=S512)*($T$4:$T$703&gt;T512))+SUMPRODUCT(($K$4:$K$703=K512)*($F$4:$F$703=F512)*($U$4:$U$703=1)*($S$4:$S$703=S512)*($T$4:$T$703=T512)*($C$4:$C$703&lt;C512))+SUMPRODUCT(($K$4:$K$703=K512)*($F$4:$F$703=F512)*($U$4:$U$703=1)*($S$4:$S$703=S512)*($T$4:$T$703=T512)*($C$4:$C$703=C512)*($D$4:$D$703&lt;D512)),0)</f>
        <v>0</v>
      </c>
      <c r="X512" s="11" t="n">
        <f aca="false">IF(AND(U512=1,V512&gt;0,W512&gt;1),S512,0)</f>
        <v>0</v>
      </c>
      <c r="Y512" s="11" t="n">
        <f aca="false">IF(T512=1,X512/(1+Controls!$B$11)^F512,0)</f>
        <v>0</v>
      </c>
      <c r="Z512" s="11" t="n">
        <f aca="false">IF(AND(N512,E512="capacity",LEN(K512)&gt;0),1,0)</f>
        <v>1</v>
      </c>
      <c r="AA512" s="11" t="n">
        <f aca="false">IF(Z512=1,SUMPRODUCT(($K$4:$K$703=K512)*($F$4:$F$703=F512)*($Z$4:$Z$703=1)*($B$4:$B$703&lt;&gt;B512)),0)</f>
        <v>0</v>
      </c>
      <c r="AB512" s="11" t="n">
        <f aca="false">IF(AND(Z512=1,AA512&gt;0),1+SUMPRODUCT(($K$4:$K$703=K512)*($F$4:$F$703=F512)*($Z$4:$Z$703=1)*($P$4:$P$703&gt;P512))+SUMPRODUCT(($K$4:$K$703=K512)*($F$4:$F$703=F512)*($Z$4:$Z$703=1)*($P$4:$P$703=P512)*($C$4:$C$703&lt;C512))+SUMPRODUCT(($K$4:$K$703=K512)*($F$4:$F$703=F512)*($Z$4:$Z$703=1)*($P$4:$P$703=P512)*($C$4:$C$703=C512)*($D$4:$D$703&lt;D512)),0)</f>
        <v>0</v>
      </c>
      <c r="AC512" s="11" t="n">
        <f aca="false">IF(AND(Z512=1,AA512&gt;0,AB512&gt;1),P512,0)</f>
        <v>0</v>
      </c>
    </row>
    <row r="513" customFormat="false" ht="15" hidden="false" customHeight="false" outlineLevel="0" collapsed="false">
      <c r="A513" s="4" t="s">
        <v>761</v>
      </c>
      <c r="B513" s="4" t="s">
        <v>98</v>
      </c>
      <c r="C513" s="4" t="n">
        <v>16</v>
      </c>
      <c r="D513" s="4" t="n">
        <v>510</v>
      </c>
      <c r="E513" s="4" t="s">
        <v>233</v>
      </c>
      <c r="F513" s="4" t="n">
        <v>14</v>
      </c>
      <c r="G513" s="4" t="n">
        <v>7</v>
      </c>
      <c r="H513" s="4" t="n">
        <v>913.68</v>
      </c>
      <c r="I513" s="13" t="b">
        <f aca="false">FALSE()</f>
        <v>0</v>
      </c>
      <c r="K513" s="4" t="s">
        <v>754</v>
      </c>
      <c r="L513" s="4" t="n">
        <v>96.85</v>
      </c>
      <c r="M513" s="11" t="n">
        <f aca="false">IFERROR(MATCH(Controls!$B$3&amp;"|"&amp;B513,'Scenario inputs'!$A$4:$A$213,0),0)</f>
        <v>147</v>
      </c>
      <c r="N513" s="8" t="b">
        <f aca="false">IF(M513=0,FALSE(),F513&lt;Controls!$B$12)</f>
        <v>1</v>
      </c>
      <c r="O513" s="11" t="n">
        <f aca="false">IF(N513,IF(INDEX('Scenario inputs'!$E$4:$E$213,M513)=0,1,INDEX('Scenario inputs'!$F$4:$M$213,M513,MIN(MAX(F513-G513,0),INDEX('Scenario inputs'!$E$4:$E$213,M513)-1)+1)),0)</f>
        <v>1</v>
      </c>
      <c r="P513" s="11" t="n">
        <f aca="false">H513*O513</f>
        <v>913.68</v>
      </c>
      <c r="Q513" s="0" t="str">
        <f aca="false">IF(M513=0,"",IF(ISNUMBER(INDEX('Scenario inputs'!$N$4:$N$213,M513)),INDEX('Scenario inputs'!$N$4:$N$213,M513),""))</f>
        <v/>
      </c>
      <c r="R513" s="0" t="str">
        <f aca="false">IF(NOT(N513),"",IF(OR(E513="cash",E513="revenue"),E513,IF(E513="avoided_cost",IF(AND(I513,LEN(TRIM(J513))&gt;0),"avoided_cost_realised","avoided_cost_beside"),IF(ISNUMBER(Q513),"capacity_converted","capacity_hours"))))</f>
        <v>capacity_hours</v>
      </c>
      <c r="S513" s="11" t="n">
        <f aca="false">IF(OR(R513="",R513="capacity_hours"),0,IF(R513="capacity_converted",P513*Q513,P513))</f>
        <v>0</v>
      </c>
      <c r="T513" s="11" t="n">
        <f aca="false">IF(OR(R513="cash",R513="revenue",R513="avoided_cost_realised",R513="capacity_converted"),1,0)</f>
        <v>0</v>
      </c>
      <c r="U513" s="11" t="n">
        <f aca="false">IF(AND(N513,R513&lt;&gt;"capacity_hours",LEN(K513)&gt;0),1,0)</f>
        <v>0</v>
      </c>
      <c r="V513" s="11" t="n">
        <f aca="false">IF(U513=1,SUMPRODUCT(($K$4:$K$703=K513)*($F$4:$F$703=F513)*($U$4:$U$703=1)*($B$4:$B$703&lt;&gt;B513)),0)</f>
        <v>0</v>
      </c>
      <c r="W513" s="11" t="n">
        <f aca="false">IF(AND(U513=1,V513&gt;0),1+SUMPRODUCT(($K$4:$K$703=K513)*($F$4:$F$703=F513)*($U$4:$U$703=1)*($S$4:$S$703&gt;S513))+SUMPRODUCT(($K$4:$K$703=K513)*($F$4:$F$703=F513)*($U$4:$U$703=1)*($S$4:$S$703=S513)*($T$4:$T$703&gt;T513))+SUMPRODUCT(($K$4:$K$703=K513)*($F$4:$F$703=F513)*($U$4:$U$703=1)*($S$4:$S$703=S513)*($T$4:$T$703=T513)*($C$4:$C$703&lt;C513))+SUMPRODUCT(($K$4:$K$703=K513)*($F$4:$F$703=F513)*($U$4:$U$703=1)*($S$4:$S$703=S513)*($T$4:$T$703=T513)*($C$4:$C$703=C513)*($D$4:$D$703&lt;D513)),0)</f>
        <v>0</v>
      </c>
      <c r="X513" s="11" t="n">
        <f aca="false">IF(AND(U513=1,V513&gt;0,W513&gt;1),S513,0)</f>
        <v>0</v>
      </c>
      <c r="Y513" s="11" t="n">
        <f aca="false">IF(T513=1,X513/(1+Controls!$B$11)^F513,0)</f>
        <v>0</v>
      </c>
      <c r="Z513" s="11" t="n">
        <f aca="false">IF(AND(N513,E513="capacity",LEN(K513)&gt;0),1,0)</f>
        <v>1</v>
      </c>
      <c r="AA513" s="11" t="n">
        <f aca="false">IF(Z513=1,SUMPRODUCT(($K$4:$K$703=K513)*($F$4:$F$703=F513)*($Z$4:$Z$703=1)*($B$4:$B$703&lt;&gt;B513)),0)</f>
        <v>0</v>
      </c>
      <c r="AB513" s="11" t="n">
        <f aca="false">IF(AND(Z513=1,AA513&gt;0),1+SUMPRODUCT(($K$4:$K$703=K513)*($F$4:$F$703=F513)*($Z$4:$Z$703=1)*($P$4:$P$703&gt;P513))+SUMPRODUCT(($K$4:$K$703=K513)*($F$4:$F$703=F513)*($Z$4:$Z$703=1)*($P$4:$P$703=P513)*($C$4:$C$703&lt;C513))+SUMPRODUCT(($K$4:$K$703=K513)*($F$4:$F$703=F513)*($Z$4:$Z$703=1)*($P$4:$P$703=P513)*($C$4:$C$703=C513)*($D$4:$D$703&lt;D513)),0)</f>
        <v>0</v>
      </c>
      <c r="AC513" s="11" t="n">
        <f aca="false">IF(AND(Z513=1,AA513&gt;0,AB513&gt;1),P513,0)</f>
        <v>0</v>
      </c>
    </row>
    <row r="514" customFormat="false" ht="15" hidden="false" customHeight="false" outlineLevel="0" collapsed="false">
      <c r="A514" s="4" t="s">
        <v>762</v>
      </c>
      <c r="B514" s="4" t="s">
        <v>98</v>
      </c>
      <c r="C514" s="4" t="n">
        <v>16</v>
      </c>
      <c r="D514" s="4" t="n">
        <v>511</v>
      </c>
      <c r="E514" s="4" t="s">
        <v>233</v>
      </c>
      <c r="F514" s="4" t="n">
        <v>15</v>
      </c>
      <c r="G514" s="4" t="n">
        <v>7</v>
      </c>
      <c r="H514" s="4" t="n">
        <v>913.68</v>
      </c>
      <c r="I514" s="13" t="b">
        <f aca="false">FALSE()</f>
        <v>0</v>
      </c>
      <c r="K514" s="4" t="s">
        <v>754</v>
      </c>
      <c r="L514" s="4" t="n">
        <v>96.85</v>
      </c>
      <c r="M514" s="11" t="n">
        <f aca="false">IFERROR(MATCH(Controls!$B$3&amp;"|"&amp;B514,'Scenario inputs'!$A$4:$A$213,0),0)</f>
        <v>147</v>
      </c>
      <c r="N514" s="8" t="b">
        <f aca="false">IF(M514=0,FALSE(),F514&lt;Controls!$B$12)</f>
        <v>1</v>
      </c>
      <c r="O514" s="11" t="n">
        <f aca="false">IF(N514,IF(INDEX('Scenario inputs'!$E$4:$E$213,M514)=0,1,INDEX('Scenario inputs'!$F$4:$M$213,M514,MIN(MAX(F514-G514,0),INDEX('Scenario inputs'!$E$4:$E$213,M514)-1)+1)),0)</f>
        <v>1</v>
      </c>
      <c r="P514" s="11" t="n">
        <f aca="false">H514*O514</f>
        <v>913.68</v>
      </c>
      <c r="Q514" s="0" t="str">
        <f aca="false">IF(M514=0,"",IF(ISNUMBER(INDEX('Scenario inputs'!$N$4:$N$213,M514)),INDEX('Scenario inputs'!$N$4:$N$213,M514),""))</f>
        <v/>
      </c>
      <c r="R514" s="0" t="str">
        <f aca="false">IF(NOT(N514),"",IF(OR(E514="cash",E514="revenue"),E514,IF(E514="avoided_cost",IF(AND(I514,LEN(TRIM(J514))&gt;0),"avoided_cost_realised","avoided_cost_beside"),IF(ISNUMBER(Q514),"capacity_converted","capacity_hours"))))</f>
        <v>capacity_hours</v>
      </c>
      <c r="S514" s="11" t="n">
        <f aca="false">IF(OR(R514="",R514="capacity_hours"),0,IF(R514="capacity_converted",P514*Q514,P514))</f>
        <v>0</v>
      </c>
      <c r="T514" s="11" t="n">
        <f aca="false">IF(OR(R514="cash",R514="revenue",R514="avoided_cost_realised",R514="capacity_converted"),1,0)</f>
        <v>0</v>
      </c>
      <c r="U514" s="11" t="n">
        <f aca="false">IF(AND(N514,R514&lt;&gt;"capacity_hours",LEN(K514)&gt;0),1,0)</f>
        <v>0</v>
      </c>
      <c r="V514" s="11" t="n">
        <f aca="false">IF(U514=1,SUMPRODUCT(($K$4:$K$703=K514)*($F$4:$F$703=F514)*($U$4:$U$703=1)*($B$4:$B$703&lt;&gt;B514)),0)</f>
        <v>0</v>
      </c>
      <c r="W514" s="11" t="n">
        <f aca="false">IF(AND(U514=1,V514&gt;0),1+SUMPRODUCT(($K$4:$K$703=K514)*($F$4:$F$703=F514)*($U$4:$U$703=1)*($S$4:$S$703&gt;S514))+SUMPRODUCT(($K$4:$K$703=K514)*($F$4:$F$703=F514)*($U$4:$U$703=1)*($S$4:$S$703=S514)*($T$4:$T$703&gt;T514))+SUMPRODUCT(($K$4:$K$703=K514)*($F$4:$F$703=F514)*($U$4:$U$703=1)*($S$4:$S$703=S514)*($T$4:$T$703=T514)*($C$4:$C$703&lt;C514))+SUMPRODUCT(($K$4:$K$703=K514)*($F$4:$F$703=F514)*($U$4:$U$703=1)*($S$4:$S$703=S514)*($T$4:$T$703=T514)*($C$4:$C$703=C514)*($D$4:$D$703&lt;D514)),0)</f>
        <v>0</v>
      </c>
      <c r="X514" s="11" t="n">
        <f aca="false">IF(AND(U514=1,V514&gt;0,W514&gt;1),S514,0)</f>
        <v>0</v>
      </c>
      <c r="Y514" s="11" t="n">
        <f aca="false">IF(T514=1,X514/(1+Controls!$B$11)^F514,0)</f>
        <v>0</v>
      </c>
      <c r="Z514" s="11" t="n">
        <f aca="false">IF(AND(N514,E514="capacity",LEN(K514)&gt;0),1,0)</f>
        <v>1</v>
      </c>
      <c r="AA514" s="11" t="n">
        <f aca="false">IF(Z514=1,SUMPRODUCT(($K$4:$K$703=K514)*($F$4:$F$703=F514)*($Z$4:$Z$703=1)*($B$4:$B$703&lt;&gt;B514)),0)</f>
        <v>0</v>
      </c>
      <c r="AB514" s="11" t="n">
        <f aca="false">IF(AND(Z514=1,AA514&gt;0),1+SUMPRODUCT(($K$4:$K$703=K514)*($F$4:$F$703=F514)*($Z$4:$Z$703=1)*($P$4:$P$703&gt;P514))+SUMPRODUCT(($K$4:$K$703=K514)*($F$4:$F$703=F514)*($Z$4:$Z$703=1)*($P$4:$P$703=P514)*($C$4:$C$703&lt;C514))+SUMPRODUCT(($K$4:$K$703=K514)*($F$4:$F$703=F514)*($Z$4:$Z$703=1)*($P$4:$P$703=P514)*($C$4:$C$703=C514)*($D$4:$D$703&lt;D514)),0)</f>
        <v>0</v>
      </c>
      <c r="AC514" s="11" t="n">
        <f aca="false">IF(AND(Z514=1,AA514&gt;0,AB514&gt;1),P514,0)</f>
        <v>0</v>
      </c>
    </row>
    <row r="515" customFormat="false" ht="15" hidden="false" customHeight="false" outlineLevel="0" collapsed="false">
      <c r="A515" s="4" t="s">
        <v>763</v>
      </c>
      <c r="B515" s="4" t="s">
        <v>98</v>
      </c>
      <c r="C515" s="4" t="n">
        <v>16</v>
      </c>
      <c r="D515" s="4" t="n">
        <v>512</v>
      </c>
      <c r="E515" s="4" t="s">
        <v>233</v>
      </c>
      <c r="F515" s="4" t="n">
        <v>16</v>
      </c>
      <c r="G515" s="4" t="n">
        <v>7</v>
      </c>
      <c r="H515" s="4" t="n">
        <v>913.68</v>
      </c>
      <c r="I515" s="13" t="b">
        <f aca="false">FALSE()</f>
        <v>0</v>
      </c>
      <c r="K515" s="4" t="s">
        <v>754</v>
      </c>
      <c r="L515" s="4" t="n">
        <v>96.85</v>
      </c>
      <c r="M515" s="11" t="n">
        <f aca="false">IFERROR(MATCH(Controls!$B$3&amp;"|"&amp;B515,'Scenario inputs'!$A$4:$A$213,0),0)</f>
        <v>147</v>
      </c>
      <c r="N515" s="8" t="b">
        <f aca="false">IF(M515=0,FALSE(),F515&lt;Controls!$B$12)</f>
        <v>1</v>
      </c>
      <c r="O515" s="11" t="n">
        <f aca="false">IF(N515,IF(INDEX('Scenario inputs'!$E$4:$E$213,M515)=0,1,INDEX('Scenario inputs'!$F$4:$M$213,M515,MIN(MAX(F515-G515,0),INDEX('Scenario inputs'!$E$4:$E$213,M515)-1)+1)),0)</f>
        <v>1</v>
      </c>
      <c r="P515" s="11" t="n">
        <f aca="false">H515*O515</f>
        <v>913.68</v>
      </c>
      <c r="Q515" s="0" t="str">
        <f aca="false">IF(M515=0,"",IF(ISNUMBER(INDEX('Scenario inputs'!$N$4:$N$213,M515)),INDEX('Scenario inputs'!$N$4:$N$213,M515),""))</f>
        <v/>
      </c>
      <c r="R515" s="0" t="str">
        <f aca="false">IF(NOT(N515),"",IF(OR(E515="cash",E515="revenue"),E515,IF(E515="avoided_cost",IF(AND(I515,LEN(TRIM(J515))&gt;0),"avoided_cost_realised","avoided_cost_beside"),IF(ISNUMBER(Q515),"capacity_converted","capacity_hours"))))</f>
        <v>capacity_hours</v>
      </c>
      <c r="S515" s="11" t="n">
        <f aca="false">IF(OR(R515="",R515="capacity_hours"),0,IF(R515="capacity_converted",P515*Q515,P515))</f>
        <v>0</v>
      </c>
      <c r="T515" s="11" t="n">
        <f aca="false">IF(OR(R515="cash",R515="revenue",R515="avoided_cost_realised",R515="capacity_converted"),1,0)</f>
        <v>0</v>
      </c>
      <c r="U515" s="11" t="n">
        <f aca="false">IF(AND(N515,R515&lt;&gt;"capacity_hours",LEN(K515)&gt;0),1,0)</f>
        <v>0</v>
      </c>
      <c r="V515" s="11" t="n">
        <f aca="false">IF(U515=1,SUMPRODUCT(($K$4:$K$703=K515)*($F$4:$F$703=F515)*($U$4:$U$703=1)*($B$4:$B$703&lt;&gt;B515)),0)</f>
        <v>0</v>
      </c>
      <c r="W515" s="11" t="n">
        <f aca="false">IF(AND(U515=1,V515&gt;0),1+SUMPRODUCT(($K$4:$K$703=K515)*($F$4:$F$703=F515)*($U$4:$U$703=1)*($S$4:$S$703&gt;S515))+SUMPRODUCT(($K$4:$K$703=K515)*($F$4:$F$703=F515)*($U$4:$U$703=1)*($S$4:$S$703=S515)*($T$4:$T$703&gt;T515))+SUMPRODUCT(($K$4:$K$703=K515)*($F$4:$F$703=F515)*($U$4:$U$703=1)*($S$4:$S$703=S515)*($T$4:$T$703=T515)*($C$4:$C$703&lt;C515))+SUMPRODUCT(($K$4:$K$703=K515)*($F$4:$F$703=F515)*($U$4:$U$703=1)*($S$4:$S$703=S515)*($T$4:$T$703=T515)*($C$4:$C$703=C515)*($D$4:$D$703&lt;D515)),0)</f>
        <v>0</v>
      </c>
      <c r="X515" s="11" t="n">
        <f aca="false">IF(AND(U515=1,V515&gt;0,W515&gt;1),S515,0)</f>
        <v>0</v>
      </c>
      <c r="Y515" s="11" t="n">
        <f aca="false">IF(T515=1,X515/(1+Controls!$B$11)^F515,0)</f>
        <v>0</v>
      </c>
      <c r="Z515" s="11" t="n">
        <f aca="false">IF(AND(N515,E515="capacity",LEN(K515)&gt;0),1,0)</f>
        <v>1</v>
      </c>
      <c r="AA515" s="11" t="n">
        <f aca="false">IF(Z515=1,SUMPRODUCT(($K$4:$K$703=K515)*($F$4:$F$703=F515)*($Z$4:$Z$703=1)*($B$4:$B$703&lt;&gt;B515)),0)</f>
        <v>0</v>
      </c>
      <c r="AB515" s="11" t="n">
        <f aca="false">IF(AND(Z515=1,AA515&gt;0),1+SUMPRODUCT(($K$4:$K$703=K515)*($F$4:$F$703=F515)*($Z$4:$Z$703=1)*($P$4:$P$703&gt;P515))+SUMPRODUCT(($K$4:$K$703=K515)*($F$4:$F$703=F515)*($Z$4:$Z$703=1)*($P$4:$P$703=P515)*($C$4:$C$703&lt;C515))+SUMPRODUCT(($K$4:$K$703=K515)*($F$4:$F$703=F515)*($Z$4:$Z$703=1)*($P$4:$P$703=P515)*($C$4:$C$703=C515)*($D$4:$D$703&lt;D515)),0)</f>
        <v>0</v>
      </c>
      <c r="AC515" s="11" t="n">
        <f aca="false">IF(AND(Z515=1,AA515&gt;0,AB515&gt;1),P515,0)</f>
        <v>0</v>
      </c>
    </row>
    <row r="516" customFormat="false" ht="15" hidden="false" customHeight="false" outlineLevel="0" collapsed="false">
      <c r="A516" s="4" t="s">
        <v>764</v>
      </c>
      <c r="B516" s="4" t="s">
        <v>98</v>
      </c>
      <c r="C516" s="4" t="n">
        <v>16</v>
      </c>
      <c r="D516" s="4" t="n">
        <v>513</v>
      </c>
      <c r="E516" s="4" t="s">
        <v>233</v>
      </c>
      <c r="F516" s="4" t="n">
        <v>17</v>
      </c>
      <c r="G516" s="4" t="n">
        <v>7</v>
      </c>
      <c r="H516" s="4" t="n">
        <v>913.68</v>
      </c>
      <c r="I516" s="13" t="b">
        <f aca="false">FALSE()</f>
        <v>0</v>
      </c>
      <c r="K516" s="4" t="s">
        <v>754</v>
      </c>
      <c r="L516" s="4" t="n">
        <v>96.85</v>
      </c>
      <c r="M516" s="11" t="n">
        <f aca="false">IFERROR(MATCH(Controls!$B$3&amp;"|"&amp;B516,'Scenario inputs'!$A$4:$A$213,0),0)</f>
        <v>147</v>
      </c>
      <c r="N516" s="8" t="b">
        <f aca="false">IF(M516=0,FALSE(),F516&lt;Controls!$B$12)</f>
        <v>1</v>
      </c>
      <c r="O516" s="11" t="n">
        <f aca="false">IF(N516,IF(INDEX('Scenario inputs'!$E$4:$E$213,M516)=0,1,INDEX('Scenario inputs'!$F$4:$M$213,M516,MIN(MAX(F516-G516,0),INDEX('Scenario inputs'!$E$4:$E$213,M516)-1)+1)),0)</f>
        <v>1</v>
      </c>
      <c r="P516" s="11" t="n">
        <f aca="false">H516*O516</f>
        <v>913.68</v>
      </c>
      <c r="Q516" s="0" t="str">
        <f aca="false">IF(M516=0,"",IF(ISNUMBER(INDEX('Scenario inputs'!$N$4:$N$213,M516)),INDEX('Scenario inputs'!$N$4:$N$213,M516),""))</f>
        <v/>
      </c>
      <c r="R516" s="0" t="str">
        <f aca="false">IF(NOT(N516),"",IF(OR(E516="cash",E516="revenue"),E516,IF(E516="avoided_cost",IF(AND(I516,LEN(TRIM(J516))&gt;0),"avoided_cost_realised","avoided_cost_beside"),IF(ISNUMBER(Q516),"capacity_converted","capacity_hours"))))</f>
        <v>capacity_hours</v>
      </c>
      <c r="S516" s="11" t="n">
        <f aca="false">IF(OR(R516="",R516="capacity_hours"),0,IF(R516="capacity_converted",P516*Q516,P516))</f>
        <v>0</v>
      </c>
      <c r="T516" s="11" t="n">
        <f aca="false">IF(OR(R516="cash",R516="revenue",R516="avoided_cost_realised",R516="capacity_converted"),1,0)</f>
        <v>0</v>
      </c>
      <c r="U516" s="11" t="n">
        <f aca="false">IF(AND(N516,R516&lt;&gt;"capacity_hours",LEN(K516)&gt;0),1,0)</f>
        <v>0</v>
      </c>
      <c r="V516" s="11" t="n">
        <f aca="false">IF(U516=1,SUMPRODUCT(($K$4:$K$703=K516)*($F$4:$F$703=F516)*($U$4:$U$703=1)*($B$4:$B$703&lt;&gt;B516)),0)</f>
        <v>0</v>
      </c>
      <c r="W516" s="11" t="n">
        <f aca="false">IF(AND(U516=1,V516&gt;0),1+SUMPRODUCT(($K$4:$K$703=K516)*($F$4:$F$703=F516)*($U$4:$U$703=1)*($S$4:$S$703&gt;S516))+SUMPRODUCT(($K$4:$K$703=K516)*($F$4:$F$703=F516)*($U$4:$U$703=1)*($S$4:$S$703=S516)*($T$4:$T$703&gt;T516))+SUMPRODUCT(($K$4:$K$703=K516)*($F$4:$F$703=F516)*($U$4:$U$703=1)*($S$4:$S$703=S516)*($T$4:$T$703=T516)*($C$4:$C$703&lt;C516))+SUMPRODUCT(($K$4:$K$703=K516)*($F$4:$F$703=F516)*($U$4:$U$703=1)*($S$4:$S$703=S516)*($T$4:$T$703=T516)*($C$4:$C$703=C516)*($D$4:$D$703&lt;D516)),0)</f>
        <v>0</v>
      </c>
      <c r="X516" s="11" t="n">
        <f aca="false">IF(AND(U516=1,V516&gt;0,W516&gt;1),S516,0)</f>
        <v>0</v>
      </c>
      <c r="Y516" s="11" t="n">
        <f aca="false">IF(T516=1,X516/(1+Controls!$B$11)^F516,0)</f>
        <v>0</v>
      </c>
      <c r="Z516" s="11" t="n">
        <f aca="false">IF(AND(N516,E516="capacity",LEN(K516)&gt;0),1,0)</f>
        <v>1</v>
      </c>
      <c r="AA516" s="11" t="n">
        <f aca="false">IF(Z516=1,SUMPRODUCT(($K$4:$K$703=K516)*($F$4:$F$703=F516)*($Z$4:$Z$703=1)*($B$4:$B$703&lt;&gt;B516)),0)</f>
        <v>0</v>
      </c>
      <c r="AB516" s="11" t="n">
        <f aca="false">IF(AND(Z516=1,AA516&gt;0),1+SUMPRODUCT(($K$4:$K$703=K516)*($F$4:$F$703=F516)*($Z$4:$Z$703=1)*($P$4:$P$703&gt;P516))+SUMPRODUCT(($K$4:$K$703=K516)*($F$4:$F$703=F516)*($Z$4:$Z$703=1)*($P$4:$P$703=P516)*($C$4:$C$703&lt;C516))+SUMPRODUCT(($K$4:$K$703=K516)*($F$4:$F$703=F516)*($Z$4:$Z$703=1)*($P$4:$P$703=P516)*($C$4:$C$703=C516)*($D$4:$D$703&lt;D516)),0)</f>
        <v>0</v>
      </c>
      <c r="AC516" s="11" t="n">
        <f aca="false">IF(AND(Z516=1,AA516&gt;0,AB516&gt;1),P516,0)</f>
        <v>0</v>
      </c>
    </row>
    <row r="517" customFormat="false" ht="15" hidden="false" customHeight="false" outlineLevel="0" collapsed="false">
      <c r="A517" s="4" t="s">
        <v>765</v>
      </c>
      <c r="B517" s="4" t="s">
        <v>98</v>
      </c>
      <c r="C517" s="4" t="n">
        <v>16</v>
      </c>
      <c r="D517" s="4" t="n">
        <v>514</v>
      </c>
      <c r="E517" s="4" t="s">
        <v>233</v>
      </c>
      <c r="F517" s="4" t="n">
        <v>18</v>
      </c>
      <c r="G517" s="4" t="n">
        <v>7</v>
      </c>
      <c r="H517" s="4" t="n">
        <v>913.68</v>
      </c>
      <c r="I517" s="13" t="b">
        <f aca="false">FALSE()</f>
        <v>0</v>
      </c>
      <c r="K517" s="4" t="s">
        <v>754</v>
      </c>
      <c r="L517" s="4" t="n">
        <v>96.85</v>
      </c>
      <c r="M517" s="11" t="n">
        <f aca="false">IFERROR(MATCH(Controls!$B$3&amp;"|"&amp;B517,'Scenario inputs'!$A$4:$A$213,0),0)</f>
        <v>147</v>
      </c>
      <c r="N517" s="8" t="b">
        <f aca="false">IF(M517=0,FALSE(),F517&lt;Controls!$B$12)</f>
        <v>1</v>
      </c>
      <c r="O517" s="11" t="n">
        <f aca="false">IF(N517,IF(INDEX('Scenario inputs'!$E$4:$E$213,M517)=0,1,INDEX('Scenario inputs'!$F$4:$M$213,M517,MIN(MAX(F517-G517,0),INDEX('Scenario inputs'!$E$4:$E$213,M517)-1)+1)),0)</f>
        <v>1</v>
      </c>
      <c r="P517" s="11" t="n">
        <f aca="false">H517*O517</f>
        <v>913.68</v>
      </c>
      <c r="Q517" s="0" t="str">
        <f aca="false">IF(M517=0,"",IF(ISNUMBER(INDEX('Scenario inputs'!$N$4:$N$213,M517)),INDEX('Scenario inputs'!$N$4:$N$213,M517),""))</f>
        <v/>
      </c>
      <c r="R517" s="0" t="str">
        <f aca="false">IF(NOT(N517),"",IF(OR(E517="cash",E517="revenue"),E517,IF(E517="avoided_cost",IF(AND(I517,LEN(TRIM(J517))&gt;0),"avoided_cost_realised","avoided_cost_beside"),IF(ISNUMBER(Q517),"capacity_converted","capacity_hours"))))</f>
        <v>capacity_hours</v>
      </c>
      <c r="S517" s="11" t="n">
        <f aca="false">IF(OR(R517="",R517="capacity_hours"),0,IF(R517="capacity_converted",P517*Q517,P517))</f>
        <v>0</v>
      </c>
      <c r="T517" s="11" t="n">
        <f aca="false">IF(OR(R517="cash",R517="revenue",R517="avoided_cost_realised",R517="capacity_converted"),1,0)</f>
        <v>0</v>
      </c>
      <c r="U517" s="11" t="n">
        <f aca="false">IF(AND(N517,R517&lt;&gt;"capacity_hours",LEN(K517)&gt;0),1,0)</f>
        <v>0</v>
      </c>
      <c r="V517" s="11" t="n">
        <f aca="false">IF(U517=1,SUMPRODUCT(($K$4:$K$703=K517)*($F$4:$F$703=F517)*($U$4:$U$703=1)*($B$4:$B$703&lt;&gt;B517)),0)</f>
        <v>0</v>
      </c>
      <c r="W517" s="11" t="n">
        <f aca="false">IF(AND(U517=1,V517&gt;0),1+SUMPRODUCT(($K$4:$K$703=K517)*($F$4:$F$703=F517)*($U$4:$U$703=1)*($S$4:$S$703&gt;S517))+SUMPRODUCT(($K$4:$K$703=K517)*($F$4:$F$703=F517)*($U$4:$U$703=1)*($S$4:$S$703=S517)*($T$4:$T$703&gt;T517))+SUMPRODUCT(($K$4:$K$703=K517)*($F$4:$F$703=F517)*($U$4:$U$703=1)*($S$4:$S$703=S517)*($T$4:$T$703=T517)*($C$4:$C$703&lt;C517))+SUMPRODUCT(($K$4:$K$703=K517)*($F$4:$F$703=F517)*($U$4:$U$703=1)*($S$4:$S$703=S517)*($T$4:$T$703=T517)*($C$4:$C$703=C517)*($D$4:$D$703&lt;D517)),0)</f>
        <v>0</v>
      </c>
      <c r="X517" s="11" t="n">
        <f aca="false">IF(AND(U517=1,V517&gt;0,W517&gt;1),S517,0)</f>
        <v>0</v>
      </c>
      <c r="Y517" s="11" t="n">
        <f aca="false">IF(T517=1,X517/(1+Controls!$B$11)^F517,0)</f>
        <v>0</v>
      </c>
      <c r="Z517" s="11" t="n">
        <f aca="false">IF(AND(N517,E517="capacity",LEN(K517)&gt;0),1,0)</f>
        <v>1</v>
      </c>
      <c r="AA517" s="11" t="n">
        <f aca="false">IF(Z517=1,SUMPRODUCT(($K$4:$K$703=K517)*($F$4:$F$703=F517)*($Z$4:$Z$703=1)*($B$4:$B$703&lt;&gt;B517)),0)</f>
        <v>0</v>
      </c>
      <c r="AB517" s="11" t="n">
        <f aca="false">IF(AND(Z517=1,AA517&gt;0),1+SUMPRODUCT(($K$4:$K$703=K517)*($F$4:$F$703=F517)*($Z$4:$Z$703=1)*($P$4:$P$703&gt;P517))+SUMPRODUCT(($K$4:$K$703=K517)*($F$4:$F$703=F517)*($Z$4:$Z$703=1)*($P$4:$P$703=P517)*($C$4:$C$703&lt;C517))+SUMPRODUCT(($K$4:$K$703=K517)*($F$4:$F$703=F517)*($Z$4:$Z$703=1)*($P$4:$P$703=P517)*($C$4:$C$703=C517)*($D$4:$D$703&lt;D517)),0)</f>
        <v>0</v>
      </c>
      <c r="AC517" s="11" t="n">
        <f aca="false">IF(AND(Z517=1,AA517&gt;0,AB517&gt;1),P517,0)</f>
        <v>0</v>
      </c>
    </row>
    <row r="518" customFormat="false" ht="15" hidden="false" customHeight="false" outlineLevel="0" collapsed="false">
      <c r="A518" s="4" t="s">
        <v>766</v>
      </c>
      <c r="B518" s="4" t="s">
        <v>99</v>
      </c>
      <c r="C518" s="4" t="n">
        <v>17</v>
      </c>
      <c r="D518" s="4" t="n">
        <v>515</v>
      </c>
      <c r="E518" s="4" t="s">
        <v>205</v>
      </c>
      <c r="F518" s="4" t="n">
        <v>13</v>
      </c>
      <c r="G518" s="4" t="n">
        <v>13</v>
      </c>
      <c r="H518" s="4" t="n">
        <v>70300</v>
      </c>
      <c r="I518" s="13" t="b">
        <f aca="false">TRUE()</f>
        <v>1</v>
      </c>
      <c r="J518" s="4" t="s">
        <v>767</v>
      </c>
      <c r="K518" s="4" t="s">
        <v>768</v>
      </c>
      <c r="L518" s="4" t="n">
        <v>278.39</v>
      </c>
      <c r="M518" s="11" t="n">
        <f aca="false">IFERROR(MATCH(Controls!$B$3&amp;"|"&amp;B518,'Scenario inputs'!$A$4:$A$213,0),0)</f>
        <v>148</v>
      </c>
      <c r="N518" s="8" t="b">
        <f aca="false">IF(M518=0,FALSE(),F518&lt;Controls!$B$12)</f>
        <v>1</v>
      </c>
      <c r="O518" s="11" t="n">
        <f aca="false">IF(N518,IF(INDEX('Scenario inputs'!$E$4:$E$213,M518)=0,1,INDEX('Scenario inputs'!$F$4:$M$213,M518,MIN(MAX(F518-G518,0),INDEX('Scenario inputs'!$E$4:$E$213,M518)-1)+1)),0)</f>
        <v>0.066667</v>
      </c>
      <c r="P518" s="11" t="n">
        <f aca="false">H518*O518</f>
        <v>4686.6901</v>
      </c>
      <c r="Q518" s="0" t="str">
        <f aca="false">IF(M518=0,"",IF(ISNUMBER(INDEX('Scenario inputs'!$N$4:$N$213,M518)),INDEX('Scenario inputs'!$N$4:$N$213,M518),""))</f>
        <v/>
      </c>
      <c r="R518" s="0" t="str">
        <f aca="false">IF(NOT(N518),"",IF(OR(E518="cash",E518="revenue"),E518,IF(E518="avoided_cost",IF(AND(I518,LEN(TRIM(J518))&gt;0),"avoided_cost_realised","avoided_cost_beside"),IF(ISNUMBER(Q518),"capacity_converted","capacity_hours"))))</f>
        <v>avoided_cost_realised</v>
      </c>
      <c r="S518" s="11" t="n">
        <f aca="false">IF(OR(R518="",R518="capacity_hours"),0,IF(R518="capacity_converted",P518*Q518,P518))</f>
        <v>4686.6901</v>
      </c>
      <c r="T518" s="11" t="n">
        <f aca="false">IF(OR(R518="cash",R518="revenue",R518="avoided_cost_realised",R518="capacity_converted"),1,0)</f>
        <v>1</v>
      </c>
      <c r="U518" s="11" t="n">
        <f aca="false">IF(AND(N518,R518&lt;&gt;"capacity_hours",LEN(K518)&gt;0),1,0)</f>
        <v>1</v>
      </c>
      <c r="V518" s="11" t="n">
        <f aca="false">IF(U518=1,SUMPRODUCT(($K$4:$K$703=K518)*($F$4:$F$703=F518)*($U$4:$U$703=1)*($B$4:$B$703&lt;&gt;B518)),0)</f>
        <v>0</v>
      </c>
      <c r="W518" s="11" t="n">
        <f aca="false">IF(AND(U518=1,V518&gt;0),1+SUMPRODUCT(($K$4:$K$703=K518)*($F$4:$F$703=F518)*($U$4:$U$703=1)*($S$4:$S$703&gt;S518))+SUMPRODUCT(($K$4:$K$703=K518)*($F$4:$F$703=F518)*($U$4:$U$703=1)*($S$4:$S$703=S518)*($T$4:$T$703&gt;T518))+SUMPRODUCT(($K$4:$K$703=K518)*($F$4:$F$703=F518)*($U$4:$U$703=1)*($S$4:$S$703=S518)*($T$4:$T$703=T518)*($C$4:$C$703&lt;C518))+SUMPRODUCT(($K$4:$K$703=K518)*($F$4:$F$703=F518)*($U$4:$U$703=1)*($S$4:$S$703=S518)*($T$4:$T$703=T518)*($C$4:$C$703=C518)*($D$4:$D$703&lt;D518)),0)</f>
        <v>0</v>
      </c>
      <c r="X518" s="11" t="n">
        <f aca="false">IF(AND(U518=1,V518&gt;0,W518&gt;1),S518,0)</f>
        <v>0</v>
      </c>
      <c r="Y518" s="11" t="n">
        <f aca="false">IF(T518=1,X518/(1+Controls!$B$11)^F518,0)</f>
        <v>0</v>
      </c>
      <c r="Z518" s="11" t="n">
        <f aca="false">IF(AND(N518,E518="capacity",LEN(K518)&gt;0),1,0)</f>
        <v>0</v>
      </c>
      <c r="AA518" s="11" t="n">
        <f aca="false">IF(Z518=1,SUMPRODUCT(($K$4:$K$703=K518)*($F$4:$F$703=F518)*($Z$4:$Z$703=1)*($B$4:$B$703&lt;&gt;B518)),0)</f>
        <v>0</v>
      </c>
      <c r="AB518" s="11" t="n">
        <f aca="false">IF(AND(Z518=1,AA518&gt;0),1+SUMPRODUCT(($K$4:$K$703=K518)*($F$4:$F$703=F518)*($Z$4:$Z$703=1)*($P$4:$P$703&gt;P518))+SUMPRODUCT(($K$4:$K$703=K518)*($F$4:$F$703=F518)*($Z$4:$Z$703=1)*($P$4:$P$703=P518)*($C$4:$C$703&lt;C518))+SUMPRODUCT(($K$4:$K$703=K518)*($F$4:$F$703=F518)*($Z$4:$Z$703=1)*($P$4:$P$703=P518)*($C$4:$C$703=C518)*($D$4:$D$703&lt;D518)),0)</f>
        <v>0</v>
      </c>
      <c r="AC518" s="11" t="n">
        <f aca="false">IF(AND(Z518=1,AA518&gt;0,AB518&gt;1),P518,0)</f>
        <v>0</v>
      </c>
    </row>
    <row r="519" customFormat="false" ht="15" hidden="false" customHeight="false" outlineLevel="0" collapsed="false">
      <c r="A519" s="4" t="s">
        <v>769</v>
      </c>
      <c r="B519" s="4" t="s">
        <v>99</v>
      </c>
      <c r="C519" s="4" t="n">
        <v>17</v>
      </c>
      <c r="D519" s="4" t="n">
        <v>516</v>
      </c>
      <c r="E519" s="4" t="s">
        <v>205</v>
      </c>
      <c r="F519" s="4" t="n">
        <v>14</v>
      </c>
      <c r="G519" s="4" t="n">
        <v>13</v>
      </c>
      <c r="H519" s="4" t="n">
        <v>70300</v>
      </c>
      <c r="I519" s="13" t="b">
        <f aca="false">TRUE()</f>
        <v>1</v>
      </c>
      <c r="J519" s="4" t="s">
        <v>767</v>
      </c>
      <c r="K519" s="4" t="s">
        <v>768</v>
      </c>
      <c r="L519" s="4" t="n">
        <v>835.16</v>
      </c>
      <c r="M519" s="11" t="n">
        <f aca="false">IFERROR(MATCH(Controls!$B$3&amp;"|"&amp;B519,'Scenario inputs'!$A$4:$A$213,0),0)</f>
        <v>148</v>
      </c>
      <c r="N519" s="8" t="b">
        <f aca="false">IF(M519=0,FALSE(),F519&lt;Controls!$B$12)</f>
        <v>1</v>
      </c>
      <c r="O519" s="11" t="n">
        <f aca="false">IF(N519,IF(INDEX('Scenario inputs'!$E$4:$E$213,M519)=0,1,INDEX('Scenario inputs'!$F$4:$M$213,M519,MIN(MAX(F519-G519,0),INDEX('Scenario inputs'!$E$4:$E$213,M519)-1)+1)),0)</f>
        <v>0.2</v>
      </c>
      <c r="P519" s="11" t="n">
        <f aca="false">H519*O519</f>
        <v>14060</v>
      </c>
      <c r="Q519" s="0" t="str">
        <f aca="false">IF(M519=0,"",IF(ISNUMBER(INDEX('Scenario inputs'!$N$4:$N$213,M519)),INDEX('Scenario inputs'!$N$4:$N$213,M519),""))</f>
        <v/>
      </c>
      <c r="R519" s="0" t="str">
        <f aca="false">IF(NOT(N519),"",IF(OR(E519="cash",E519="revenue"),E519,IF(E519="avoided_cost",IF(AND(I519,LEN(TRIM(J519))&gt;0),"avoided_cost_realised","avoided_cost_beside"),IF(ISNUMBER(Q519),"capacity_converted","capacity_hours"))))</f>
        <v>avoided_cost_realised</v>
      </c>
      <c r="S519" s="11" t="n">
        <f aca="false">IF(OR(R519="",R519="capacity_hours"),0,IF(R519="capacity_converted",P519*Q519,P519))</f>
        <v>14060</v>
      </c>
      <c r="T519" s="11" t="n">
        <f aca="false">IF(OR(R519="cash",R519="revenue",R519="avoided_cost_realised",R519="capacity_converted"),1,0)</f>
        <v>1</v>
      </c>
      <c r="U519" s="11" t="n">
        <f aca="false">IF(AND(N519,R519&lt;&gt;"capacity_hours",LEN(K519)&gt;0),1,0)</f>
        <v>1</v>
      </c>
      <c r="V519" s="11" t="n">
        <f aca="false">IF(U519=1,SUMPRODUCT(($K$4:$K$703=K519)*($F$4:$F$703=F519)*($U$4:$U$703=1)*($B$4:$B$703&lt;&gt;B519)),0)</f>
        <v>0</v>
      </c>
      <c r="W519" s="11" t="n">
        <f aca="false">IF(AND(U519=1,V519&gt;0),1+SUMPRODUCT(($K$4:$K$703=K519)*($F$4:$F$703=F519)*($U$4:$U$703=1)*($S$4:$S$703&gt;S519))+SUMPRODUCT(($K$4:$K$703=K519)*($F$4:$F$703=F519)*($U$4:$U$703=1)*($S$4:$S$703=S519)*($T$4:$T$703&gt;T519))+SUMPRODUCT(($K$4:$K$703=K519)*($F$4:$F$703=F519)*($U$4:$U$703=1)*($S$4:$S$703=S519)*($T$4:$T$703=T519)*($C$4:$C$703&lt;C519))+SUMPRODUCT(($K$4:$K$703=K519)*($F$4:$F$703=F519)*($U$4:$U$703=1)*($S$4:$S$703=S519)*($T$4:$T$703=T519)*($C$4:$C$703=C519)*($D$4:$D$703&lt;D519)),0)</f>
        <v>0</v>
      </c>
      <c r="X519" s="11" t="n">
        <f aca="false">IF(AND(U519=1,V519&gt;0,W519&gt;1),S519,0)</f>
        <v>0</v>
      </c>
      <c r="Y519" s="11" t="n">
        <f aca="false">IF(T519=1,X519/(1+Controls!$B$11)^F519,0)</f>
        <v>0</v>
      </c>
      <c r="Z519" s="11" t="n">
        <f aca="false">IF(AND(N519,E519="capacity",LEN(K519)&gt;0),1,0)</f>
        <v>0</v>
      </c>
      <c r="AA519" s="11" t="n">
        <f aca="false">IF(Z519=1,SUMPRODUCT(($K$4:$K$703=K519)*($F$4:$F$703=F519)*($Z$4:$Z$703=1)*($B$4:$B$703&lt;&gt;B519)),0)</f>
        <v>0</v>
      </c>
      <c r="AB519" s="11" t="n">
        <f aca="false">IF(AND(Z519=1,AA519&gt;0),1+SUMPRODUCT(($K$4:$K$703=K519)*($F$4:$F$703=F519)*($Z$4:$Z$703=1)*($P$4:$P$703&gt;P519))+SUMPRODUCT(($K$4:$K$703=K519)*($F$4:$F$703=F519)*($Z$4:$Z$703=1)*($P$4:$P$703=P519)*($C$4:$C$703&lt;C519))+SUMPRODUCT(($K$4:$K$703=K519)*($F$4:$F$703=F519)*($Z$4:$Z$703=1)*($P$4:$P$703=P519)*($C$4:$C$703=C519)*($D$4:$D$703&lt;D519)),0)</f>
        <v>0</v>
      </c>
      <c r="AC519" s="11" t="n">
        <f aca="false">IF(AND(Z519=1,AA519&gt;0,AB519&gt;1),P519,0)</f>
        <v>0</v>
      </c>
    </row>
    <row r="520" customFormat="false" ht="15" hidden="false" customHeight="false" outlineLevel="0" collapsed="false">
      <c r="A520" s="4" t="s">
        <v>770</v>
      </c>
      <c r="B520" s="4" t="s">
        <v>99</v>
      </c>
      <c r="C520" s="4" t="n">
        <v>17</v>
      </c>
      <c r="D520" s="4" t="n">
        <v>517</v>
      </c>
      <c r="E520" s="4" t="s">
        <v>205</v>
      </c>
      <c r="F520" s="4" t="n">
        <v>15</v>
      </c>
      <c r="G520" s="4" t="n">
        <v>13</v>
      </c>
      <c r="H520" s="4" t="n">
        <v>70300</v>
      </c>
      <c r="I520" s="13" t="b">
        <f aca="false">TRUE()</f>
        <v>1</v>
      </c>
      <c r="J520" s="4" t="s">
        <v>767</v>
      </c>
      <c r="K520" s="4" t="s">
        <v>768</v>
      </c>
      <c r="L520" s="4" t="n">
        <v>1670.33</v>
      </c>
      <c r="M520" s="11" t="n">
        <f aca="false">IFERROR(MATCH(Controls!$B$3&amp;"|"&amp;B520,'Scenario inputs'!$A$4:$A$213,0),0)</f>
        <v>148</v>
      </c>
      <c r="N520" s="8" t="b">
        <f aca="false">IF(M520=0,FALSE(),F520&lt;Controls!$B$12)</f>
        <v>1</v>
      </c>
      <c r="O520" s="11" t="n">
        <f aca="false">IF(N520,IF(INDEX('Scenario inputs'!$E$4:$E$213,M520)=0,1,INDEX('Scenario inputs'!$F$4:$M$213,M520,MIN(MAX(F520-G520,0),INDEX('Scenario inputs'!$E$4:$E$213,M520)-1)+1)),0)</f>
        <v>0.4</v>
      </c>
      <c r="P520" s="11" t="n">
        <f aca="false">H520*O520</f>
        <v>28120</v>
      </c>
      <c r="Q520" s="0" t="str">
        <f aca="false">IF(M520=0,"",IF(ISNUMBER(INDEX('Scenario inputs'!$N$4:$N$213,M520)),INDEX('Scenario inputs'!$N$4:$N$213,M520),""))</f>
        <v/>
      </c>
      <c r="R520" s="0" t="str">
        <f aca="false">IF(NOT(N520),"",IF(OR(E520="cash",E520="revenue"),E520,IF(E520="avoided_cost",IF(AND(I520,LEN(TRIM(J520))&gt;0),"avoided_cost_realised","avoided_cost_beside"),IF(ISNUMBER(Q520),"capacity_converted","capacity_hours"))))</f>
        <v>avoided_cost_realised</v>
      </c>
      <c r="S520" s="11" t="n">
        <f aca="false">IF(OR(R520="",R520="capacity_hours"),0,IF(R520="capacity_converted",P520*Q520,P520))</f>
        <v>28120</v>
      </c>
      <c r="T520" s="11" t="n">
        <f aca="false">IF(OR(R520="cash",R520="revenue",R520="avoided_cost_realised",R520="capacity_converted"),1,0)</f>
        <v>1</v>
      </c>
      <c r="U520" s="11" t="n">
        <f aca="false">IF(AND(N520,R520&lt;&gt;"capacity_hours",LEN(K520)&gt;0),1,0)</f>
        <v>1</v>
      </c>
      <c r="V520" s="11" t="n">
        <f aca="false">IF(U520=1,SUMPRODUCT(($K$4:$K$703=K520)*($F$4:$F$703=F520)*($U$4:$U$703=1)*($B$4:$B$703&lt;&gt;B520)),0)</f>
        <v>0</v>
      </c>
      <c r="W520" s="11" t="n">
        <f aca="false">IF(AND(U520=1,V520&gt;0),1+SUMPRODUCT(($K$4:$K$703=K520)*($F$4:$F$703=F520)*($U$4:$U$703=1)*($S$4:$S$703&gt;S520))+SUMPRODUCT(($K$4:$K$703=K520)*($F$4:$F$703=F520)*($U$4:$U$703=1)*($S$4:$S$703=S520)*($T$4:$T$703&gt;T520))+SUMPRODUCT(($K$4:$K$703=K520)*($F$4:$F$703=F520)*($U$4:$U$703=1)*($S$4:$S$703=S520)*($T$4:$T$703=T520)*($C$4:$C$703&lt;C520))+SUMPRODUCT(($K$4:$K$703=K520)*($F$4:$F$703=F520)*($U$4:$U$703=1)*($S$4:$S$703=S520)*($T$4:$T$703=T520)*($C$4:$C$703=C520)*($D$4:$D$703&lt;D520)),0)</f>
        <v>0</v>
      </c>
      <c r="X520" s="11" t="n">
        <f aca="false">IF(AND(U520=1,V520&gt;0,W520&gt;1),S520,0)</f>
        <v>0</v>
      </c>
      <c r="Y520" s="11" t="n">
        <f aca="false">IF(T520=1,X520/(1+Controls!$B$11)^F520,0)</f>
        <v>0</v>
      </c>
      <c r="Z520" s="11" t="n">
        <f aca="false">IF(AND(N520,E520="capacity",LEN(K520)&gt;0),1,0)</f>
        <v>0</v>
      </c>
      <c r="AA520" s="11" t="n">
        <f aca="false">IF(Z520=1,SUMPRODUCT(($K$4:$K$703=K520)*($F$4:$F$703=F520)*($Z$4:$Z$703=1)*($B$4:$B$703&lt;&gt;B520)),0)</f>
        <v>0</v>
      </c>
      <c r="AB520" s="11" t="n">
        <f aca="false">IF(AND(Z520=1,AA520&gt;0),1+SUMPRODUCT(($K$4:$K$703=K520)*($F$4:$F$703=F520)*($Z$4:$Z$703=1)*($P$4:$P$703&gt;P520))+SUMPRODUCT(($K$4:$K$703=K520)*($F$4:$F$703=F520)*($Z$4:$Z$703=1)*($P$4:$P$703=P520)*($C$4:$C$703&lt;C520))+SUMPRODUCT(($K$4:$K$703=K520)*($F$4:$F$703=F520)*($Z$4:$Z$703=1)*($P$4:$P$703=P520)*($C$4:$C$703=C520)*($D$4:$D$703&lt;D520)),0)</f>
        <v>0</v>
      </c>
      <c r="AC520" s="11" t="n">
        <f aca="false">IF(AND(Z520=1,AA520&gt;0,AB520&gt;1),P520,0)</f>
        <v>0</v>
      </c>
    </row>
    <row r="521" customFormat="false" ht="15" hidden="false" customHeight="false" outlineLevel="0" collapsed="false">
      <c r="A521" s="4" t="s">
        <v>771</v>
      </c>
      <c r="B521" s="4" t="s">
        <v>99</v>
      </c>
      <c r="C521" s="4" t="n">
        <v>17</v>
      </c>
      <c r="D521" s="4" t="n">
        <v>518</v>
      </c>
      <c r="E521" s="4" t="s">
        <v>205</v>
      </c>
      <c r="F521" s="4" t="n">
        <v>16</v>
      </c>
      <c r="G521" s="4" t="n">
        <v>13</v>
      </c>
      <c r="H521" s="4" t="n">
        <v>70300</v>
      </c>
      <c r="I521" s="13" t="b">
        <f aca="false">TRUE()</f>
        <v>1</v>
      </c>
      <c r="J521" s="4" t="s">
        <v>767</v>
      </c>
      <c r="K521" s="4" t="s">
        <v>768</v>
      </c>
      <c r="L521" s="4" t="n">
        <v>2783.88</v>
      </c>
      <c r="M521" s="11" t="n">
        <f aca="false">IFERROR(MATCH(Controls!$B$3&amp;"|"&amp;B521,'Scenario inputs'!$A$4:$A$213,0),0)</f>
        <v>148</v>
      </c>
      <c r="N521" s="8" t="b">
        <f aca="false">IF(M521=0,FALSE(),F521&lt;Controls!$B$12)</f>
        <v>1</v>
      </c>
      <c r="O521" s="11" t="n">
        <f aca="false">IF(N521,IF(INDEX('Scenario inputs'!$E$4:$E$213,M521)=0,1,INDEX('Scenario inputs'!$F$4:$M$213,M521,MIN(MAX(F521-G521,0),INDEX('Scenario inputs'!$E$4:$E$213,M521)-1)+1)),0)</f>
        <v>0.666667</v>
      </c>
      <c r="P521" s="11" t="n">
        <f aca="false">H521*O521</f>
        <v>46866.6901</v>
      </c>
      <c r="Q521" s="0" t="str">
        <f aca="false">IF(M521=0,"",IF(ISNUMBER(INDEX('Scenario inputs'!$N$4:$N$213,M521)),INDEX('Scenario inputs'!$N$4:$N$213,M521),""))</f>
        <v/>
      </c>
      <c r="R521" s="0" t="str">
        <f aca="false">IF(NOT(N521),"",IF(OR(E521="cash",E521="revenue"),E521,IF(E521="avoided_cost",IF(AND(I521,LEN(TRIM(J521))&gt;0),"avoided_cost_realised","avoided_cost_beside"),IF(ISNUMBER(Q521),"capacity_converted","capacity_hours"))))</f>
        <v>avoided_cost_realised</v>
      </c>
      <c r="S521" s="11" t="n">
        <f aca="false">IF(OR(R521="",R521="capacity_hours"),0,IF(R521="capacity_converted",P521*Q521,P521))</f>
        <v>46866.6901</v>
      </c>
      <c r="T521" s="11" t="n">
        <f aca="false">IF(OR(R521="cash",R521="revenue",R521="avoided_cost_realised",R521="capacity_converted"),1,0)</f>
        <v>1</v>
      </c>
      <c r="U521" s="11" t="n">
        <f aca="false">IF(AND(N521,R521&lt;&gt;"capacity_hours",LEN(K521)&gt;0),1,0)</f>
        <v>1</v>
      </c>
      <c r="V521" s="11" t="n">
        <f aca="false">IF(U521=1,SUMPRODUCT(($K$4:$K$703=K521)*($F$4:$F$703=F521)*($U$4:$U$703=1)*($B$4:$B$703&lt;&gt;B521)),0)</f>
        <v>0</v>
      </c>
      <c r="W521" s="11" t="n">
        <f aca="false">IF(AND(U521=1,V521&gt;0),1+SUMPRODUCT(($K$4:$K$703=K521)*($F$4:$F$703=F521)*($U$4:$U$703=1)*($S$4:$S$703&gt;S521))+SUMPRODUCT(($K$4:$K$703=K521)*($F$4:$F$703=F521)*($U$4:$U$703=1)*($S$4:$S$703=S521)*($T$4:$T$703&gt;T521))+SUMPRODUCT(($K$4:$K$703=K521)*($F$4:$F$703=F521)*($U$4:$U$703=1)*($S$4:$S$703=S521)*($T$4:$T$703=T521)*($C$4:$C$703&lt;C521))+SUMPRODUCT(($K$4:$K$703=K521)*($F$4:$F$703=F521)*($U$4:$U$703=1)*($S$4:$S$703=S521)*($T$4:$T$703=T521)*($C$4:$C$703=C521)*($D$4:$D$703&lt;D521)),0)</f>
        <v>0</v>
      </c>
      <c r="X521" s="11" t="n">
        <f aca="false">IF(AND(U521=1,V521&gt;0,W521&gt;1),S521,0)</f>
        <v>0</v>
      </c>
      <c r="Y521" s="11" t="n">
        <f aca="false">IF(T521=1,X521/(1+Controls!$B$11)^F521,0)</f>
        <v>0</v>
      </c>
      <c r="Z521" s="11" t="n">
        <f aca="false">IF(AND(N521,E521="capacity",LEN(K521)&gt;0),1,0)</f>
        <v>0</v>
      </c>
      <c r="AA521" s="11" t="n">
        <f aca="false">IF(Z521=1,SUMPRODUCT(($K$4:$K$703=K521)*($F$4:$F$703=F521)*($Z$4:$Z$703=1)*($B$4:$B$703&lt;&gt;B521)),0)</f>
        <v>0</v>
      </c>
      <c r="AB521" s="11" t="n">
        <f aca="false">IF(AND(Z521=1,AA521&gt;0),1+SUMPRODUCT(($K$4:$K$703=K521)*($F$4:$F$703=F521)*($Z$4:$Z$703=1)*($P$4:$P$703&gt;P521))+SUMPRODUCT(($K$4:$K$703=K521)*($F$4:$F$703=F521)*($Z$4:$Z$703=1)*($P$4:$P$703=P521)*($C$4:$C$703&lt;C521))+SUMPRODUCT(($K$4:$K$703=K521)*($F$4:$F$703=F521)*($Z$4:$Z$703=1)*($P$4:$P$703=P521)*($C$4:$C$703=C521)*($D$4:$D$703&lt;D521)),0)</f>
        <v>0</v>
      </c>
      <c r="AC521" s="11" t="n">
        <f aca="false">IF(AND(Z521=1,AA521&gt;0,AB521&gt;1),P521,0)</f>
        <v>0</v>
      </c>
    </row>
    <row r="522" customFormat="false" ht="15" hidden="false" customHeight="false" outlineLevel="0" collapsed="false">
      <c r="A522" s="4" t="s">
        <v>772</v>
      </c>
      <c r="B522" s="4" t="s">
        <v>99</v>
      </c>
      <c r="C522" s="4" t="n">
        <v>17</v>
      </c>
      <c r="D522" s="4" t="n">
        <v>519</v>
      </c>
      <c r="E522" s="4" t="s">
        <v>205</v>
      </c>
      <c r="F522" s="4" t="n">
        <v>17</v>
      </c>
      <c r="G522" s="4" t="n">
        <v>13</v>
      </c>
      <c r="H522" s="4" t="n">
        <v>70300</v>
      </c>
      <c r="I522" s="13" t="b">
        <f aca="false">TRUE()</f>
        <v>1</v>
      </c>
      <c r="J522" s="4" t="s">
        <v>767</v>
      </c>
      <c r="K522" s="4" t="s">
        <v>768</v>
      </c>
      <c r="L522" s="4" t="n">
        <v>4175.82</v>
      </c>
      <c r="M522" s="11" t="n">
        <f aca="false">IFERROR(MATCH(Controls!$B$3&amp;"|"&amp;B522,'Scenario inputs'!$A$4:$A$213,0),0)</f>
        <v>148</v>
      </c>
      <c r="N522" s="8" t="b">
        <f aca="false">IF(M522=0,FALSE(),F522&lt;Controls!$B$12)</f>
        <v>1</v>
      </c>
      <c r="O522" s="11" t="n">
        <f aca="false">IF(N522,IF(INDEX('Scenario inputs'!$E$4:$E$213,M522)=0,1,INDEX('Scenario inputs'!$F$4:$M$213,M522,MIN(MAX(F522-G522,0),INDEX('Scenario inputs'!$E$4:$E$213,M522)-1)+1)),0)</f>
        <v>1</v>
      </c>
      <c r="P522" s="11" t="n">
        <f aca="false">H522*O522</f>
        <v>70300</v>
      </c>
      <c r="Q522" s="0" t="str">
        <f aca="false">IF(M522=0,"",IF(ISNUMBER(INDEX('Scenario inputs'!$N$4:$N$213,M522)),INDEX('Scenario inputs'!$N$4:$N$213,M522),""))</f>
        <v/>
      </c>
      <c r="R522" s="0" t="str">
        <f aca="false">IF(NOT(N522),"",IF(OR(E522="cash",E522="revenue"),E522,IF(E522="avoided_cost",IF(AND(I522,LEN(TRIM(J522))&gt;0),"avoided_cost_realised","avoided_cost_beside"),IF(ISNUMBER(Q522),"capacity_converted","capacity_hours"))))</f>
        <v>avoided_cost_realised</v>
      </c>
      <c r="S522" s="11" t="n">
        <f aca="false">IF(OR(R522="",R522="capacity_hours"),0,IF(R522="capacity_converted",P522*Q522,P522))</f>
        <v>70300</v>
      </c>
      <c r="T522" s="11" t="n">
        <f aca="false">IF(OR(R522="cash",R522="revenue",R522="avoided_cost_realised",R522="capacity_converted"),1,0)</f>
        <v>1</v>
      </c>
      <c r="U522" s="11" t="n">
        <f aca="false">IF(AND(N522,R522&lt;&gt;"capacity_hours",LEN(K522)&gt;0),1,0)</f>
        <v>1</v>
      </c>
      <c r="V522" s="11" t="n">
        <f aca="false">IF(U522=1,SUMPRODUCT(($K$4:$K$703=K522)*($F$4:$F$703=F522)*($U$4:$U$703=1)*($B$4:$B$703&lt;&gt;B522)),0)</f>
        <v>0</v>
      </c>
      <c r="W522" s="11" t="n">
        <f aca="false">IF(AND(U522=1,V522&gt;0),1+SUMPRODUCT(($K$4:$K$703=K522)*($F$4:$F$703=F522)*($U$4:$U$703=1)*($S$4:$S$703&gt;S522))+SUMPRODUCT(($K$4:$K$703=K522)*($F$4:$F$703=F522)*($U$4:$U$703=1)*($S$4:$S$703=S522)*($T$4:$T$703&gt;T522))+SUMPRODUCT(($K$4:$K$703=K522)*($F$4:$F$703=F522)*($U$4:$U$703=1)*($S$4:$S$703=S522)*($T$4:$T$703=T522)*($C$4:$C$703&lt;C522))+SUMPRODUCT(($K$4:$K$703=K522)*($F$4:$F$703=F522)*($U$4:$U$703=1)*($S$4:$S$703=S522)*($T$4:$T$703=T522)*($C$4:$C$703=C522)*($D$4:$D$703&lt;D522)),0)</f>
        <v>0</v>
      </c>
      <c r="X522" s="11" t="n">
        <f aca="false">IF(AND(U522=1,V522&gt;0,W522&gt;1),S522,0)</f>
        <v>0</v>
      </c>
      <c r="Y522" s="11" t="n">
        <f aca="false">IF(T522=1,X522/(1+Controls!$B$11)^F522,0)</f>
        <v>0</v>
      </c>
      <c r="Z522" s="11" t="n">
        <f aca="false">IF(AND(N522,E522="capacity",LEN(K522)&gt;0),1,0)</f>
        <v>0</v>
      </c>
      <c r="AA522" s="11" t="n">
        <f aca="false">IF(Z522=1,SUMPRODUCT(($K$4:$K$703=K522)*($F$4:$F$703=F522)*($Z$4:$Z$703=1)*($B$4:$B$703&lt;&gt;B522)),0)</f>
        <v>0</v>
      </c>
      <c r="AB522" s="11" t="n">
        <f aca="false">IF(AND(Z522=1,AA522&gt;0),1+SUMPRODUCT(($K$4:$K$703=K522)*($F$4:$F$703=F522)*($Z$4:$Z$703=1)*($P$4:$P$703&gt;P522))+SUMPRODUCT(($K$4:$K$703=K522)*($F$4:$F$703=F522)*($Z$4:$Z$703=1)*($P$4:$P$703=P522)*($C$4:$C$703&lt;C522))+SUMPRODUCT(($K$4:$K$703=K522)*($F$4:$F$703=F522)*($Z$4:$Z$703=1)*($P$4:$P$703=P522)*($C$4:$C$703=C522)*($D$4:$D$703&lt;D522)),0)</f>
        <v>0</v>
      </c>
      <c r="AC522" s="11" t="n">
        <f aca="false">IF(AND(Z522=1,AA522&gt;0,AB522&gt;1),P522,0)</f>
        <v>0</v>
      </c>
    </row>
    <row r="523" customFormat="false" ht="15" hidden="false" customHeight="false" outlineLevel="0" collapsed="false">
      <c r="A523" s="4" t="s">
        <v>773</v>
      </c>
      <c r="B523" s="4" t="s">
        <v>99</v>
      </c>
      <c r="C523" s="4" t="n">
        <v>17</v>
      </c>
      <c r="D523" s="4" t="n">
        <v>520</v>
      </c>
      <c r="E523" s="4" t="s">
        <v>205</v>
      </c>
      <c r="F523" s="4" t="n">
        <v>18</v>
      </c>
      <c r="G523" s="4" t="n">
        <v>13</v>
      </c>
      <c r="H523" s="4" t="n">
        <v>70300</v>
      </c>
      <c r="I523" s="13" t="b">
        <f aca="false">TRUE()</f>
        <v>1</v>
      </c>
      <c r="J523" s="4" t="s">
        <v>767</v>
      </c>
      <c r="K523" s="4" t="s">
        <v>768</v>
      </c>
      <c r="L523" s="4" t="n">
        <v>4175.82</v>
      </c>
      <c r="M523" s="11" t="n">
        <f aca="false">IFERROR(MATCH(Controls!$B$3&amp;"|"&amp;B523,'Scenario inputs'!$A$4:$A$213,0),0)</f>
        <v>148</v>
      </c>
      <c r="N523" s="8" t="b">
        <f aca="false">IF(M523=0,FALSE(),F523&lt;Controls!$B$12)</f>
        <v>1</v>
      </c>
      <c r="O523" s="11" t="n">
        <f aca="false">IF(N523,IF(INDEX('Scenario inputs'!$E$4:$E$213,M523)=0,1,INDEX('Scenario inputs'!$F$4:$M$213,M523,MIN(MAX(F523-G523,0),INDEX('Scenario inputs'!$E$4:$E$213,M523)-1)+1)),0)</f>
        <v>1</v>
      </c>
      <c r="P523" s="11" t="n">
        <f aca="false">H523*O523</f>
        <v>70300</v>
      </c>
      <c r="Q523" s="0" t="str">
        <f aca="false">IF(M523=0,"",IF(ISNUMBER(INDEX('Scenario inputs'!$N$4:$N$213,M523)),INDEX('Scenario inputs'!$N$4:$N$213,M523),""))</f>
        <v/>
      </c>
      <c r="R523" s="0" t="str">
        <f aca="false">IF(NOT(N523),"",IF(OR(E523="cash",E523="revenue"),E523,IF(E523="avoided_cost",IF(AND(I523,LEN(TRIM(J523))&gt;0),"avoided_cost_realised","avoided_cost_beside"),IF(ISNUMBER(Q523),"capacity_converted","capacity_hours"))))</f>
        <v>avoided_cost_realised</v>
      </c>
      <c r="S523" s="11" t="n">
        <f aca="false">IF(OR(R523="",R523="capacity_hours"),0,IF(R523="capacity_converted",P523*Q523,P523))</f>
        <v>70300</v>
      </c>
      <c r="T523" s="11" t="n">
        <f aca="false">IF(OR(R523="cash",R523="revenue",R523="avoided_cost_realised",R523="capacity_converted"),1,0)</f>
        <v>1</v>
      </c>
      <c r="U523" s="11" t="n">
        <f aca="false">IF(AND(N523,R523&lt;&gt;"capacity_hours",LEN(K523)&gt;0),1,0)</f>
        <v>1</v>
      </c>
      <c r="V523" s="11" t="n">
        <f aca="false">IF(U523=1,SUMPRODUCT(($K$4:$K$703=K523)*($F$4:$F$703=F523)*($U$4:$U$703=1)*($B$4:$B$703&lt;&gt;B523)),0)</f>
        <v>0</v>
      </c>
      <c r="W523" s="11" t="n">
        <f aca="false">IF(AND(U523=1,V523&gt;0),1+SUMPRODUCT(($K$4:$K$703=K523)*($F$4:$F$703=F523)*($U$4:$U$703=1)*($S$4:$S$703&gt;S523))+SUMPRODUCT(($K$4:$K$703=K523)*($F$4:$F$703=F523)*($U$4:$U$703=1)*($S$4:$S$703=S523)*($T$4:$T$703&gt;T523))+SUMPRODUCT(($K$4:$K$703=K523)*($F$4:$F$703=F523)*($U$4:$U$703=1)*($S$4:$S$703=S523)*($T$4:$T$703=T523)*($C$4:$C$703&lt;C523))+SUMPRODUCT(($K$4:$K$703=K523)*($F$4:$F$703=F523)*($U$4:$U$703=1)*($S$4:$S$703=S523)*($T$4:$T$703=T523)*($C$4:$C$703=C523)*($D$4:$D$703&lt;D523)),0)</f>
        <v>0</v>
      </c>
      <c r="X523" s="11" t="n">
        <f aca="false">IF(AND(U523=1,V523&gt;0,W523&gt;1),S523,0)</f>
        <v>0</v>
      </c>
      <c r="Y523" s="11" t="n">
        <f aca="false">IF(T523=1,X523/(1+Controls!$B$11)^F523,0)</f>
        <v>0</v>
      </c>
      <c r="Z523" s="11" t="n">
        <f aca="false">IF(AND(N523,E523="capacity",LEN(K523)&gt;0),1,0)</f>
        <v>0</v>
      </c>
      <c r="AA523" s="11" t="n">
        <f aca="false">IF(Z523=1,SUMPRODUCT(($K$4:$K$703=K523)*($F$4:$F$703=F523)*($Z$4:$Z$703=1)*($B$4:$B$703&lt;&gt;B523)),0)</f>
        <v>0</v>
      </c>
      <c r="AB523" s="11" t="n">
        <f aca="false">IF(AND(Z523=1,AA523&gt;0),1+SUMPRODUCT(($K$4:$K$703=K523)*($F$4:$F$703=F523)*($Z$4:$Z$703=1)*($P$4:$P$703&gt;P523))+SUMPRODUCT(($K$4:$K$703=K523)*($F$4:$F$703=F523)*($Z$4:$Z$703=1)*($P$4:$P$703=P523)*($C$4:$C$703&lt;C523))+SUMPRODUCT(($K$4:$K$703=K523)*($F$4:$F$703=F523)*($Z$4:$Z$703=1)*($P$4:$P$703=P523)*($C$4:$C$703=C523)*($D$4:$D$703&lt;D523)),0)</f>
        <v>0</v>
      </c>
      <c r="AC523" s="11" t="n">
        <f aca="false">IF(AND(Z523=1,AA523&gt;0,AB523&gt;1),P523,0)</f>
        <v>0</v>
      </c>
    </row>
    <row r="524" customFormat="false" ht="15" hidden="false" customHeight="false" outlineLevel="0" collapsed="false">
      <c r="A524" s="4" t="s">
        <v>774</v>
      </c>
      <c r="B524" s="4" t="s">
        <v>99</v>
      </c>
      <c r="C524" s="4" t="n">
        <v>17</v>
      </c>
      <c r="D524" s="4" t="n">
        <v>521</v>
      </c>
      <c r="E524" s="4" t="s">
        <v>205</v>
      </c>
      <c r="F524" s="4" t="n">
        <v>19</v>
      </c>
      <c r="G524" s="4" t="n">
        <v>13</v>
      </c>
      <c r="H524" s="4" t="n">
        <v>70300</v>
      </c>
      <c r="I524" s="13" t="b">
        <f aca="false">TRUE()</f>
        <v>1</v>
      </c>
      <c r="J524" s="4" t="s">
        <v>767</v>
      </c>
      <c r="K524" s="4" t="s">
        <v>768</v>
      </c>
      <c r="L524" s="4" t="n">
        <v>4175.82</v>
      </c>
      <c r="M524" s="11" t="n">
        <f aca="false">IFERROR(MATCH(Controls!$B$3&amp;"|"&amp;B524,'Scenario inputs'!$A$4:$A$213,0),0)</f>
        <v>148</v>
      </c>
      <c r="N524" s="8" t="b">
        <f aca="false">IF(M524=0,FALSE(),F524&lt;Controls!$B$12)</f>
        <v>1</v>
      </c>
      <c r="O524" s="11" t="n">
        <f aca="false">IF(N524,IF(INDEX('Scenario inputs'!$E$4:$E$213,M524)=0,1,INDEX('Scenario inputs'!$F$4:$M$213,M524,MIN(MAX(F524-G524,0),INDEX('Scenario inputs'!$E$4:$E$213,M524)-1)+1)),0)</f>
        <v>1</v>
      </c>
      <c r="P524" s="11" t="n">
        <f aca="false">H524*O524</f>
        <v>70300</v>
      </c>
      <c r="Q524" s="0" t="str">
        <f aca="false">IF(M524=0,"",IF(ISNUMBER(INDEX('Scenario inputs'!$N$4:$N$213,M524)),INDEX('Scenario inputs'!$N$4:$N$213,M524),""))</f>
        <v/>
      </c>
      <c r="R524" s="0" t="str">
        <f aca="false">IF(NOT(N524),"",IF(OR(E524="cash",E524="revenue"),E524,IF(E524="avoided_cost",IF(AND(I524,LEN(TRIM(J524))&gt;0),"avoided_cost_realised","avoided_cost_beside"),IF(ISNUMBER(Q524),"capacity_converted","capacity_hours"))))</f>
        <v>avoided_cost_realised</v>
      </c>
      <c r="S524" s="11" t="n">
        <f aca="false">IF(OR(R524="",R524="capacity_hours"),0,IF(R524="capacity_converted",P524*Q524,P524))</f>
        <v>70300</v>
      </c>
      <c r="T524" s="11" t="n">
        <f aca="false">IF(OR(R524="cash",R524="revenue",R524="avoided_cost_realised",R524="capacity_converted"),1,0)</f>
        <v>1</v>
      </c>
      <c r="U524" s="11" t="n">
        <f aca="false">IF(AND(N524,R524&lt;&gt;"capacity_hours",LEN(K524)&gt;0),1,0)</f>
        <v>1</v>
      </c>
      <c r="V524" s="11" t="n">
        <f aca="false">IF(U524=1,SUMPRODUCT(($K$4:$K$703=K524)*($F$4:$F$703=F524)*($U$4:$U$703=1)*($B$4:$B$703&lt;&gt;B524)),0)</f>
        <v>0</v>
      </c>
      <c r="W524" s="11" t="n">
        <f aca="false">IF(AND(U524=1,V524&gt;0),1+SUMPRODUCT(($K$4:$K$703=K524)*($F$4:$F$703=F524)*($U$4:$U$703=1)*($S$4:$S$703&gt;S524))+SUMPRODUCT(($K$4:$K$703=K524)*($F$4:$F$703=F524)*($U$4:$U$703=1)*($S$4:$S$703=S524)*($T$4:$T$703&gt;T524))+SUMPRODUCT(($K$4:$K$703=K524)*($F$4:$F$703=F524)*($U$4:$U$703=1)*($S$4:$S$703=S524)*($T$4:$T$703=T524)*($C$4:$C$703&lt;C524))+SUMPRODUCT(($K$4:$K$703=K524)*($F$4:$F$703=F524)*($U$4:$U$703=1)*($S$4:$S$703=S524)*($T$4:$T$703=T524)*($C$4:$C$703=C524)*($D$4:$D$703&lt;D524)),0)</f>
        <v>0</v>
      </c>
      <c r="X524" s="11" t="n">
        <f aca="false">IF(AND(U524=1,V524&gt;0,W524&gt;1),S524,0)</f>
        <v>0</v>
      </c>
      <c r="Y524" s="11" t="n">
        <f aca="false">IF(T524=1,X524/(1+Controls!$B$11)^F524,0)</f>
        <v>0</v>
      </c>
      <c r="Z524" s="11" t="n">
        <f aca="false">IF(AND(N524,E524="capacity",LEN(K524)&gt;0),1,0)</f>
        <v>0</v>
      </c>
      <c r="AA524" s="11" t="n">
        <f aca="false">IF(Z524=1,SUMPRODUCT(($K$4:$K$703=K524)*($F$4:$F$703=F524)*($Z$4:$Z$703=1)*($B$4:$B$703&lt;&gt;B524)),0)</f>
        <v>0</v>
      </c>
      <c r="AB524" s="11" t="n">
        <f aca="false">IF(AND(Z524=1,AA524&gt;0),1+SUMPRODUCT(($K$4:$K$703=K524)*($F$4:$F$703=F524)*($Z$4:$Z$703=1)*($P$4:$P$703&gt;P524))+SUMPRODUCT(($K$4:$K$703=K524)*($F$4:$F$703=F524)*($Z$4:$Z$703=1)*($P$4:$P$703=P524)*($C$4:$C$703&lt;C524))+SUMPRODUCT(($K$4:$K$703=K524)*($F$4:$F$703=F524)*($Z$4:$Z$703=1)*($P$4:$P$703=P524)*($C$4:$C$703=C524)*($D$4:$D$703&lt;D524)),0)</f>
        <v>0</v>
      </c>
      <c r="AC524" s="11" t="n">
        <f aca="false">IF(AND(Z524=1,AA524&gt;0,AB524&gt;1),P524,0)</f>
        <v>0</v>
      </c>
    </row>
    <row r="525" customFormat="false" ht="15" hidden="false" customHeight="false" outlineLevel="0" collapsed="false">
      <c r="A525" s="4" t="s">
        <v>775</v>
      </c>
      <c r="B525" s="4" t="s">
        <v>99</v>
      </c>
      <c r="C525" s="4" t="n">
        <v>17</v>
      </c>
      <c r="D525" s="4" t="n">
        <v>522</v>
      </c>
      <c r="E525" s="4" t="s">
        <v>205</v>
      </c>
      <c r="F525" s="4" t="n">
        <v>20</v>
      </c>
      <c r="G525" s="4" t="n">
        <v>13</v>
      </c>
      <c r="H525" s="4" t="n">
        <v>70300</v>
      </c>
      <c r="I525" s="13" t="b">
        <f aca="false">TRUE()</f>
        <v>1</v>
      </c>
      <c r="J525" s="4" t="s">
        <v>767</v>
      </c>
      <c r="K525" s="4" t="s">
        <v>768</v>
      </c>
      <c r="L525" s="4" t="n">
        <v>4175.82</v>
      </c>
      <c r="M525" s="11" t="n">
        <f aca="false">IFERROR(MATCH(Controls!$B$3&amp;"|"&amp;B525,'Scenario inputs'!$A$4:$A$213,0),0)</f>
        <v>148</v>
      </c>
      <c r="N525" s="8" t="b">
        <f aca="false">IF(M525=0,FALSE(),F525&lt;Controls!$B$12)</f>
        <v>1</v>
      </c>
      <c r="O525" s="11" t="n">
        <f aca="false">IF(N525,IF(INDEX('Scenario inputs'!$E$4:$E$213,M525)=0,1,INDEX('Scenario inputs'!$F$4:$M$213,M525,MIN(MAX(F525-G525,0),INDEX('Scenario inputs'!$E$4:$E$213,M525)-1)+1)),0)</f>
        <v>1</v>
      </c>
      <c r="P525" s="11" t="n">
        <f aca="false">H525*O525</f>
        <v>70300</v>
      </c>
      <c r="Q525" s="0" t="str">
        <f aca="false">IF(M525=0,"",IF(ISNUMBER(INDEX('Scenario inputs'!$N$4:$N$213,M525)),INDEX('Scenario inputs'!$N$4:$N$213,M525),""))</f>
        <v/>
      </c>
      <c r="R525" s="0" t="str">
        <f aca="false">IF(NOT(N525),"",IF(OR(E525="cash",E525="revenue"),E525,IF(E525="avoided_cost",IF(AND(I525,LEN(TRIM(J525))&gt;0),"avoided_cost_realised","avoided_cost_beside"),IF(ISNUMBER(Q525),"capacity_converted","capacity_hours"))))</f>
        <v>avoided_cost_realised</v>
      </c>
      <c r="S525" s="11" t="n">
        <f aca="false">IF(OR(R525="",R525="capacity_hours"),0,IF(R525="capacity_converted",P525*Q525,P525))</f>
        <v>70300</v>
      </c>
      <c r="T525" s="11" t="n">
        <f aca="false">IF(OR(R525="cash",R525="revenue",R525="avoided_cost_realised",R525="capacity_converted"),1,0)</f>
        <v>1</v>
      </c>
      <c r="U525" s="11" t="n">
        <f aca="false">IF(AND(N525,R525&lt;&gt;"capacity_hours",LEN(K525)&gt;0),1,0)</f>
        <v>1</v>
      </c>
      <c r="V525" s="11" t="n">
        <f aca="false">IF(U525=1,SUMPRODUCT(($K$4:$K$703=K525)*($F$4:$F$703=F525)*($U$4:$U$703=1)*($B$4:$B$703&lt;&gt;B525)),0)</f>
        <v>0</v>
      </c>
      <c r="W525" s="11" t="n">
        <f aca="false">IF(AND(U525=1,V525&gt;0),1+SUMPRODUCT(($K$4:$K$703=K525)*($F$4:$F$703=F525)*($U$4:$U$703=1)*($S$4:$S$703&gt;S525))+SUMPRODUCT(($K$4:$K$703=K525)*($F$4:$F$703=F525)*($U$4:$U$703=1)*($S$4:$S$703=S525)*($T$4:$T$703&gt;T525))+SUMPRODUCT(($K$4:$K$703=K525)*($F$4:$F$703=F525)*($U$4:$U$703=1)*($S$4:$S$703=S525)*($T$4:$T$703=T525)*($C$4:$C$703&lt;C525))+SUMPRODUCT(($K$4:$K$703=K525)*($F$4:$F$703=F525)*($U$4:$U$703=1)*($S$4:$S$703=S525)*($T$4:$T$703=T525)*($C$4:$C$703=C525)*($D$4:$D$703&lt;D525)),0)</f>
        <v>0</v>
      </c>
      <c r="X525" s="11" t="n">
        <f aca="false">IF(AND(U525=1,V525&gt;0,W525&gt;1),S525,0)</f>
        <v>0</v>
      </c>
      <c r="Y525" s="11" t="n">
        <f aca="false">IF(T525=1,X525/(1+Controls!$B$11)^F525,0)</f>
        <v>0</v>
      </c>
      <c r="Z525" s="11" t="n">
        <f aca="false">IF(AND(N525,E525="capacity",LEN(K525)&gt;0),1,0)</f>
        <v>0</v>
      </c>
      <c r="AA525" s="11" t="n">
        <f aca="false">IF(Z525=1,SUMPRODUCT(($K$4:$K$703=K525)*($F$4:$F$703=F525)*($Z$4:$Z$703=1)*($B$4:$B$703&lt;&gt;B525)),0)</f>
        <v>0</v>
      </c>
      <c r="AB525" s="11" t="n">
        <f aca="false">IF(AND(Z525=1,AA525&gt;0),1+SUMPRODUCT(($K$4:$K$703=K525)*($F$4:$F$703=F525)*($Z$4:$Z$703=1)*($P$4:$P$703&gt;P525))+SUMPRODUCT(($K$4:$K$703=K525)*($F$4:$F$703=F525)*($Z$4:$Z$703=1)*($P$4:$P$703=P525)*($C$4:$C$703&lt;C525))+SUMPRODUCT(($K$4:$K$703=K525)*($F$4:$F$703=F525)*($Z$4:$Z$703=1)*($P$4:$P$703=P525)*($C$4:$C$703=C525)*($D$4:$D$703&lt;D525)),0)</f>
        <v>0</v>
      </c>
      <c r="AC525" s="11" t="n">
        <f aca="false">IF(AND(Z525=1,AA525&gt;0,AB525&gt;1),P525,0)</f>
        <v>0</v>
      </c>
    </row>
    <row r="526" customFormat="false" ht="15" hidden="false" customHeight="false" outlineLevel="0" collapsed="false">
      <c r="A526" s="4" t="s">
        <v>776</v>
      </c>
      <c r="B526" s="4" t="s">
        <v>99</v>
      </c>
      <c r="C526" s="4" t="n">
        <v>17</v>
      </c>
      <c r="D526" s="4" t="n">
        <v>523</v>
      </c>
      <c r="E526" s="4" t="s">
        <v>205</v>
      </c>
      <c r="F526" s="4" t="n">
        <v>21</v>
      </c>
      <c r="G526" s="4" t="n">
        <v>13</v>
      </c>
      <c r="H526" s="4" t="n">
        <v>70300</v>
      </c>
      <c r="I526" s="13" t="b">
        <f aca="false">TRUE()</f>
        <v>1</v>
      </c>
      <c r="J526" s="4" t="s">
        <v>767</v>
      </c>
      <c r="K526" s="4" t="s">
        <v>768</v>
      </c>
      <c r="L526" s="4" t="n">
        <v>4175.82</v>
      </c>
      <c r="M526" s="11" t="n">
        <f aca="false">IFERROR(MATCH(Controls!$B$3&amp;"|"&amp;B526,'Scenario inputs'!$A$4:$A$213,0),0)</f>
        <v>148</v>
      </c>
      <c r="N526" s="8" t="b">
        <f aca="false">IF(M526=0,FALSE(),F526&lt;Controls!$B$12)</f>
        <v>1</v>
      </c>
      <c r="O526" s="11" t="n">
        <f aca="false">IF(N526,IF(INDEX('Scenario inputs'!$E$4:$E$213,M526)=0,1,INDEX('Scenario inputs'!$F$4:$M$213,M526,MIN(MAX(F526-G526,0),INDEX('Scenario inputs'!$E$4:$E$213,M526)-1)+1)),0)</f>
        <v>1</v>
      </c>
      <c r="P526" s="11" t="n">
        <f aca="false">H526*O526</f>
        <v>70300</v>
      </c>
      <c r="Q526" s="0" t="str">
        <f aca="false">IF(M526=0,"",IF(ISNUMBER(INDEX('Scenario inputs'!$N$4:$N$213,M526)),INDEX('Scenario inputs'!$N$4:$N$213,M526),""))</f>
        <v/>
      </c>
      <c r="R526" s="0" t="str">
        <f aca="false">IF(NOT(N526),"",IF(OR(E526="cash",E526="revenue"),E526,IF(E526="avoided_cost",IF(AND(I526,LEN(TRIM(J526))&gt;0),"avoided_cost_realised","avoided_cost_beside"),IF(ISNUMBER(Q526),"capacity_converted","capacity_hours"))))</f>
        <v>avoided_cost_realised</v>
      </c>
      <c r="S526" s="11" t="n">
        <f aca="false">IF(OR(R526="",R526="capacity_hours"),0,IF(R526="capacity_converted",P526*Q526,P526))</f>
        <v>70300</v>
      </c>
      <c r="T526" s="11" t="n">
        <f aca="false">IF(OR(R526="cash",R526="revenue",R526="avoided_cost_realised",R526="capacity_converted"),1,0)</f>
        <v>1</v>
      </c>
      <c r="U526" s="11" t="n">
        <f aca="false">IF(AND(N526,R526&lt;&gt;"capacity_hours",LEN(K526)&gt;0),1,0)</f>
        <v>1</v>
      </c>
      <c r="V526" s="11" t="n">
        <f aca="false">IF(U526=1,SUMPRODUCT(($K$4:$K$703=K526)*($F$4:$F$703=F526)*($U$4:$U$703=1)*($B$4:$B$703&lt;&gt;B526)),0)</f>
        <v>0</v>
      </c>
      <c r="W526" s="11" t="n">
        <f aca="false">IF(AND(U526=1,V526&gt;0),1+SUMPRODUCT(($K$4:$K$703=K526)*($F$4:$F$703=F526)*($U$4:$U$703=1)*($S$4:$S$703&gt;S526))+SUMPRODUCT(($K$4:$K$703=K526)*($F$4:$F$703=F526)*($U$4:$U$703=1)*($S$4:$S$703=S526)*($T$4:$T$703&gt;T526))+SUMPRODUCT(($K$4:$K$703=K526)*($F$4:$F$703=F526)*($U$4:$U$703=1)*($S$4:$S$703=S526)*($T$4:$T$703=T526)*($C$4:$C$703&lt;C526))+SUMPRODUCT(($K$4:$K$703=K526)*($F$4:$F$703=F526)*($U$4:$U$703=1)*($S$4:$S$703=S526)*($T$4:$T$703=T526)*($C$4:$C$703=C526)*($D$4:$D$703&lt;D526)),0)</f>
        <v>0</v>
      </c>
      <c r="X526" s="11" t="n">
        <f aca="false">IF(AND(U526=1,V526&gt;0,W526&gt;1),S526,0)</f>
        <v>0</v>
      </c>
      <c r="Y526" s="11" t="n">
        <f aca="false">IF(T526=1,X526/(1+Controls!$B$11)^F526,0)</f>
        <v>0</v>
      </c>
      <c r="Z526" s="11" t="n">
        <f aca="false">IF(AND(N526,E526="capacity",LEN(K526)&gt;0),1,0)</f>
        <v>0</v>
      </c>
      <c r="AA526" s="11" t="n">
        <f aca="false">IF(Z526=1,SUMPRODUCT(($K$4:$K$703=K526)*($F$4:$F$703=F526)*($Z$4:$Z$703=1)*($B$4:$B$703&lt;&gt;B526)),0)</f>
        <v>0</v>
      </c>
      <c r="AB526" s="11" t="n">
        <f aca="false">IF(AND(Z526=1,AA526&gt;0),1+SUMPRODUCT(($K$4:$K$703=K526)*($F$4:$F$703=F526)*($Z$4:$Z$703=1)*($P$4:$P$703&gt;P526))+SUMPRODUCT(($K$4:$K$703=K526)*($F$4:$F$703=F526)*($Z$4:$Z$703=1)*($P$4:$P$703=P526)*($C$4:$C$703&lt;C526))+SUMPRODUCT(($K$4:$K$703=K526)*($F$4:$F$703=F526)*($Z$4:$Z$703=1)*($P$4:$P$703=P526)*($C$4:$C$703=C526)*($D$4:$D$703&lt;D526)),0)</f>
        <v>0</v>
      </c>
      <c r="AC526" s="11" t="n">
        <f aca="false">IF(AND(Z526=1,AA526&gt;0,AB526&gt;1),P526,0)</f>
        <v>0</v>
      </c>
    </row>
    <row r="527" customFormat="false" ht="15" hidden="false" customHeight="false" outlineLevel="0" collapsed="false">
      <c r="A527" s="4" t="s">
        <v>777</v>
      </c>
      <c r="B527" s="4" t="s">
        <v>99</v>
      </c>
      <c r="C527" s="4" t="n">
        <v>17</v>
      </c>
      <c r="D527" s="4" t="n">
        <v>524</v>
      </c>
      <c r="E527" s="4" t="s">
        <v>205</v>
      </c>
      <c r="F527" s="4" t="n">
        <v>22</v>
      </c>
      <c r="G527" s="4" t="n">
        <v>13</v>
      </c>
      <c r="H527" s="4" t="n">
        <v>70300</v>
      </c>
      <c r="I527" s="13" t="b">
        <f aca="false">TRUE()</f>
        <v>1</v>
      </c>
      <c r="J527" s="4" t="s">
        <v>767</v>
      </c>
      <c r="K527" s="4" t="s">
        <v>768</v>
      </c>
      <c r="L527" s="4" t="n">
        <v>4175.82</v>
      </c>
      <c r="M527" s="11" t="n">
        <f aca="false">IFERROR(MATCH(Controls!$B$3&amp;"|"&amp;B527,'Scenario inputs'!$A$4:$A$213,0),0)</f>
        <v>148</v>
      </c>
      <c r="N527" s="8" t="b">
        <f aca="false">IF(M527=0,FALSE(),F527&lt;Controls!$B$12)</f>
        <v>1</v>
      </c>
      <c r="O527" s="11" t="n">
        <f aca="false">IF(N527,IF(INDEX('Scenario inputs'!$E$4:$E$213,M527)=0,1,INDEX('Scenario inputs'!$F$4:$M$213,M527,MIN(MAX(F527-G527,0),INDEX('Scenario inputs'!$E$4:$E$213,M527)-1)+1)),0)</f>
        <v>1</v>
      </c>
      <c r="P527" s="11" t="n">
        <f aca="false">H527*O527</f>
        <v>70300</v>
      </c>
      <c r="Q527" s="0" t="str">
        <f aca="false">IF(M527=0,"",IF(ISNUMBER(INDEX('Scenario inputs'!$N$4:$N$213,M527)),INDEX('Scenario inputs'!$N$4:$N$213,M527),""))</f>
        <v/>
      </c>
      <c r="R527" s="0" t="str">
        <f aca="false">IF(NOT(N527),"",IF(OR(E527="cash",E527="revenue"),E527,IF(E527="avoided_cost",IF(AND(I527,LEN(TRIM(J527))&gt;0),"avoided_cost_realised","avoided_cost_beside"),IF(ISNUMBER(Q527),"capacity_converted","capacity_hours"))))</f>
        <v>avoided_cost_realised</v>
      </c>
      <c r="S527" s="11" t="n">
        <f aca="false">IF(OR(R527="",R527="capacity_hours"),0,IF(R527="capacity_converted",P527*Q527,P527))</f>
        <v>70300</v>
      </c>
      <c r="T527" s="11" t="n">
        <f aca="false">IF(OR(R527="cash",R527="revenue",R527="avoided_cost_realised",R527="capacity_converted"),1,0)</f>
        <v>1</v>
      </c>
      <c r="U527" s="11" t="n">
        <f aca="false">IF(AND(N527,R527&lt;&gt;"capacity_hours",LEN(K527)&gt;0),1,0)</f>
        <v>1</v>
      </c>
      <c r="V527" s="11" t="n">
        <f aca="false">IF(U527=1,SUMPRODUCT(($K$4:$K$703=K527)*($F$4:$F$703=F527)*($U$4:$U$703=1)*($B$4:$B$703&lt;&gt;B527)),0)</f>
        <v>0</v>
      </c>
      <c r="W527" s="11" t="n">
        <f aca="false">IF(AND(U527=1,V527&gt;0),1+SUMPRODUCT(($K$4:$K$703=K527)*($F$4:$F$703=F527)*($U$4:$U$703=1)*($S$4:$S$703&gt;S527))+SUMPRODUCT(($K$4:$K$703=K527)*($F$4:$F$703=F527)*($U$4:$U$703=1)*($S$4:$S$703=S527)*($T$4:$T$703&gt;T527))+SUMPRODUCT(($K$4:$K$703=K527)*($F$4:$F$703=F527)*($U$4:$U$703=1)*($S$4:$S$703=S527)*($T$4:$T$703=T527)*($C$4:$C$703&lt;C527))+SUMPRODUCT(($K$4:$K$703=K527)*($F$4:$F$703=F527)*($U$4:$U$703=1)*($S$4:$S$703=S527)*($T$4:$T$703=T527)*($C$4:$C$703=C527)*($D$4:$D$703&lt;D527)),0)</f>
        <v>0</v>
      </c>
      <c r="X527" s="11" t="n">
        <f aca="false">IF(AND(U527=1,V527&gt;0,W527&gt;1),S527,0)</f>
        <v>0</v>
      </c>
      <c r="Y527" s="11" t="n">
        <f aca="false">IF(T527=1,X527/(1+Controls!$B$11)^F527,0)</f>
        <v>0</v>
      </c>
      <c r="Z527" s="11" t="n">
        <f aca="false">IF(AND(N527,E527="capacity",LEN(K527)&gt;0),1,0)</f>
        <v>0</v>
      </c>
      <c r="AA527" s="11" t="n">
        <f aca="false">IF(Z527=1,SUMPRODUCT(($K$4:$K$703=K527)*($F$4:$F$703=F527)*($Z$4:$Z$703=1)*($B$4:$B$703&lt;&gt;B527)),0)</f>
        <v>0</v>
      </c>
      <c r="AB527" s="11" t="n">
        <f aca="false">IF(AND(Z527=1,AA527&gt;0),1+SUMPRODUCT(($K$4:$K$703=K527)*($F$4:$F$703=F527)*($Z$4:$Z$703=1)*($P$4:$P$703&gt;P527))+SUMPRODUCT(($K$4:$K$703=K527)*($F$4:$F$703=F527)*($Z$4:$Z$703=1)*($P$4:$P$703=P527)*($C$4:$C$703&lt;C527))+SUMPRODUCT(($K$4:$K$703=K527)*($F$4:$F$703=F527)*($Z$4:$Z$703=1)*($P$4:$P$703=P527)*($C$4:$C$703=C527)*($D$4:$D$703&lt;D527)),0)</f>
        <v>0</v>
      </c>
      <c r="AC527" s="11" t="n">
        <f aca="false">IF(AND(Z527=1,AA527&gt;0,AB527&gt;1),P527,0)</f>
        <v>0</v>
      </c>
    </row>
    <row r="528" customFormat="false" ht="15" hidden="false" customHeight="false" outlineLevel="0" collapsed="false">
      <c r="A528" s="4" t="s">
        <v>778</v>
      </c>
      <c r="B528" s="4" t="s">
        <v>99</v>
      </c>
      <c r="C528" s="4" t="n">
        <v>17</v>
      </c>
      <c r="D528" s="4" t="n">
        <v>525</v>
      </c>
      <c r="E528" s="4" t="s">
        <v>205</v>
      </c>
      <c r="F528" s="4" t="n">
        <v>23</v>
      </c>
      <c r="G528" s="4" t="n">
        <v>13</v>
      </c>
      <c r="H528" s="4" t="n">
        <v>70300</v>
      </c>
      <c r="I528" s="13" t="b">
        <f aca="false">TRUE()</f>
        <v>1</v>
      </c>
      <c r="J528" s="4" t="s">
        <v>767</v>
      </c>
      <c r="K528" s="4" t="s">
        <v>768</v>
      </c>
      <c r="L528" s="4" t="n">
        <v>4175.82</v>
      </c>
      <c r="M528" s="11" t="n">
        <f aca="false">IFERROR(MATCH(Controls!$B$3&amp;"|"&amp;B528,'Scenario inputs'!$A$4:$A$213,0),0)</f>
        <v>148</v>
      </c>
      <c r="N528" s="8" t="b">
        <f aca="false">IF(M528=0,FALSE(),F528&lt;Controls!$B$12)</f>
        <v>1</v>
      </c>
      <c r="O528" s="11" t="n">
        <f aca="false">IF(N528,IF(INDEX('Scenario inputs'!$E$4:$E$213,M528)=0,1,INDEX('Scenario inputs'!$F$4:$M$213,M528,MIN(MAX(F528-G528,0),INDEX('Scenario inputs'!$E$4:$E$213,M528)-1)+1)),0)</f>
        <v>1</v>
      </c>
      <c r="P528" s="11" t="n">
        <f aca="false">H528*O528</f>
        <v>70300</v>
      </c>
      <c r="Q528" s="0" t="str">
        <f aca="false">IF(M528=0,"",IF(ISNUMBER(INDEX('Scenario inputs'!$N$4:$N$213,M528)),INDEX('Scenario inputs'!$N$4:$N$213,M528),""))</f>
        <v/>
      </c>
      <c r="R528" s="0" t="str">
        <f aca="false">IF(NOT(N528),"",IF(OR(E528="cash",E528="revenue"),E528,IF(E528="avoided_cost",IF(AND(I528,LEN(TRIM(J528))&gt;0),"avoided_cost_realised","avoided_cost_beside"),IF(ISNUMBER(Q528),"capacity_converted","capacity_hours"))))</f>
        <v>avoided_cost_realised</v>
      </c>
      <c r="S528" s="11" t="n">
        <f aca="false">IF(OR(R528="",R528="capacity_hours"),0,IF(R528="capacity_converted",P528*Q528,P528))</f>
        <v>70300</v>
      </c>
      <c r="T528" s="11" t="n">
        <f aca="false">IF(OR(R528="cash",R528="revenue",R528="avoided_cost_realised",R528="capacity_converted"),1,0)</f>
        <v>1</v>
      </c>
      <c r="U528" s="11" t="n">
        <f aca="false">IF(AND(N528,R528&lt;&gt;"capacity_hours",LEN(K528)&gt;0),1,0)</f>
        <v>1</v>
      </c>
      <c r="V528" s="11" t="n">
        <f aca="false">IF(U528=1,SUMPRODUCT(($K$4:$K$703=K528)*($F$4:$F$703=F528)*($U$4:$U$703=1)*($B$4:$B$703&lt;&gt;B528)),0)</f>
        <v>0</v>
      </c>
      <c r="W528" s="11" t="n">
        <f aca="false">IF(AND(U528=1,V528&gt;0),1+SUMPRODUCT(($K$4:$K$703=K528)*($F$4:$F$703=F528)*($U$4:$U$703=1)*($S$4:$S$703&gt;S528))+SUMPRODUCT(($K$4:$K$703=K528)*($F$4:$F$703=F528)*($U$4:$U$703=1)*($S$4:$S$703=S528)*($T$4:$T$703&gt;T528))+SUMPRODUCT(($K$4:$K$703=K528)*($F$4:$F$703=F528)*($U$4:$U$703=1)*($S$4:$S$703=S528)*($T$4:$T$703=T528)*($C$4:$C$703&lt;C528))+SUMPRODUCT(($K$4:$K$703=K528)*($F$4:$F$703=F528)*($U$4:$U$703=1)*($S$4:$S$703=S528)*($T$4:$T$703=T528)*($C$4:$C$703=C528)*($D$4:$D$703&lt;D528)),0)</f>
        <v>0</v>
      </c>
      <c r="X528" s="11" t="n">
        <f aca="false">IF(AND(U528=1,V528&gt;0,W528&gt;1),S528,0)</f>
        <v>0</v>
      </c>
      <c r="Y528" s="11" t="n">
        <f aca="false">IF(T528=1,X528/(1+Controls!$B$11)^F528,0)</f>
        <v>0</v>
      </c>
      <c r="Z528" s="11" t="n">
        <f aca="false">IF(AND(N528,E528="capacity",LEN(K528)&gt;0),1,0)</f>
        <v>0</v>
      </c>
      <c r="AA528" s="11" t="n">
        <f aca="false">IF(Z528=1,SUMPRODUCT(($K$4:$K$703=K528)*($F$4:$F$703=F528)*($Z$4:$Z$703=1)*($B$4:$B$703&lt;&gt;B528)),0)</f>
        <v>0</v>
      </c>
      <c r="AB528" s="11" t="n">
        <f aca="false">IF(AND(Z528=1,AA528&gt;0),1+SUMPRODUCT(($K$4:$K$703=K528)*($F$4:$F$703=F528)*($Z$4:$Z$703=1)*($P$4:$P$703&gt;P528))+SUMPRODUCT(($K$4:$K$703=K528)*($F$4:$F$703=F528)*($Z$4:$Z$703=1)*($P$4:$P$703=P528)*($C$4:$C$703&lt;C528))+SUMPRODUCT(($K$4:$K$703=K528)*($F$4:$F$703=F528)*($Z$4:$Z$703=1)*($P$4:$P$703=P528)*($C$4:$C$703=C528)*($D$4:$D$703&lt;D528)),0)</f>
        <v>0</v>
      </c>
      <c r="AC528" s="11" t="n">
        <f aca="false">IF(AND(Z528=1,AA528&gt;0,AB528&gt;1),P528,0)</f>
        <v>0</v>
      </c>
    </row>
    <row r="529" customFormat="false" ht="15" hidden="false" customHeight="false" outlineLevel="0" collapsed="false">
      <c r="A529" s="4" t="s">
        <v>779</v>
      </c>
      <c r="B529" s="4" t="s">
        <v>99</v>
      </c>
      <c r="C529" s="4" t="n">
        <v>17</v>
      </c>
      <c r="D529" s="4" t="n">
        <v>526</v>
      </c>
      <c r="E529" s="4" t="s">
        <v>205</v>
      </c>
      <c r="F529" s="4" t="n">
        <v>24</v>
      </c>
      <c r="G529" s="4" t="n">
        <v>13</v>
      </c>
      <c r="H529" s="4" t="n">
        <v>70300</v>
      </c>
      <c r="I529" s="13" t="b">
        <f aca="false">TRUE()</f>
        <v>1</v>
      </c>
      <c r="J529" s="4" t="s">
        <v>767</v>
      </c>
      <c r="K529" s="4" t="s">
        <v>768</v>
      </c>
      <c r="L529" s="4" t="n">
        <v>4175.82</v>
      </c>
      <c r="M529" s="11" t="n">
        <f aca="false">IFERROR(MATCH(Controls!$B$3&amp;"|"&amp;B529,'Scenario inputs'!$A$4:$A$213,0),0)</f>
        <v>148</v>
      </c>
      <c r="N529" s="8" t="b">
        <f aca="false">IF(M529=0,FALSE(),F529&lt;Controls!$B$12)</f>
        <v>1</v>
      </c>
      <c r="O529" s="11" t="n">
        <f aca="false">IF(N529,IF(INDEX('Scenario inputs'!$E$4:$E$213,M529)=0,1,INDEX('Scenario inputs'!$F$4:$M$213,M529,MIN(MAX(F529-G529,0),INDEX('Scenario inputs'!$E$4:$E$213,M529)-1)+1)),0)</f>
        <v>1</v>
      </c>
      <c r="P529" s="11" t="n">
        <f aca="false">H529*O529</f>
        <v>70300</v>
      </c>
      <c r="Q529" s="0" t="str">
        <f aca="false">IF(M529=0,"",IF(ISNUMBER(INDEX('Scenario inputs'!$N$4:$N$213,M529)),INDEX('Scenario inputs'!$N$4:$N$213,M529),""))</f>
        <v/>
      </c>
      <c r="R529" s="0" t="str">
        <f aca="false">IF(NOT(N529),"",IF(OR(E529="cash",E529="revenue"),E529,IF(E529="avoided_cost",IF(AND(I529,LEN(TRIM(J529))&gt;0),"avoided_cost_realised","avoided_cost_beside"),IF(ISNUMBER(Q529),"capacity_converted","capacity_hours"))))</f>
        <v>avoided_cost_realised</v>
      </c>
      <c r="S529" s="11" t="n">
        <f aca="false">IF(OR(R529="",R529="capacity_hours"),0,IF(R529="capacity_converted",P529*Q529,P529))</f>
        <v>70300</v>
      </c>
      <c r="T529" s="11" t="n">
        <f aca="false">IF(OR(R529="cash",R529="revenue",R529="avoided_cost_realised",R529="capacity_converted"),1,0)</f>
        <v>1</v>
      </c>
      <c r="U529" s="11" t="n">
        <f aca="false">IF(AND(N529,R529&lt;&gt;"capacity_hours",LEN(K529)&gt;0),1,0)</f>
        <v>1</v>
      </c>
      <c r="V529" s="11" t="n">
        <f aca="false">IF(U529=1,SUMPRODUCT(($K$4:$K$703=K529)*($F$4:$F$703=F529)*($U$4:$U$703=1)*($B$4:$B$703&lt;&gt;B529)),0)</f>
        <v>0</v>
      </c>
      <c r="W529" s="11" t="n">
        <f aca="false">IF(AND(U529=1,V529&gt;0),1+SUMPRODUCT(($K$4:$K$703=K529)*($F$4:$F$703=F529)*($U$4:$U$703=1)*($S$4:$S$703&gt;S529))+SUMPRODUCT(($K$4:$K$703=K529)*($F$4:$F$703=F529)*($U$4:$U$703=1)*($S$4:$S$703=S529)*($T$4:$T$703&gt;T529))+SUMPRODUCT(($K$4:$K$703=K529)*($F$4:$F$703=F529)*($U$4:$U$703=1)*($S$4:$S$703=S529)*($T$4:$T$703=T529)*($C$4:$C$703&lt;C529))+SUMPRODUCT(($K$4:$K$703=K529)*($F$4:$F$703=F529)*($U$4:$U$703=1)*($S$4:$S$703=S529)*($T$4:$T$703=T529)*($C$4:$C$703=C529)*($D$4:$D$703&lt;D529)),0)</f>
        <v>0</v>
      </c>
      <c r="X529" s="11" t="n">
        <f aca="false">IF(AND(U529=1,V529&gt;0,W529&gt;1),S529,0)</f>
        <v>0</v>
      </c>
      <c r="Y529" s="11" t="n">
        <f aca="false">IF(T529=1,X529/(1+Controls!$B$11)^F529,0)</f>
        <v>0</v>
      </c>
      <c r="Z529" s="11" t="n">
        <f aca="false">IF(AND(N529,E529="capacity",LEN(K529)&gt;0),1,0)</f>
        <v>0</v>
      </c>
      <c r="AA529" s="11" t="n">
        <f aca="false">IF(Z529=1,SUMPRODUCT(($K$4:$K$703=K529)*($F$4:$F$703=F529)*($Z$4:$Z$703=1)*($B$4:$B$703&lt;&gt;B529)),0)</f>
        <v>0</v>
      </c>
      <c r="AB529" s="11" t="n">
        <f aca="false">IF(AND(Z529=1,AA529&gt;0),1+SUMPRODUCT(($K$4:$K$703=K529)*($F$4:$F$703=F529)*($Z$4:$Z$703=1)*($P$4:$P$703&gt;P529))+SUMPRODUCT(($K$4:$K$703=K529)*($F$4:$F$703=F529)*($Z$4:$Z$703=1)*($P$4:$P$703=P529)*($C$4:$C$703&lt;C529))+SUMPRODUCT(($K$4:$K$703=K529)*($F$4:$F$703=F529)*($Z$4:$Z$703=1)*($P$4:$P$703=P529)*($C$4:$C$703=C529)*($D$4:$D$703&lt;D529)),0)</f>
        <v>0</v>
      </c>
      <c r="AC529" s="11" t="n">
        <f aca="false">IF(AND(Z529=1,AA529&gt;0,AB529&gt;1),P529,0)</f>
        <v>0</v>
      </c>
    </row>
    <row r="530" customFormat="false" ht="15" hidden="false" customHeight="false" outlineLevel="0" collapsed="false">
      <c r="A530" s="4" t="s">
        <v>780</v>
      </c>
      <c r="B530" s="4" t="s">
        <v>99</v>
      </c>
      <c r="C530" s="4" t="n">
        <v>17</v>
      </c>
      <c r="D530" s="4" t="n">
        <v>527</v>
      </c>
      <c r="E530" s="4" t="s">
        <v>233</v>
      </c>
      <c r="F530" s="4" t="n">
        <v>14</v>
      </c>
      <c r="G530" s="4" t="n">
        <v>14</v>
      </c>
      <c r="H530" s="4" t="n">
        <v>841.96</v>
      </c>
      <c r="I530" s="13" t="b">
        <f aca="false">FALSE()</f>
        <v>0</v>
      </c>
      <c r="K530" s="4" t="s">
        <v>781</v>
      </c>
      <c r="L530" s="4" t="n">
        <v>8.98</v>
      </c>
      <c r="M530" s="11" t="n">
        <f aca="false">IFERROR(MATCH(Controls!$B$3&amp;"|"&amp;B530,'Scenario inputs'!$A$4:$A$213,0),0)</f>
        <v>148</v>
      </c>
      <c r="N530" s="8" t="b">
        <f aca="false">IF(M530=0,FALSE(),F530&lt;Controls!$B$12)</f>
        <v>1</v>
      </c>
      <c r="O530" s="11" t="n">
        <f aca="false">IF(N530,IF(INDEX('Scenario inputs'!$E$4:$E$213,M530)=0,1,INDEX('Scenario inputs'!$F$4:$M$213,M530,MIN(MAX(F530-G530,0),INDEX('Scenario inputs'!$E$4:$E$213,M530)-1)+1)),0)</f>
        <v>0.066667</v>
      </c>
      <c r="P530" s="11" t="n">
        <f aca="false">H530*O530</f>
        <v>56.13094732</v>
      </c>
      <c r="Q530" s="0" t="str">
        <f aca="false">IF(M530=0,"",IF(ISNUMBER(INDEX('Scenario inputs'!$N$4:$N$213,M530)),INDEX('Scenario inputs'!$N$4:$N$213,M530),""))</f>
        <v/>
      </c>
      <c r="R530" s="0" t="str">
        <f aca="false">IF(NOT(N530),"",IF(OR(E530="cash",E530="revenue"),E530,IF(E530="avoided_cost",IF(AND(I530,LEN(TRIM(J530))&gt;0),"avoided_cost_realised","avoided_cost_beside"),IF(ISNUMBER(Q530),"capacity_converted","capacity_hours"))))</f>
        <v>capacity_hours</v>
      </c>
      <c r="S530" s="11" t="n">
        <f aca="false">IF(OR(R530="",R530="capacity_hours"),0,IF(R530="capacity_converted",P530*Q530,P530))</f>
        <v>0</v>
      </c>
      <c r="T530" s="11" t="n">
        <f aca="false">IF(OR(R530="cash",R530="revenue",R530="avoided_cost_realised",R530="capacity_converted"),1,0)</f>
        <v>0</v>
      </c>
      <c r="U530" s="11" t="n">
        <f aca="false">IF(AND(N530,R530&lt;&gt;"capacity_hours",LEN(K530)&gt;0),1,0)</f>
        <v>0</v>
      </c>
      <c r="V530" s="11" t="n">
        <f aca="false">IF(U530=1,SUMPRODUCT(($K$4:$K$703=K530)*($F$4:$F$703=F530)*($U$4:$U$703=1)*($B$4:$B$703&lt;&gt;B530)),0)</f>
        <v>0</v>
      </c>
      <c r="W530" s="11" t="n">
        <f aca="false">IF(AND(U530=1,V530&gt;0),1+SUMPRODUCT(($K$4:$K$703=K530)*($F$4:$F$703=F530)*($U$4:$U$703=1)*($S$4:$S$703&gt;S530))+SUMPRODUCT(($K$4:$K$703=K530)*($F$4:$F$703=F530)*($U$4:$U$703=1)*($S$4:$S$703=S530)*($T$4:$T$703&gt;T530))+SUMPRODUCT(($K$4:$K$703=K530)*($F$4:$F$703=F530)*($U$4:$U$703=1)*($S$4:$S$703=S530)*($T$4:$T$703=T530)*($C$4:$C$703&lt;C530))+SUMPRODUCT(($K$4:$K$703=K530)*($F$4:$F$703=F530)*($U$4:$U$703=1)*($S$4:$S$703=S530)*($T$4:$T$703=T530)*($C$4:$C$703=C530)*($D$4:$D$703&lt;D530)),0)</f>
        <v>0</v>
      </c>
      <c r="X530" s="11" t="n">
        <f aca="false">IF(AND(U530=1,V530&gt;0,W530&gt;1),S530,0)</f>
        <v>0</v>
      </c>
      <c r="Y530" s="11" t="n">
        <f aca="false">IF(T530=1,X530/(1+Controls!$B$11)^F530,0)</f>
        <v>0</v>
      </c>
      <c r="Z530" s="11" t="n">
        <f aca="false">IF(AND(N530,E530="capacity",LEN(K530)&gt;0),1,0)</f>
        <v>1</v>
      </c>
      <c r="AA530" s="11" t="n">
        <f aca="false">IF(Z530=1,SUMPRODUCT(($K$4:$K$703=K530)*($F$4:$F$703=F530)*($Z$4:$Z$703=1)*($B$4:$B$703&lt;&gt;B530)),0)</f>
        <v>0</v>
      </c>
      <c r="AB530" s="11" t="n">
        <f aca="false">IF(AND(Z530=1,AA530&gt;0),1+SUMPRODUCT(($K$4:$K$703=K530)*($F$4:$F$703=F530)*($Z$4:$Z$703=1)*($P$4:$P$703&gt;P530))+SUMPRODUCT(($K$4:$K$703=K530)*($F$4:$F$703=F530)*($Z$4:$Z$703=1)*($P$4:$P$703=P530)*($C$4:$C$703&lt;C530))+SUMPRODUCT(($K$4:$K$703=K530)*($F$4:$F$703=F530)*($Z$4:$Z$703=1)*($P$4:$P$703=P530)*($C$4:$C$703=C530)*($D$4:$D$703&lt;D530)),0)</f>
        <v>0</v>
      </c>
      <c r="AC530" s="11" t="n">
        <f aca="false">IF(AND(Z530=1,AA530&gt;0,AB530&gt;1),P530,0)</f>
        <v>0</v>
      </c>
    </row>
    <row r="531" customFormat="false" ht="15" hidden="false" customHeight="false" outlineLevel="0" collapsed="false">
      <c r="A531" s="4" t="s">
        <v>782</v>
      </c>
      <c r="B531" s="4" t="s">
        <v>99</v>
      </c>
      <c r="C531" s="4" t="n">
        <v>17</v>
      </c>
      <c r="D531" s="4" t="n">
        <v>528</v>
      </c>
      <c r="E531" s="4" t="s">
        <v>233</v>
      </c>
      <c r="F531" s="4" t="n">
        <v>15</v>
      </c>
      <c r="G531" s="4" t="n">
        <v>14</v>
      </c>
      <c r="H531" s="4" t="n">
        <v>841.96</v>
      </c>
      <c r="I531" s="13" t="b">
        <f aca="false">FALSE()</f>
        <v>0</v>
      </c>
      <c r="K531" s="4" t="s">
        <v>781</v>
      </c>
      <c r="L531" s="4" t="n">
        <v>26.94</v>
      </c>
      <c r="M531" s="11" t="n">
        <f aca="false">IFERROR(MATCH(Controls!$B$3&amp;"|"&amp;B531,'Scenario inputs'!$A$4:$A$213,0),0)</f>
        <v>148</v>
      </c>
      <c r="N531" s="8" t="b">
        <f aca="false">IF(M531=0,FALSE(),F531&lt;Controls!$B$12)</f>
        <v>1</v>
      </c>
      <c r="O531" s="11" t="n">
        <f aca="false">IF(N531,IF(INDEX('Scenario inputs'!$E$4:$E$213,M531)=0,1,INDEX('Scenario inputs'!$F$4:$M$213,M531,MIN(MAX(F531-G531,0),INDEX('Scenario inputs'!$E$4:$E$213,M531)-1)+1)),0)</f>
        <v>0.2</v>
      </c>
      <c r="P531" s="11" t="n">
        <f aca="false">H531*O531</f>
        <v>168.392</v>
      </c>
      <c r="Q531" s="0" t="str">
        <f aca="false">IF(M531=0,"",IF(ISNUMBER(INDEX('Scenario inputs'!$N$4:$N$213,M531)),INDEX('Scenario inputs'!$N$4:$N$213,M531),""))</f>
        <v/>
      </c>
      <c r="R531" s="0" t="str">
        <f aca="false">IF(NOT(N531),"",IF(OR(E531="cash",E531="revenue"),E531,IF(E531="avoided_cost",IF(AND(I531,LEN(TRIM(J531))&gt;0),"avoided_cost_realised","avoided_cost_beside"),IF(ISNUMBER(Q531),"capacity_converted","capacity_hours"))))</f>
        <v>capacity_hours</v>
      </c>
      <c r="S531" s="11" t="n">
        <f aca="false">IF(OR(R531="",R531="capacity_hours"),0,IF(R531="capacity_converted",P531*Q531,P531))</f>
        <v>0</v>
      </c>
      <c r="T531" s="11" t="n">
        <f aca="false">IF(OR(R531="cash",R531="revenue",R531="avoided_cost_realised",R531="capacity_converted"),1,0)</f>
        <v>0</v>
      </c>
      <c r="U531" s="11" t="n">
        <f aca="false">IF(AND(N531,R531&lt;&gt;"capacity_hours",LEN(K531)&gt;0),1,0)</f>
        <v>0</v>
      </c>
      <c r="V531" s="11" t="n">
        <f aca="false">IF(U531=1,SUMPRODUCT(($K$4:$K$703=K531)*($F$4:$F$703=F531)*($U$4:$U$703=1)*($B$4:$B$703&lt;&gt;B531)),0)</f>
        <v>0</v>
      </c>
      <c r="W531" s="11" t="n">
        <f aca="false">IF(AND(U531=1,V531&gt;0),1+SUMPRODUCT(($K$4:$K$703=K531)*($F$4:$F$703=F531)*($U$4:$U$703=1)*($S$4:$S$703&gt;S531))+SUMPRODUCT(($K$4:$K$703=K531)*($F$4:$F$703=F531)*($U$4:$U$703=1)*($S$4:$S$703=S531)*($T$4:$T$703&gt;T531))+SUMPRODUCT(($K$4:$K$703=K531)*($F$4:$F$703=F531)*($U$4:$U$703=1)*($S$4:$S$703=S531)*($T$4:$T$703=T531)*($C$4:$C$703&lt;C531))+SUMPRODUCT(($K$4:$K$703=K531)*($F$4:$F$703=F531)*($U$4:$U$703=1)*($S$4:$S$703=S531)*($T$4:$T$703=T531)*($C$4:$C$703=C531)*($D$4:$D$703&lt;D531)),0)</f>
        <v>0</v>
      </c>
      <c r="X531" s="11" t="n">
        <f aca="false">IF(AND(U531=1,V531&gt;0,W531&gt;1),S531,0)</f>
        <v>0</v>
      </c>
      <c r="Y531" s="11" t="n">
        <f aca="false">IF(T531=1,X531/(1+Controls!$B$11)^F531,0)</f>
        <v>0</v>
      </c>
      <c r="Z531" s="11" t="n">
        <f aca="false">IF(AND(N531,E531="capacity",LEN(K531)&gt;0),1,0)</f>
        <v>1</v>
      </c>
      <c r="AA531" s="11" t="n">
        <f aca="false">IF(Z531=1,SUMPRODUCT(($K$4:$K$703=K531)*($F$4:$F$703=F531)*($Z$4:$Z$703=1)*($B$4:$B$703&lt;&gt;B531)),0)</f>
        <v>0</v>
      </c>
      <c r="AB531" s="11" t="n">
        <f aca="false">IF(AND(Z531=1,AA531&gt;0),1+SUMPRODUCT(($K$4:$K$703=K531)*($F$4:$F$703=F531)*($Z$4:$Z$703=1)*($P$4:$P$703&gt;P531))+SUMPRODUCT(($K$4:$K$703=K531)*($F$4:$F$703=F531)*($Z$4:$Z$703=1)*($P$4:$P$703=P531)*($C$4:$C$703&lt;C531))+SUMPRODUCT(($K$4:$K$703=K531)*($F$4:$F$703=F531)*($Z$4:$Z$703=1)*($P$4:$P$703=P531)*($C$4:$C$703=C531)*($D$4:$D$703&lt;D531)),0)</f>
        <v>0</v>
      </c>
      <c r="AC531" s="11" t="n">
        <f aca="false">IF(AND(Z531=1,AA531&gt;0,AB531&gt;1),P531,0)</f>
        <v>0</v>
      </c>
    </row>
    <row r="532" customFormat="false" ht="15" hidden="false" customHeight="false" outlineLevel="0" collapsed="false">
      <c r="A532" s="4" t="s">
        <v>783</v>
      </c>
      <c r="B532" s="4" t="s">
        <v>99</v>
      </c>
      <c r="C532" s="4" t="n">
        <v>17</v>
      </c>
      <c r="D532" s="4" t="n">
        <v>529</v>
      </c>
      <c r="E532" s="4" t="s">
        <v>233</v>
      </c>
      <c r="F532" s="4" t="n">
        <v>16</v>
      </c>
      <c r="G532" s="4" t="n">
        <v>14</v>
      </c>
      <c r="H532" s="4" t="n">
        <v>841.96</v>
      </c>
      <c r="I532" s="13" t="b">
        <f aca="false">FALSE()</f>
        <v>0</v>
      </c>
      <c r="K532" s="4" t="s">
        <v>781</v>
      </c>
      <c r="L532" s="4" t="n">
        <v>53.88</v>
      </c>
      <c r="M532" s="11" t="n">
        <f aca="false">IFERROR(MATCH(Controls!$B$3&amp;"|"&amp;B532,'Scenario inputs'!$A$4:$A$213,0),0)</f>
        <v>148</v>
      </c>
      <c r="N532" s="8" t="b">
        <f aca="false">IF(M532=0,FALSE(),F532&lt;Controls!$B$12)</f>
        <v>1</v>
      </c>
      <c r="O532" s="11" t="n">
        <f aca="false">IF(N532,IF(INDEX('Scenario inputs'!$E$4:$E$213,M532)=0,1,INDEX('Scenario inputs'!$F$4:$M$213,M532,MIN(MAX(F532-G532,0),INDEX('Scenario inputs'!$E$4:$E$213,M532)-1)+1)),0)</f>
        <v>0.4</v>
      </c>
      <c r="P532" s="11" t="n">
        <f aca="false">H532*O532</f>
        <v>336.784</v>
      </c>
      <c r="Q532" s="0" t="str">
        <f aca="false">IF(M532=0,"",IF(ISNUMBER(INDEX('Scenario inputs'!$N$4:$N$213,M532)),INDEX('Scenario inputs'!$N$4:$N$213,M532),""))</f>
        <v/>
      </c>
      <c r="R532" s="0" t="str">
        <f aca="false">IF(NOT(N532),"",IF(OR(E532="cash",E532="revenue"),E532,IF(E532="avoided_cost",IF(AND(I532,LEN(TRIM(J532))&gt;0),"avoided_cost_realised","avoided_cost_beside"),IF(ISNUMBER(Q532),"capacity_converted","capacity_hours"))))</f>
        <v>capacity_hours</v>
      </c>
      <c r="S532" s="11" t="n">
        <f aca="false">IF(OR(R532="",R532="capacity_hours"),0,IF(R532="capacity_converted",P532*Q532,P532))</f>
        <v>0</v>
      </c>
      <c r="T532" s="11" t="n">
        <f aca="false">IF(OR(R532="cash",R532="revenue",R532="avoided_cost_realised",R532="capacity_converted"),1,0)</f>
        <v>0</v>
      </c>
      <c r="U532" s="11" t="n">
        <f aca="false">IF(AND(N532,R532&lt;&gt;"capacity_hours",LEN(K532)&gt;0),1,0)</f>
        <v>0</v>
      </c>
      <c r="V532" s="11" t="n">
        <f aca="false">IF(U532=1,SUMPRODUCT(($K$4:$K$703=K532)*($F$4:$F$703=F532)*($U$4:$U$703=1)*($B$4:$B$703&lt;&gt;B532)),0)</f>
        <v>0</v>
      </c>
      <c r="W532" s="11" t="n">
        <f aca="false">IF(AND(U532=1,V532&gt;0),1+SUMPRODUCT(($K$4:$K$703=K532)*($F$4:$F$703=F532)*($U$4:$U$703=1)*($S$4:$S$703&gt;S532))+SUMPRODUCT(($K$4:$K$703=K532)*($F$4:$F$703=F532)*($U$4:$U$703=1)*($S$4:$S$703=S532)*($T$4:$T$703&gt;T532))+SUMPRODUCT(($K$4:$K$703=K532)*($F$4:$F$703=F532)*($U$4:$U$703=1)*($S$4:$S$703=S532)*($T$4:$T$703=T532)*($C$4:$C$703&lt;C532))+SUMPRODUCT(($K$4:$K$703=K532)*($F$4:$F$703=F532)*($U$4:$U$703=1)*($S$4:$S$703=S532)*($T$4:$T$703=T532)*($C$4:$C$703=C532)*($D$4:$D$703&lt;D532)),0)</f>
        <v>0</v>
      </c>
      <c r="X532" s="11" t="n">
        <f aca="false">IF(AND(U532=1,V532&gt;0,W532&gt;1),S532,0)</f>
        <v>0</v>
      </c>
      <c r="Y532" s="11" t="n">
        <f aca="false">IF(T532=1,X532/(1+Controls!$B$11)^F532,0)</f>
        <v>0</v>
      </c>
      <c r="Z532" s="11" t="n">
        <f aca="false">IF(AND(N532,E532="capacity",LEN(K532)&gt;0),1,0)</f>
        <v>1</v>
      </c>
      <c r="AA532" s="11" t="n">
        <f aca="false">IF(Z532=1,SUMPRODUCT(($K$4:$K$703=K532)*($F$4:$F$703=F532)*($Z$4:$Z$703=1)*($B$4:$B$703&lt;&gt;B532)),0)</f>
        <v>0</v>
      </c>
      <c r="AB532" s="11" t="n">
        <f aca="false">IF(AND(Z532=1,AA532&gt;0),1+SUMPRODUCT(($K$4:$K$703=K532)*($F$4:$F$703=F532)*($Z$4:$Z$703=1)*($P$4:$P$703&gt;P532))+SUMPRODUCT(($K$4:$K$703=K532)*($F$4:$F$703=F532)*($Z$4:$Z$703=1)*($P$4:$P$703=P532)*($C$4:$C$703&lt;C532))+SUMPRODUCT(($K$4:$K$703=K532)*($F$4:$F$703=F532)*($Z$4:$Z$703=1)*($P$4:$P$703=P532)*($C$4:$C$703=C532)*($D$4:$D$703&lt;D532)),0)</f>
        <v>0</v>
      </c>
      <c r="AC532" s="11" t="n">
        <f aca="false">IF(AND(Z532=1,AA532&gt;0,AB532&gt;1),P532,0)</f>
        <v>0</v>
      </c>
    </row>
    <row r="533" customFormat="false" ht="15" hidden="false" customHeight="false" outlineLevel="0" collapsed="false">
      <c r="A533" s="4" t="s">
        <v>784</v>
      </c>
      <c r="B533" s="4" t="s">
        <v>99</v>
      </c>
      <c r="C533" s="4" t="n">
        <v>17</v>
      </c>
      <c r="D533" s="4" t="n">
        <v>530</v>
      </c>
      <c r="E533" s="4" t="s">
        <v>233</v>
      </c>
      <c r="F533" s="4" t="n">
        <v>17</v>
      </c>
      <c r="G533" s="4" t="n">
        <v>14</v>
      </c>
      <c r="H533" s="4" t="n">
        <v>841.96</v>
      </c>
      <c r="I533" s="13" t="b">
        <f aca="false">FALSE()</f>
        <v>0</v>
      </c>
      <c r="K533" s="4" t="s">
        <v>781</v>
      </c>
      <c r="L533" s="4" t="n">
        <v>89.81</v>
      </c>
      <c r="M533" s="11" t="n">
        <f aca="false">IFERROR(MATCH(Controls!$B$3&amp;"|"&amp;B533,'Scenario inputs'!$A$4:$A$213,0),0)</f>
        <v>148</v>
      </c>
      <c r="N533" s="8" t="b">
        <f aca="false">IF(M533=0,FALSE(),F533&lt;Controls!$B$12)</f>
        <v>1</v>
      </c>
      <c r="O533" s="11" t="n">
        <f aca="false">IF(N533,IF(INDEX('Scenario inputs'!$E$4:$E$213,M533)=0,1,INDEX('Scenario inputs'!$F$4:$M$213,M533,MIN(MAX(F533-G533,0),INDEX('Scenario inputs'!$E$4:$E$213,M533)-1)+1)),0)</f>
        <v>0.666667</v>
      </c>
      <c r="P533" s="11" t="n">
        <f aca="false">H533*O533</f>
        <v>561.30694732</v>
      </c>
      <c r="Q533" s="0" t="str">
        <f aca="false">IF(M533=0,"",IF(ISNUMBER(INDEX('Scenario inputs'!$N$4:$N$213,M533)),INDEX('Scenario inputs'!$N$4:$N$213,M533),""))</f>
        <v/>
      </c>
      <c r="R533" s="0" t="str">
        <f aca="false">IF(NOT(N533),"",IF(OR(E533="cash",E533="revenue"),E533,IF(E533="avoided_cost",IF(AND(I533,LEN(TRIM(J533))&gt;0),"avoided_cost_realised","avoided_cost_beside"),IF(ISNUMBER(Q533),"capacity_converted","capacity_hours"))))</f>
        <v>capacity_hours</v>
      </c>
      <c r="S533" s="11" t="n">
        <f aca="false">IF(OR(R533="",R533="capacity_hours"),0,IF(R533="capacity_converted",P533*Q533,P533))</f>
        <v>0</v>
      </c>
      <c r="T533" s="11" t="n">
        <f aca="false">IF(OR(R533="cash",R533="revenue",R533="avoided_cost_realised",R533="capacity_converted"),1,0)</f>
        <v>0</v>
      </c>
      <c r="U533" s="11" t="n">
        <f aca="false">IF(AND(N533,R533&lt;&gt;"capacity_hours",LEN(K533)&gt;0),1,0)</f>
        <v>0</v>
      </c>
      <c r="V533" s="11" t="n">
        <f aca="false">IF(U533=1,SUMPRODUCT(($K$4:$K$703=K533)*($F$4:$F$703=F533)*($U$4:$U$703=1)*($B$4:$B$703&lt;&gt;B533)),0)</f>
        <v>0</v>
      </c>
      <c r="W533" s="11" t="n">
        <f aca="false">IF(AND(U533=1,V533&gt;0),1+SUMPRODUCT(($K$4:$K$703=K533)*($F$4:$F$703=F533)*($U$4:$U$703=1)*($S$4:$S$703&gt;S533))+SUMPRODUCT(($K$4:$K$703=K533)*($F$4:$F$703=F533)*($U$4:$U$703=1)*($S$4:$S$703=S533)*($T$4:$T$703&gt;T533))+SUMPRODUCT(($K$4:$K$703=K533)*($F$4:$F$703=F533)*($U$4:$U$703=1)*($S$4:$S$703=S533)*($T$4:$T$703=T533)*($C$4:$C$703&lt;C533))+SUMPRODUCT(($K$4:$K$703=K533)*($F$4:$F$703=F533)*($U$4:$U$703=1)*($S$4:$S$703=S533)*($T$4:$T$703=T533)*($C$4:$C$703=C533)*($D$4:$D$703&lt;D533)),0)</f>
        <v>0</v>
      </c>
      <c r="X533" s="11" t="n">
        <f aca="false">IF(AND(U533=1,V533&gt;0,W533&gt;1),S533,0)</f>
        <v>0</v>
      </c>
      <c r="Y533" s="11" t="n">
        <f aca="false">IF(T533=1,X533/(1+Controls!$B$11)^F533,0)</f>
        <v>0</v>
      </c>
      <c r="Z533" s="11" t="n">
        <f aca="false">IF(AND(N533,E533="capacity",LEN(K533)&gt;0),1,0)</f>
        <v>1</v>
      </c>
      <c r="AA533" s="11" t="n">
        <f aca="false">IF(Z533=1,SUMPRODUCT(($K$4:$K$703=K533)*($F$4:$F$703=F533)*($Z$4:$Z$703=1)*($B$4:$B$703&lt;&gt;B533)),0)</f>
        <v>0</v>
      </c>
      <c r="AB533" s="11" t="n">
        <f aca="false">IF(AND(Z533=1,AA533&gt;0),1+SUMPRODUCT(($K$4:$K$703=K533)*($F$4:$F$703=F533)*($Z$4:$Z$703=1)*($P$4:$P$703&gt;P533))+SUMPRODUCT(($K$4:$K$703=K533)*($F$4:$F$703=F533)*($Z$4:$Z$703=1)*($P$4:$P$703=P533)*($C$4:$C$703&lt;C533))+SUMPRODUCT(($K$4:$K$703=K533)*($F$4:$F$703=F533)*($Z$4:$Z$703=1)*($P$4:$P$703=P533)*($C$4:$C$703=C533)*($D$4:$D$703&lt;D533)),0)</f>
        <v>0</v>
      </c>
      <c r="AC533" s="11" t="n">
        <f aca="false">IF(AND(Z533=1,AA533&gt;0,AB533&gt;1),P533,0)</f>
        <v>0</v>
      </c>
    </row>
    <row r="534" customFormat="false" ht="15" hidden="false" customHeight="false" outlineLevel="0" collapsed="false">
      <c r="A534" s="4" t="s">
        <v>785</v>
      </c>
      <c r="B534" s="4" t="s">
        <v>99</v>
      </c>
      <c r="C534" s="4" t="n">
        <v>17</v>
      </c>
      <c r="D534" s="4" t="n">
        <v>531</v>
      </c>
      <c r="E534" s="4" t="s">
        <v>233</v>
      </c>
      <c r="F534" s="4" t="n">
        <v>18</v>
      </c>
      <c r="G534" s="4" t="n">
        <v>14</v>
      </c>
      <c r="H534" s="4" t="n">
        <v>841.96</v>
      </c>
      <c r="I534" s="13" t="b">
        <f aca="false">FALSE()</f>
        <v>0</v>
      </c>
      <c r="K534" s="4" t="s">
        <v>781</v>
      </c>
      <c r="L534" s="4" t="n">
        <v>134.71</v>
      </c>
      <c r="M534" s="11" t="n">
        <f aca="false">IFERROR(MATCH(Controls!$B$3&amp;"|"&amp;B534,'Scenario inputs'!$A$4:$A$213,0),0)</f>
        <v>148</v>
      </c>
      <c r="N534" s="8" t="b">
        <f aca="false">IF(M534=0,FALSE(),F534&lt;Controls!$B$12)</f>
        <v>1</v>
      </c>
      <c r="O534" s="11" t="n">
        <f aca="false">IF(N534,IF(INDEX('Scenario inputs'!$E$4:$E$213,M534)=0,1,INDEX('Scenario inputs'!$F$4:$M$213,M534,MIN(MAX(F534-G534,0),INDEX('Scenario inputs'!$E$4:$E$213,M534)-1)+1)),0)</f>
        <v>1</v>
      </c>
      <c r="P534" s="11" t="n">
        <f aca="false">H534*O534</f>
        <v>841.96</v>
      </c>
      <c r="Q534" s="0" t="str">
        <f aca="false">IF(M534=0,"",IF(ISNUMBER(INDEX('Scenario inputs'!$N$4:$N$213,M534)),INDEX('Scenario inputs'!$N$4:$N$213,M534),""))</f>
        <v/>
      </c>
      <c r="R534" s="0" t="str">
        <f aca="false">IF(NOT(N534),"",IF(OR(E534="cash",E534="revenue"),E534,IF(E534="avoided_cost",IF(AND(I534,LEN(TRIM(J534))&gt;0),"avoided_cost_realised","avoided_cost_beside"),IF(ISNUMBER(Q534),"capacity_converted","capacity_hours"))))</f>
        <v>capacity_hours</v>
      </c>
      <c r="S534" s="11" t="n">
        <f aca="false">IF(OR(R534="",R534="capacity_hours"),0,IF(R534="capacity_converted",P534*Q534,P534))</f>
        <v>0</v>
      </c>
      <c r="T534" s="11" t="n">
        <f aca="false">IF(OR(R534="cash",R534="revenue",R534="avoided_cost_realised",R534="capacity_converted"),1,0)</f>
        <v>0</v>
      </c>
      <c r="U534" s="11" t="n">
        <f aca="false">IF(AND(N534,R534&lt;&gt;"capacity_hours",LEN(K534)&gt;0),1,0)</f>
        <v>0</v>
      </c>
      <c r="V534" s="11" t="n">
        <f aca="false">IF(U534=1,SUMPRODUCT(($K$4:$K$703=K534)*($F$4:$F$703=F534)*($U$4:$U$703=1)*($B$4:$B$703&lt;&gt;B534)),0)</f>
        <v>0</v>
      </c>
      <c r="W534" s="11" t="n">
        <f aca="false">IF(AND(U534=1,V534&gt;0),1+SUMPRODUCT(($K$4:$K$703=K534)*($F$4:$F$703=F534)*($U$4:$U$703=1)*($S$4:$S$703&gt;S534))+SUMPRODUCT(($K$4:$K$703=K534)*($F$4:$F$703=F534)*($U$4:$U$703=1)*($S$4:$S$703=S534)*($T$4:$T$703&gt;T534))+SUMPRODUCT(($K$4:$K$703=K534)*($F$4:$F$703=F534)*($U$4:$U$703=1)*($S$4:$S$703=S534)*($T$4:$T$703=T534)*($C$4:$C$703&lt;C534))+SUMPRODUCT(($K$4:$K$703=K534)*($F$4:$F$703=F534)*($U$4:$U$703=1)*($S$4:$S$703=S534)*($T$4:$T$703=T534)*($C$4:$C$703=C534)*($D$4:$D$703&lt;D534)),0)</f>
        <v>0</v>
      </c>
      <c r="X534" s="11" t="n">
        <f aca="false">IF(AND(U534=1,V534&gt;0,W534&gt;1),S534,0)</f>
        <v>0</v>
      </c>
      <c r="Y534" s="11" t="n">
        <f aca="false">IF(T534=1,X534/(1+Controls!$B$11)^F534,0)</f>
        <v>0</v>
      </c>
      <c r="Z534" s="11" t="n">
        <f aca="false">IF(AND(N534,E534="capacity",LEN(K534)&gt;0),1,0)</f>
        <v>1</v>
      </c>
      <c r="AA534" s="11" t="n">
        <f aca="false">IF(Z534=1,SUMPRODUCT(($K$4:$K$703=K534)*($F$4:$F$703=F534)*($Z$4:$Z$703=1)*($B$4:$B$703&lt;&gt;B534)),0)</f>
        <v>0</v>
      </c>
      <c r="AB534" s="11" t="n">
        <f aca="false">IF(AND(Z534=1,AA534&gt;0),1+SUMPRODUCT(($K$4:$K$703=K534)*($F$4:$F$703=F534)*($Z$4:$Z$703=1)*($P$4:$P$703&gt;P534))+SUMPRODUCT(($K$4:$K$703=K534)*($F$4:$F$703=F534)*($Z$4:$Z$703=1)*($P$4:$P$703=P534)*($C$4:$C$703&lt;C534))+SUMPRODUCT(($K$4:$K$703=K534)*($F$4:$F$703=F534)*($Z$4:$Z$703=1)*($P$4:$P$703=P534)*($C$4:$C$703=C534)*($D$4:$D$703&lt;D534)),0)</f>
        <v>0</v>
      </c>
      <c r="AC534" s="11" t="n">
        <f aca="false">IF(AND(Z534=1,AA534&gt;0,AB534&gt;1),P534,0)</f>
        <v>0</v>
      </c>
    </row>
    <row r="535" customFormat="false" ht="15" hidden="false" customHeight="false" outlineLevel="0" collapsed="false">
      <c r="A535" s="4" t="s">
        <v>786</v>
      </c>
      <c r="B535" s="4" t="s">
        <v>99</v>
      </c>
      <c r="C535" s="4" t="n">
        <v>17</v>
      </c>
      <c r="D535" s="4" t="n">
        <v>532</v>
      </c>
      <c r="E535" s="4" t="s">
        <v>233</v>
      </c>
      <c r="F535" s="4" t="n">
        <v>19</v>
      </c>
      <c r="G535" s="4" t="n">
        <v>14</v>
      </c>
      <c r="H535" s="4" t="n">
        <v>841.96</v>
      </c>
      <c r="I535" s="13" t="b">
        <f aca="false">FALSE()</f>
        <v>0</v>
      </c>
      <c r="K535" s="4" t="s">
        <v>781</v>
      </c>
      <c r="L535" s="4" t="n">
        <v>134.71</v>
      </c>
      <c r="M535" s="11" t="n">
        <f aca="false">IFERROR(MATCH(Controls!$B$3&amp;"|"&amp;B535,'Scenario inputs'!$A$4:$A$213,0),0)</f>
        <v>148</v>
      </c>
      <c r="N535" s="8" t="b">
        <f aca="false">IF(M535=0,FALSE(),F535&lt;Controls!$B$12)</f>
        <v>1</v>
      </c>
      <c r="O535" s="11" t="n">
        <f aca="false">IF(N535,IF(INDEX('Scenario inputs'!$E$4:$E$213,M535)=0,1,INDEX('Scenario inputs'!$F$4:$M$213,M535,MIN(MAX(F535-G535,0),INDEX('Scenario inputs'!$E$4:$E$213,M535)-1)+1)),0)</f>
        <v>1</v>
      </c>
      <c r="P535" s="11" t="n">
        <f aca="false">H535*O535</f>
        <v>841.96</v>
      </c>
      <c r="Q535" s="0" t="str">
        <f aca="false">IF(M535=0,"",IF(ISNUMBER(INDEX('Scenario inputs'!$N$4:$N$213,M535)),INDEX('Scenario inputs'!$N$4:$N$213,M535),""))</f>
        <v/>
      </c>
      <c r="R535" s="0" t="str">
        <f aca="false">IF(NOT(N535),"",IF(OR(E535="cash",E535="revenue"),E535,IF(E535="avoided_cost",IF(AND(I535,LEN(TRIM(J535))&gt;0),"avoided_cost_realised","avoided_cost_beside"),IF(ISNUMBER(Q535),"capacity_converted","capacity_hours"))))</f>
        <v>capacity_hours</v>
      </c>
      <c r="S535" s="11" t="n">
        <f aca="false">IF(OR(R535="",R535="capacity_hours"),0,IF(R535="capacity_converted",P535*Q535,P535))</f>
        <v>0</v>
      </c>
      <c r="T535" s="11" t="n">
        <f aca="false">IF(OR(R535="cash",R535="revenue",R535="avoided_cost_realised",R535="capacity_converted"),1,0)</f>
        <v>0</v>
      </c>
      <c r="U535" s="11" t="n">
        <f aca="false">IF(AND(N535,R535&lt;&gt;"capacity_hours",LEN(K535)&gt;0),1,0)</f>
        <v>0</v>
      </c>
      <c r="V535" s="11" t="n">
        <f aca="false">IF(U535=1,SUMPRODUCT(($K$4:$K$703=K535)*($F$4:$F$703=F535)*($U$4:$U$703=1)*($B$4:$B$703&lt;&gt;B535)),0)</f>
        <v>0</v>
      </c>
      <c r="W535" s="11" t="n">
        <f aca="false">IF(AND(U535=1,V535&gt;0),1+SUMPRODUCT(($K$4:$K$703=K535)*($F$4:$F$703=F535)*($U$4:$U$703=1)*($S$4:$S$703&gt;S535))+SUMPRODUCT(($K$4:$K$703=K535)*($F$4:$F$703=F535)*($U$4:$U$703=1)*($S$4:$S$703=S535)*($T$4:$T$703&gt;T535))+SUMPRODUCT(($K$4:$K$703=K535)*($F$4:$F$703=F535)*($U$4:$U$703=1)*($S$4:$S$703=S535)*($T$4:$T$703=T535)*($C$4:$C$703&lt;C535))+SUMPRODUCT(($K$4:$K$703=K535)*($F$4:$F$703=F535)*($U$4:$U$703=1)*($S$4:$S$703=S535)*($T$4:$T$703=T535)*($C$4:$C$703=C535)*($D$4:$D$703&lt;D535)),0)</f>
        <v>0</v>
      </c>
      <c r="X535" s="11" t="n">
        <f aca="false">IF(AND(U535=1,V535&gt;0,W535&gt;1),S535,0)</f>
        <v>0</v>
      </c>
      <c r="Y535" s="11" t="n">
        <f aca="false">IF(T535=1,X535/(1+Controls!$B$11)^F535,0)</f>
        <v>0</v>
      </c>
      <c r="Z535" s="11" t="n">
        <f aca="false">IF(AND(N535,E535="capacity",LEN(K535)&gt;0),1,0)</f>
        <v>1</v>
      </c>
      <c r="AA535" s="11" t="n">
        <f aca="false">IF(Z535=1,SUMPRODUCT(($K$4:$K$703=K535)*($F$4:$F$703=F535)*($Z$4:$Z$703=1)*($B$4:$B$703&lt;&gt;B535)),0)</f>
        <v>0</v>
      </c>
      <c r="AB535" s="11" t="n">
        <f aca="false">IF(AND(Z535=1,AA535&gt;0),1+SUMPRODUCT(($K$4:$K$703=K535)*($F$4:$F$703=F535)*($Z$4:$Z$703=1)*($P$4:$P$703&gt;P535))+SUMPRODUCT(($K$4:$K$703=K535)*($F$4:$F$703=F535)*($Z$4:$Z$703=1)*($P$4:$P$703=P535)*($C$4:$C$703&lt;C535))+SUMPRODUCT(($K$4:$K$703=K535)*($F$4:$F$703=F535)*($Z$4:$Z$703=1)*($P$4:$P$703=P535)*($C$4:$C$703=C535)*($D$4:$D$703&lt;D535)),0)</f>
        <v>0</v>
      </c>
      <c r="AC535" s="11" t="n">
        <f aca="false">IF(AND(Z535=1,AA535&gt;0,AB535&gt;1),P535,0)</f>
        <v>0</v>
      </c>
    </row>
    <row r="536" customFormat="false" ht="15" hidden="false" customHeight="false" outlineLevel="0" collapsed="false">
      <c r="A536" s="4" t="s">
        <v>787</v>
      </c>
      <c r="B536" s="4" t="s">
        <v>99</v>
      </c>
      <c r="C536" s="4" t="n">
        <v>17</v>
      </c>
      <c r="D536" s="4" t="n">
        <v>533</v>
      </c>
      <c r="E536" s="4" t="s">
        <v>233</v>
      </c>
      <c r="F536" s="4" t="n">
        <v>20</v>
      </c>
      <c r="G536" s="4" t="n">
        <v>14</v>
      </c>
      <c r="H536" s="4" t="n">
        <v>841.96</v>
      </c>
      <c r="I536" s="13" t="b">
        <f aca="false">FALSE()</f>
        <v>0</v>
      </c>
      <c r="K536" s="4" t="s">
        <v>781</v>
      </c>
      <c r="L536" s="4" t="n">
        <v>134.71</v>
      </c>
      <c r="M536" s="11" t="n">
        <f aca="false">IFERROR(MATCH(Controls!$B$3&amp;"|"&amp;B536,'Scenario inputs'!$A$4:$A$213,0),0)</f>
        <v>148</v>
      </c>
      <c r="N536" s="8" t="b">
        <f aca="false">IF(M536=0,FALSE(),F536&lt;Controls!$B$12)</f>
        <v>1</v>
      </c>
      <c r="O536" s="11" t="n">
        <f aca="false">IF(N536,IF(INDEX('Scenario inputs'!$E$4:$E$213,M536)=0,1,INDEX('Scenario inputs'!$F$4:$M$213,M536,MIN(MAX(F536-G536,0),INDEX('Scenario inputs'!$E$4:$E$213,M536)-1)+1)),0)</f>
        <v>1</v>
      </c>
      <c r="P536" s="11" t="n">
        <f aca="false">H536*O536</f>
        <v>841.96</v>
      </c>
      <c r="Q536" s="0" t="str">
        <f aca="false">IF(M536=0,"",IF(ISNUMBER(INDEX('Scenario inputs'!$N$4:$N$213,M536)),INDEX('Scenario inputs'!$N$4:$N$213,M536),""))</f>
        <v/>
      </c>
      <c r="R536" s="0" t="str">
        <f aca="false">IF(NOT(N536),"",IF(OR(E536="cash",E536="revenue"),E536,IF(E536="avoided_cost",IF(AND(I536,LEN(TRIM(J536))&gt;0),"avoided_cost_realised","avoided_cost_beside"),IF(ISNUMBER(Q536),"capacity_converted","capacity_hours"))))</f>
        <v>capacity_hours</v>
      </c>
      <c r="S536" s="11" t="n">
        <f aca="false">IF(OR(R536="",R536="capacity_hours"),0,IF(R536="capacity_converted",P536*Q536,P536))</f>
        <v>0</v>
      </c>
      <c r="T536" s="11" t="n">
        <f aca="false">IF(OR(R536="cash",R536="revenue",R536="avoided_cost_realised",R536="capacity_converted"),1,0)</f>
        <v>0</v>
      </c>
      <c r="U536" s="11" t="n">
        <f aca="false">IF(AND(N536,R536&lt;&gt;"capacity_hours",LEN(K536)&gt;0),1,0)</f>
        <v>0</v>
      </c>
      <c r="V536" s="11" t="n">
        <f aca="false">IF(U536=1,SUMPRODUCT(($K$4:$K$703=K536)*($F$4:$F$703=F536)*($U$4:$U$703=1)*($B$4:$B$703&lt;&gt;B536)),0)</f>
        <v>0</v>
      </c>
      <c r="W536" s="11" t="n">
        <f aca="false">IF(AND(U536=1,V536&gt;0),1+SUMPRODUCT(($K$4:$K$703=K536)*($F$4:$F$703=F536)*($U$4:$U$703=1)*($S$4:$S$703&gt;S536))+SUMPRODUCT(($K$4:$K$703=K536)*($F$4:$F$703=F536)*($U$4:$U$703=1)*($S$4:$S$703=S536)*($T$4:$T$703&gt;T536))+SUMPRODUCT(($K$4:$K$703=K536)*($F$4:$F$703=F536)*($U$4:$U$703=1)*($S$4:$S$703=S536)*($T$4:$T$703=T536)*($C$4:$C$703&lt;C536))+SUMPRODUCT(($K$4:$K$703=K536)*($F$4:$F$703=F536)*($U$4:$U$703=1)*($S$4:$S$703=S536)*($T$4:$T$703=T536)*($C$4:$C$703=C536)*($D$4:$D$703&lt;D536)),0)</f>
        <v>0</v>
      </c>
      <c r="X536" s="11" t="n">
        <f aca="false">IF(AND(U536=1,V536&gt;0,W536&gt;1),S536,0)</f>
        <v>0</v>
      </c>
      <c r="Y536" s="11" t="n">
        <f aca="false">IF(T536=1,X536/(1+Controls!$B$11)^F536,0)</f>
        <v>0</v>
      </c>
      <c r="Z536" s="11" t="n">
        <f aca="false">IF(AND(N536,E536="capacity",LEN(K536)&gt;0),1,0)</f>
        <v>1</v>
      </c>
      <c r="AA536" s="11" t="n">
        <f aca="false">IF(Z536=1,SUMPRODUCT(($K$4:$K$703=K536)*($F$4:$F$703=F536)*($Z$4:$Z$703=1)*($B$4:$B$703&lt;&gt;B536)),0)</f>
        <v>0</v>
      </c>
      <c r="AB536" s="11" t="n">
        <f aca="false">IF(AND(Z536=1,AA536&gt;0),1+SUMPRODUCT(($K$4:$K$703=K536)*($F$4:$F$703=F536)*($Z$4:$Z$703=1)*($P$4:$P$703&gt;P536))+SUMPRODUCT(($K$4:$K$703=K536)*($F$4:$F$703=F536)*($Z$4:$Z$703=1)*($P$4:$P$703=P536)*($C$4:$C$703&lt;C536))+SUMPRODUCT(($K$4:$K$703=K536)*($F$4:$F$703=F536)*($Z$4:$Z$703=1)*($P$4:$P$703=P536)*($C$4:$C$703=C536)*($D$4:$D$703&lt;D536)),0)</f>
        <v>0</v>
      </c>
      <c r="AC536" s="11" t="n">
        <f aca="false">IF(AND(Z536=1,AA536&gt;0,AB536&gt;1),P536,0)</f>
        <v>0</v>
      </c>
    </row>
    <row r="537" customFormat="false" ht="15" hidden="false" customHeight="false" outlineLevel="0" collapsed="false">
      <c r="A537" s="4" t="s">
        <v>788</v>
      </c>
      <c r="B537" s="4" t="s">
        <v>99</v>
      </c>
      <c r="C537" s="4" t="n">
        <v>17</v>
      </c>
      <c r="D537" s="4" t="n">
        <v>534</v>
      </c>
      <c r="E537" s="4" t="s">
        <v>233</v>
      </c>
      <c r="F537" s="4" t="n">
        <v>21</v>
      </c>
      <c r="G537" s="4" t="n">
        <v>14</v>
      </c>
      <c r="H537" s="4" t="n">
        <v>841.96</v>
      </c>
      <c r="I537" s="13" t="b">
        <f aca="false">FALSE()</f>
        <v>0</v>
      </c>
      <c r="K537" s="4" t="s">
        <v>781</v>
      </c>
      <c r="L537" s="4" t="n">
        <v>134.71</v>
      </c>
      <c r="M537" s="11" t="n">
        <f aca="false">IFERROR(MATCH(Controls!$B$3&amp;"|"&amp;B537,'Scenario inputs'!$A$4:$A$213,0),0)</f>
        <v>148</v>
      </c>
      <c r="N537" s="8" t="b">
        <f aca="false">IF(M537=0,FALSE(),F537&lt;Controls!$B$12)</f>
        <v>1</v>
      </c>
      <c r="O537" s="11" t="n">
        <f aca="false">IF(N537,IF(INDEX('Scenario inputs'!$E$4:$E$213,M537)=0,1,INDEX('Scenario inputs'!$F$4:$M$213,M537,MIN(MAX(F537-G537,0),INDEX('Scenario inputs'!$E$4:$E$213,M537)-1)+1)),0)</f>
        <v>1</v>
      </c>
      <c r="P537" s="11" t="n">
        <f aca="false">H537*O537</f>
        <v>841.96</v>
      </c>
      <c r="Q537" s="0" t="str">
        <f aca="false">IF(M537=0,"",IF(ISNUMBER(INDEX('Scenario inputs'!$N$4:$N$213,M537)),INDEX('Scenario inputs'!$N$4:$N$213,M537),""))</f>
        <v/>
      </c>
      <c r="R537" s="0" t="str">
        <f aca="false">IF(NOT(N537),"",IF(OR(E537="cash",E537="revenue"),E537,IF(E537="avoided_cost",IF(AND(I537,LEN(TRIM(J537))&gt;0),"avoided_cost_realised","avoided_cost_beside"),IF(ISNUMBER(Q537),"capacity_converted","capacity_hours"))))</f>
        <v>capacity_hours</v>
      </c>
      <c r="S537" s="11" t="n">
        <f aca="false">IF(OR(R537="",R537="capacity_hours"),0,IF(R537="capacity_converted",P537*Q537,P537))</f>
        <v>0</v>
      </c>
      <c r="T537" s="11" t="n">
        <f aca="false">IF(OR(R537="cash",R537="revenue",R537="avoided_cost_realised",R537="capacity_converted"),1,0)</f>
        <v>0</v>
      </c>
      <c r="U537" s="11" t="n">
        <f aca="false">IF(AND(N537,R537&lt;&gt;"capacity_hours",LEN(K537)&gt;0),1,0)</f>
        <v>0</v>
      </c>
      <c r="V537" s="11" t="n">
        <f aca="false">IF(U537=1,SUMPRODUCT(($K$4:$K$703=K537)*($F$4:$F$703=F537)*($U$4:$U$703=1)*($B$4:$B$703&lt;&gt;B537)),0)</f>
        <v>0</v>
      </c>
      <c r="W537" s="11" t="n">
        <f aca="false">IF(AND(U537=1,V537&gt;0),1+SUMPRODUCT(($K$4:$K$703=K537)*($F$4:$F$703=F537)*($U$4:$U$703=1)*($S$4:$S$703&gt;S537))+SUMPRODUCT(($K$4:$K$703=K537)*($F$4:$F$703=F537)*($U$4:$U$703=1)*($S$4:$S$703=S537)*($T$4:$T$703&gt;T537))+SUMPRODUCT(($K$4:$K$703=K537)*($F$4:$F$703=F537)*($U$4:$U$703=1)*($S$4:$S$703=S537)*($T$4:$T$703=T537)*($C$4:$C$703&lt;C537))+SUMPRODUCT(($K$4:$K$703=K537)*($F$4:$F$703=F537)*($U$4:$U$703=1)*($S$4:$S$703=S537)*($T$4:$T$703=T537)*($C$4:$C$703=C537)*($D$4:$D$703&lt;D537)),0)</f>
        <v>0</v>
      </c>
      <c r="X537" s="11" t="n">
        <f aca="false">IF(AND(U537=1,V537&gt;0,W537&gt;1),S537,0)</f>
        <v>0</v>
      </c>
      <c r="Y537" s="11" t="n">
        <f aca="false">IF(T537=1,X537/(1+Controls!$B$11)^F537,0)</f>
        <v>0</v>
      </c>
      <c r="Z537" s="11" t="n">
        <f aca="false">IF(AND(N537,E537="capacity",LEN(K537)&gt;0),1,0)</f>
        <v>1</v>
      </c>
      <c r="AA537" s="11" t="n">
        <f aca="false">IF(Z537=1,SUMPRODUCT(($K$4:$K$703=K537)*($F$4:$F$703=F537)*($Z$4:$Z$703=1)*($B$4:$B$703&lt;&gt;B537)),0)</f>
        <v>0</v>
      </c>
      <c r="AB537" s="11" t="n">
        <f aca="false">IF(AND(Z537=1,AA537&gt;0),1+SUMPRODUCT(($K$4:$K$703=K537)*($F$4:$F$703=F537)*($Z$4:$Z$703=1)*($P$4:$P$703&gt;P537))+SUMPRODUCT(($K$4:$K$703=K537)*($F$4:$F$703=F537)*($Z$4:$Z$703=1)*($P$4:$P$703=P537)*($C$4:$C$703&lt;C537))+SUMPRODUCT(($K$4:$K$703=K537)*($F$4:$F$703=F537)*($Z$4:$Z$703=1)*($P$4:$P$703=P537)*($C$4:$C$703=C537)*($D$4:$D$703&lt;D537)),0)</f>
        <v>0</v>
      </c>
      <c r="AC537" s="11" t="n">
        <f aca="false">IF(AND(Z537=1,AA537&gt;0,AB537&gt;1),P537,0)</f>
        <v>0</v>
      </c>
    </row>
    <row r="538" customFormat="false" ht="15" hidden="false" customHeight="false" outlineLevel="0" collapsed="false">
      <c r="A538" s="4" t="s">
        <v>789</v>
      </c>
      <c r="B538" s="4" t="s">
        <v>99</v>
      </c>
      <c r="C538" s="4" t="n">
        <v>17</v>
      </c>
      <c r="D538" s="4" t="n">
        <v>535</v>
      </c>
      <c r="E538" s="4" t="s">
        <v>233</v>
      </c>
      <c r="F538" s="4" t="n">
        <v>22</v>
      </c>
      <c r="G538" s="4" t="n">
        <v>14</v>
      </c>
      <c r="H538" s="4" t="n">
        <v>841.96</v>
      </c>
      <c r="I538" s="13" t="b">
        <f aca="false">FALSE()</f>
        <v>0</v>
      </c>
      <c r="K538" s="4" t="s">
        <v>781</v>
      </c>
      <c r="L538" s="4" t="n">
        <v>134.71</v>
      </c>
      <c r="M538" s="11" t="n">
        <f aca="false">IFERROR(MATCH(Controls!$B$3&amp;"|"&amp;B538,'Scenario inputs'!$A$4:$A$213,0),0)</f>
        <v>148</v>
      </c>
      <c r="N538" s="8" t="b">
        <f aca="false">IF(M538=0,FALSE(),F538&lt;Controls!$B$12)</f>
        <v>1</v>
      </c>
      <c r="O538" s="11" t="n">
        <f aca="false">IF(N538,IF(INDEX('Scenario inputs'!$E$4:$E$213,M538)=0,1,INDEX('Scenario inputs'!$F$4:$M$213,M538,MIN(MAX(F538-G538,0),INDEX('Scenario inputs'!$E$4:$E$213,M538)-1)+1)),0)</f>
        <v>1</v>
      </c>
      <c r="P538" s="11" t="n">
        <f aca="false">H538*O538</f>
        <v>841.96</v>
      </c>
      <c r="Q538" s="0" t="str">
        <f aca="false">IF(M538=0,"",IF(ISNUMBER(INDEX('Scenario inputs'!$N$4:$N$213,M538)),INDEX('Scenario inputs'!$N$4:$N$213,M538),""))</f>
        <v/>
      </c>
      <c r="R538" s="0" t="str">
        <f aca="false">IF(NOT(N538),"",IF(OR(E538="cash",E538="revenue"),E538,IF(E538="avoided_cost",IF(AND(I538,LEN(TRIM(J538))&gt;0),"avoided_cost_realised","avoided_cost_beside"),IF(ISNUMBER(Q538),"capacity_converted","capacity_hours"))))</f>
        <v>capacity_hours</v>
      </c>
      <c r="S538" s="11" t="n">
        <f aca="false">IF(OR(R538="",R538="capacity_hours"),0,IF(R538="capacity_converted",P538*Q538,P538))</f>
        <v>0</v>
      </c>
      <c r="T538" s="11" t="n">
        <f aca="false">IF(OR(R538="cash",R538="revenue",R538="avoided_cost_realised",R538="capacity_converted"),1,0)</f>
        <v>0</v>
      </c>
      <c r="U538" s="11" t="n">
        <f aca="false">IF(AND(N538,R538&lt;&gt;"capacity_hours",LEN(K538)&gt;0),1,0)</f>
        <v>0</v>
      </c>
      <c r="V538" s="11" t="n">
        <f aca="false">IF(U538=1,SUMPRODUCT(($K$4:$K$703=K538)*($F$4:$F$703=F538)*($U$4:$U$703=1)*($B$4:$B$703&lt;&gt;B538)),0)</f>
        <v>0</v>
      </c>
      <c r="W538" s="11" t="n">
        <f aca="false">IF(AND(U538=1,V538&gt;0),1+SUMPRODUCT(($K$4:$K$703=K538)*($F$4:$F$703=F538)*($U$4:$U$703=1)*($S$4:$S$703&gt;S538))+SUMPRODUCT(($K$4:$K$703=K538)*($F$4:$F$703=F538)*($U$4:$U$703=1)*($S$4:$S$703=S538)*($T$4:$T$703&gt;T538))+SUMPRODUCT(($K$4:$K$703=K538)*($F$4:$F$703=F538)*($U$4:$U$703=1)*($S$4:$S$703=S538)*($T$4:$T$703=T538)*($C$4:$C$703&lt;C538))+SUMPRODUCT(($K$4:$K$703=K538)*($F$4:$F$703=F538)*($U$4:$U$703=1)*($S$4:$S$703=S538)*($T$4:$T$703=T538)*($C$4:$C$703=C538)*($D$4:$D$703&lt;D538)),0)</f>
        <v>0</v>
      </c>
      <c r="X538" s="11" t="n">
        <f aca="false">IF(AND(U538=1,V538&gt;0,W538&gt;1),S538,0)</f>
        <v>0</v>
      </c>
      <c r="Y538" s="11" t="n">
        <f aca="false">IF(T538=1,X538/(1+Controls!$B$11)^F538,0)</f>
        <v>0</v>
      </c>
      <c r="Z538" s="11" t="n">
        <f aca="false">IF(AND(N538,E538="capacity",LEN(K538)&gt;0),1,0)</f>
        <v>1</v>
      </c>
      <c r="AA538" s="11" t="n">
        <f aca="false">IF(Z538=1,SUMPRODUCT(($K$4:$K$703=K538)*($F$4:$F$703=F538)*($Z$4:$Z$703=1)*($B$4:$B$703&lt;&gt;B538)),0)</f>
        <v>0</v>
      </c>
      <c r="AB538" s="11" t="n">
        <f aca="false">IF(AND(Z538=1,AA538&gt;0),1+SUMPRODUCT(($K$4:$K$703=K538)*($F$4:$F$703=F538)*($Z$4:$Z$703=1)*($P$4:$P$703&gt;P538))+SUMPRODUCT(($K$4:$K$703=K538)*($F$4:$F$703=F538)*($Z$4:$Z$703=1)*($P$4:$P$703=P538)*($C$4:$C$703&lt;C538))+SUMPRODUCT(($K$4:$K$703=K538)*($F$4:$F$703=F538)*($Z$4:$Z$703=1)*($P$4:$P$703=P538)*($C$4:$C$703=C538)*($D$4:$D$703&lt;D538)),0)</f>
        <v>0</v>
      </c>
      <c r="AC538" s="11" t="n">
        <f aca="false">IF(AND(Z538=1,AA538&gt;0,AB538&gt;1),P538,0)</f>
        <v>0</v>
      </c>
    </row>
    <row r="539" customFormat="false" ht="15" hidden="false" customHeight="false" outlineLevel="0" collapsed="false">
      <c r="A539" s="4" t="s">
        <v>790</v>
      </c>
      <c r="B539" s="4" t="s">
        <v>99</v>
      </c>
      <c r="C539" s="4" t="n">
        <v>17</v>
      </c>
      <c r="D539" s="4" t="n">
        <v>536</v>
      </c>
      <c r="E539" s="4" t="s">
        <v>233</v>
      </c>
      <c r="F539" s="4" t="n">
        <v>23</v>
      </c>
      <c r="G539" s="4" t="n">
        <v>14</v>
      </c>
      <c r="H539" s="4" t="n">
        <v>841.96</v>
      </c>
      <c r="I539" s="13" t="b">
        <f aca="false">FALSE()</f>
        <v>0</v>
      </c>
      <c r="K539" s="4" t="s">
        <v>781</v>
      </c>
      <c r="L539" s="4" t="n">
        <v>134.71</v>
      </c>
      <c r="M539" s="11" t="n">
        <f aca="false">IFERROR(MATCH(Controls!$B$3&amp;"|"&amp;B539,'Scenario inputs'!$A$4:$A$213,0),0)</f>
        <v>148</v>
      </c>
      <c r="N539" s="8" t="b">
        <f aca="false">IF(M539=0,FALSE(),F539&lt;Controls!$B$12)</f>
        <v>1</v>
      </c>
      <c r="O539" s="11" t="n">
        <f aca="false">IF(N539,IF(INDEX('Scenario inputs'!$E$4:$E$213,M539)=0,1,INDEX('Scenario inputs'!$F$4:$M$213,M539,MIN(MAX(F539-G539,0),INDEX('Scenario inputs'!$E$4:$E$213,M539)-1)+1)),0)</f>
        <v>1</v>
      </c>
      <c r="P539" s="11" t="n">
        <f aca="false">H539*O539</f>
        <v>841.96</v>
      </c>
      <c r="Q539" s="0" t="str">
        <f aca="false">IF(M539=0,"",IF(ISNUMBER(INDEX('Scenario inputs'!$N$4:$N$213,M539)),INDEX('Scenario inputs'!$N$4:$N$213,M539),""))</f>
        <v/>
      </c>
      <c r="R539" s="0" t="str">
        <f aca="false">IF(NOT(N539),"",IF(OR(E539="cash",E539="revenue"),E539,IF(E539="avoided_cost",IF(AND(I539,LEN(TRIM(J539))&gt;0),"avoided_cost_realised","avoided_cost_beside"),IF(ISNUMBER(Q539),"capacity_converted","capacity_hours"))))</f>
        <v>capacity_hours</v>
      </c>
      <c r="S539" s="11" t="n">
        <f aca="false">IF(OR(R539="",R539="capacity_hours"),0,IF(R539="capacity_converted",P539*Q539,P539))</f>
        <v>0</v>
      </c>
      <c r="T539" s="11" t="n">
        <f aca="false">IF(OR(R539="cash",R539="revenue",R539="avoided_cost_realised",R539="capacity_converted"),1,0)</f>
        <v>0</v>
      </c>
      <c r="U539" s="11" t="n">
        <f aca="false">IF(AND(N539,R539&lt;&gt;"capacity_hours",LEN(K539)&gt;0),1,0)</f>
        <v>0</v>
      </c>
      <c r="V539" s="11" t="n">
        <f aca="false">IF(U539=1,SUMPRODUCT(($K$4:$K$703=K539)*($F$4:$F$703=F539)*($U$4:$U$703=1)*($B$4:$B$703&lt;&gt;B539)),0)</f>
        <v>0</v>
      </c>
      <c r="W539" s="11" t="n">
        <f aca="false">IF(AND(U539=1,V539&gt;0),1+SUMPRODUCT(($K$4:$K$703=K539)*($F$4:$F$703=F539)*($U$4:$U$703=1)*($S$4:$S$703&gt;S539))+SUMPRODUCT(($K$4:$K$703=K539)*($F$4:$F$703=F539)*($U$4:$U$703=1)*($S$4:$S$703=S539)*($T$4:$T$703&gt;T539))+SUMPRODUCT(($K$4:$K$703=K539)*($F$4:$F$703=F539)*($U$4:$U$703=1)*($S$4:$S$703=S539)*($T$4:$T$703=T539)*($C$4:$C$703&lt;C539))+SUMPRODUCT(($K$4:$K$703=K539)*($F$4:$F$703=F539)*($U$4:$U$703=1)*($S$4:$S$703=S539)*($T$4:$T$703=T539)*($C$4:$C$703=C539)*($D$4:$D$703&lt;D539)),0)</f>
        <v>0</v>
      </c>
      <c r="X539" s="11" t="n">
        <f aca="false">IF(AND(U539=1,V539&gt;0,W539&gt;1),S539,0)</f>
        <v>0</v>
      </c>
      <c r="Y539" s="11" t="n">
        <f aca="false">IF(T539=1,X539/(1+Controls!$B$11)^F539,0)</f>
        <v>0</v>
      </c>
      <c r="Z539" s="11" t="n">
        <f aca="false">IF(AND(N539,E539="capacity",LEN(K539)&gt;0),1,0)</f>
        <v>1</v>
      </c>
      <c r="AA539" s="11" t="n">
        <f aca="false">IF(Z539=1,SUMPRODUCT(($K$4:$K$703=K539)*($F$4:$F$703=F539)*($Z$4:$Z$703=1)*($B$4:$B$703&lt;&gt;B539)),0)</f>
        <v>0</v>
      </c>
      <c r="AB539" s="11" t="n">
        <f aca="false">IF(AND(Z539=1,AA539&gt;0),1+SUMPRODUCT(($K$4:$K$703=K539)*($F$4:$F$703=F539)*($Z$4:$Z$703=1)*($P$4:$P$703&gt;P539))+SUMPRODUCT(($K$4:$K$703=K539)*($F$4:$F$703=F539)*($Z$4:$Z$703=1)*($P$4:$P$703=P539)*($C$4:$C$703&lt;C539))+SUMPRODUCT(($K$4:$K$703=K539)*($F$4:$F$703=F539)*($Z$4:$Z$703=1)*($P$4:$P$703=P539)*($C$4:$C$703=C539)*($D$4:$D$703&lt;D539)),0)</f>
        <v>0</v>
      </c>
      <c r="AC539" s="11" t="n">
        <f aca="false">IF(AND(Z539=1,AA539&gt;0,AB539&gt;1),P539,0)</f>
        <v>0</v>
      </c>
    </row>
    <row r="540" customFormat="false" ht="15" hidden="false" customHeight="false" outlineLevel="0" collapsed="false">
      <c r="A540" s="4" t="s">
        <v>791</v>
      </c>
      <c r="B540" s="4" t="s">
        <v>99</v>
      </c>
      <c r="C540" s="4" t="n">
        <v>17</v>
      </c>
      <c r="D540" s="4" t="n">
        <v>537</v>
      </c>
      <c r="E540" s="4" t="s">
        <v>233</v>
      </c>
      <c r="F540" s="4" t="n">
        <v>24</v>
      </c>
      <c r="G540" s="4" t="n">
        <v>14</v>
      </c>
      <c r="H540" s="4" t="n">
        <v>841.96</v>
      </c>
      <c r="I540" s="13" t="b">
        <f aca="false">FALSE()</f>
        <v>0</v>
      </c>
      <c r="K540" s="4" t="s">
        <v>781</v>
      </c>
      <c r="L540" s="4" t="n">
        <v>134.71</v>
      </c>
      <c r="M540" s="11" t="n">
        <f aca="false">IFERROR(MATCH(Controls!$B$3&amp;"|"&amp;B540,'Scenario inputs'!$A$4:$A$213,0),0)</f>
        <v>148</v>
      </c>
      <c r="N540" s="8" t="b">
        <f aca="false">IF(M540=0,FALSE(),F540&lt;Controls!$B$12)</f>
        <v>1</v>
      </c>
      <c r="O540" s="11" t="n">
        <f aca="false">IF(N540,IF(INDEX('Scenario inputs'!$E$4:$E$213,M540)=0,1,INDEX('Scenario inputs'!$F$4:$M$213,M540,MIN(MAX(F540-G540,0),INDEX('Scenario inputs'!$E$4:$E$213,M540)-1)+1)),0)</f>
        <v>1</v>
      </c>
      <c r="P540" s="11" t="n">
        <f aca="false">H540*O540</f>
        <v>841.96</v>
      </c>
      <c r="Q540" s="0" t="str">
        <f aca="false">IF(M540=0,"",IF(ISNUMBER(INDEX('Scenario inputs'!$N$4:$N$213,M540)),INDEX('Scenario inputs'!$N$4:$N$213,M540),""))</f>
        <v/>
      </c>
      <c r="R540" s="0" t="str">
        <f aca="false">IF(NOT(N540),"",IF(OR(E540="cash",E540="revenue"),E540,IF(E540="avoided_cost",IF(AND(I540,LEN(TRIM(J540))&gt;0),"avoided_cost_realised","avoided_cost_beside"),IF(ISNUMBER(Q540),"capacity_converted","capacity_hours"))))</f>
        <v>capacity_hours</v>
      </c>
      <c r="S540" s="11" t="n">
        <f aca="false">IF(OR(R540="",R540="capacity_hours"),0,IF(R540="capacity_converted",P540*Q540,P540))</f>
        <v>0</v>
      </c>
      <c r="T540" s="11" t="n">
        <f aca="false">IF(OR(R540="cash",R540="revenue",R540="avoided_cost_realised",R540="capacity_converted"),1,0)</f>
        <v>0</v>
      </c>
      <c r="U540" s="11" t="n">
        <f aca="false">IF(AND(N540,R540&lt;&gt;"capacity_hours",LEN(K540)&gt;0),1,0)</f>
        <v>0</v>
      </c>
      <c r="V540" s="11" t="n">
        <f aca="false">IF(U540=1,SUMPRODUCT(($K$4:$K$703=K540)*($F$4:$F$703=F540)*($U$4:$U$703=1)*($B$4:$B$703&lt;&gt;B540)),0)</f>
        <v>0</v>
      </c>
      <c r="W540" s="11" t="n">
        <f aca="false">IF(AND(U540=1,V540&gt;0),1+SUMPRODUCT(($K$4:$K$703=K540)*($F$4:$F$703=F540)*($U$4:$U$703=1)*($S$4:$S$703&gt;S540))+SUMPRODUCT(($K$4:$K$703=K540)*($F$4:$F$703=F540)*($U$4:$U$703=1)*($S$4:$S$703=S540)*($T$4:$T$703&gt;T540))+SUMPRODUCT(($K$4:$K$703=K540)*($F$4:$F$703=F540)*($U$4:$U$703=1)*($S$4:$S$703=S540)*($T$4:$T$703=T540)*($C$4:$C$703&lt;C540))+SUMPRODUCT(($K$4:$K$703=K540)*($F$4:$F$703=F540)*($U$4:$U$703=1)*($S$4:$S$703=S540)*($T$4:$T$703=T540)*($C$4:$C$703=C540)*($D$4:$D$703&lt;D540)),0)</f>
        <v>0</v>
      </c>
      <c r="X540" s="11" t="n">
        <f aca="false">IF(AND(U540=1,V540&gt;0,W540&gt;1),S540,0)</f>
        <v>0</v>
      </c>
      <c r="Y540" s="11" t="n">
        <f aca="false">IF(T540=1,X540/(1+Controls!$B$11)^F540,0)</f>
        <v>0</v>
      </c>
      <c r="Z540" s="11" t="n">
        <f aca="false">IF(AND(N540,E540="capacity",LEN(K540)&gt;0),1,0)</f>
        <v>1</v>
      </c>
      <c r="AA540" s="11" t="n">
        <f aca="false">IF(Z540=1,SUMPRODUCT(($K$4:$K$703=K540)*($F$4:$F$703=F540)*($Z$4:$Z$703=1)*($B$4:$B$703&lt;&gt;B540)),0)</f>
        <v>0</v>
      </c>
      <c r="AB540" s="11" t="n">
        <f aca="false">IF(AND(Z540=1,AA540&gt;0),1+SUMPRODUCT(($K$4:$K$703=K540)*($F$4:$F$703=F540)*($Z$4:$Z$703=1)*($P$4:$P$703&gt;P540))+SUMPRODUCT(($K$4:$K$703=K540)*($F$4:$F$703=F540)*($Z$4:$Z$703=1)*($P$4:$P$703=P540)*($C$4:$C$703&lt;C540))+SUMPRODUCT(($K$4:$K$703=K540)*($F$4:$F$703=F540)*($Z$4:$Z$703=1)*($P$4:$P$703=P540)*($C$4:$C$703=C540)*($D$4:$D$703&lt;D540)),0)</f>
        <v>0</v>
      </c>
      <c r="AC540" s="11" t="n">
        <f aca="false">IF(AND(Z540=1,AA540&gt;0,AB540&gt;1),P540,0)</f>
        <v>0</v>
      </c>
    </row>
    <row r="541" customFormat="false" ht="15" hidden="false" customHeight="false" outlineLevel="0" collapsed="false">
      <c r="A541" s="4" t="s">
        <v>792</v>
      </c>
      <c r="B541" s="4" t="s">
        <v>99</v>
      </c>
      <c r="C541" s="4" t="n">
        <v>17</v>
      </c>
      <c r="D541" s="4" t="n">
        <v>538</v>
      </c>
      <c r="E541" s="4" t="s">
        <v>233</v>
      </c>
      <c r="F541" s="4" t="n">
        <v>25</v>
      </c>
      <c r="G541" s="4" t="n">
        <v>14</v>
      </c>
      <c r="H541" s="4" t="n">
        <v>841.96</v>
      </c>
      <c r="I541" s="13" t="b">
        <f aca="false">FALSE()</f>
        <v>0</v>
      </c>
      <c r="K541" s="4" t="s">
        <v>781</v>
      </c>
      <c r="L541" s="4" t="n">
        <v>134.71</v>
      </c>
      <c r="M541" s="11" t="n">
        <f aca="false">IFERROR(MATCH(Controls!$B$3&amp;"|"&amp;B541,'Scenario inputs'!$A$4:$A$213,0),0)</f>
        <v>148</v>
      </c>
      <c r="N541" s="8" t="b">
        <f aca="false">IF(M541=0,FALSE(),F541&lt;Controls!$B$12)</f>
        <v>1</v>
      </c>
      <c r="O541" s="11" t="n">
        <f aca="false">IF(N541,IF(INDEX('Scenario inputs'!$E$4:$E$213,M541)=0,1,INDEX('Scenario inputs'!$F$4:$M$213,M541,MIN(MAX(F541-G541,0),INDEX('Scenario inputs'!$E$4:$E$213,M541)-1)+1)),0)</f>
        <v>1</v>
      </c>
      <c r="P541" s="11" t="n">
        <f aca="false">H541*O541</f>
        <v>841.96</v>
      </c>
      <c r="Q541" s="0" t="str">
        <f aca="false">IF(M541=0,"",IF(ISNUMBER(INDEX('Scenario inputs'!$N$4:$N$213,M541)),INDEX('Scenario inputs'!$N$4:$N$213,M541),""))</f>
        <v/>
      </c>
      <c r="R541" s="0" t="str">
        <f aca="false">IF(NOT(N541),"",IF(OR(E541="cash",E541="revenue"),E541,IF(E541="avoided_cost",IF(AND(I541,LEN(TRIM(J541))&gt;0),"avoided_cost_realised","avoided_cost_beside"),IF(ISNUMBER(Q541),"capacity_converted","capacity_hours"))))</f>
        <v>capacity_hours</v>
      </c>
      <c r="S541" s="11" t="n">
        <f aca="false">IF(OR(R541="",R541="capacity_hours"),0,IF(R541="capacity_converted",P541*Q541,P541))</f>
        <v>0</v>
      </c>
      <c r="T541" s="11" t="n">
        <f aca="false">IF(OR(R541="cash",R541="revenue",R541="avoided_cost_realised",R541="capacity_converted"),1,0)</f>
        <v>0</v>
      </c>
      <c r="U541" s="11" t="n">
        <f aca="false">IF(AND(N541,R541&lt;&gt;"capacity_hours",LEN(K541)&gt;0),1,0)</f>
        <v>0</v>
      </c>
      <c r="V541" s="11" t="n">
        <f aca="false">IF(U541=1,SUMPRODUCT(($K$4:$K$703=K541)*($F$4:$F$703=F541)*($U$4:$U$703=1)*($B$4:$B$703&lt;&gt;B541)),0)</f>
        <v>0</v>
      </c>
      <c r="W541" s="11" t="n">
        <f aca="false">IF(AND(U541=1,V541&gt;0),1+SUMPRODUCT(($K$4:$K$703=K541)*($F$4:$F$703=F541)*($U$4:$U$703=1)*($S$4:$S$703&gt;S541))+SUMPRODUCT(($K$4:$K$703=K541)*($F$4:$F$703=F541)*($U$4:$U$703=1)*($S$4:$S$703=S541)*($T$4:$T$703&gt;T541))+SUMPRODUCT(($K$4:$K$703=K541)*($F$4:$F$703=F541)*($U$4:$U$703=1)*($S$4:$S$703=S541)*($T$4:$T$703=T541)*($C$4:$C$703&lt;C541))+SUMPRODUCT(($K$4:$K$703=K541)*($F$4:$F$703=F541)*($U$4:$U$703=1)*($S$4:$S$703=S541)*($T$4:$T$703=T541)*($C$4:$C$703=C541)*($D$4:$D$703&lt;D541)),0)</f>
        <v>0</v>
      </c>
      <c r="X541" s="11" t="n">
        <f aca="false">IF(AND(U541=1,V541&gt;0,W541&gt;1),S541,0)</f>
        <v>0</v>
      </c>
      <c r="Y541" s="11" t="n">
        <f aca="false">IF(T541=1,X541/(1+Controls!$B$11)^F541,0)</f>
        <v>0</v>
      </c>
      <c r="Z541" s="11" t="n">
        <f aca="false">IF(AND(N541,E541="capacity",LEN(K541)&gt;0),1,0)</f>
        <v>1</v>
      </c>
      <c r="AA541" s="11" t="n">
        <f aca="false">IF(Z541=1,SUMPRODUCT(($K$4:$K$703=K541)*($F$4:$F$703=F541)*($Z$4:$Z$703=1)*($B$4:$B$703&lt;&gt;B541)),0)</f>
        <v>0</v>
      </c>
      <c r="AB541" s="11" t="n">
        <f aca="false">IF(AND(Z541=1,AA541&gt;0),1+SUMPRODUCT(($K$4:$K$703=K541)*($F$4:$F$703=F541)*($Z$4:$Z$703=1)*($P$4:$P$703&gt;P541))+SUMPRODUCT(($K$4:$K$703=K541)*($F$4:$F$703=F541)*($Z$4:$Z$703=1)*($P$4:$P$703=P541)*($C$4:$C$703&lt;C541))+SUMPRODUCT(($K$4:$K$703=K541)*($F$4:$F$703=F541)*($Z$4:$Z$703=1)*($P$4:$P$703=P541)*($C$4:$C$703=C541)*($D$4:$D$703&lt;D541)),0)</f>
        <v>0</v>
      </c>
      <c r="AC541" s="11" t="n">
        <f aca="false">IF(AND(Z541=1,AA541&gt;0,AB541&gt;1),P541,0)</f>
        <v>0</v>
      </c>
    </row>
    <row r="542" customFormat="false" ht="15" hidden="false" customHeight="false" outlineLevel="0" collapsed="false">
      <c r="A542" s="4" t="s">
        <v>793</v>
      </c>
      <c r="B542" s="4" t="s">
        <v>100</v>
      </c>
      <c r="C542" s="4" t="n">
        <v>18</v>
      </c>
      <c r="D542" s="4" t="n">
        <v>539</v>
      </c>
      <c r="E542" s="4" t="s">
        <v>112</v>
      </c>
      <c r="F542" s="4" t="n">
        <v>18</v>
      </c>
      <c r="G542" s="4" t="n">
        <v>18</v>
      </c>
      <c r="H542" s="4" t="n">
        <v>80600</v>
      </c>
      <c r="I542" s="13" t="b">
        <f aca="false">FALSE()</f>
        <v>0</v>
      </c>
      <c r="K542" s="4" t="s">
        <v>794</v>
      </c>
      <c r="L542" s="4" t="n">
        <v>338.52</v>
      </c>
      <c r="M542" s="11" t="n">
        <f aca="false">IFERROR(MATCH(Controls!$B$3&amp;"|"&amp;B542,'Scenario inputs'!$A$4:$A$213,0),0)</f>
        <v>149</v>
      </c>
      <c r="N542" s="8" t="b">
        <f aca="false">IF(M542=0,FALSE(),F542&lt;Controls!$B$12)</f>
        <v>1</v>
      </c>
      <c r="O542" s="11" t="n">
        <f aca="false">IF(N542,IF(INDEX('Scenario inputs'!$E$4:$E$213,M542)=0,1,INDEX('Scenario inputs'!$F$4:$M$213,M542,MIN(MAX(F542-G542,0),INDEX('Scenario inputs'!$E$4:$E$213,M542)-1)+1)),0)</f>
        <v>0.066667</v>
      </c>
      <c r="P542" s="11" t="n">
        <f aca="false">H542*O542</f>
        <v>5373.3602</v>
      </c>
      <c r="Q542" s="0" t="str">
        <f aca="false">IF(M542=0,"",IF(ISNUMBER(INDEX('Scenario inputs'!$N$4:$N$213,M542)),INDEX('Scenario inputs'!$N$4:$N$213,M542),""))</f>
        <v/>
      </c>
      <c r="R542" s="0" t="str">
        <f aca="false">IF(NOT(N542),"",IF(OR(E542="cash",E542="revenue"),E542,IF(E542="avoided_cost",IF(AND(I542,LEN(TRIM(J542))&gt;0),"avoided_cost_realised","avoided_cost_beside"),IF(ISNUMBER(Q542),"capacity_converted","capacity_hours"))))</f>
        <v>cash</v>
      </c>
      <c r="S542" s="11" t="n">
        <f aca="false">IF(OR(R542="",R542="capacity_hours"),0,IF(R542="capacity_converted",P542*Q542,P542))</f>
        <v>5373.3602</v>
      </c>
      <c r="T542" s="11" t="n">
        <f aca="false">IF(OR(R542="cash",R542="revenue",R542="avoided_cost_realised",R542="capacity_converted"),1,0)</f>
        <v>1</v>
      </c>
      <c r="U542" s="11" t="n">
        <f aca="false">IF(AND(N542,R542&lt;&gt;"capacity_hours",LEN(K542)&gt;0),1,0)</f>
        <v>1</v>
      </c>
      <c r="V542" s="11" t="n">
        <f aca="false">IF(U542=1,SUMPRODUCT(($K$4:$K$703=K542)*($F$4:$F$703=F542)*($U$4:$U$703=1)*($B$4:$B$703&lt;&gt;B542)),0)</f>
        <v>0</v>
      </c>
      <c r="W542" s="11" t="n">
        <f aca="false">IF(AND(U542=1,V542&gt;0),1+SUMPRODUCT(($K$4:$K$703=K542)*($F$4:$F$703=F542)*($U$4:$U$703=1)*($S$4:$S$703&gt;S542))+SUMPRODUCT(($K$4:$K$703=K542)*($F$4:$F$703=F542)*($U$4:$U$703=1)*($S$4:$S$703=S542)*($T$4:$T$703&gt;T542))+SUMPRODUCT(($K$4:$K$703=K542)*($F$4:$F$703=F542)*($U$4:$U$703=1)*($S$4:$S$703=S542)*($T$4:$T$703=T542)*($C$4:$C$703&lt;C542))+SUMPRODUCT(($K$4:$K$703=K542)*($F$4:$F$703=F542)*($U$4:$U$703=1)*($S$4:$S$703=S542)*($T$4:$T$703=T542)*($C$4:$C$703=C542)*($D$4:$D$703&lt;D542)),0)</f>
        <v>0</v>
      </c>
      <c r="X542" s="11" t="n">
        <f aca="false">IF(AND(U542=1,V542&gt;0,W542&gt;1),S542,0)</f>
        <v>0</v>
      </c>
      <c r="Y542" s="11" t="n">
        <f aca="false">IF(T542=1,X542/(1+Controls!$B$11)^F542,0)</f>
        <v>0</v>
      </c>
      <c r="Z542" s="11" t="n">
        <f aca="false">IF(AND(N542,E542="capacity",LEN(K542)&gt;0),1,0)</f>
        <v>0</v>
      </c>
      <c r="AA542" s="11" t="n">
        <f aca="false">IF(Z542=1,SUMPRODUCT(($K$4:$K$703=K542)*($F$4:$F$703=F542)*($Z$4:$Z$703=1)*($B$4:$B$703&lt;&gt;B542)),0)</f>
        <v>0</v>
      </c>
      <c r="AB542" s="11" t="n">
        <f aca="false">IF(AND(Z542=1,AA542&gt;0),1+SUMPRODUCT(($K$4:$K$703=K542)*($F$4:$F$703=F542)*($Z$4:$Z$703=1)*($P$4:$P$703&gt;P542))+SUMPRODUCT(($K$4:$K$703=K542)*($F$4:$F$703=F542)*($Z$4:$Z$703=1)*($P$4:$P$703=P542)*($C$4:$C$703&lt;C542))+SUMPRODUCT(($K$4:$K$703=K542)*($F$4:$F$703=F542)*($Z$4:$Z$703=1)*($P$4:$P$703=P542)*($C$4:$C$703=C542)*($D$4:$D$703&lt;D542)),0)</f>
        <v>0</v>
      </c>
      <c r="AC542" s="11" t="n">
        <f aca="false">IF(AND(Z542=1,AA542&gt;0,AB542&gt;1),P542,0)</f>
        <v>0</v>
      </c>
    </row>
    <row r="543" customFormat="false" ht="15" hidden="false" customHeight="false" outlineLevel="0" collapsed="false">
      <c r="A543" s="4" t="s">
        <v>795</v>
      </c>
      <c r="B543" s="4" t="s">
        <v>100</v>
      </c>
      <c r="C543" s="4" t="n">
        <v>18</v>
      </c>
      <c r="D543" s="4" t="n">
        <v>540</v>
      </c>
      <c r="E543" s="4" t="s">
        <v>112</v>
      </c>
      <c r="F543" s="4" t="n">
        <v>19</v>
      </c>
      <c r="G543" s="4" t="n">
        <v>18</v>
      </c>
      <c r="H543" s="4" t="n">
        <v>80600</v>
      </c>
      <c r="I543" s="13" t="b">
        <f aca="false">FALSE()</f>
        <v>0</v>
      </c>
      <c r="K543" s="4" t="s">
        <v>794</v>
      </c>
      <c r="L543" s="4" t="n">
        <v>1015.56</v>
      </c>
      <c r="M543" s="11" t="n">
        <f aca="false">IFERROR(MATCH(Controls!$B$3&amp;"|"&amp;B543,'Scenario inputs'!$A$4:$A$213,0),0)</f>
        <v>149</v>
      </c>
      <c r="N543" s="8" t="b">
        <f aca="false">IF(M543=0,FALSE(),F543&lt;Controls!$B$12)</f>
        <v>1</v>
      </c>
      <c r="O543" s="11" t="n">
        <f aca="false">IF(N543,IF(INDEX('Scenario inputs'!$E$4:$E$213,M543)=0,1,INDEX('Scenario inputs'!$F$4:$M$213,M543,MIN(MAX(F543-G543,0),INDEX('Scenario inputs'!$E$4:$E$213,M543)-1)+1)),0)</f>
        <v>0.2</v>
      </c>
      <c r="P543" s="11" t="n">
        <f aca="false">H543*O543</f>
        <v>16120</v>
      </c>
      <c r="Q543" s="0" t="str">
        <f aca="false">IF(M543=0,"",IF(ISNUMBER(INDEX('Scenario inputs'!$N$4:$N$213,M543)),INDEX('Scenario inputs'!$N$4:$N$213,M543),""))</f>
        <v/>
      </c>
      <c r="R543" s="0" t="str">
        <f aca="false">IF(NOT(N543),"",IF(OR(E543="cash",E543="revenue"),E543,IF(E543="avoided_cost",IF(AND(I543,LEN(TRIM(J543))&gt;0),"avoided_cost_realised","avoided_cost_beside"),IF(ISNUMBER(Q543),"capacity_converted","capacity_hours"))))</f>
        <v>cash</v>
      </c>
      <c r="S543" s="11" t="n">
        <f aca="false">IF(OR(R543="",R543="capacity_hours"),0,IF(R543="capacity_converted",P543*Q543,P543))</f>
        <v>16120</v>
      </c>
      <c r="T543" s="11" t="n">
        <f aca="false">IF(OR(R543="cash",R543="revenue",R543="avoided_cost_realised",R543="capacity_converted"),1,0)</f>
        <v>1</v>
      </c>
      <c r="U543" s="11" t="n">
        <f aca="false">IF(AND(N543,R543&lt;&gt;"capacity_hours",LEN(K543)&gt;0),1,0)</f>
        <v>1</v>
      </c>
      <c r="V543" s="11" t="n">
        <f aca="false">IF(U543=1,SUMPRODUCT(($K$4:$K$703=K543)*($F$4:$F$703=F543)*($U$4:$U$703=1)*($B$4:$B$703&lt;&gt;B543)),0)</f>
        <v>0</v>
      </c>
      <c r="W543" s="11" t="n">
        <f aca="false">IF(AND(U543=1,V543&gt;0),1+SUMPRODUCT(($K$4:$K$703=K543)*($F$4:$F$703=F543)*($U$4:$U$703=1)*($S$4:$S$703&gt;S543))+SUMPRODUCT(($K$4:$K$703=K543)*($F$4:$F$703=F543)*($U$4:$U$703=1)*($S$4:$S$703=S543)*($T$4:$T$703&gt;T543))+SUMPRODUCT(($K$4:$K$703=K543)*($F$4:$F$703=F543)*($U$4:$U$703=1)*($S$4:$S$703=S543)*($T$4:$T$703=T543)*($C$4:$C$703&lt;C543))+SUMPRODUCT(($K$4:$K$703=K543)*($F$4:$F$703=F543)*($U$4:$U$703=1)*($S$4:$S$703=S543)*($T$4:$T$703=T543)*($C$4:$C$703=C543)*($D$4:$D$703&lt;D543)),0)</f>
        <v>0</v>
      </c>
      <c r="X543" s="11" t="n">
        <f aca="false">IF(AND(U543=1,V543&gt;0,W543&gt;1),S543,0)</f>
        <v>0</v>
      </c>
      <c r="Y543" s="11" t="n">
        <f aca="false">IF(T543=1,X543/(1+Controls!$B$11)^F543,0)</f>
        <v>0</v>
      </c>
      <c r="Z543" s="11" t="n">
        <f aca="false">IF(AND(N543,E543="capacity",LEN(K543)&gt;0),1,0)</f>
        <v>0</v>
      </c>
      <c r="AA543" s="11" t="n">
        <f aca="false">IF(Z543=1,SUMPRODUCT(($K$4:$K$703=K543)*($F$4:$F$703=F543)*($Z$4:$Z$703=1)*($B$4:$B$703&lt;&gt;B543)),0)</f>
        <v>0</v>
      </c>
      <c r="AB543" s="11" t="n">
        <f aca="false">IF(AND(Z543=1,AA543&gt;0),1+SUMPRODUCT(($K$4:$K$703=K543)*($F$4:$F$703=F543)*($Z$4:$Z$703=1)*($P$4:$P$703&gt;P543))+SUMPRODUCT(($K$4:$K$703=K543)*($F$4:$F$703=F543)*($Z$4:$Z$703=1)*($P$4:$P$703=P543)*($C$4:$C$703&lt;C543))+SUMPRODUCT(($K$4:$K$703=K543)*($F$4:$F$703=F543)*($Z$4:$Z$703=1)*($P$4:$P$703=P543)*($C$4:$C$703=C543)*($D$4:$D$703&lt;D543)),0)</f>
        <v>0</v>
      </c>
      <c r="AC543" s="11" t="n">
        <f aca="false">IF(AND(Z543=1,AA543&gt;0,AB543&gt;1),P543,0)</f>
        <v>0</v>
      </c>
    </row>
    <row r="544" customFormat="false" ht="15" hidden="false" customHeight="false" outlineLevel="0" collapsed="false">
      <c r="A544" s="4" t="s">
        <v>796</v>
      </c>
      <c r="B544" s="4" t="s">
        <v>100</v>
      </c>
      <c r="C544" s="4" t="n">
        <v>18</v>
      </c>
      <c r="D544" s="4" t="n">
        <v>541</v>
      </c>
      <c r="E544" s="4" t="s">
        <v>112</v>
      </c>
      <c r="F544" s="4" t="n">
        <v>20</v>
      </c>
      <c r="G544" s="4" t="n">
        <v>18</v>
      </c>
      <c r="H544" s="4" t="n">
        <v>80600</v>
      </c>
      <c r="I544" s="13" t="b">
        <f aca="false">FALSE()</f>
        <v>0</v>
      </c>
      <c r="K544" s="4" t="s">
        <v>794</v>
      </c>
      <c r="L544" s="4" t="n">
        <v>2031.12</v>
      </c>
      <c r="M544" s="11" t="n">
        <f aca="false">IFERROR(MATCH(Controls!$B$3&amp;"|"&amp;B544,'Scenario inputs'!$A$4:$A$213,0),0)</f>
        <v>149</v>
      </c>
      <c r="N544" s="8" t="b">
        <f aca="false">IF(M544=0,FALSE(),F544&lt;Controls!$B$12)</f>
        <v>1</v>
      </c>
      <c r="O544" s="11" t="n">
        <f aca="false">IF(N544,IF(INDEX('Scenario inputs'!$E$4:$E$213,M544)=0,1,INDEX('Scenario inputs'!$F$4:$M$213,M544,MIN(MAX(F544-G544,0),INDEX('Scenario inputs'!$E$4:$E$213,M544)-1)+1)),0)</f>
        <v>0.4</v>
      </c>
      <c r="P544" s="11" t="n">
        <f aca="false">H544*O544</f>
        <v>32240</v>
      </c>
      <c r="Q544" s="0" t="str">
        <f aca="false">IF(M544=0,"",IF(ISNUMBER(INDEX('Scenario inputs'!$N$4:$N$213,M544)),INDEX('Scenario inputs'!$N$4:$N$213,M544),""))</f>
        <v/>
      </c>
      <c r="R544" s="0" t="str">
        <f aca="false">IF(NOT(N544),"",IF(OR(E544="cash",E544="revenue"),E544,IF(E544="avoided_cost",IF(AND(I544,LEN(TRIM(J544))&gt;0),"avoided_cost_realised","avoided_cost_beside"),IF(ISNUMBER(Q544),"capacity_converted","capacity_hours"))))</f>
        <v>cash</v>
      </c>
      <c r="S544" s="11" t="n">
        <f aca="false">IF(OR(R544="",R544="capacity_hours"),0,IF(R544="capacity_converted",P544*Q544,P544))</f>
        <v>32240</v>
      </c>
      <c r="T544" s="11" t="n">
        <f aca="false">IF(OR(R544="cash",R544="revenue",R544="avoided_cost_realised",R544="capacity_converted"),1,0)</f>
        <v>1</v>
      </c>
      <c r="U544" s="11" t="n">
        <f aca="false">IF(AND(N544,R544&lt;&gt;"capacity_hours",LEN(K544)&gt;0),1,0)</f>
        <v>1</v>
      </c>
      <c r="V544" s="11" t="n">
        <f aca="false">IF(U544=1,SUMPRODUCT(($K$4:$K$703=K544)*($F$4:$F$703=F544)*($U$4:$U$703=1)*($B$4:$B$703&lt;&gt;B544)),0)</f>
        <v>0</v>
      </c>
      <c r="W544" s="11" t="n">
        <f aca="false">IF(AND(U544=1,V544&gt;0),1+SUMPRODUCT(($K$4:$K$703=K544)*($F$4:$F$703=F544)*($U$4:$U$703=1)*($S$4:$S$703&gt;S544))+SUMPRODUCT(($K$4:$K$703=K544)*($F$4:$F$703=F544)*($U$4:$U$703=1)*($S$4:$S$703=S544)*($T$4:$T$703&gt;T544))+SUMPRODUCT(($K$4:$K$703=K544)*($F$4:$F$703=F544)*($U$4:$U$703=1)*($S$4:$S$703=S544)*($T$4:$T$703=T544)*($C$4:$C$703&lt;C544))+SUMPRODUCT(($K$4:$K$703=K544)*($F$4:$F$703=F544)*($U$4:$U$703=1)*($S$4:$S$703=S544)*($T$4:$T$703=T544)*($C$4:$C$703=C544)*($D$4:$D$703&lt;D544)),0)</f>
        <v>0</v>
      </c>
      <c r="X544" s="11" t="n">
        <f aca="false">IF(AND(U544=1,V544&gt;0,W544&gt;1),S544,0)</f>
        <v>0</v>
      </c>
      <c r="Y544" s="11" t="n">
        <f aca="false">IF(T544=1,X544/(1+Controls!$B$11)^F544,0)</f>
        <v>0</v>
      </c>
      <c r="Z544" s="11" t="n">
        <f aca="false">IF(AND(N544,E544="capacity",LEN(K544)&gt;0),1,0)</f>
        <v>0</v>
      </c>
      <c r="AA544" s="11" t="n">
        <f aca="false">IF(Z544=1,SUMPRODUCT(($K$4:$K$703=K544)*($F$4:$F$703=F544)*($Z$4:$Z$703=1)*($B$4:$B$703&lt;&gt;B544)),0)</f>
        <v>0</v>
      </c>
      <c r="AB544" s="11" t="n">
        <f aca="false">IF(AND(Z544=1,AA544&gt;0),1+SUMPRODUCT(($K$4:$K$703=K544)*($F$4:$F$703=F544)*($Z$4:$Z$703=1)*($P$4:$P$703&gt;P544))+SUMPRODUCT(($K$4:$K$703=K544)*($F$4:$F$703=F544)*($Z$4:$Z$703=1)*($P$4:$P$703=P544)*($C$4:$C$703&lt;C544))+SUMPRODUCT(($K$4:$K$703=K544)*($F$4:$F$703=F544)*($Z$4:$Z$703=1)*($P$4:$P$703=P544)*($C$4:$C$703=C544)*($D$4:$D$703&lt;D544)),0)</f>
        <v>0</v>
      </c>
      <c r="AC544" s="11" t="n">
        <f aca="false">IF(AND(Z544=1,AA544&gt;0,AB544&gt;1),P544,0)</f>
        <v>0</v>
      </c>
    </row>
    <row r="545" customFormat="false" ht="15" hidden="false" customHeight="false" outlineLevel="0" collapsed="false">
      <c r="A545" s="4" t="s">
        <v>797</v>
      </c>
      <c r="B545" s="4" t="s">
        <v>100</v>
      </c>
      <c r="C545" s="4" t="n">
        <v>18</v>
      </c>
      <c r="D545" s="4" t="n">
        <v>542</v>
      </c>
      <c r="E545" s="4" t="s">
        <v>112</v>
      </c>
      <c r="F545" s="4" t="n">
        <v>21</v>
      </c>
      <c r="G545" s="4" t="n">
        <v>18</v>
      </c>
      <c r="H545" s="4" t="n">
        <v>80600</v>
      </c>
      <c r="I545" s="13" t="b">
        <f aca="false">FALSE()</f>
        <v>0</v>
      </c>
      <c r="K545" s="4" t="s">
        <v>794</v>
      </c>
      <c r="L545" s="4" t="n">
        <v>3385.2</v>
      </c>
      <c r="M545" s="11" t="n">
        <f aca="false">IFERROR(MATCH(Controls!$B$3&amp;"|"&amp;B545,'Scenario inputs'!$A$4:$A$213,0),0)</f>
        <v>149</v>
      </c>
      <c r="N545" s="8" t="b">
        <f aca="false">IF(M545=0,FALSE(),F545&lt;Controls!$B$12)</f>
        <v>1</v>
      </c>
      <c r="O545" s="11" t="n">
        <f aca="false">IF(N545,IF(INDEX('Scenario inputs'!$E$4:$E$213,M545)=0,1,INDEX('Scenario inputs'!$F$4:$M$213,M545,MIN(MAX(F545-G545,0),INDEX('Scenario inputs'!$E$4:$E$213,M545)-1)+1)),0)</f>
        <v>0.666667</v>
      </c>
      <c r="P545" s="11" t="n">
        <f aca="false">H545*O545</f>
        <v>53733.3602</v>
      </c>
      <c r="Q545" s="0" t="str">
        <f aca="false">IF(M545=0,"",IF(ISNUMBER(INDEX('Scenario inputs'!$N$4:$N$213,M545)),INDEX('Scenario inputs'!$N$4:$N$213,M545),""))</f>
        <v/>
      </c>
      <c r="R545" s="0" t="str">
        <f aca="false">IF(NOT(N545),"",IF(OR(E545="cash",E545="revenue"),E545,IF(E545="avoided_cost",IF(AND(I545,LEN(TRIM(J545))&gt;0),"avoided_cost_realised","avoided_cost_beside"),IF(ISNUMBER(Q545),"capacity_converted","capacity_hours"))))</f>
        <v>cash</v>
      </c>
      <c r="S545" s="11" t="n">
        <f aca="false">IF(OR(R545="",R545="capacity_hours"),0,IF(R545="capacity_converted",P545*Q545,P545))</f>
        <v>53733.3602</v>
      </c>
      <c r="T545" s="11" t="n">
        <f aca="false">IF(OR(R545="cash",R545="revenue",R545="avoided_cost_realised",R545="capacity_converted"),1,0)</f>
        <v>1</v>
      </c>
      <c r="U545" s="11" t="n">
        <f aca="false">IF(AND(N545,R545&lt;&gt;"capacity_hours",LEN(K545)&gt;0),1,0)</f>
        <v>1</v>
      </c>
      <c r="V545" s="11" t="n">
        <f aca="false">IF(U545=1,SUMPRODUCT(($K$4:$K$703=K545)*($F$4:$F$703=F545)*($U$4:$U$703=1)*($B$4:$B$703&lt;&gt;B545)),0)</f>
        <v>0</v>
      </c>
      <c r="W545" s="11" t="n">
        <f aca="false">IF(AND(U545=1,V545&gt;0),1+SUMPRODUCT(($K$4:$K$703=K545)*($F$4:$F$703=F545)*($U$4:$U$703=1)*($S$4:$S$703&gt;S545))+SUMPRODUCT(($K$4:$K$703=K545)*($F$4:$F$703=F545)*($U$4:$U$703=1)*($S$4:$S$703=S545)*($T$4:$T$703&gt;T545))+SUMPRODUCT(($K$4:$K$703=K545)*($F$4:$F$703=F545)*($U$4:$U$703=1)*($S$4:$S$703=S545)*($T$4:$T$703=T545)*($C$4:$C$703&lt;C545))+SUMPRODUCT(($K$4:$K$703=K545)*($F$4:$F$703=F545)*($U$4:$U$703=1)*($S$4:$S$703=S545)*($T$4:$T$703=T545)*($C$4:$C$703=C545)*($D$4:$D$703&lt;D545)),0)</f>
        <v>0</v>
      </c>
      <c r="X545" s="11" t="n">
        <f aca="false">IF(AND(U545=1,V545&gt;0,W545&gt;1),S545,0)</f>
        <v>0</v>
      </c>
      <c r="Y545" s="11" t="n">
        <f aca="false">IF(T545=1,X545/(1+Controls!$B$11)^F545,0)</f>
        <v>0</v>
      </c>
      <c r="Z545" s="11" t="n">
        <f aca="false">IF(AND(N545,E545="capacity",LEN(K545)&gt;0),1,0)</f>
        <v>0</v>
      </c>
      <c r="AA545" s="11" t="n">
        <f aca="false">IF(Z545=1,SUMPRODUCT(($K$4:$K$703=K545)*($F$4:$F$703=F545)*($Z$4:$Z$703=1)*($B$4:$B$703&lt;&gt;B545)),0)</f>
        <v>0</v>
      </c>
      <c r="AB545" s="11" t="n">
        <f aca="false">IF(AND(Z545=1,AA545&gt;0),1+SUMPRODUCT(($K$4:$K$703=K545)*($F$4:$F$703=F545)*($Z$4:$Z$703=1)*($P$4:$P$703&gt;P545))+SUMPRODUCT(($K$4:$K$703=K545)*($F$4:$F$703=F545)*($Z$4:$Z$703=1)*($P$4:$P$703=P545)*($C$4:$C$703&lt;C545))+SUMPRODUCT(($K$4:$K$703=K545)*($F$4:$F$703=F545)*($Z$4:$Z$703=1)*($P$4:$P$703=P545)*($C$4:$C$703=C545)*($D$4:$D$703&lt;D545)),0)</f>
        <v>0</v>
      </c>
      <c r="AC545" s="11" t="n">
        <f aca="false">IF(AND(Z545=1,AA545&gt;0,AB545&gt;1),P545,0)</f>
        <v>0</v>
      </c>
    </row>
    <row r="546" customFormat="false" ht="15" hidden="false" customHeight="false" outlineLevel="0" collapsed="false">
      <c r="A546" s="4" t="s">
        <v>798</v>
      </c>
      <c r="B546" s="4" t="s">
        <v>100</v>
      </c>
      <c r="C546" s="4" t="n">
        <v>18</v>
      </c>
      <c r="D546" s="4" t="n">
        <v>543</v>
      </c>
      <c r="E546" s="4" t="s">
        <v>112</v>
      </c>
      <c r="F546" s="4" t="n">
        <v>22</v>
      </c>
      <c r="G546" s="4" t="n">
        <v>18</v>
      </c>
      <c r="H546" s="4" t="n">
        <v>80600</v>
      </c>
      <c r="I546" s="13" t="b">
        <f aca="false">FALSE()</f>
        <v>0</v>
      </c>
      <c r="K546" s="4" t="s">
        <v>794</v>
      </c>
      <c r="L546" s="4" t="n">
        <v>5077.8</v>
      </c>
      <c r="M546" s="11" t="n">
        <f aca="false">IFERROR(MATCH(Controls!$B$3&amp;"|"&amp;B546,'Scenario inputs'!$A$4:$A$213,0),0)</f>
        <v>149</v>
      </c>
      <c r="N546" s="8" t="b">
        <f aca="false">IF(M546=0,FALSE(),F546&lt;Controls!$B$12)</f>
        <v>1</v>
      </c>
      <c r="O546" s="11" t="n">
        <f aca="false">IF(N546,IF(INDEX('Scenario inputs'!$E$4:$E$213,M546)=0,1,INDEX('Scenario inputs'!$F$4:$M$213,M546,MIN(MAX(F546-G546,0),INDEX('Scenario inputs'!$E$4:$E$213,M546)-1)+1)),0)</f>
        <v>1</v>
      </c>
      <c r="P546" s="11" t="n">
        <f aca="false">H546*O546</f>
        <v>80600</v>
      </c>
      <c r="Q546" s="0" t="str">
        <f aca="false">IF(M546=0,"",IF(ISNUMBER(INDEX('Scenario inputs'!$N$4:$N$213,M546)),INDEX('Scenario inputs'!$N$4:$N$213,M546),""))</f>
        <v/>
      </c>
      <c r="R546" s="0" t="str">
        <f aca="false">IF(NOT(N546),"",IF(OR(E546="cash",E546="revenue"),E546,IF(E546="avoided_cost",IF(AND(I546,LEN(TRIM(J546))&gt;0),"avoided_cost_realised","avoided_cost_beside"),IF(ISNUMBER(Q546),"capacity_converted","capacity_hours"))))</f>
        <v>cash</v>
      </c>
      <c r="S546" s="11" t="n">
        <f aca="false">IF(OR(R546="",R546="capacity_hours"),0,IF(R546="capacity_converted",P546*Q546,P546))</f>
        <v>80600</v>
      </c>
      <c r="T546" s="11" t="n">
        <f aca="false">IF(OR(R546="cash",R546="revenue",R546="avoided_cost_realised",R546="capacity_converted"),1,0)</f>
        <v>1</v>
      </c>
      <c r="U546" s="11" t="n">
        <f aca="false">IF(AND(N546,R546&lt;&gt;"capacity_hours",LEN(K546)&gt;0),1,0)</f>
        <v>1</v>
      </c>
      <c r="V546" s="11" t="n">
        <f aca="false">IF(U546=1,SUMPRODUCT(($K$4:$K$703=K546)*($F$4:$F$703=F546)*($U$4:$U$703=1)*($B$4:$B$703&lt;&gt;B546)),0)</f>
        <v>0</v>
      </c>
      <c r="W546" s="11" t="n">
        <f aca="false">IF(AND(U546=1,V546&gt;0),1+SUMPRODUCT(($K$4:$K$703=K546)*($F$4:$F$703=F546)*($U$4:$U$703=1)*($S$4:$S$703&gt;S546))+SUMPRODUCT(($K$4:$K$703=K546)*($F$4:$F$703=F546)*($U$4:$U$703=1)*($S$4:$S$703=S546)*($T$4:$T$703&gt;T546))+SUMPRODUCT(($K$4:$K$703=K546)*($F$4:$F$703=F546)*($U$4:$U$703=1)*($S$4:$S$703=S546)*($T$4:$T$703=T546)*($C$4:$C$703&lt;C546))+SUMPRODUCT(($K$4:$K$703=K546)*($F$4:$F$703=F546)*($U$4:$U$703=1)*($S$4:$S$703=S546)*($T$4:$T$703=T546)*($C$4:$C$703=C546)*($D$4:$D$703&lt;D546)),0)</f>
        <v>0</v>
      </c>
      <c r="X546" s="11" t="n">
        <f aca="false">IF(AND(U546=1,V546&gt;0,W546&gt;1),S546,0)</f>
        <v>0</v>
      </c>
      <c r="Y546" s="11" t="n">
        <f aca="false">IF(T546=1,X546/(1+Controls!$B$11)^F546,0)</f>
        <v>0</v>
      </c>
      <c r="Z546" s="11" t="n">
        <f aca="false">IF(AND(N546,E546="capacity",LEN(K546)&gt;0),1,0)</f>
        <v>0</v>
      </c>
      <c r="AA546" s="11" t="n">
        <f aca="false">IF(Z546=1,SUMPRODUCT(($K$4:$K$703=K546)*($F$4:$F$703=F546)*($Z$4:$Z$703=1)*($B$4:$B$703&lt;&gt;B546)),0)</f>
        <v>0</v>
      </c>
      <c r="AB546" s="11" t="n">
        <f aca="false">IF(AND(Z546=1,AA546&gt;0),1+SUMPRODUCT(($K$4:$K$703=K546)*($F$4:$F$703=F546)*($Z$4:$Z$703=1)*($P$4:$P$703&gt;P546))+SUMPRODUCT(($K$4:$K$703=K546)*($F$4:$F$703=F546)*($Z$4:$Z$703=1)*($P$4:$P$703=P546)*($C$4:$C$703&lt;C546))+SUMPRODUCT(($K$4:$K$703=K546)*($F$4:$F$703=F546)*($Z$4:$Z$703=1)*($P$4:$P$703=P546)*($C$4:$C$703=C546)*($D$4:$D$703&lt;D546)),0)</f>
        <v>0</v>
      </c>
      <c r="AC546" s="11" t="n">
        <f aca="false">IF(AND(Z546=1,AA546&gt;0,AB546&gt;1),P546,0)</f>
        <v>0</v>
      </c>
    </row>
    <row r="547" customFormat="false" ht="15" hidden="false" customHeight="false" outlineLevel="0" collapsed="false">
      <c r="A547" s="4" t="s">
        <v>799</v>
      </c>
      <c r="B547" s="4" t="s">
        <v>100</v>
      </c>
      <c r="C547" s="4" t="n">
        <v>18</v>
      </c>
      <c r="D547" s="4" t="n">
        <v>544</v>
      </c>
      <c r="E547" s="4" t="s">
        <v>112</v>
      </c>
      <c r="F547" s="4" t="n">
        <v>23</v>
      </c>
      <c r="G547" s="4" t="n">
        <v>18</v>
      </c>
      <c r="H547" s="4" t="n">
        <v>80600</v>
      </c>
      <c r="I547" s="13" t="b">
        <f aca="false">FALSE()</f>
        <v>0</v>
      </c>
      <c r="K547" s="4" t="s">
        <v>794</v>
      </c>
      <c r="L547" s="4" t="n">
        <v>5077.8</v>
      </c>
      <c r="M547" s="11" t="n">
        <f aca="false">IFERROR(MATCH(Controls!$B$3&amp;"|"&amp;B547,'Scenario inputs'!$A$4:$A$213,0),0)</f>
        <v>149</v>
      </c>
      <c r="N547" s="8" t="b">
        <f aca="false">IF(M547=0,FALSE(),F547&lt;Controls!$B$12)</f>
        <v>1</v>
      </c>
      <c r="O547" s="11" t="n">
        <f aca="false">IF(N547,IF(INDEX('Scenario inputs'!$E$4:$E$213,M547)=0,1,INDEX('Scenario inputs'!$F$4:$M$213,M547,MIN(MAX(F547-G547,0),INDEX('Scenario inputs'!$E$4:$E$213,M547)-1)+1)),0)</f>
        <v>1</v>
      </c>
      <c r="P547" s="11" t="n">
        <f aca="false">H547*O547</f>
        <v>80600</v>
      </c>
      <c r="Q547" s="0" t="str">
        <f aca="false">IF(M547=0,"",IF(ISNUMBER(INDEX('Scenario inputs'!$N$4:$N$213,M547)),INDEX('Scenario inputs'!$N$4:$N$213,M547),""))</f>
        <v/>
      </c>
      <c r="R547" s="0" t="str">
        <f aca="false">IF(NOT(N547),"",IF(OR(E547="cash",E547="revenue"),E547,IF(E547="avoided_cost",IF(AND(I547,LEN(TRIM(J547))&gt;0),"avoided_cost_realised","avoided_cost_beside"),IF(ISNUMBER(Q547),"capacity_converted","capacity_hours"))))</f>
        <v>cash</v>
      </c>
      <c r="S547" s="11" t="n">
        <f aca="false">IF(OR(R547="",R547="capacity_hours"),0,IF(R547="capacity_converted",P547*Q547,P547))</f>
        <v>80600</v>
      </c>
      <c r="T547" s="11" t="n">
        <f aca="false">IF(OR(R547="cash",R547="revenue",R547="avoided_cost_realised",R547="capacity_converted"),1,0)</f>
        <v>1</v>
      </c>
      <c r="U547" s="11" t="n">
        <f aca="false">IF(AND(N547,R547&lt;&gt;"capacity_hours",LEN(K547)&gt;0),1,0)</f>
        <v>1</v>
      </c>
      <c r="V547" s="11" t="n">
        <f aca="false">IF(U547=1,SUMPRODUCT(($K$4:$K$703=K547)*($F$4:$F$703=F547)*($U$4:$U$703=1)*($B$4:$B$703&lt;&gt;B547)),0)</f>
        <v>0</v>
      </c>
      <c r="W547" s="11" t="n">
        <f aca="false">IF(AND(U547=1,V547&gt;0),1+SUMPRODUCT(($K$4:$K$703=K547)*($F$4:$F$703=F547)*($U$4:$U$703=1)*($S$4:$S$703&gt;S547))+SUMPRODUCT(($K$4:$K$703=K547)*($F$4:$F$703=F547)*($U$4:$U$703=1)*($S$4:$S$703=S547)*($T$4:$T$703&gt;T547))+SUMPRODUCT(($K$4:$K$703=K547)*($F$4:$F$703=F547)*($U$4:$U$703=1)*($S$4:$S$703=S547)*($T$4:$T$703=T547)*($C$4:$C$703&lt;C547))+SUMPRODUCT(($K$4:$K$703=K547)*($F$4:$F$703=F547)*($U$4:$U$703=1)*($S$4:$S$703=S547)*($T$4:$T$703=T547)*($C$4:$C$703=C547)*($D$4:$D$703&lt;D547)),0)</f>
        <v>0</v>
      </c>
      <c r="X547" s="11" t="n">
        <f aca="false">IF(AND(U547=1,V547&gt;0,W547&gt;1),S547,0)</f>
        <v>0</v>
      </c>
      <c r="Y547" s="11" t="n">
        <f aca="false">IF(T547=1,X547/(1+Controls!$B$11)^F547,0)</f>
        <v>0</v>
      </c>
      <c r="Z547" s="11" t="n">
        <f aca="false">IF(AND(N547,E547="capacity",LEN(K547)&gt;0),1,0)</f>
        <v>0</v>
      </c>
      <c r="AA547" s="11" t="n">
        <f aca="false">IF(Z547=1,SUMPRODUCT(($K$4:$K$703=K547)*($F$4:$F$703=F547)*($Z$4:$Z$703=1)*($B$4:$B$703&lt;&gt;B547)),0)</f>
        <v>0</v>
      </c>
      <c r="AB547" s="11" t="n">
        <f aca="false">IF(AND(Z547=1,AA547&gt;0),1+SUMPRODUCT(($K$4:$K$703=K547)*($F$4:$F$703=F547)*($Z$4:$Z$703=1)*($P$4:$P$703&gt;P547))+SUMPRODUCT(($K$4:$K$703=K547)*($F$4:$F$703=F547)*($Z$4:$Z$703=1)*($P$4:$P$703=P547)*($C$4:$C$703&lt;C547))+SUMPRODUCT(($K$4:$K$703=K547)*($F$4:$F$703=F547)*($Z$4:$Z$703=1)*($P$4:$P$703=P547)*($C$4:$C$703=C547)*($D$4:$D$703&lt;D547)),0)</f>
        <v>0</v>
      </c>
      <c r="AC547" s="11" t="n">
        <f aca="false">IF(AND(Z547=1,AA547&gt;0,AB547&gt;1),P547,0)</f>
        <v>0</v>
      </c>
    </row>
    <row r="548" customFormat="false" ht="15" hidden="false" customHeight="false" outlineLevel="0" collapsed="false">
      <c r="A548" s="4" t="s">
        <v>800</v>
      </c>
      <c r="B548" s="4" t="s">
        <v>100</v>
      </c>
      <c r="C548" s="4" t="n">
        <v>18</v>
      </c>
      <c r="D548" s="4" t="n">
        <v>545</v>
      </c>
      <c r="E548" s="4" t="s">
        <v>112</v>
      </c>
      <c r="F548" s="4" t="n">
        <v>24</v>
      </c>
      <c r="G548" s="4" t="n">
        <v>18</v>
      </c>
      <c r="H548" s="4" t="n">
        <v>80600</v>
      </c>
      <c r="I548" s="13" t="b">
        <f aca="false">FALSE()</f>
        <v>0</v>
      </c>
      <c r="K548" s="4" t="s">
        <v>794</v>
      </c>
      <c r="L548" s="4" t="n">
        <v>5077.8</v>
      </c>
      <c r="M548" s="11" t="n">
        <f aca="false">IFERROR(MATCH(Controls!$B$3&amp;"|"&amp;B548,'Scenario inputs'!$A$4:$A$213,0),0)</f>
        <v>149</v>
      </c>
      <c r="N548" s="8" t="b">
        <f aca="false">IF(M548=0,FALSE(),F548&lt;Controls!$B$12)</f>
        <v>1</v>
      </c>
      <c r="O548" s="11" t="n">
        <f aca="false">IF(N548,IF(INDEX('Scenario inputs'!$E$4:$E$213,M548)=0,1,INDEX('Scenario inputs'!$F$4:$M$213,M548,MIN(MAX(F548-G548,0),INDEX('Scenario inputs'!$E$4:$E$213,M548)-1)+1)),0)</f>
        <v>1</v>
      </c>
      <c r="P548" s="11" t="n">
        <f aca="false">H548*O548</f>
        <v>80600</v>
      </c>
      <c r="Q548" s="0" t="str">
        <f aca="false">IF(M548=0,"",IF(ISNUMBER(INDEX('Scenario inputs'!$N$4:$N$213,M548)),INDEX('Scenario inputs'!$N$4:$N$213,M548),""))</f>
        <v/>
      </c>
      <c r="R548" s="0" t="str">
        <f aca="false">IF(NOT(N548),"",IF(OR(E548="cash",E548="revenue"),E548,IF(E548="avoided_cost",IF(AND(I548,LEN(TRIM(J548))&gt;0),"avoided_cost_realised","avoided_cost_beside"),IF(ISNUMBER(Q548),"capacity_converted","capacity_hours"))))</f>
        <v>cash</v>
      </c>
      <c r="S548" s="11" t="n">
        <f aca="false">IF(OR(R548="",R548="capacity_hours"),0,IF(R548="capacity_converted",P548*Q548,P548))</f>
        <v>80600</v>
      </c>
      <c r="T548" s="11" t="n">
        <f aca="false">IF(OR(R548="cash",R548="revenue",R548="avoided_cost_realised",R548="capacity_converted"),1,0)</f>
        <v>1</v>
      </c>
      <c r="U548" s="11" t="n">
        <f aca="false">IF(AND(N548,R548&lt;&gt;"capacity_hours",LEN(K548)&gt;0),1,0)</f>
        <v>1</v>
      </c>
      <c r="V548" s="11" t="n">
        <f aca="false">IF(U548=1,SUMPRODUCT(($K$4:$K$703=K548)*($F$4:$F$703=F548)*($U$4:$U$703=1)*($B$4:$B$703&lt;&gt;B548)),0)</f>
        <v>0</v>
      </c>
      <c r="W548" s="11" t="n">
        <f aca="false">IF(AND(U548=1,V548&gt;0),1+SUMPRODUCT(($K$4:$K$703=K548)*($F$4:$F$703=F548)*($U$4:$U$703=1)*($S$4:$S$703&gt;S548))+SUMPRODUCT(($K$4:$K$703=K548)*($F$4:$F$703=F548)*($U$4:$U$703=1)*($S$4:$S$703=S548)*($T$4:$T$703&gt;T548))+SUMPRODUCT(($K$4:$K$703=K548)*($F$4:$F$703=F548)*($U$4:$U$703=1)*($S$4:$S$703=S548)*($T$4:$T$703=T548)*($C$4:$C$703&lt;C548))+SUMPRODUCT(($K$4:$K$703=K548)*($F$4:$F$703=F548)*($U$4:$U$703=1)*($S$4:$S$703=S548)*($T$4:$T$703=T548)*($C$4:$C$703=C548)*($D$4:$D$703&lt;D548)),0)</f>
        <v>0</v>
      </c>
      <c r="X548" s="11" t="n">
        <f aca="false">IF(AND(U548=1,V548&gt;0,W548&gt;1),S548,0)</f>
        <v>0</v>
      </c>
      <c r="Y548" s="11" t="n">
        <f aca="false">IF(T548=1,X548/(1+Controls!$B$11)^F548,0)</f>
        <v>0</v>
      </c>
      <c r="Z548" s="11" t="n">
        <f aca="false">IF(AND(N548,E548="capacity",LEN(K548)&gt;0),1,0)</f>
        <v>0</v>
      </c>
      <c r="AA548" s="11" t="n">
        <f aca="false">IF(Z548=1,SUMPRODUCT(($K$4:$K$703=K548)*($F$4:$F$703=F548)*($Z$4:$Z$703=1)*($B$4:$B$703&lt;&gt;B548)),0)</f>
        <v>0</v>
      </c>
      <c r="AB548" s="11" t="n">
        <f aca="false">IF(AND(Z548=1,AA548&gt;0),1+SUMPRODUCT(($K$4:$K$703=K548)*($F$4:$F$703=F548)*($Z$4:$Z$703=1)*($P$4:$P$703&gt;P548))+SUMPRODUCT(($K$4:$K$703=K548)*($F$4:$F$703=F548)*($Z$4:$Z$703=1)*($P$4:$P$703=P548)*($C$4:$C$703&lt;C548))+SUMPRODUCT(($K$4:$K$703=K548)*($F$4:$F$703=F548)*($Z$4:$Z$703=1)*($P$4:$P$703=P548)*($C$4:$C$703=C548)*($D$4:$D$703&lt;D548)),0)</f>
        <v>0</v>
      </c>
      <c r="AC548" s="11" t="n">
        <f aca="false">IF(AND(Z548=1,AA548&gt;0,AB548&gt;1),P548,0)</f>
        <v>0</v>
      </c>
    </row>
    <row r="549" customFormat="false" ht="15" hidden="false" customHeight="false" outlineLevel="0" collapsed="false">
      <c r="A549" s="4" t="s">
        <v>801</v>
      </c>
      <c r="B549" s="4" t="s">
        <v>100</v>
      </c>
      <c r="C549" s="4" t="n">
        <v>18</v>
      </c>
      <c r="D549" s="4" t="n">
        <v>546</v>
      </c>
      <c r="E549" s="4" t="s">
        <v>112</v>
      </c>
      <c r="F549" s="4" t="n">
        <v>25</v>
      </c>
      <c r="G549" s="4" t="n">
        <v>18</v>
      </c>
      <c r="H549" s="4" t="n">
        <v>80600</v>
      </c>
      <c r="I549" s="13" t="b">
        <f aca="false">FALSE()</f>
        <v>0</v>
      </c>
      <c r="K549" s="4" t="s">
        <v>794</v>
      </c>
      <c r="L549" s="4" t="n">
        <v>5077.8</v>
      </c>
      <c r="M549" s="11" t="n">
        <f aca="false">IFERROR(MATCH(Controls!$B$3&amp;"|"&amp;B549,'Scenario inputs'!$A$4:$A$213,0),0)</f>
        <v>149</v>
      </c>
      <c r="N549" s="8" t="b">
        <f aca="false">IF(M549=0,FALSE(),F549&lt;Controls!$B$12)</f>
        <v>1</v>
      </c>
      <c r="O549" s="11" t="n">
        <f aca="false">IF(N549,IF(INDEX('Scenario inputs'!$E$4:$E$213,M549)=0,1,INDEX('Scenario inputs'!$F$4:$M$213,M549,MIN(MAX(F549-G549,0),INDEX('Scenario inputs'!$E$4:$E$213,M549)-1)+1)),0)</f>
        <v>1</v>
      </c>
      <c r="P549" s="11" t="n">
        <f aca="false">H549*O549</f>
        <v>80600</v>
      </c>
      <c r="Q549" s="0" t="str">
        <f aca="false">IF(M549=0,"",IF(ISNUMBER(INDEX('Scenario inputs'!$N$4:$N$213,M549)),INDEX('Scenario inputs'!$N$4:$N$213,M549),""))</f>
        <v/>
      </c>
      <c r="R549" s="0" t="str">
        <f aca="false">IF(NOT(N549),"",IF(OR(E549="cash",E549="revenue"),E549,IF(E549="avoided_cost",IF(AND(I549,LEN(TRIM(J549))&gt;0),"avoided_cost_realised","avoided_cost_beside"),IF(ISNUMBER(Q549),"capacity_converted","capacity_hours"))))</f>
        <v>cash</v>
      </c>
      <c r="S549" s="11" t="n">
        <f aca="false">IF(OR(R549="",R549="capacity_hours"),0,IF(R549="capacity_converted",P549*Q549,P549))</f>
        <v>80600</v>
      </c>
      <c r="T549" s="11" t="n">
        <f aca="false">IF(OR(R549="cash",R549="revenue",R549="avoided_cost_realised",R549="capacity_converted"),1,0)</f>
        <v>1</v>
      </c>
      <c r="U549" s="11" t="n">
        <f aca="false">IF(AND(N549,R549&lt;&gt;"capacity_hours",LEN(K549)&gt;0),1,0)</f>
        <v>1</v>
      </c>
      <c r="V549" s="11" t="n">
        <f aca="false">IF(U549=1,SUMPRODUCT(($K$4:$K$703=K549)*($F$4:$F$703=F549)*($U$4:$U$703=1)*($B$4:$B$703&lt;&gt;B549)),0)</f>
        <v>0</v>
      </c>
      <c r="W549" s="11" t="n">
        <f aca="false">IF(AND(U549=1,V549&gt;0),1+SUMPRODUCT(($K$4:$K$703=K549)*($F$4:$F$703=F549)*($U$4:$U$703=1)*($S$4:$S$703&gt;S549))+SUMPRODUCT(($K$4:$K$703=K549)*($F$4:$F$703=F549)*($U$4:$U$703=1)*($S$4:$S$703=S549)*($T$4:$T$703&gt;T549))+SUMPRODUCT(($K$4:$K$703=K549)*($F$4:$F$703=F549)*($U$4:$U$703=1)*($S$4:$S$703=S549)*($T$4:$T$703=T549)*($C$4:$C$703&lt;C549))+SUMPRODUCT(($K$4:$K$703=K549)*($F$4:$F$703=F549)*($U$4:$U$703=1)*($S$4:$S$703=S549)*($T$4:$T$703=T549)*($C$4:$C$703=C549)*($D$4:$D$703&lt;D549)),0)</f>
        <v>0</v>
      </c>
      <c r="X549" s="11" t="n">
        <f aca="false">IF(AND(U549=1,V549&gt;0,W549&gt;1),S549,0)</f>
        <v>0</v>
      </c>
      <c r="Y549" s="11" t="n">
        <f aca="false">IF(T549=1,X549/(1+Controls!$B$11)^F549,0)</f>
        <v>0</v>
      </c>
      <c r="Z549" s="11" t="n">
        <f aca="false">IF(AND(N549,E549="capacity",LEN(K549)&gt;0),1,0)</f>
        <v>0</v>
      </c>
      <c r="AA549" s="11" t="n">
        <f aca="false">IF(Z549=1,SUMPRODUCT(($K$4:$K$703=K549)*($F$4:$F$703=F549)*($Z$4:$Z$703=1)*($B$4:$B$703&lt;&gt;B549)),0)</f>
        <v>0</v>
      </c>
      <c r="AB549" s="11" t="n">
        <f aca="false">IF(AND(Z549=1,AA549&gt;0),1+SUMPRODUCT(($K$4:$K$703=K549)*($F$4:$F$703=F549)*($Z$4:$Z$703=1)*($P$4:$P$703&gt;P549))+SUMPRODUCT(($K$4:$K$703=K549)*($F$4:$F$703=F549)*($Z$4:$Z$703=1)*($P$4:$P$703=P549)*($C$4:$C$703&lt;C549))+SUMPRODUCT(($K$4:$K$703=K549)*($F$4:$F$703=F549)*($Z$4:$Z$703=1)*($P$4:$P$703=P549)*($C$4:$C$703=C549)*($D$4:$D$703&lt;D549)),0)</f>
        <v>0</v>
      </c>
      <c r="AC549" s="11" t="n">
        <f aca="false">IF(AND(Z549=1,AA549&gt;0,AB549&gt;1),P549,0)</f>
        <v>0</v>
      </c>
    </row>
    <row r="550" customFormat="false" ht="15" hidden="false" customHeight="false" outlineLevel="0" collapsed="false">
      <c r="A550" s="4" t="s">
        <v>802</v>
      </c>
      <c r="B550" s="4" t="s">
        <v>100</v>
      </c>
      <c r="C550" s="4" t="n">
        <v>18</v>
      </c>
      <c r="D550" s="4" t="n">
        <v>547</v>
      </c>
      <c r="E550" s="4" t="s">
        <v>112</v>
      </c>
      <c r="F550" s="4" t="n">
        <v>26</v>
      </c>
      <c r="G550" s="4" t="n">
        <v>18</v>
      </c>
      <c r="H550" s="4" t="n">
        <v>80600</v>
      </c>
      <c r="I550" s="13" t="b">
        <f aca="false">FALSE()</f>
        <v>0</v>
      </c>
      <c r="K550" s="4" t="s">
        <v>794</v>
      </c>
      <c r="L550" s="4" t="n">
        <v>5077.8</v>
      </c>
      <c r="M550" s="11" t="n">
        <f aca="false">IFERROR(MATCH(Controls!$B$3&amp;"|"&amp;B550,'Scenario inputs'!$A$4:$A$213,0),0)</f>
        <v>149</v>
      </c>
      <c r="N550" s="8" t="b">
        <f aca="false">IF(M550=0,FALSE(),F550&lt;Controls!$B$12)</f>
        <v>1</v>
      </c>
      <c r="O550" s="11" t="n">
        <f aca="false">IF(N550,IF(INDEX('Scenario inputs'!$E$4:$E$213,M550)=0,1,INDEX('Scenario inputs'!$F$4:$M$213,M550,MIN(MAX(F550-G550,0),INDEX('Scenario inputs'!$E$4:$E$213,M550)-1)+1)),0)</f>
        <v>1</v>
      </c>
      <c r="P550" s="11" t="n">
        <f aca="false">H550*O550</f>
        <v>80600</v>
      </c>
      <c r="Q550" s="0" t="str">
        <f aca="false">IF(M550=0,"",IF(ISNUMBER(INDEX('Scenario inputs'!$N$4:$N$213,M550)),INDEX('Scenario inputs'!$N$4:$N$213,M550),""))</f>
        <v/>
      </c>
      <c r="R550" s="0" t="str">
        <f aca="false">IF(NOT(N550),"",IF(OR(E550="cash",E550="revenue"),E550,IF(E550="avoided_cost",IF(AND(I550,LEN(TRIM(J550))&gt;0),"avoided_cost_realised","avoided_cost_beside"),IF(ISNUMBER(Q550),"capacity_converted","capacity_hours"))))</f>
        <v>cash</v>
      </c>
      <c r="S550" s="11" t="n">
        <f aca="false">IF(OR(R550="",R550="capacity_hours"),0,IF(R550="capacity_converted",P550*Q550,P550))</f>
        <v>80600</v>
      </c>
      <c r="T550" s="11" t="n">
        <f aca="false">IF(OR(R550="cash",R550="revenue",R550="avoided_cost_realised",R550="capacity_converted"),1,0)</f>
        <v>1</v>
      </c>
      <c r="U550" s="11" t="n">
        <f aca="false">IF(AND(N550,R550&lt;&gt;"capacity_hours",LEN(K550)&gt;0),1,0)</f>
        <v>1</v>
      </c>
      <c r="V550" s="11" t="n">
        <f aca="false">IF(U550=1,SUMPRODUCT(($K$4:$K$703=K550)*($F$4:$F$703=F550)*($U$4:$U$703=1)*($B$4:$B$703&lt;&gt;B550)),0)</f>
        <v>0</v>
      </c>
      <c r="W550" s="11" t="n">
        <f aca="false">IF(AND(U550=1,V550&gt;0),1+SUMPRODUCT(($K$4:$K$703=K550)*($F$4:$F$703=F550)*($U$4:$U$703=1)*($S$4:$S$703&gt;S550))+SUMPRODUCT(($K$4:$K$703=K550)*($F$4:$F$703=F550)*($U$4:$U$703=1)*($S$4:$S$703=S550)*($T$4:$T$703&gt;T550))+SUMPRODUCT(($K$4:$K$703=K550)*($F$4:$F$703=F550)*($U$4:$U$703=1)*($S$4:$S$703=S550)*($T$4:$T$703=T550)*($C$4:$C$703&lt;C550))+SUMPRODUCT(($K$4:$K$703=K550)*($F$4:$F$703=F550)*($U$4:$U$703=1)*($S$4:$S$703=S550)*($T$4:$T$703=T550)*($C$4:$C$703=C550)*($D$4:$D$703&lt;D550)),0)</f>
        <v>0</v>
      </c>
      <c r="X550" s="11" t="n">
        <f aca="false">IF(AND(U550=1,V550&gt;0,W550&gt;1),S550,0)</f>
        <v>0</v>
      </c>
      <c r="Y550" s="11" t="n">
        <f aca="false">IF(T550=1,X550/(1+Controls!$B$11)^F550,0)</f>
        <v>0</v>
      </c>
      <c r="Z550" s="11" t="n">
        <f aca="false">IF(AND(N550,E550="capacity",LEN(K550)&gt;0),1,0)</f>
        <v>0</v>
      </c>
      <c r="AA550" s="11" t="n">
        <f aca="false">IF(Z550=1,SUMPRODUCT(($K$4:$K$703=K550)*($F$4:$F$703=F550)*($Z$4:$Z$703=1)*($B$4:$B$703&lt;&gt;B550)),0)</f>
        <v>0</v>
      </c>
      <c r="AB550" s="11" t="n">
        <f aca="false">IF(AND(Z550=1,AA550&gt;0),1+SUMPRODUCT(($K$4:$K$703=K550)*($F$4:$F$703=F550)*($Z$4:$Z$703=1)*($P$4:$P$703&gt;P550))+SUMPRODUCT(($K$4:$K$703=K550)*($F$4:$F$703=F550)*($Z$4:$Z$703=1)*($P$4:$P$703=P550)*($C$4:$C$703&lt;C550))+SUMPRODUCT(($K$4:$K$703=K550)*($F$4:$F$703=F550)*($Z$4:$Z$703=1)*($P$4:$P$703=P550)*($C$4:$C$703=C550)*($D$4:$D$703&lt;D550)),0)</f>
        <v>0</v>
      </c>
      <c r="AC550" s="11" t="n">
        <f aca="false">IF(AND(Z550=1,AA550&gt;0,AB550&gt;1),P550,0)</f>
        <v>0</v>
      </c>
    </row>
    <row r="551" customFormat="false" ht="15" hidden="false" customHeight="false" outlineLevel="0" collapsed="false">
      <c r="A551" s="4" t="s">
        <v>803</v>
      </c>
      <c r="B551" s="4" t="s">
        <v>100</v>
      </c>
      <c r="C551" s="4" t="n">
        <v>18</v>
      </c>
      <c r="D551" s="4" t="n">
        <v>548</v>
      </c>
      <c r="E551" s="4" t="s">
        <v>112</v>
      </c>
      <c r="F551" s="4" t="n">
        <v>27</v>
      </c>
      <c r="G551" s="4" t="n">
        <v>18</v>
      </c>
      <c r="H551" s="4" t="n">
        <v>80600</v>
      </c>
      <c r="I551" s="13" t="b">
        <f aca="false">FALSE()</f>
        <v>0</v>
      </c>
      <c r="K551" s="4" t="s">
        <v>794</v>
      </c>
      <c r="L551" s="4" t="n">
        <v>5077.8</v>
      </c>
      <c r="M551" s="11" t="n">
        <f aca="false">IFERROR(MATCH(Controls!$B$3&amp;"|"&amp;B551,'Scenario inputs'!$A$4:$A$213,0),0)</f>
        <v>149</v>
      </c>
      <c r="N551" s="8" t="b">
        <f aca="false">IF(M551=0,FALSE(),F551&lt;Controls!$B$12)</f>
        <v>1</v>
      </c>
      <c r="O551" s="11" t="n">
        <f aca="false">IF(N551,IF(INDEX('Scenario inputs'!$E$4:$E$213,M551)=0,1,INDEX('Scenario inputs'!$F$4:$M$213,M551,MIN(MAX(F551-G551,0),INDEX('Scenario inputs'!$E$4:$E$213,M551)-1)+1)),0)</f>
        <v>1</v>
      </c>
      <c r="P551" s="11" t="n">
        <f aca="false">H551*O551</f>
        <v>80600</v>
      </c>
      <c r="Q551" s="0" t="str">
        <f aca="false">IF(M551=0,"",IF(ISNUMBER(INDEX('Scenario inputs'!$N$4:$N$213,M551)),INDEX('Scenario inputs'!$N$4:$N$213,M551),""))</f>
        <v/>
      </c>
      <c r="R551" s="0" t="str">
        <f aca="false">IF(NOT(N551),"",IF(OR(E551="cash",E551="revenue"),E551,IF(E551="avoided_cost",IF(AND(I551,LEN(TRIM(J551))&gt;0),"avoided_cost_realised","avoided_cost_beside"),IF(ISNUMBER(Q551),"capacity_converted","capacity_hours"))))</f>
        <v>cash</v>
      </c>
      <c r="S551" s="11" t="n">
        <f aca="false">IF(OR(R551="",R551="capacity_hours"),0,IF(R551="capacity_converted",P551*Q551,P551))</f>
        <v>80600</v>
      </c>
      <c r="T551" s="11" t="n">
        <f aca="false">IF(OR(R551="cash",R551="revenue",R551="avoided_cost_realised",R551="capacity_converted"),1,0)</f>
        <v>1</v>
      </c>
      <c r="U551" s="11" t="n">
        <f aca="false">IF(AND(N551,R551&lt;&gt;"capacity_hours",LEN(K551)&gt;0),1,0)</f>
        <v>1</v>
      </c>
      <c r="V551" s="11" t="n">
        <f aca="false">IF(U551=1,SUMPRODUCT(($K$4:$K$703=K551)*($F$4:$F$703=F551)*($U$4:$U$703=1)*($B$4:$B$703&lt;&gt;B551)),0)</f>
        <v>0</v>
      </c>
      <c r="W551" s="11" t="n">
        <f aca="false">IF(AND(U551=1,V551&gt;0),1+SUMPRODUCT(($K$4:$K$703=K551)*($F$4:$F$703=F551)*($U$4:$U$703=1)*($S$4:$S$703&gt;S551))+SUMPRODUCT(($K$4:$K$703=K551)*($F$4:$F$703=F551)*($U$4:$U$703=1)*($S$4:$S$703=S551)*($T$4:$T$703&gt;T551))+SUMPRODUCT(($K$4:$K$703=K551)*($F$4:$F$703=F551)*($U$4:$U$703=1)*($S$4:$S$703=S551)*($T$4:$T$703=T551)*($C$4:$C$703&lt;C551))+SUMPRODUCT(($K$4:$K$703=K551)*($F$4:$F$703=F551)*($U$4:$U$703=1)*($S$4:$S$703=S551)*($T$4:$T$703=T551)*($C$4:$C$703=C551)*($D$4:$D$703&lt;D551)),0)</f>
        <v>0</v>
      </c>
      <c r="X551" s="11" t="n">
        <f aca="false">IF(AND(U551=1,V551&gt;0,W551&gt;1),S551,0)</f>
        <v>0</v>
      </c>
      <c r="Y551" s="11" t="n">
        <f aca="false">IF(T551=1,X551/(1+Controls!$B$11)^F551,0)</f>
        <v>0</v>
      </c>
      <c r="Z551" s="11" t="n">
        <f aca="false">IF(AND(N551,E551="capacity",LEN(K551)&gt;0),1,0)</f>
        <v>0</v>
      </c>
      <c r="AA551" s="11" t="n">
        <f aca="false">IF(Z551=1,SUMPRODUCT(($K$4:$K$703=K551)*($F$4:$F$703=F551)*($Z$4:$Z$703=1)*($B$4:$B$703&lt;&gt;B551)),0)</f>
        <v>0</v>
      </c>
      <c r="AB551" s="11" t="n">
        <f aca="false">IF(AND(Z551=1,AA551&gt;0),1+SUMPRODUCT(($K$4:$K$703=K551)*($F$4:$F$703=F551)*($Z$4:$Z$703=1)*($P$4:$P$703&gt;P551))+SUMPRODUCT(($K$4:$K$703=K551)*($F$4:$F$703=F551)*($Z$4:$Z$703=1)*($P$4:$P$703=P551)*($C$4:$C$703&lt;C551))+SUMPRODUCT(($K$4:$K$703=K551)*($F$4:$F$703=F551)*($Z$4:$Z$703=1)*($P$4:$P$703=P551)*($C$4:$C$703=C551)*($D$4:$D$703&lt;D551)),0)</f>
        <v>0</v>
      </c>
      <c r="AC551" s="11" t="n">
        <f aca="false">IF(AND(Z551=1,AA551&gt;0,AB551&gt;1),P551,0)</f>
        <v>0</v>
      </c>
    </row>
    <row r="552" customFormat="false" ht="15" hidden="false" customHeight="false" outlineLevel="0" collapsed="false">
      <c r="A552" s="4" t="s">
        <v>804</v>
      </c>
      <c r="B552" s="4" t="s">
        <v>100</v>
      </c>
      <c r="C552" s="4" t="n">
        <v>18</v>
      </c>
      <c r="D552" s="4" t="n">
        <v>549</v>
      </c>
      <c r="E552" s="4" t="s">
        <v>112</v>
      </c>
      <c r="F552" s="4" t="n">
        <v>28</v>
      </c>
      <c r="G552" s="4" t="n">
        <v>18</v>
      </c>
      <c r="H552" s="4" t="n">
        <v>80600</v>
      </c>
      <c r="I552" s="13" t="b">
        <f aca="false">FALSE()</f>
        <v>0</v>
      </c>
      <c r="K552" s="4" t="s">
        <v>794</v>
      </c>
      <c r="L552" s="4" t="n">
        <v>5077.8</v>
      </c>
      <c r="M552" s="11" t="n">
        <f aca="false">IFERROR(MATCH(Controls!$B$3&amp;"|"&amp;B552,'Scenario inputs'!$A$4:$A$213,0),0)</f>
        <v>149</v>
      </c>
      <c r="N552" s="8" t="b">
        <f aca="false">IF(M552=0,FALSE(),F552&lt;Controls!$B$12)</f>
        <v>1</v>
      </c>
      <c r="O552" s="11" t="n">
        <f aca="false">IF(N552,IF(INDEX('Scenario inputs'!$E$4:$E$213,M552)=0,1,INDEX('Scenario inputs'!$F$4:$M$213,M552,MIN(MAX(F552-G552,0),INDEX('Scenario inputs'!$E$4:$E$213,M552)-1)+1)),0)</f>
        <v>1</v>
      </c>
      <c r="P552" s="11" t="n">
        <f aca="false">H552*O552</f>
        <v>80600</v>
      </c>
      <c r="Q552" s="0" t="str">
        <f aca="false">IF(M552=0,"",IF(ISNUMBER(INDEX('Scenario inputs'!$N$4:$N$213,M552)),INDEX('Scenario inputs'!$N$4:$N$213,M552),""))</f>
        <v/>
      </c>
      <c r="R552" s="0" t="str">
        <f aca="false">IF(NOT(N552),"",IF(OR(E552="cash",E552="revenue"),E552,IF(E552="avoided_cost",IF(AND(I552,LEN(TRIM(J552))&gt;0),"avoided_cost_realised","avoided_cost_beside"),IF(ISNUMBER(Q552),"capacity_converted","capacity_hours"))))</f>
        <v>cash</v>
      </c>
      <c r="S552" s="11" t="n">
        <f aca="false">IF(OR(R552="",R552="capacity_hours"),0,IF(R552="capacity_converted",P552*Q552,P552))</f>
        <v>80600</v>
      </c>
      <c r="T552" s="11" t="n">
        <f aca="false">IF(OR(R552="cash",R552="revenue",R552="avoided_cost_realised",R552="capacity_converted"),1,0)</f>
        <v>1</v>
      </c>
      <c r="U552" s="11" t="n">
        <f aca="false">IF(AND(N552,R552&lt;&gt;"capacity_hours",LEN(K552)&gt;0),1,0)</f>
        <v>1</v>
      </c>
      <c r="V552" s="11" t="n">
        <f aca="false">IF(U552=1,SUMPRODUCT(($K$4:$K$703=K552)*($F$4:$F$703=F552)*($U$4:$U$703=1)*($B$4:$B$703&lt;&gt;B552)),0)</f>
        <v>0</v>
      </c>
      <c r="W552" s="11" t="n">
        <f aca="false">IF(AND(U552=1,V552&gt;0),1+SUMPRODUCT(($K$4:$K$703=K552)*($F$4:$F$703=F552)*($U$4:$U$703=1)*($S$4:$S$703&gt;S552))+SUMPRODUCT(($K$4:$K$703=K552)*($F$4:$F$703=F552)*($U$4:$U$703=1)*($S$4:$S$703=S552)*($T$4:$T$703&gt;T552))+SUMPRODUCT(($K$4:$K$703=K552)*($F$4:$F$703=F552)*($U$4:$U$703=1)*($S$4:$S$703=S552)*($T$4:$T$703=T552)*($C$4:$C$703&lt;C552))+SUMPRODUCT(($K$4:$K$703=K552)*($F$4:$F$703=F552)*($U$4:$U$703=1)*($S$4:$S$703=S552)*($T$4:$T$703=T552)*($C$4:$C$703=C552)*($D$4:$D$703&lt;D552)),0)</f>
        <v>0</v>
      </c>
      <c r="X552" s="11" t="n">
        <f aca="false">IF(AND(U552=1,V552&gt;0,W552&gt;1),S552,0)</f>
        <v>0</v>
      </c>
      <c r="Y552" s="11" t="n">
        <f aca="false">IF(T552=1,X552/(1+Controls!$B$11)^F552,0)</f>
        <v>0</v>
      </c>
      <c r="Z552" s="11" t="n">
        <f aca="false">IF(AND(N552,E552="capacity",LEN(K552)&gt;0),1,0)</f>
        <v>0</v>
      </c>
      <c r="AA552" s="11" t="n">
        <f aca="false">IF(Z552=1,SUMPRODUCT(($K$4:$K$703=K552)*($F$4:$F$703=F552)*($Z$4:$Z$703=1)*($B$4:$B$703&lt;&gt;B552)),0)</f>
        <v>0</v>
      </c>
      <c r="AB552" s="11" t="n">
        <f aca="false">IF(AND(Z552=1,AA552&gt;0),1+SUMPRODUCT(($K$4:$K$703=K552)*($F$4:$F$703=F552)*($Z$4:$Z$703=1)*($P$4:$P$703&gt;P552))+SUMPRODUCT(($K$4:$K$703=K552)*($F$4:$F$703=F552)*($Z$4:$Z$703=1)*($P$4:$P$703=P552)*($C$4:$C$703&lt;C552))+SUMPRODUCT(($K$4:$K$703=K552)*($F$4:$F$703=F552)*($Z$4:$Z$703=1)*($P$4:$P$703=P552)*($C$4:$C$703=C552)*($D$4:$D$703&lt;D552)),0)</f>
        <v>0</v>
      </c>
      <c r="AC552" s="11" t="n">
        <f aca="false">IF(AND(Z552=1,AA552&gt;0,AB552&gt;1),P552,0)</f>
        <v>0</v>
      </c>
    </row>
    <row r="553" customFormat="false" ht="15" hidden="false" customHeight="false" outlineLevel="0" collapsed="false">
      <c r="A553" s="4" t="s">
        <v>805</v>
      </c>
      <c r="B553" s="4" t="s">
        <v>101</v>
      </c>
      <c r="C553" s="4" t="n">
        <v>19</v>
      </c>
      <c r="D553" s="4" t="n">
        <v>550</v>
      </c>
      <c r="E553" s="4" t="s">
        <v>233</v>
      </c>
      <c r="F553" s="4" t="n">
        <v>14</v>
      </c>
      <c r="G553" s="4" t="n">
        <v>14</v>
      </c>
      <c r="H553" s="4" t="n">
        <v>181</v>
      </c>
      <c r="I553" s="13" t="b">
        <f aca="false">FALSE()</f>
        <v>0</v>
      </c>
      <c r="K553" s="4" t="s">
        <v>806</v>
      </c>
      <c r="L553" s="4" t="n">
        <v>2.43</v>
      </c>
      <c r="M553" s="11" t="n">
        <f aca="false">IFERROR(MATCH(Controls!$B$3&amp;"|"&amp;B553,'Scenario inputs'!$A$4:$A$213,0),0)</f>
        <v>150</v>
      </c>
      <c r="N553" s="8" t="b">
        <f aca="false">IF(M553=0,FALSE(),F553&lt;Controls!$B$12)</f>
        <v>1</v>
      </c>
      <c r="O553" s="11" t="n">
        <f aca="false">IF(N553,IF(INDEX('Scenario inputs'!$E$4:$E$213,M553)=0,1,INDEX('Scenario inputs'!$F$4:$M$213,M553,MIN(MAX(F553-G553,0),INDEX('Scenario inputs'!$E$4:$E$213,M553)-1)+1)),0)</f>
        <v>0.066667</v>
      </c>
      <c r="P553" s="11" t="n">
        <f aca="false">H553*O553</f>
        <v>12.066727</v>
      </c>
      <c r="Q553" s="0" t="str">
        <f aca="false">IF(M553=0,"",IF(ISNUMBER(INDEX('Scenario inputs'!$N$4:$N$213,M553)),INDEX('Scenario inputs'!$N$4:$N$213,M553),""))</f>
        <v/>
      </c>
      <c r="R553" s="0" t="str">
        <f aca="false">IF(NOT(N553),"",IF(OR(E553="cash",E553="revenue"),E553,IF(E553="avoided_cost",IF(AND(I553,LEN(TRIM(J553))&gt;0),"avoided_cost_realised","avoided_cost_beside"),IF(ISNUMBER(Q553),"capacity_converted","capacity_hours"))))</f>
        <v>capacity_hours</v>
      </c>
      <c r="S553" s="11" t="n">
        <f aca="false">IF(OR(R553="",R553="capacity_hours"),0,IF(R553="capacity_converted",P553*Q553,P553))</f>
        <v>0</v>
      </c>
      <c r="T553" s="11" t="n">
        <f aca="false">IF(OR(R553="cash",R553="revenue",R553="avoided_cost_realised",R553="capacity_converted"),1,0)</f>
        <v>0</v>
      </c>
      <c r="U553" s="11" t="n">
        <f aca="false">IF(AND(N553,R553&lt;&gt;"capacity_hours",LEN(K553)&gt;0),1,0)</f>
        <v>0</v>
      </c>
      <c r="V553" s="11" t="n">
        <f aca="false">IF(U553=1,SUMPRODUCT(($K$4:$K$703=K553)*($F$4:$F$703=F553)*($U$4:$U$703=1)*($B$4:$B$703&lt;&gt;B553)),0)</f>
        <v>0</v>
      </c>
      <c r="W553" s="11" t="n">
        <f aca="false">IF(AND(U553=1,V553&gt;0),1+SUMPRODUCT(($K$4:$K$703=K553)*($F$4:$F$703=F553)*($U$4:$U$703=1)*($S$4:$S$703&gt;S553))+SUMPRODUCT(($K$4:$K$703=K553)*($F$4:$F$703=F553)*($U$4:$U$703=1)*($S$4:$S$703=S553)*($T$4:$T$703&gt;T553))+SUMPRODUCT(($K$4:$K$703=K553)*($F$4:$F$703=F553)*($U$4:$U$703=1)*($S$4:$S$703=S553)*($T$4:$T$703=T553)*($C$4:$C$703&lt;C553))+SUMPRODUCT(($K$4:$K$703=K553)*($F$4:$F$703=F553)*($U$4:$U$703=1)*($S$4:$S$703=S553)*($T$4:$T$703=T553)*($C$4:$C$703=C553)*($D$4:$D$703&lt;D553)),0)</f>
        <v>0</v>
      </c>
      <c r="X553" s="11" t="n">
        <f aca="false">IF(AND(U553=1,V553&gt;0,W553&gt;1),S553,0)</f>
        <v>0</v>
      </c>
      <c r="Y553" s="11" t="n">
        <f aca="false">IF(T553=1,X553/(1+Controls!$B$11)^F553,0)</f>
        <v>0</v>
      </c>
      <c r="Z553" s="11" t="n">
        <f aca="false">IF(AND(N553,E553="capacity",LEN(K553)&gt;0),1,0)</f>
        <v>1</v>
      </c>
      <c r="AA553" s="11" t="n">
        <f aca="false">IF(Z553=1,SUMPRODUCT(($K$4:$K$703=K553)*($F$4:$F$703=F553)*($Z$4:$Z$703=1)*($B$4:$B$703&lt;&gt;B553)),0)</f>
        <v>0</v>
      </c>
      <c r="AB553" s="11" t="n">
        <f aca="false">IF(AND(Z553=1,AA553&gt;0),1+SUMPRODUCT(($K$4:$K$703=K553)*($F$4:$F$703=F553)*($Z$4:$Z$703=1)*($P$4:$P$703&gt;P553))+SUMPRODUCT(($K$4:$K$703=K553)*($F$4:$F$703=F553)*($Z$4:$Z$703=1)*($P$4:$P$703=P553)*($C$4:$C$703&lt;C553))+SUMPRODUCT(($K$4:$K$703=K553)*($F$4:$F$703=F553)*($Z$4:$Z$703=1)*($P$4:$P$703=P553)*($C$4:$C$703=C553)*($D$4:$D$703&lt;D553)),0)</f>
        <v>0</v>
      </c>
      <c r="AC553" s="11" t="n">
        <f aca="false">IF(AND(Z553=1,AA553&gt;0,AB553&gt;1),P553,0)</f>
        <v>0</v>
      </c>
    </row>
    <row r="554" customFormat="false" ht="15" hidden="false" customHeight="false" outlineLevel="0" collapsed="false">
      <c r="A554" s="4" t="s">
        <v>807</v>
      </c>
      <c r="B554" s="4" t="s">
        <v>101</v>
      </c>
      <c r="C554" s="4" t="n">
        <v>19</v>
      </c>
      <c r="D554" s="4" t="n">
        <v>551</v>
      </c>
      <c r="E554" s="4" t="s">
        <v>233</v>
      </c>
      <c r="F554" s="4" t="n">
        <v>15</v>
      </c>
      <c r="G554" s="4" t="n">
        <v>14</v>
      </c>
      <c r="H554" s="4" t="n">
        <v>181</v>
      </c>
      <c r="I554" s="13" t="b">
        <f aca="false">FALSE()</f>
        <v>0</v>
      </c>
      <c r="K554" s="4" t="s">
        <v>806</v>
      </c>
      <c r="L554" s="4" t="n">
        <v>7.29</v>
      </c>
      <c r="M554" s="11" t="n">
        <f aca="false">IFERROR(MATCH(Controls!$B$3&amp;"|"&amp;B554,'Scenario inputs'!$A$4:$A$213,0),0)</f>
        <v>150</v>
      </c>
      <c r="N554" s="8" t="b">
        <f aca="false">IF(M554=0,FALSE(),F554&lt;Controls!$B$12)</f>
        <v>1</v>
      </c>
      <c r="O554" s="11" t="n">
        <f aca="false">IF(N554,IF(INDEX('Scenario inputs'!$E$4:$E$213,M554)=0,1,INDEX('Scenario inputs'!$F$4:$M$213,M554,MIN(MAX(F554-G554,0),INDEX('Scenario inputs'!$E$4:$E$213,M554)-1)+1)),0)</f>
        <v>0.2</v>
      </c>
      <c r="P554" s="11" t="n">
        <f aca="false">H554*O554</f>
        <v>36.2</v>
      </c>
      <c r="Q554" s="0" t="str">
        <f aca="false">IF(M554=0,"",IF(ISNUMBER(INDEX('Scenario inputs'!$N$4:$N$213,M554)),INDEX('Scenario inputs'!$N$4:$N$213,M554),""))</f>
        <v/>
      </c>
      <c r="R554" s="0" t="str">
        <f aca="false">IF(NOT(N554),"",IF(OR(E554="cash",E554="revenue"),E554,IF(E554="avoided_cost",IF(AND(I554,LEN(TRIM(J554))&gt;0),"avoided_cost_realised","avoided_cost_beside"),IF(ISNUMBER(Q554),"capacity_converted","capacity_hours"))))</f>
        <v>capacity_hours</v>
      </c>
      <c r="S554" s="11" t="n">
        <f aca="false">IF(OR(R554="",R554="capacity_hours"),0,IF(R554="capacity_converted",P554*Q554,P554))</f>
        <v>0</v>
      </c>
      <c r="T554" s="11" t="n">
        <f aca="false">IF(OR(R554="cash",R554="revenue",R554="avoided_cost_realised",R554="capacity_converted"),1,0)</f>
        <v>0</v>
      </c>
      <c r="U554" s="11" t="n">
        <f aca="false">IF(AND(N554,R554&lt;&gt;"capacity_hours",LEN(K554)&gt;0),1,0)</f>
        <v>0</v>
      </c>
      <c r="V554" s="11" t="n">
        <f aca="false">IF(U554=1,SUMPRODUCT(($K$4:$K$703=K554)*($F$4:$F$703=F554)*($U$4:$U$703=1)*($B$4:$B$703&lt;&gt;B554)),0)</f>
        <v>0</v>
      </c>
      <c r="W554" s="11" t="n">
        <f aca="false">IF(AND(U554=1,V554&gt;0),1+SUMPRODUCT(($K$4:$K$703=K554)*($F$4:$F$703=F554)*($U$4:$U$703=1)*($S$4:$S$703&gt;S554))+SUMPRODUCT(($K$4:$K$703=K554)*($F$4:$F$703=F554)*($U$4:$U$703=1)*($S$4:$S$703=S554)*($T$4:$T$703&gt;T554))+SUMPRODUCT(($K$4:$K$703=K554)*($F$4:$F$703=F554)*($U$4:$U$703=1)*($S$4:$S$703=S554)*($T$4:$T$703=T554)*($C$4:$C$703&lt;C554))+SUMPRODUCT(($K$4:$K$703=K554)*($F$4:$F$703=F554)*($U$4:$U$703=1)*($S$4:$S$703=S554)*($T$4:$T$703=T554)*($C$4:$C$703=C554)*($D$4:$D$703&lt;D554)),0)</f>
        <v>0</v>
      </c>
      <c r="X554" s="11" t="n">
        <f aca="false">IF(AND(U554=1,V554&gt;0,W554&gt;1),S554,0)</f>
        <v>0</v>
      </c>
      <c r="Y554" s="11" t="n">
        <f aca="false">IF(T554=1,X554/(1+Controls!$B$11)^F554,0)</f>
        <v>0</v>
      </c>
      <c r="Z554" s="11" t="n">
        <f aca="false">IF(AND(N554,E554="capacity",LEN(K554)&gt;0),1,0)</f>
        <v>1</v>
      </c>
      <c r="AA554" s="11" t="n">
        <f aca="false">IF(Z554=1,SUMPRODUCT(($K$4:$K$703=K554)*($F$4:$F$703=F554)*($Z$4:$Z$703=1)*($B$4:$B$703&lt;&gt;B554)),0)</f>
        <v>0</v>
      </c>
      <c r="AB554" s="11" t="n">
        <f aca="false">IF(AND(Z554=1,AA554&gt;0),1+SUMPRODUCT(($K$4:$K$703=K554)*($F$4:$F$703=F554)*($Z$4:$Z$703=1)*($P$4:$P$703&gt;P554))+SUMPRODUCT(($K$4:$K$703=K554)*($F$4:$F$703=F554)*($Z$4:$Z$703=1)*($P$4:$P$703=P554)*($C$4:$C$703&lt;C554))+SUMPRODUCT(($K$4:$K$703=K554)*($F$4:$F$703=F554)*($Z$4:$Z$703=1)*($P$4:$P$703=P554)*($C$4:$C$703=C554)*($D$4:$D$703&lt;D554)),0)</f>
        <v>0</v>
      </c>
      <c r="AC554" s="11" t="n">
        <f aca="false">IF(AND(Z554=1,AA554&gt;0,AB554&gt;1),P554,0)</f>
        <v>0</v>
      </c>
    </row>
    <row r="555" customFormat="false" ht="15" hidden="false" customHeight="false" outlineLevel="0" collapsed="false">
      <c r="A555" s="4" t="s">
        <v>808</v>
      </c>
      <c r="B555" s="4" t="s">
        <v>101</v>
      </c>
      <c r="C555" s="4" t="n">
        <v>19</v>
      </c>
      <c r="D555" s="4" t="n">
        <v>552</v>
      </c>
      <c r="E555" s="4" t="s">
        <v>233</v>
      </c>
      <c r="F555" s="4" t="n">
        <v>16</v>
      </c>
      <c r="G555" s="4" t="n">
        <v>14</v>
      </c>
      <c r="H555" s="4" t="n">
        <v>181</v>
      </c>
      <c r="I555" s="13" t="b">
        <f aca="false">FALSE()</f>
        <v>0</v>
      </c>
      <c r="K555" s="4" t="s">
        <v>806</v>
      </c>
      <c r="L555" s="4" t="n">
        <v>14.58</v>
      </c>
      <c r="M555" s="11" t="n">
        <f aca="false">IFERROR(MATCH(Controls!$B$3&amp;"|"&amp;B555,'Scenario inputs'!$A$4:$A$213,0),0)</f>
        <v>150</v>
      </c>
      <c r="N555" s="8" t="b">
        <f aca="false">IF(M555=0,FALSE(),F555&lt;Controls!$B$12)</f>
        <v>1</v>
      </c>
      <c r="O555" s="11" t="n">
        <f aca="false">IF(N555,IF(INDEX('Scenario inputs'!$E$4:$E$213,M555)=0,1,INDEX('Scenario inputs'!$F$4:$M$213,M555,MIN(MAX(F555-G555,0),INDEX('Scenario inputs'!$E$4:$E$213,M555)-1)+1)),0)</f>
        <v>0.4</v>
      </c>
      <c r="P555" s="11" t="n">
        <f aca="false">H555*O555</f>
        <v>72.4</v>
      </c>
      <c r="Q555" s="0" t="str">
        <f aca="false">IF(M555=0,"",IF(ISNUMBER(INDEX('Scenario inputs'!$N$4:$N$213,M555)),INDEX('Scenario inputs'!$N$4:$N$213,M555),""))</f>
        <v/>
      </c>
      <c r="R555" s="0" t="str">
        <f aca="false">IF(NOT(N555),"",IF(OR(E555="cash",E555="revenue"),E555,IF(E555="avoided_cost",IF(AND(I555,LEN(TRIM(J555))&gt;0),"avoided_cost_realised","avoided_cost_beside"),IF(ISNUMBER(Q555),"capacity_converted","capacity_hours"))))</f>
        <v>capacity_hours</v>
      </c>
      <c r="S555" s="11" t="n">
        <f aca="false">IF(OR(R555="",R555="capacity_hours"),0,IF(R555="capacity_converted",P555*Q555,P555))</f>
        <v>0</v>
      </c>
      <c r="T555" s="11" t="n">
        <f aca="false">IF(OR(R555="cash",R555="revenue",R555="avoided_cost_realised",R555="capacity_converted"),1,0)</f>
        <v>0</v>
      </c>
      <c r="U555" s="11" t="n">
        <f aca="false">IF(AND(N555,R555&lt;&gt;"capacity_hours",LEN(K555)&gt;0),1,0)</f>
        <v>0</v>
      </c>
      <c r="V555" s="11" t="n">
        <f aca="false">IF(U555=1,SUMPRODUCT(($K$4:$K$703=K555)*($F$4:$F$703=F555)*($U$4:$U$703=1)*($B$4:$B$703&lt;&gt;B555)),0)</f>
        <v>0</v>
      </c>
      <c r="W555" s="11" t="n">
        <f aca="false">IF(AND(U555=1,V555&gt;0),1+SUMPRODUCT(($K$4:$K$703=K555)*($F$4:$F$703=F555)*($U$4:$U$703=1)*($S$4:$S$703&gt;S555))+SUMPRODUCT(($K$4:$K$703=K555)*($F$4:$F$703=F555)*($U$4:$U$703=1)*($S$4:$S$703=S555)*($T$4:$T$703&gt;T555))+SUMPRODUCT(($K$4:$K$703=K555)*($F$4:$F$703=F555)*($U$4:$U$703=1)*($S$4:$S$703=S555)*($T$4:$T$703=T555)*($C$4:$C$703&lt;C555))+SUMPRODUCT(($K$4:$K$703=K555)*($F$4:$F$703=F555)*($U$4:$U$703=1)*($S$4:$S$703=S555)*($T$4:$T$703=T555)*($C$4:$C$703=C555)*($D$4:$D$703&lt;D555)),0)</f>
        <v>0</v>
      </c>
      <c r="X555" s="11" t="n">
        <f aca="false">IF(AND(U555=1,V555&gt;0,W555&gt;1),S555,0)</f>
        <v>0</v>
      </c>
      <c r="Y555" s="11" t="n">
        <f aca="false">IF(T555=1,X555/(1+Controls!$B$11)^F555,0)</f>
        <v>0</v>
      </c>
      <c r="Z555" s="11" t="n">
        <f aca="false">IF(AND(N555,E555="capacity",LEN(K555)&gt;0),1,0)</f>
        <v>1</v>
      </c>
      <c r="AA555" s="11" t="n">
        <f aca="false">IF(Z555=1,SUMPRODUCT(($K$4:$K$703=K555)*($F$4:$F$703=F555)*($Z$4:$Z$703=1)*($B$4:$B$703&lt;&gt;B555)),0)</f>
        <v>0</v>
      </c>
      <c r="AB555" s="11" t="n">
        <f aca="false">IF(AND(Z555=1,AA555&gt;0),1+SUMPRODUCT(($K$4:$K$703=K555)*($F$4:$F$703=F555)*($Z$4:$Z$703=1)*($P$4:$P$703&gt;P555))+SUMPRODUCT(($K$4:$K$703=K555)*($F$4:$F$703=F555)*($Z$4:$Z$703=1)*($P$4:$P$703=P555)*($C$4:$C$703&lt;C555))+SUMPRODUCT(($K$4:$K$703=K555)*($F$4:$F$703=F555)*($Z$4:$Z$703=1)*($P$4:$P$703=P555)*($C$4:$C$703=C555)*($D$4:$D$703&lt;D555)),0)</f>
        <v>0</v>
      </c>
      <c r="AC555" s="11" t="n">
        <f aca="false">IF(AND(Z555=1,AA555&gt;0,AB555&gt;1),P555,0)</f>
        <v>0</v>
      </c>
    </row>
    <row r="556" customFormat="false" ht="15" hidden="false" customHeight="false" outlineLevel="0" collapsed="false">
      <c r="A556" s="4" t="s">
        <v>809</v>
      </c>
      <c r="B556" s="4" t="s">
        <v>101</v>
      </c>
      <c r="C556" s="4" t="n">
        <v>19</v>
      </c>
      <c r="D556" s="4" t="n">
        <v>553</v>
      </c>
      <c r="E556" s="4" t="s">
        <v>233</v>
      </c>
      <c r="F556" s="4" t="n">
        <v>17</v>
      </c>
      <c r="G556" s="4" t="n">
        <v>14</v>
      </c>
      <c r="H556" s="4" t="n">
        <v>181</v>
      </c>
      <c r="I556" s="13" t="b">
        <f aca="false">FALSE()</f>
        <v>0</v>
      </c>
      <c r="K556" s="4" t="s">
        <v>806</v>
      </c>
      <c r="L556" s="4" t="n">
        <v>24.3</v>
      </c>
      <c r="M556" s="11" t="n">
        <f aca="false">IFERROR(MATCH(Controls!$B$3&amp;"|"&amp;B556,'Scenario inputs'!$A$4:$A$213,0),0)</f>
        <v>150</v>
      </c>
      <c r="N556" s="8" t="b">
        <f aca="false">IF(M556=0,FALSE(),F556&lt;Controls!$B$12)</f>
        <v>1</v>
      </c>
      <c r="O556" s="11" t="n">
        <f aca="false">IF(N556,IF(INDEX('Scenario inputs'!$E$4:$E$213,M556)=0,1,INDEX('Scenario inputs'!$F$4:$M$213,M556,MIN(MAX(F556-G556,0),INDEX('Scenario inputs'!$E$4:$E$213,M556)-1)+1)),0)</f>
        <v>0.666667</v>
      </c>
      <c r="P556" s="11" t="n">
        <f aca="false">H556*O556</f>
        <v>120.666727</v>
      </c>
      <c r="Q556" s="0" t="str">
        <f aca="false">IF(M556=0,"",IF(ISNUMBER(INDEX('Scenario inputs'!$N$4:$N$213,M556)),INDEX('Scenario inputs'!$N$4:$N$213,M556),""))</f>
        <v/>
      </c>
      <c r="R556" s="0" t="str">
        <f aca="false">IF(NOT(N556),"",IF(OR(E556="cash",E556="revenue"),E556,IF(E556="avoided_cost",IF(AND(I556,LEN(TRIM(J556))&gt;0),"avoided_cost_realised","avoided_cost_beside"),IF(ISNUMBER(Q556),"capacity_converted","capacity_hours"))))</f>
        <v>capacity_hours</v>
      </c>
      <c r="S556" s="11" t="n">
        <f aca="false">IF(OR(R556="",R556="capacity_hours"),0,IF(R556="capacity_converted",P556*Q556,P556))</f>
        <v>0</v>
      </c>
      <c r="T556" s="11" t="n">
        <f aca="false">IF(OR(R556="cash",R556="revenue",R556="avoided_cost_realised",R556="capacity_converted"),1,0)</f>
        <v>0</v>
      </c>
      <c r="U556" s="11" t="n">
        <f aca="false">IF(AND(N556,R556&lt;&gt;"capacity_hours",LEN(K556)&gt;0),1,0)</f>
        <v>0</v>
      </c>
      <c r="V556" s="11" t="n">
        <f aca="false">IF(U556=1,SUMPRODUCT(($K$4:$K$703=K556)*($F$4:$F$703=F556)*($U$4:$U$703=1)*($B$4:$B$703&lt;&gt;B556)),0)</f>
        <v>0</v>
      </c>
      <c r="W556" s="11" t="n">
        <f aca="false">IF(AND(U556=1,V556&gt;0),1+SUMPRODUCT(($K$4:$K$703=K556)*($F$4:$F$703=F556)*($U$4:$U$703=1)*($S$4:$S$703&gt;S556))+SUMPRODUCT(($K$4:$K$703=K556)*($F$4:$F$703=F556)*($U$4:$U$703=1)*($S$4:$S$703=S556)*($T$4:$T$703&gt;T556))+SUMPRODUCT(($K$4:$K$703=K556)*($F$4:$F$703=F556)*($U$4:$U$703=1)*($S$4:$S$703=S556)*($T$4:$T$703=T556)*($C$4:$C$703&lt;C556))+SUMPRODUCT(($K$4:$K$703=K556)*($F$4:$F$703=F556)*($U$4:$U$703=1)*($S$4:$S$703=S556)*($T$4:$T$703=T556)*($C$4:$C$703=C556)*($D$4:$D$703&lt;D556)),0)</f>
        <v>0</v>
      </c>
      <c r="X556" s="11" t="n">
        <f aca="false">IF(AND(U556=1,V556&gt;0,W556&gt;1),S556,0)</f>
        <v>0</v>
      </c>
      <c r="Y556" s="11" t="n">
        <f aca="false">IF(T556=1,X556/(1+Controls!$B$11)^F556,0)</f>
        <v>0</v>
      </c>
      <c r="Z556" s="11" t="n">
        <f aca="false">IF(AND(N556,E556="capacity",LEN(K556)&gt;0),1,0)</f>
        <v>1</v>
      </c>
      <c r="AA556" s="11" t="n">
        <f aca="false">IF(Z556=1,SUMPRODUCT(($K$4:$K$703=K556)*($F$4:$F$703=F556)*($Z$4:$Z$703=1)*($B$4:$B$703&lt;&gt;B556)),0)</f>
        <v>0</v>
      </c>
      <c r="AB556" s="11" t="n">
        <f aca="false">IF(AND(Z556=1,AA556&gt;0),1+SUMPRODUCT(($K$4:$K$703=K556)*($F$4:$F$703=F556)*($Z$4:$Z$703=1)*($P$4:$P$703&gt;P556))+SUMPRODUCT(($K$4:$K$703=K556)*($F$4:$F$703=F556)*($Z$4:$Z$703=1)*($P$4:$P$703=P556)*($C$4:$C$703&lt;C556))+SUMPRODUCT(($K$4:$K$703=K556)*($F$4:$F$703=F556)*($Z$4:$Z$703=1)*($P$4:$P$703=P556)*($C$4:$C$703=C556)*($D$4:$D$703&lt;D556)),0)</f>
        <v>0</v>
      </c>
      <c r="AC556" s="11" t="n">
        <f aca="false">IF(AND(Z556=1,AA556&gt;0,AB556&gt;1),P556,0)</f>
        <v>0</v>
      </c>
    </row>
    <row r="557" customFormat="false" ht="15" hidden="false" customHeight="false" outlineLevel="0" collapsed="false">
      <c r="A557" s="4" t="s">
        <v>810</v>
      </c>
      <c r="B557" s="4" t="s">
        <v>101</v>
      </c>
      <c r="C557" s="4" t="n">
        <v>19</v>
      </c>
      <c r="D557" s="4" t="n">
        <v>554</v>
      </c>
      <c r="E557" s="4" t="s">
        <v>233</v>
      </c>
      <c r="F557" s="4" t="n">
        <v>18</v>
      </c>
      <c r="G557" s="4" t="n">
        <v>14</v>
      </c>
      <c r="H557" s="4" t="n">
        <v>181</v>
      </c>
      <c r="I557" s="13" t="b">
        <f aca="false">FALSE()</f>
        <v>0</v>
      </c>
      <c r="K557" s="4" t="s">
        <v>806</v>
      </c>
      <c r="L557" s="4" t="n">
        <v>36.45</v>
      </c>
      <c r="M557" s="11" t="n">
        <f aca="false">IFERROR(MATCH(Controls!$B$3&amp;"|"&amp;B557,'Scenario inputs'!$A$4:$A$213,0),0)</f>
        <v>150</v>
      </c>
      <c r="N557" s="8" t="b">
        <f aca="false">IF(M557=0,FALSE(),F557&lt;Controls!$B$12)</f>
        <v>1</v>
      </c>
      <c r="O557" s="11" t="n">
        <f aca="false">IF(N557,IF(INDEX('Scenario inputs'!$E$4:$E$213,M557)=0,1,INDEX('Scenario inputs'!$F$4:$M$213,M557,MIN(MAX(F557-G557,0),INDEX('Scenario inputs'!$E$4:$E$213,M557)-1)+1)),0)</f>
        <v>1</v>
      </c>
      <c r="P557" s="11" t="n">
        <f aca="false">H557*O557</f>
        <v>181</v>
      </c>
      <c r="Q557" s="0" t="str">
        <f aca="false">IF(M557=0,"",IF(ISNUMBER(INDEX('Scenario inputs'!$N$4:$N$213,M557)),INDEX('Scenario inputs'!$N$4:$N$213,M557),""))</f>
        <v/>
      </c>
      <c r="R557" s="0" t="str">
        <f aca="false">IF(NOT(N557),"",IF(OR(E557="cash",E557="revenue"),E557,IF(E557="avoided_cost",IF(AND(I557,LEN(TRIM(J557))&gt;0),"avoided_cost_realised","avoided_cost_beside"),IF(ISNUMBER(Q557),"capacity_converted","capacity_hours"))))</f>
        <v>capacity_hours</v>
      </c>
      <c r="S557" s="11" t="n">
        <f aca="false">IF(OR(R557="",R557="capacity_hours"),0,IF(R557="capacity_converted",P557*Q557,P557))</f>
        <v>0</v>
      </c>
      <c r="T557" s="11" t="n">
        <f aca="false">IF(OR(R557="cash",R557="revenue",R557="avoided_cost_realised",R557="capacity_converted"),1,0)</f>
        <v>0</v>
      </c>
      <c r="U557" s="11" t="n">
        <f aca="false">IF(AND(N557,R557&lt;&gt;"capacity_hours",LEN(K557)&gt;0),1,0)</f>
        <v>0</v>
      </c>
      <c r="V557" s="11" t="n">
        <f aca="false">IF(U557=1,SUMPRODUCT(($K$4:$K$703=K557)*($F$4:$F$703=F557)*($U$4:$U$703=1)*($B$4:$B$703&lt;&gt;B557)),0)</f>
        <v>0</v>
      </c>
      <c r="W557" s="11" t="n">
        <f aca="false">IF(AND(U557=1,V557&gt;0),1+SUMPRODUCT(($K$4:$K$703=K557)*($F$4:$F$703=F557)*($U$4:$U$703=1)*($S$4:$S$703&gt;S557))+SUMPRODUCT(($K$4:$K$703=K557)*($F$4:$F$703=F557)*($U$4:$U$703=1)*($S$4:$S$703=S557)*($T$4:$T$703&gt;T557))+SUMPRODUCT(($K$4:$K$703=K557)*($F$4:$F$703=F557)*($U$4:$U$703=1)*($S$4:$S$703=S557)*($T$4:$T$703=T557)*($C$4:$C$703&lt;C557))+SUMPRODUCT(($K$4:$K$703=K557)*($F$4:$F$703=F557)*($U$4:$U$703=1)*($S$4:$S$703=S557)*($T$4:$T$703=T557)*($C$4:$C$703=C557)*($D$4:$D$703&lt;D557)),0)</f>
        <v>0</v>
      </c>
      <c r="X557" s="11" t="n">
        <f aca="false">IF(AND(U557=1,V557&gt;0,W557&gt;1),S557,0)</f>
        <v>0</v>
      </c>
      <c r="Y557" s="11" t="n">
        <f aca="false">IF(T557=1,X557/(1+Controls!$B$11)^F557,0)</f>
        <v>0</v>
      </c>
      <c r="Z557" s="11" t="n">
        <f aca="false">IF(AND(N557,E557="capacity",LEN(K557)&gt;0),1,0)</f>
        <v>1</v>
      </c>
      <c r="AA557" s="11" t="n">
        <f aca="false">IF(Z557=1,SUMPRODUCT(($K$4:$K$703=K557)*($F$4:$F$703=F557)*($Z$4:$Z$703=1)*($B$4:$B$703&lt;&gt;B557)),0)</f>
        <v>0</v>
      </c>
      <c r="AB557" s="11" t="n">
        <f aca="false">IF(AND(Z557=1,AA557&gt;0),1+SUMPRODUCT(($K$4:$K$703=K557)*($F$4:$F$703=F557)*($Z$4:$Z$703=1)*($P$4:$P$703&gt;P557))+SUMPRODUCT(($K$4:$K$703=K557)*($F$4:$F$703=F557)*($Z$4:$Z$703=1)*($P$4:$P$703=P557)*($C$4:$C$703&lt;C557))+SUMPRODUCT(($K$4:$K$703=K557)*($F$4:$F$703=F557)*($Z$4:$Z$703=1)*($P$4:$P$703=P557)*($C$4:$C$703=C557)*($D$4:$D$703&lt;D557)),0)</f>
        <v>0</v>
      </c>
      <c r="AC557" s="11" t="n">
        <f aca="false">IF(AND(Z557=1,AA557&gt;0,AB557&gt;1),P557,0)</f>
        <v>0</v>
      </c>
    </row>
    <row r="558" customFormat="false" ht="15" hidden="false" customHeight="false" outlineLevel="0" collapsed="false">
      <c r="A558" s="4" t="s">
        <v>811</v>
      </c>
      <c r="B558" s="4" t="s">
        <v>101</v>
      </c>
      <c r="C558" s="4" t="n">
        <v>19</v>
      </c>
      <c r="D558" s="4" t="n">
        <v>555</v>
      </c>
      <c r="E558" s="4" t="s">
        <v>233</v>
      </c>
      <c r="F558" s="4" t="n">
        <v>19</v>
      </c>
      <c r="G558" s="4" t="n">
        <v>14</v>
      </c>
      <c r="H558" s="4" t="n">
        <v>181</v>
      </c>
      <c r="I558" s="13" t="b">
        <f aca="false">FALSE()</f>
        <v>0</v>
      </c>
      <c r="K558" s="4" t="s">
        <v>806</v>
      </c>
      <c r="L558" s="4" t="n">
        <v>36.45</v>
      </c>
      <c r="M558" s="11" t="n">
        <f aca="false">IFERROR(MATCH(Controls!$B$3&amp;"|"&amp;B558,'Scenario inputs'!$A$4:$A$213,0),0)</f>
        <v>150</v>
      </c>
      <c r="N558" s="8" t="b">
        <f aca="false">IF(M558=0,FALSE(),F558&lt;Controls!$B$12)</f>
        <v>1</v>
      </c>
      <c r="O558" s="11" t="n">
        <f aca="false">IF(N558,IF(INDEX('Scenario inputs'!$E$4:$E$213,M558)=0,1,INDEX('Scenario inputs'!$F$4:$M$213,M558,MIN(MAX(F558-G558,0),INDEX('Scenario inputs'!$E$4:$E$213,M558)-1)+1)),0)</f>
        <v>1</v>
      </c>
      <c r="P558" s="11" t="n">
        <f aca="false">H558*O558</f>
        <v>181</v>
      </c>
      <c r="Q558" s="0" t="str">
        <f aca="false">IF(M558=0,"",IF(ISNUMBER(INDEX('Scenario inputs'!$N$4:$N$213,M558)),INDEX('Scenario inputs'!$N$4:$N$213,M558),""))</f>
        <v/>
      </c>
      <c r="R558" s="0" t="str">
        <f aca="false">IF(NOT(N558),"",IF(OR(E558="cash",E558="revenue"),E558,IF(E558="avoided_cost",IF(AND(I558,LEN(TRIM(J558))&gt;0),"avoided_cost_realised","avoided_cost_beside"),IF(ISNUMBER(Q558),"capacity_converted","capacity_hours"))))</f>
        <v>capacity_hours</v>
      </c>
      <c r="S558" s="11" t="n">
        <f aca="false">IF(OR(R558="",R558="capacity_hours"),0,IF(R558="capacity_converted",P558*Q558,P558))</f>
        <v>0</v>
      </c>
      <c r="T558" s="11" t="n">
        <f aca="false">IF(OR(R558="cash",R558="revenue",R558="avoided_cost_realised",R558="capacity_converted"),1,0)</f>
        <v>0</v>
      </c>
      <c r="U558" s="11" t="n">
        <f aca="false">IF(AND(N558,R558&lt;&gt;"capacity_hours",LEN(K558)&gt;0),1,0)</f>
        <v>0</v>
      </c>
      <c r="V558" s="11" t="n">
        <f aca="false">IF(U558=1,SUMPRODUCT(($K$4:$K$703=K558)*($F$4:$F$703=F558)*($U$4:$U$703=1)*($B$4:$B$703&lt;&gt;B558)),0)</f>
        <v>0</v>
      </c>
      <c r="W558" s="11" t="n">
        <f aca="false">IF(AND(U558=1,V558&gt;0),1+SUMPRODUCT(($K$4:$K$703=K558)*($F$4:$F$703=F558)*($U$4:$U$703=1)*($S$4:$S$703&gt;S558))+SUMPRODUCT(($K$4:$K$703=K558)*($F$4:$F$703=F558)*($U$4:$U$703=1)*($S$4:$S$703=S558)*($T$4:$T$703&gt;T558))+SUMPRODUCT(($K$4:$K$703=K558)*($F$4:$F$703=F558)*($U$4:$U$703=1)*($S$4:$S$703=S558)*($T$4:$T$703=T558)*($C$4:$C$703&lt;C558))+SUMPRODUCT(($K$4:$K$703=K558)*($F$4:$F$703=F558)*($U$4:$U$703=1)*($S$4:$S$703=S558)*($T$4:$T$703=T558)*($C$4:$C$703=C558)*($D$4:$D$703&lt;D558)),0)</f>
        <v>0</v>
      </c>
      <c r="X558" s="11" t="n">
        <f aca="false">IF(AND(U558=1,V558&gt;0,W558&gt;1),S558,0)</f>
        <v>0</v>
      </c>
      <c r="Y558" s="11" t="n">
        <f aca="false">IF(T558=1,X558/(1+Controls!$B$11)^F558,0)</f>
        <v>0</v>
      </c>
      <c r="Z558" s="11" t="n">
        <f aca="false">IF(AND(N558,E558="capacity",LEN(K558)&gt;0),1,0)</f>
        <v>1</v>
      </c>
      <c r="AA558" s="11" t="n">
        <f aca="false">IF(Z558=1,SUMPRODUCT(($K$4:$K$703=K558)*($F$4:$F$703=F558)*($Z$4:$Z$703=1)*($B$4:$B$703&lt;&gt;B558)),0)</f>
        <v>0</v>
      </c>
      <c r="AB558" s="11" t="n">
        <f aca="false">IF(AND(Z558=1,AA558&gt;0),1+SUMPRODUCT(($K$4:$K$703=K558)*($F$4:$F$703=F558)*($Z$4:$Z$703=1)*($P$4:$P$703&gt;P558))+SUMPRODUCT(($K$4:$K$703=K558)*($F$4:$F$703=F558)*($Z$4:$Z$703=1)*($P$4:$P$703=P558)*($C$4:$C$703&lt;C558))+SUMPRODUCT(($K$4:$K$703=K558)*($F$4:$F$703=F558)*($Z$4:$Z$703=1)*($P$4:$P$703=P558)*($C$4:$C$703=C558)*($D$4:$D$703&lt;D558)),0)</f>
        <v>0</v>
      </c>
      <c r="AC558" s="11" t="n">
        <f aca="false">IF(AND(Z558=1,AA558&gt;0,AB558&gt;1),P558,0)</f>
        <v>0</v>
      </c>
    </row>
    <row r="559" customFormat="false" ht="15" hidden="false" customHeight="false" outlineLevel="0" collapsed="false">
      <c r="A559" s="4" t="s">
        <v>812</v>
      </c>
      <c r="B559" s="4" t="s">
        <v>101</v>
      </c>
      <c r="C559" s="4" t="n">
        <v>19</v>
      </c>
      <c r="D559" s="4" t="n">
        <v>556</v>
      </c>
      <c r="E559" s="4" t="s">
        <v>233</v>
      </c>
      <c r="F559" s="4" t="n">
        <v>20</v>
      </c>
      <c r="G559" s="4" t="n">
        <v>14</v>
      </c>
      <c r="H559" s="4" t="n">
        <v>181</v>
      </c>
      <c r="I559" s="13" t="b">
        <f aca="false">FALSE()</f>
        <v>0</v>
      </c>
      <c r="K559" s="4" t="s">
        <v>806</v>
      </c>
      <c r="L559" s="4" t="n">
        <v>36.45</v>
      </c>
      <c r="M559" s="11" t="n">
        <f aca="false">IFERROR(MATCH(Controls!$B$3&amp;"|"&amp;B559,'Scenario inputs'!$A$4:$A$213,0),0)</f>
        <v>150</v>
      </c>
      <c r="N559" s="8" t="b">
        <f aca="false">IF(M559=0,FALSE(),F559&lt;Controls!$B$12)</f>
        <v>1</v>
      </c>
      <c r="O559" s="11" t="n">
        <f aca="false">IF(N559,IF(INDEX('Scenario inputs'!$E$4:$E$213,M559)=0,1,INDEX('Scenario inputs'!$F$4:$M$213,M559,MIN(MAX(F559-G559,0),INDEX('Scenario inputs'!$E$4:$E$213,M559)-1)+1)),0)</f>
        <v>1</v>
      </c>
      <c r="P559" s="11" t="n">
        <f aca="false">H559*O559</f>
        <v>181</v>
      </c>
      <c r="Q559" s="0" t="str">
        <f aca="false">IF(M559=0,"",IF(ISNUMBER(INDEX('Scenario inputs'!$N$4:$N$213,M559)),INDEX('Scenario inputs'!$N$4:$N$213,M559),""))</f>
        <v/>
      </c>
      <c r="R559" s="0" t="str">
        <f aca="false">IF(NOT(N559),"",IF(OR(E559="cash",E559="revenue"),E559,IF(E559="avoided_cost",IF(AND(I559,LEN(TRIM(J559))&gt;0),"avoided_cost_realised","avoided_cost_beside"),IF(ISNUMBER(Q559),"capacity_converted","capacity_hours"))))</f>
        <v>capacity_hours</v>
      </c>
      <c r="S559" s="11" t="n">
        <f aca="false">IF(OR(R559="",R559="capacity_hours"),0,IF(R559="capacity_converted",P559*Q559,P559))</f>
        <v>0</v>
      </c>
      <c r="T559" s="11" t="n">
        <f aca="false">IF(OR(R559="cash",R559="revenue",R559="avoided_cost_realised",R559="capacity_converted"),1,0)</f>
        <v>0</v>
      </c>
      <c r="U559" s="11" t="n">
        <f aca="false">IF(AND(N559,R559&lt;&gt;"capacity_hours",LEN(K559)&gt;0),1,0)</f>
        <v>0</v>
      </c>
      <c r="V559" s="11" t="n">
        <f aca="false">IF(U559=1,SUMPRODUCT(($K$4:$K$703=K559)*($F$4:$F$703=F559)*($U$4:$U$703=1)*($B$4:$B$703&lt;&gt;B559)),0)</f>
        <v>0</v>
      </c>
      <c r="W559" s="11" t="n">
        <f aca="false">IF(AND(U559=1,V559&gt;0),1+SUMPRODUCT(($K$4:$K$703=K559)*($F$4:$F$703=F559)*($U$4:$U$703=1)*($S$4:$S$703&gt;S559))+SUMPRODUCT(($K$4:$K$703=K559)*($F$4:$F$703=F559)*($U$4:$U$703=1)*($S$4:$S$703=S559)*($T$4:$T$703&gt;T559))+SUMPRODUCT(($K$4:$K$703=K559)*($F$4:$F$703=F559)*($U$4:$U$703=1)*($S$4:$S$703=S559)*($T$4:$T$703=T559)*($C$4:$C$703&lt;C559))+SUMPRODUCT(($K$4:$K$703=K559)*($F$4:$F$703=F559)*($U$4:$U$703=1)*($S$4:$S$703=S559)*($T$4:$T$703=T559)*($C$4:$C$703=C559)*($D$4:$D$703&lt;D559)),0)</f>
        <v>0</v>
      </c>
      <c r="X559" s="11" t="n">
        <f aca="false">IF(AND(U559=1,V559&gt;0,W559&gt;1),S559,0)</f>
        <v>0</v>
      </c>
      <c r="Y559" s="11" t="n">
        <f aca="false">IF(T559=1,X559/(1+Controls!$B$11)^F559,0)</f>
        <v>0</v>
      </c>
      <c r="Z559" s="11" t="n">
        <f aca="false">IF(AND(N559,E559="capacity",LEN(K559)&gt;0),1,0)</f>
        <v>1</v>
      </c>
      <c r="AA559" s="11" t="n">
        <f aca="false">IF(Z559=1,SUMPRODUCT(($K$4:$K$703=K559)*($F$4:$F$703=F559)*($Z$4:$Z$703=1)*($B$4:$B$703&lt;&gt;B559)),0)</f>
        <v>0</v>
      </c>
      <c r="AB559" s="11" t="n">
        <f aca="false">IF(AND(Z559=1,AA559&gt;0),1+SUMPRODUCT(($K$4:$K$703=K559)*($F$4:$F$703=F559)*($Z$4:$Z$703=1)*($P$4:$P$703&gt;P559))+SUMPRODUCT(($K$4:$K$703=K559)*($F$4:$F$703=F559)*($Z$4:$Z$703=1)*($P$4:$P$703=P559)*($C$4:$C$703&lt;C559))+SUMPRODUCT(($K$4:$K$703=K559)*($F$4:$F$703=F559)*($Z$4:$Z$703=1)*($P$4:$P$703=P559)*($C$4:$C$703=C559)*($D$4:$D$703&lt;D559)),0)</f>
        <v>0</v>
      </c>
      <c r="AC559" s="11" t="n">
        <f aca="false">IF(AND(Z559=1,AA559&gt;0,AB559&gt;1),P559,0)</f>
        <v>0</v>
      </c>
    </row>
    <row r="560" customFormat="false" ht="15" hidden="false" customHeight="false" outlineLevel="0" collapsed="false">
      <c r="A560" s="4" t="s">
        <v>813</v>
      </c>
      <c r="B560" s="4" t="s">
        <v>101</v>
      </c>
      <c r="C560" s="4" t="n">
        <v>19</v>
      </c>
      <c r="D560" s="4" t="n">
        <v>557</v>
      </c>
      <c r="E560" s="4" t="s">
        <v>233</v>
      </c>
      <c r="F560" s="4" t="n">
        <v>21</v>
      </c>
      <c r="G560" s="4" t="n">
        <v>14</v>
      </c>
      <c r="H560" s="4" t="n">
        <v>181</v>
      </c>
      <c r="I560" s="13" t="b">
        <f aca="false">FALSE()</f>
        <v>0</v>
      </c>
      <c r="K560" s="4" t="s">
        <v>806</v>
      </c>
      <c r="L560" s="4" t="n">
        <v>36.45</v>
      </c>
      <c r="M560" s="11" t="n">
        <f aca="false">IFERROR(MATCH(Controls!$B$3&amp;"|"&amp;B560,'Scenario inputs'!$A$4:$A$213,0),0)</f>
        <v>150</v>
      </c>
      <c r="N560" s="8" t="b">
        <f aca="false">IF(M560=0,FALSE(),F560&lt;Controls!$B$12)</f>
        <v>1</v>
      </c>
      <c r="O560" s="11" t="n">
        <f aca="false">IF(N560,IF(INDEX('Scenario inputs'!$E$4:$E$213,M560)=0,1,INDEX('Scenario inputs'!$F$4:$M$213,M560,MIN(MAX(F560-G560,0),INDEX('Scenario inputs'!$E$4:$E$213,M560)-1)+1)),0)</f>
        <v>1</v>
      </c>
      <c r="P560" s="11" t="n">
        <f aca="false">H560*O560</f>
        <v>181</v>
      </c>
      <c r="Q560" s="0" t="str">
        <f aca="false">IF(M560=0,"",IF(ISNUMBER(INDEX('Scenario inputs'!$N$4:$N$213,M560)),INDEX('Scenario inputs'!$N$4:$N$213,M560),""))</f>
        <v/>
      </c>
      <c r="R560" s="0" t="str">
        <f aca="false">IF(NOT(N560),"",IF(OR(E560="cash",E560="revenue"),E560,IF(E560="avoided_cost",IF(AND(I560,LEN(TRIM(J560))&gt;0),"avoided_cost_realised","avoided_cost_beside"),IF(ISNUMBER(Q560),"capacity_converted","capacity_hours"))))</f>
        <v>capacity_hours</v>
      </c>
      <c r="S560" s="11" t="n">
        <f aca="false">IF(OR(R560="",R560="capacity_hours"),0,IF(R560="capacity_converted",P560*Q560,P560))</f>
        <v>0</v>
      </c>
      <c r="T560" s="11" t="n">
        <f aca="false">IF(OR(R560="cash",R560="revenue",R560="avoided_cost_realised",R560="capacity_converted"),1,0)</f>
        <v>0</v>
      </c>
      <c r="U560" s="11" t="n">
        <f aca="false">IF(AND(N560,R560&lt;&gt;"capacity_hours",LEN(K560)&gt;0),1,0)</f>
        <v>0</v>
      </c>
      <c r="V560" s="11" t="n">
        <f aca="false">IF(U560=1,SUMPRODUCT(($K$4:$K$703=K560)*($F$4:$F$703=F560)*($U$4:$U$703=1)*($B$4:$B$703&lt;&gt;B560)),0)</f>
        <v>0</v>
      </c>
      <c r="W560" s="11" t="n">
        <f aca="false">IF(AND(U560=1,V560&gt;0),1+SUMPRODUCT(($K$4:$K$703=K560)*($F$4:$F$703=F560)*($U$4:$U$703=1)*($S$4:$S$703&gt;S560))+SUMPRODUCT(($K$4:$K$703=K560)*($F$4:$F$703=F560)*($U$4:$U$703=1)*($S$4:$S$703=S560)*($T$4:$T$703&gt;T560))+SUMPRODUCT(($K$4:$K$703=K560)*($F$4:$F$703=F560)*($U$4:$U$703=1)*($S$4:$S$703=S560)*($T$4:$T$703=T560)*($C$4:$C$703&lt;C560))+SUMPRODUCT(($K$4:$K$703=K560)*($F$4:$F$703=F560)*($U$4:$U$703=1)*($S$4:$S$703=S560)*($T$4:$T$703=T560)*($C$4:$C$703=C560)*($D$4:$D$703&lt;D560)),0)</f>
        <v>0</v>
      </c>
      <c r="X560" s="11" t="n">
        <f aca="false">IF(AND(U560=1,V560&gt;0,W560&gt;1),S560,0)</f>
        <v>0</v>
      </c>
      <c r="Y560" s="11" t="n">
        <f aca="false">IF(T560=1,X560/(1+Controls!$B$11)^F560,0)</f>
        <v>0</v>
      </c>
      <c r="Z560" s="11" t="n">
        <f aca="false">IF(AND(N560,E560="capacity",LEN(K560)&gt;0),1,0)</f>
        <v>1</v>
      </c>
      <c r="AA560" s="11" t="n">
        <f aca="false">IF(Z560=1,SUMPRODUCT(($K$4:$K$703=K560)*($F$4:$F$703=F560)*($Z$4:$Z$703=1)*($B$4:$B$703&lt;&gt;B560)),0)</f>
        <v>0</v>
      </c>
      <c r="AB560" s="11" t="n">
        <f aca="false">IF(AND(Z560=1,AA560&gt;0),1+SUMPRODUCT(($K$4:$K$703=K560)*($F$4:$F$703=F560)*($Z$4:$Z$703=1)*($P$4:$P$703&gt;P560))+SUMPRODUCT(($K$4:$K$703=K560)*($F$4:$F$703=F560)*($Z$4:$Z$703=1)*($P$4:$P$703=P560)*($C$4:$C$703&lt;C560))+SUMPRODUCT(($K$4:$K$703=K560)*($F$4:$F$703=F560)*($Z$4:$Z$703=1)*($P$4:$P$703=P560)*($C$4:$C$703=C560)*($D$4:$D$703&lt;D560)),0)</f>
        <v>0</v>
      </c>
      <c r="AC560" s="11" t="n">
        <f aca="false">IF(AND(Z560=1,AA560&gt;0,AB560&gt;1),P560,0)</f>
        <v>0</v>
      </c>
    </row>
    <row r="561" customFormat="false" ht="15" hidden="false" customHeight="false" outlineLevel="0" collapsed="false">
      <c r="A561" s="4" t="s">
        <v>814</v>
      </c>
      <c r="B561" s="4" t="s">
        <v>101</v>
      </c>
      <c r="C561" s="4" t="n">
        <v>19</v>
      </c>
      <c r="D561" s="4" t="n">
        <v>558</v>
      </c>
      <c r="E561" s="4" t="s">
        <v>233</v>
      </c>
      <c r="F561" s="4" t="n">
        <v>22</v>
      </c>
      <c r="G561" s="4" t="n">
        <v>14</v>
      </c>
      <c r="H561" s="4" t="n">
        <v>181</v>
      </c>
      <c r="I561" s="13" t="b">
        <f aca="false">FALSE()</f>
        <v>0</v>
      </c>
      <c r="K561" s="4" t="s">
        <v>806</v>
      </c>
      <c r="L561" s="4" t="n">
        <v>36.45</v>
      </c>
      <c r="M561" s="11" t="n">
        <f aca="false">IFERROR(MATCH(Controls!$B$3&amp;"|"&amp;B561,'Scenario inputs'!$A$4:$A$213,0),0)</f>
        <v>150</v>
      </c>
      <c r="N561" s="8" t="b">
        <f aca="false">IF(M561=0,FALSE(),F561&lt;Controls!$B$12)</f>
        <v>1</v>
      </c>
      <c r="O561" s="11" t="n">
        <f aca="false">IF(N561,IF(INDEX('Scenario inputs'!$E$4:$E$213,M561)=0,1,INDEX('Scenario inputs'!$F$4:$M$213,M561,MIN(MAX(F561-G561,0),INDEX('Scenario inputs'!$E$4:$E$213,M561)-1)+1)),0)</f>
        <v>1</v>
      </c>
      <c r="P561" s="11" t="n">
        <f aca="false">H561*O561</f>
        <v>181</v>
      </c>
      <c r="Q561" s="0" t="str">
        <f aca="false">IF(M561=0,"",IF(ISNUMBER(INDEX('Scenario inputs'!$N$4:$N$213,M561)),INDEX('Scenario inputs'!$N$4:$N$213,M561),""))</f>
        <v/>
      </c>
      <c r="R561" s="0" t="str">
        <f aca="false">IF(NOT(N561),"",IF(OR(E561="cash",E561="revenue"),E561,IF(E561="avoided_cost",IF(AND(I561,LEN(TRIM(J561))&gt;0),"avoided_cost_realised","avoided_cost_beside"),IF(ISNUMBER(Q561),"capacity_converted","capacity_hours"))))</f>
        <v>capacity_hours</v>
      </c>
      <c r="S561" s="11" t="n">
        <f aca="false">IF(OR(R561="",R561="capacity_hours"),0,IF(R561="capacity_converted",P561*Q561,P561))</f>
        <v>0</v>
      </c>
      <c r="T561" s="11" t="n">
        <f aca="false">IF(OR(R561="cash",R561="revenue",R561="avoided_cost_realised",R561="capacity_converted"),1,0)</f>
        <v>0</v>
      </c>
      <c r="U561" s="11" t="n">
        <f aca="false">IF(AND(N561,R561&lt;&gt;"capacity_hours",LEN(K561)&gt;0),1,0)</f>
        <v>0</v>
      </c>
      <c r="V561" s="11" t="n">
        <f aca="false">IF(U561=1,SUMPRODUCT(($K$4:$K$703=K561)*($F$4:$F$703=F561)*($U$4:$U$703=1)*($B$4:$B$703&lt;&gt;B561)),0)</f>
        <v>0</v>
      </c>
      <c r="W561" s="11" t="n">
        <f aca="false">IF(AND(U561=1,V561&gt;0),1+SUMPRODUCT(($K$4:$K$703=K561)*($F$4:$F$703=F561)*($U$4:$U$703=1)*($S$4:$S$703&gt;S561))+SUMPRODUCT(($K$4:$K$703=K561)*($F$4:$F$703=F561)*($U$4:$U$703=1)*($S$4:$S$703=S561)*($T$4:$T$703&gt;T561))+SUMPRODUCT(($K$4:$K$703=K561)*($F$4:$F$703=F561)*($U$4:$U$703=1)*($S$4:$S$703=S561)*($T$4:$T$703=T561)*($C$4:$C$703&lt;C561))+SUMPRODUCT(($K$4:$K$703=K561)*($F$4:$F$703=F561)*($U$4:$U$703=1)*($S$4:$S$703=S561)*($T$4:$T$703=T561)*($C$4:$C$703=C561)*($D$4:$D$703&lt;D561)),0)</f>
        <v>0</v>
      </c>
      <c r="X561" s="11" t="n">
        <f aca="false">IF(AND(U561=1,V561&gt;0,W561&gt;1),S561,0)</f>
        <v>0</v>
      </c>
      <c r="Y561" s="11" t="n">
        <f aca="false">IF(T561=1,X561/(1+Controls!$B$11)^F561,0)</f>
        <v>0</v>
      </c>
      <c r="Z561" s="11" t="n">
        <f aca="false">IF(AND(N561,E561="capacity",LEN(K561)&gt;0),1,0)</f>
        <v>1</v>
      </c>
      <c r="AA561" s="11" t="n">
        <f aca="false">IF(Z561=1,SUMPRODUCT(($K$4:$K$703=K561)*($F$4:$F$703=F561)*($Z$4:$Z$703=1)*($B$4:$B$703&lt;&gt;B561)),0)</f>
        <v>0</v>
      </c>
      <c r="AB561" s="11" t="n">
        <f aca="false">IF(AND(Z561=1,AA561&gt;0),1+SUMPRODUCT(($K$4:$K$703=K561)*($F$4:$F$703=F561)*($Z$4:$Z$703=1)*($P$4:$P$703&gt;P561))+SUMPRODUCT(($K$4:$K$703=K561)*($F$4:$F$703=F561)*($Z$4:$Z$703=1)*($P$4:$P$703=P561)*($C$4:$C$703&lt;C561))+SUMPRODUCT(($K$4:$K$703=K561)*($F$4:$F$703=F561)*($Z$4:$Z$703=1)*($P$4:$P$703=P561)*($C$4:$C$703=C561)*($D$4:$D$703&lt;D561)),0)</f>
        <v>0</v>
      </c>
      <c r="AC561" s="11" t="n">
        <f aca="false">IF(AND(Z561=1,AA561&gt;0,AB561&gt;1),P561,0)</f>
        <v>0</v>
      </c>
    </row>
    <row r="562" customFormat="false" ht="15" hidden="false" customHeight="false" outlineLevel="0" collapsed="false">
      <c r="A562" s="4" t="s">
        <v>815</v>
      </c>
      <c r="B562" s="4" t="s">
        <v>101</v>
      </c>
      <c r="C562" s="4" t="n">
        <v>19</v>
      </c>
      <c r="D562" s="4" t="n">
        <v>559</v>
      </c>
      <c r="E562" s="4" t="s">
        <v>233</v>
      </c>
      <c r="F562" s="4" t="n">
        <v>23</v>
      </c>
      <c r="G562" s="4" t="n">
        <v>14</v>
      </c>
      <c r="H562" s="4" t="n">
        <v>181</v>
      </c>
      <c r="I562" s="13" t="b">
        <f aca="false">FALSE()</f>
        <v>0</v>
      </c>
      <c r="K562" s="4" t="s">
        <v>806</v>
      </c>
      <c r="L562" s="4" t="n">
        <v>36.45</v>
      </c>
      <c r="M562" s="11" t="n">
        <f aca="false">IFERROR(MATCH(Controls!$B$3&amp;"|"&amp;B562,'Scenario inputs'!$A$4:$A$213,0),0)</f>
        <v>150</v>
      </c>
      <c r="N562" s="8" t="b">
        <f aca="false">IF(M562=0,FALSE(),F562&lt;Controls!$B$12)</f>
        <v>1</v>
      </c>
      <c r="O562" s="11" t="n">
        <f aca="false">IF(N562,IF(INDEX('Scenario inputs'!$E$4:$E$213,M562)=0,1,INDEX('Scenario inputs'!$F$4:$M$213,M562,MIN(MAX(F562-G562,0),INDEX('Scenario inputs'!$E$4:$E$213,M562)-1)+1)),0)</f>
        <v>1</v>
      </c>
      <c r="P562" s="11" t="n">
        <f aca="false">H562*O562</f>
        <v>181</v>
      </c>
      <c r="Q562" s="0" t="str">
        <f aca="false">IF(M562=0,"",IF(ISNUMBER(INDEX('Scenario inputs'!$N$4:$N$213,M562)),INDEX('Scenario inputs'!$N$4:$N$213,M562),""))</f>
        <v/>
      </c>
      <c r="R562" s="0" t="str">
        <f aca="false">IF(NOT(N562),"",IF(OR(E562="cash",E562="revenue"),E562,IF(E562="avoided_cost",IF(AND(I562,LEN(TRIM(J562))&gt;0),"avoided_cost_realised","avoided_cost_beside"),IF(ISNUMBER(Q562),"capacity_converted","capacity_hours"))))</f>
        <v>capacity_hours</v>
      </c>
      <c r="S562" s="11" t="n">
        <f aca="false">IF(OR(R562="",R562="capacity_hours"),0,IF(R562="capacity_converted",P562*Q562,P562))</f>
        <v>0</v>
      </c>
      <c r="T562" s="11" t="n">
        <f aca="false">IF(OR(R562="cash",R562="revenue",R562="avoided_cost_realised",R562="capacity_converted"),1,0)</f>
        <v>0</v>
      </c>
      <c r="U562" s="11" t="n">
        <f aca="false">IF(AND(N562,R562&lt;&gt;"capacity_hours",LEN(K562)&gt;0),1,0)</f>
        <v>0</v>
      </c>
      <c r="V562" s="11" t="n">
        <f aca="false">IF(U562=1,SUMPRODUCT(($K$4:$K$703=K562)*($F$4:$F$703=F562)*($U$4:$U$703=1)*($B$4:$B$703&lt;&gt;B562)),0)</f>
        <v>0</v>
      </c>
      <c r="W562" s="11" t="n">
        <f aca="false">IF(AND(U562=1,V562&gt;0),1+SUMPRODUCT(($K$4:$K$703=K562)*($F$4:$F$703=F562)*($U$4:$U$703=1)*($S$4:$S$703&gt;S562))+SUMPRODUCT(($K$4:$K$703=K562)*($F$4:$F$703=F562)*($U$4:$U$703=1)*($S$4:$S$703=S562)*($T$4:$T$703&gt;T562))+SUMPRODUCT(($K$4:$K$703=K562)*($F$4:$F$703=F562)*($U$4:$U$703=1)*($S$4:$S$703=S562)*($T$4:$T$703=T562)*($C$4:$C$703&lt;C562))+SUMPRODUCT(($K$4:$K$703=K562)*($F$4:$F$703=F562)*($U$4:$U$703=1)*($S$4:$S$703=S562)*($T$4:$T$703=T562)*($C$4:$C$703=C562)*($D$4:$D$703&lt;D562)),0)</f>
        <v>0</v>
      </c>
      <c r="X562" s="11" t="n">
        <f aca="false">IF(AND(U562=1,V562&gt;0,W562&gt;1),S562,0)</f>
        <v>0</v>
      </c>
      <c r="Y562" s="11" t="n">
        <f aca="false">IF(T562=1,X562/(1+Controls!$B$11)^F562,0)</f>
        <v>0</v>
      </c>
      <c r="Z562" s="11" t="n">
        <f aca="false">IF(AND(N562,E562="capacity",LEN(K562)&gt;0),1,0)</f>
        <v>1</v>
      </c>
      <c r="AA562" s="11" t="n">
        <f aca="false">IF(Z562=1,SUMPRODUCT(($K$4:$K$703=K562)*($F$4:$F$703=F562)*($Z$4:$Z$703=1)*($B$4:$B$703&lt;&gt;B562)),0)</f>
        <v>0</v>
      </c>
      <c r="AB562" s="11" t="n">
        <f aca="false">IF(AND(Z562=1,AA562&gt;0),1+SUMPRODUCT(($K$4:$K$703=K562)*($F$4:$F$703=F562)*($Z$4:$Z$703=1)*($P$4:$P$703&gt;P562))+SUMPRODUCT(($K$4:$K$703=K562)*($F$4:$F$703=F562)*($Z$4:$Z$703=1)*($P$4:$P$703=P562)*($C$4:$C$703&lt;C562))+SUMPRODUCT(($K$4:$K$703=K562)*($F$4:$F$703=F562)*($Z$4:$Z$703=1)*($P$4:$P$703=P562)*($C$4:$C$703=C562)*($D$4:$D$703&lt;D562)),0)</f>
        <v>0</v>
      </c>
      <c r="AC562" s="11" t="n">
        <f aca="false">IF(AND(Z562=1,AA562&gt;0,AB562&gt;1),P562,0)</f>
        <v>0</v>
      </c>
    </row>
    <row r="563" customFormat="false" ht="15" hidden="false" customHeight="false" outlineLevel="0" collapsed="false">
      <c r="A563" s="4" t="s">
        <v>816</v>
      </c>
      <c r="B563" s="4" t="s">
        <v>101</v>
      </c>
      <c r="C563" s="4" t="n">
        <v>19</v>
      </c>
      <c r="D563" s="4" t="n">
        <v>560</v>
      </c>
      <c r="E563" s="4" t="s">
        <v>233</v>
      </c>
      <c r="F563" s="4" t="n">
        <v>24</v>
      </c>
      <c r="G563" s="4" t="n">
        <v>14</v>
      </c>
      <c r="H563" s="4" t="n">
        <v>181</v>
      </c>
      <c r="I563" s="13" t="b">
        <f aca="false">FALSE()</f>
        <v>0</v>
      </c>
      <c r="K563" s="4" t="s">
        <v>806</v>
      </c>
      <c r="L563" s="4" t="n">
        <v>36.45</v>
      </c>
      <c r="M563" s="11" t="n">
        <f aca="false">IFERROR(MATCH(Controls!$B$3&amp;"|"&amp;B563,'Scenario inputs'!$A$4:$A$213,0),0)</f>
        <v>150</v>
      </c>
      <c r="N563" s="8" t="b">
        <f aca="false">IF(M563=0,FALSE(),F563&lt;Controls!$B$12)</f>
        <v>1</v>
      </c>
      <c r="O563" s="11" t="n">
        <f aca="false">IF(N563,IF(INDEX('Scenario inputs'!$E$4:$E$213,M563)=0,1,INDEX('Scenario inputs'!$F$4:$M$213,M563,MIN(MAX(F563-G563,0),INDEX('Scenario inputs'!$E$4:$E$213,M563)-1)+1)),0)</f>
        <v>1</v>
      </c>
      <c r="P563" s="11" t="n">
        <f aca="false">H563*O563</f>
        <v>181</v>
      </c>
      <c r="Q563" s="0" t="str">
        <f aca="false">IF(M563=0,"",IF(ISNUMBER(INDEX('Scenario inputs'!$N$4:$N$213,M563)),INDEX('Scenario inputs'!$N$4:$N$213,M563),""))</f>
        <v/>
      </c>
      <c r="R563" s="0" t="str">
        <f aca="false">IF(NOT(N563),"",IF(OR(E563="cash",E563="revenue"),E563,IF(E563="avoided_cost",IF(AND(I563,LEN(TRIM(J563))&gt;0),"avoided_cost_realised","avoided_cost_beside"),IF(ISNUMBER(Q563),"capacity_converted","capacity_hours"))))</f>
        <v>capacity_hours</v>
      </c>
      <c r="S563" s="11" t="n">
        <f aca="false">IF(OR(R563="",R563="capacity_hours"),0,IF(R563="capacity_converted",P563*Q563,P563))</f>
        <v>0</v>
      </c>
      <c r="T563" s="11" t="n">
        <f aca="false">IF(OR(R563="cash",R563="revenue",R563="avoided_cost_realised",R563="capacity_converted"),1,0)</f>
        <v>0</v>
      </c>
      <c r="U563" s="11" t="n">
        <f aca="false">IF(AND(N563,R563&lt;&gt;"capacity_hours",LEN(K563)&gt;0),1,0)</f>
        <v>0</v>
      </c>
      <c r="V563" s="11" t="n">
        <f aca="false">IF(U563=1,SUMPRODUCT(($K$4:$K$703=K563)*($F$4:$F$703=F563)*($U$4:$U$703=1)*($B$4:$B$703&lt;&gt;B563)),0)</f>
        <v>0</v>
      </c>
      <c r="W563" s="11" t="n">
        <f aca="false">IF(AND(U563=1,V563&gt;0),1+SUMPRODUCT(($K$4:$K$703=K563)*($F$4:$F$703=F563)*($U$4:$U$703=1)*($S$4:$S$703&gt;S563))+SUMPRODUCT(($K$4:$K$703=K563)*($F$4:$F$703=F563)*($U$4:$U$703=1)*($S$4:$S$703=S563)*($T$4:$T$703&gt;T563))+SUMPRODUCT(($K$4:$K$703=K563)*($F$4:$F$703=F563)*($U$4:$U$703=1)*($S$4:$S$703=S563)*($T$4:$T$703=T563)*($C$4:$C$703&lt;C563))+SUMPRODUCT(($K$4:$K$703=K563)*($F$4:$F$703=F563)*($U$4:$U$703=1)*($S$4:$S$703=S563)*($T$4:$T$703=T563)*($C$4:$C$703=C563)*($D$4:$D$703&lt;D563)),0)</f>
        <v>0</v>
      </c>
      <c r="X563" s="11" t="n">
        <f aca="false">IF(AND(U563=1,V563&gt;0,W563&gt;1),S563,0)</f>
        <v>0</v>
      </c>
      <c r="Y563" s="11" t="n">
        <f aca="false">IF(T563=1,X563/(1+Controls!$B$11)^F563,0)</f>
        <v>0</v>
      </c>
      <c r="Z563" s="11" t="n">
        <f aca="false">IF(AND(N563,E563="capacity",LEN(K563)&gt;0),1,0)</f>
        <v>1</v>
      </c>
      <c r="AA563" s="11" t="n">
        <f aca="false">IF(Z563=1,SUMPRODUCT(($K$4:$K$703=K563)*($F$4:$F$703=F563)*($Z$4:$Z$703=1)*($B$4:$B$703&lt;&gt;B563)),0)</f>
        <v>0</v>
      </c>
      <c r="AB563" s="11" t="n">
        <f aca="false">IF(AND(Z563=1,AA563&gt;0),1+SUMPRODUCT(($K$4:$K$703=K563)*($F$4:$F$703=F563)*($Z$4:$Z$703=1)*($P$4:$P$703&gt;P563))+SUMPRODUCT(($K$4:$K$703=K563)*($F$4:$F$703=F563)*($Z$4:$Z$703=1)*($P$4:$P$703=P563)*($C$4:$C$703&lt;C563))+SUMPRODUCT(($K$4:$K$703=K563)*($F$4:$F$703=F563)*($Z$4:$Z$703=1)*($P$4:$P$703=P563)*($C$4:$C$703=C563)*($D$4:$D$703&lt;D563)),0)</f>
        <v>0</v>
      </c>
      <c r="AC563" s="11" t="n">
        <f aca="false">IF(AND(Z563=1,AA563&gt;0,AB563&gt;1),P563,0)</f>
        <v>0</v>
      </c>
    </row>
    <row r="564" customFormat="false" ht="15" hidden="false" customHeight="false" outlineLevel="0" collapsed="false">
      <c r="A564" s="4" t="s">
        <v>817</v>
      </c>
      <c r="B564" s="4" t="s">
        <v>101</v>
      </c>
      <c r="C564" s="4" t="n">
        <v>19</v>
      </c>
      <c r="D564" s="4" t="n">
        <v>561</v>
      </c>
      <c r="E564" s="4" t="s">
        <v>233</v>
      </c>
      <c r="F564" s="4" t="n">
        <v>25</v>
      </c>
      <c r="G564" s="4" t="n">
        <v>14</v>
      </c>
      <c r="H564" s="4" t="n">
        <v>181</v>
      </c>
      <c r="I564" s="13" t="b">
        <f aca="false">FALSE()</f>
        <v>0</v>
      </c>
      <c r="K564" s="4" t="s">
        <v>806</v>
      </c>
      <c r="L564" s="4" t="n">
        <v>36.45</v>
      </c>
      <c r="M564" s="11" t="n">
        <f aca="false">IFERROR(MATCH(Controls!$B$3&amp;"|"&amp;B564,'Scenario inputs'!$A$4:$A$213,0),0)</f>
        <v>150</v>
      </c>
      <c r="N564" s="8" t="b">
        <f aca="false">IF(M564=0,FALSE(),F564&lt;Controls!$B$12)</f>
        <v>1</v>
      </c>
      <c r="O564" s="11" t="n">
        <f aca="false">IF(N564,IF(INDEX('Scenario inputs'!$E$4:$E$213,M564)=0,1,INDEX('Scenario inputs'!$F$4:$M$213,M564,MIN(MAX(F564-G564,0),INDEX('Scenario inputs'!$E$4:$E$213,M564)-1)+1)),0)</f>
        <v>1</v>
      </c>
      <c r="P564" s="11" t="n">
        <f aca="false">H564*O564</f>
        <v>181</v>
      </c>
      <c r="Q564" s="0" t="str">
        <f aca="false">IF(M564=0,"",IF(ISNUMBER(INDEX('Scenario inputs'!$N$4:$N$213,M564)),INDEX('Scenario inputs'!$N$4:$N$213,M564),""))</f>
        <v/>
      </c>
      <c r="R564" s="0" t="str">
        <f aca="false">IF(NOT(N564),"",IF(OR(E564="cash",E564="revenue"),E564,IF(E564="avoided_cost",IF(AND(I564,LEN(TRIM(J564))&gt;0),"avoided_cost_realised","avoided_cost_beside"),IF(ISNUMBER(Q564),"capacity_converted","capacity_hours"))))</f>
        <v>capacity_hours</v>
      </c>
      <c r="S564" s="11" t="n">
        <f aca="false">IF(OR(R564="",R564="capacity_hours"),0,IF(R564="capacity_converted",P564*Q564,P564))</f>
        <v>0</v>
      </c>
      <c r="T564" s="11" t="n">
        <f aca="false">IF(OR(R564="cash",R564="revenue",R564="avoided_cost_realised",R564="capacity_converted"),1,0)</f>
        <v>0</v>
      </c>
      <c r="U564" s="11" t="n">
        <f aca="false">IF(AND(N564,R564&lt;&gt;"capacity_hours",LEN(K564)&gt;0),1,0)</f>
        <v>0</v>
      </c>
      <c r="V564" s="11" t="n">
        <f aca="false">IF(U564=1,SUMPRODUCT(($K$4:$K$703=K564)*($F$4:$F$703=F564)*($U$4:$U$703=1)*($B$4:$B$703&lt;&gt;B564)),0)</f>
        <v>0</v>
      </c>
      <c r="W564" s="11" t="n">
        <f aca="false">IF(AND(U564=1,V564&gt;0),1+SUMPRODUCT(($K$4:$K$703=K564)*($F$4:$F$703=F564)*($U$4:$U$703=1)*($S$4:$S$703&gt;S564))+SUMPRODUCT(($K$4:$K$703=K564)*($F$4:$F$703=F564)*($U$4:$U$703=1)*($S$4:$S$703=S564)*($T$4:$T$703&gt;T564))+SUMPRODUCT(($K$4:$K$703=K564)*($F$4:$F$703=F564)*($U$4:$U$703=1)*($S$4:$S$703=S564)*($T$4:$T$703=T564)*($C$4:$C$703&lt;C564))+SUMPRODUCT(($K$4:$K$703=K564)*($F$4:$F$703=F564)*($U$4:$U$703=1)*($S$4:$S$703=S564)*($T$4:$T$703=T564)*($C$4:$C$703=C564)*($D$4:$D$703&lt;D564)),0)</f>
        <v>0</v>
      </c>
      <c r="X564" s="11" t="n">
        <f aca="false">IF(AND(U564=1,V564&gt;0,W564&gt;1),S564,0)</f>
        <v>0</v>
      </c>
      <c r="Y564" s="11" t="n">
        <f aca="false">IF(T564=1,X564/(1+Controls!$B$11)^F564,0)</f>
        <v>0</v>
      </c>
      <c r="Z564" s="11" t="n">
        <f aca="false">IF(AND(N564,E564="capacity",LEN(K564)&gt;0),1,0)</f>
        <v>1</v>
      </c>
      <c r="AA564" s="11" t="n">
        <f aca="false">IF(Z564=1,SUMPRODUCT(($K$4:$K$703=K564)*($F$4:$F$703=F564)*($Z$4:$Z$703=1)*($B$4:$B$703&lt;&gt;B564)),0)</f>
        <v>0</v>
      </c>
      <c r="AB564" s="11" t="n">
        <f aca="false">IF(AND(Z564=1,AA564&gt;0),1+SUMPRODUCT(($K$4:$K$703=K564)*($F$4:$F$703=F564)*($Z$4:$Z$703=1)*($P$4:$P$703&gt;P564))+SUMPRODUCT(($K$4:$K$703=K564)*($F$4:$F$703=F564)*($Z$4:$Z$703=1)*($P$4:$P$703=P564)*($C$4:$C$703&lt;C564))+SUMPRODUCT(($K$4:$K$703=K564)*($F$4:$F$703=F564)*($Z$4:$Z$703=1)*($P$4:$P$703=P564)*($C$4:$C$703=C564)*($D$4:$D$703&lt;D564)),0)</f>
        <v>0</v>
      </c>
      <c r="AC564" s="11" t="n">
        <f aca="false">IF(AND(Z564=1,AA564&gt;0,AB564&gt;1),P564,0)</f>
        <v>0</v>
      </c>
    </row>
    <row r="565" customFormat="false" ht="15" hidden="false" customHeight="false" outlineLevel="0" collapsed="false">
      <c r="A565" s="4" t="s">
        <v>818</v>
      </c>
      <c r="B565" s="4" t="s">
        <v>101</v>
      </c>
      <c r="C565" s="4" t="n">
        <v>19</v>
      </c>
      <c r="D565" s="4" t="n">
        <v>562</v>
      </c>
      <c r="E565" s="4" t="s">
        <v>205</v>
      </c>
      <c r="F565" s="4" t="n">
        <v>15</v>
      </c>
      <c r="G565" s="4" t="n">
        <v>15</v>
      </c>
      <c r="H565" s="4" t="n">
        <v>43950</v>
      </c>
      <c r="I565" s="13" t="b">
        <f aca="false">FALSE()</f>
        <v>0</v>
      </c>
      <c r="K565" s="4" t="s">
        <v>819</v>
      </c>
      <c r="L565" s="4" t="n">
        <v>661.01</v>
      </c>
      <c r="M565" s="11" t="n">
        <f aca="false">IFERROR(MATCH(Controls!$B$3&amp;"|"&amp;B565,'Scenario inputs'!$A$4:$A$213,0),0)</f>
        <v>150</v>
      </c>
      <c r="N565" s="8" t="b">
        <f aca="false">IF(M565=0,FALSE(),F565&lt;Controls!$B$12)</f>
        <v>1</v>
      </c>
      <c r="O565" s="11" t="n">
        <f aca="false">IF(N565,IF(INDEX('Scenario inputs'!$E$4:$E$213,M565)=0,1,INDEX('Scenario inputs'!$F$4:$M$213,M565,MIN(MAX(F565-G565,0),INDEX('Scenario inputs'!$E$4:$E$213,M565)-1)+1)),0)</f>
        <v>0.066667</v>
      </c>
      <c r="P565" s="11" t="n">
        <f aca="false">H565*O565</f>
        <v>2930.01465</v>
      </c>
      <c r="Q565" s="0" t="str">
        <f aca="false">IF(M565=0,"",IF(ISNUMBER(INDEX('Scenario inputs'!$N$4:$N$213,M565)),INDEX('Scenario inputs'!$N$4:$N$213,M565),""))</f>
        <v/>
      </c>
      <c r="R565" s="0" t="str">
        <f aca="false">IF(NOT(N565),"",IF(OR(E565="cash",E565="revenue"),E565,IF(E565="avoided_cost",IF(AND(I565,LEN(TRIM(J565))&gt;0),"avoided_cost_realised","avoided_cost_beside"),IF(ISNUMBER(Q565),"capacity_converted","capacity_hours"))))</f>
        <v>avoided_cost_beside</v>
      </c>
      <c r="S565" s="11" t="n">
        <f aca="false">IF(OR(R565="",R565="capacity_hours"),0,IF(R565="capacity_converted",P565*Q565,P565))</f>
        <v>2930.01465</v>
      </c>
      <c r="T565" s="11" t="n">
        <f aca="false">IF(OR(R565="cash",R565="revenue",R565="avoided_cost_realised",R565="capacity_converted"),1,0)</f>
        <v>0</v>
      </c>
      <c r="U565" s="11" t="n">
        <f aca="false">IF(AND(N565,R565&lt;&gt;"capacity_hours",LEN(K565)&gt;0),1,0)</f>
        <v>1</v>
      </c>
      <c r="V565" s="11" t="n">
        <f aca="false">IF(U565=1,SUMPRODUCT(($K$4:$K$703=K565)*($F$4:$F$703=F565)*($U$4:$U$703=1)*($B$4:$B$703&lt;&gt;B565)),0)</f>
        <v>0</v>
      </c>
      <c r="W565" s="11" t="n">
        <f aca="false">IF(AND(U565=1,V565&gt;0),1+SUMPRODUCT(($K$4:$K$703=K565)*($F$4:$F$703=F565)*($U$4:$U$703=1)*($S$4:$S$703&gt;S565))+SUMPRODUCT(($K$4:$K$703=K565)*($F$4:$F$703=F565)*($U$4:$U$703=1)*($S$4:$S$703=S565)*($T$4:$T$703&gt;T565))+SUMPRODUCT(($K$4:$K$703=K565)*($F$4:$F$703=F565)*($U$4:$U$703=1)*($S$4:$S$703=S565)*($T$4:$T$703=T565)*($C$4:$C$703&lt;C565))+SUMPRODUCT(($K$4:$K$703=K565)*($F$4:$F$703=F565)*($U$4:$U$703=1)*($S$4:$S$703=S565)*($T$4:$T$703=T565)*($C$4:$C$703=C565)*($D$4:$D$703&lt;D565)),0)</f>
        <v>0</v>
      </c>
      <c r="X565" s="11" t="n">
        <f aca="false">IF(AND(U565=1,V565&gt;0,W565&gt;1),S565,0)</f>
        <v>0</v>
      </c>
      <c r="Y565" s="11" t="n">
        <f aca="false">IF(T565=1,X565/(1+Controls!$B$11)^F565,0)</f>
        <v>0</v>
      </c>
      <c r="Z565" s="11" t="n">
        <f aca="false">IF(AND(N565,E565="capacity",LEN(K565)&gt;0),1,0)</f>
        <v>0</v>
      </c>
      <c r="AA565" s="11" t="n">
        <f aca="false">IF(Z565=1,SUMPRODUCT(($K$4:$K$703=K565)*($F$4:$F$703=F565)*($Z$4:$Z$703=1)*($B$4:$B$703&lt;&gt;B565)),0)</f>
        <v>0</v>
      </c>
      <c r="AB565" s="11" t="n">
        <f aca="false">IF(AND(Z565=1,AA565&gt;0),1+SUMPRODUCT(($K$4:$K$703=K565)*($F$4:$F$703=F565)*($Z$4:$Z$703=1)*($P$4:$P$703&gt;P565))+SUMPRODUCT(($K$4:$K$703=K565)*($F$4:$F$703=F565)*($Z$4:$Z$703=1)*($P$4:$P$703=P565)*($C$4:$C$703&lt;C565))+SUMPRODUCT(($K$4:$K$703=K565)*($F$4:$F$703=F565)*($Z$4:$Z$703=1)*($P$4:$P$703=P565)*($C$4:$C$703=C565)*($D$4:$D$703&lt;D565)),0)</f>
        <v>0</v>
      </c>
      <c r="AC565" s="11" t="n">
        <f aca="false">IF(AND(Z565=1,AA565&gt;0,AB565&gt;1),P565,0)</f>
        <v>0</v>
      </c>
    </row>
    <row r="566" customFormat="false" ht="15" hidden="false" customHeight="false" outlineLevel="0" collapsed="false">
      <c r="A566" s="4" t="s">
        <v>820</v>
      </c>
      <c r="B566" s="4" t="s">
        <v>101</v>
      </c>
      <c r="C566" s="4" t="n">
        <v>19</v>
      </c>
      <c r="D566" s="4" t="n">
        <v>563</v>
      </c>
      <c r="E566" s="4" t="s">
        <v>205</v>
      </c>
      <c r="F566" s="4" t="n">
        <v>16</v>
      </c>
      <c r="G566" s="4" t="n">
        <v>15</v>
      </c>
      <c r="H566" s="4" t="n">
        <v>43950</v>
      </c>
      <c r="I566" s="13" t="b">
        <f aca="false">FALSE()</f>
        <v>0</v>
      </c>
      <c r="K566" s="4" t="s">
        <v>819</v>
      </c>
      <c r="L566" s="4" t="n">
        <v>1983.02</v>
      </c>
      <c r="M566" s="11" t="n">
        <f aca="false">IFERROR(MATCH(Controls!$B$3&amp;"|"&amp;B566,'Scenario inputs'!$A$4:$A$213,0),0)</f>
        <v>150</v>
      </c>
      <c r="N566" s="8" t="b">
        <f aca="false">IF(M566=0,FALSE(),F566&lt;Controls!$B$12)</f>
        <v>1</v>
      </c>
      <c r="O566" s="11" t="n">
        <f aca="false">IF(N566,IF(INDEX('Scenario inputs'!$E$4:$E$213,M566)=0,1,INDEX('Scenario inputs'!$F$4:$M$213,M566,MIN(MAX(F566-G566,0),INDEX('Scenario inputs'!$E$4:$E$213,M566)-1)+1)),0)</f>
        <v>0.2</v>
      </c>
      <c r="P566" s="11" t="n">
        <f aca="false">H566*O566</f>
        <v>8790</v>
      </c>
      <c r="Q566" s="0" t="str">
        <f aca="false">IF(M566=0,"",IF(ISNUMBER(INDEX('Scenario inputs'!$N$4:$N$213,M566)),INDEX('Scenario inputs'!$N$4:$N$213,M566),""))</f>
        <v/>
      </c>
      <c r="R566" s="0" t="str">
        <f aca="false">IF(NOT(N566),"",IF(OR(E566="cash",E566="revenue"),E566,IF(E566="avoided_cost",IF(AND(I566,LEN(TRIM(J566))&gt;0),"avoided_cost_realised","avoided_cost_beside"),IF(ISNUMBER(Q566),"capacity_converted","capacity_hours"))))</f>
        <v>avoided_cost_beside</v>
      </c>
      <c r="S566" s="11" t="n">
        <f aca="false">IF(OR(R566="",R566="capacity_hours"),0,IF(R566="capacity_converted",P566*Q566,P566))</f>
        <v>8790</v>
      </c>
      <c r="T566" s="11" t="n">
        <f aca="false">IF(OR(R566="cash",R566="revenue",R566="avoided_cost_realised",R566="capacity_converted"),1,0)</f>
        <v>0</v>
      </c>
      <c r="U566" s="11" t="n">
        <f aca="false">IF(AND(N566,R566&lt;&gt;"capacity_hours",LEN(K566)&gt;0),1,0)</f>
        <v>1</v>
      </c>
      <c r="V566" s="11" t="n">
        <f aca="false">IF(U566=1,SUMPRODUCT(($K$4:$K$703=K566)*($F$4:$F$703=F566)*($U$4:$U$703=1)*($B$4:$B$703&lt;&gt;B566)),0)</f>
        <v>0</v>
      </c>
      <c r="W566" s="11" t="n">
        <f aca="false">IF(AND(U566=1,V566&gt;0),1+SUMPRODUCT(($K$4:$K$703=K566)*($F$4:$F$703=F566)*($U$4:$U$703=1)*($S$4:$S$703&gt;S566))+SUMPRODUCT(($K$4:$K$703=K566)*($F$4:$F$703=F566)*($U$4:$U$703=1)*($S$4:$S$703=S566)*($T$4:$T$703&gt;T566))+SUMPRODUCT(($K$4:$K$703=K566)*($F$4:$F$703=F566)*($U$4:$U$703=1)*($S$4:$S$703=S566)*($T$4:$T$703=T566)*($C$4:$C$703&lt;C566))+SUMPRODUCT(($K$4:$K$703=K566)*($F$4:$F$703=F566)*($U$4:$U$703=1)*($S$4:$S$703=S566)*($T$4:$T$703=T566)*($C$4:$C$703=C566)*($D$4:$D$703&lt;D566)),0)</f>
        <v>0</v>
      </c>
      <c r="X566" s="11" t="n">
        <f aca="false">IF(AND(U566=1,V566&gt;0,W566&gt;1),S566,0)</f>
        <v>0</v>
      </c>
      <c r="Y566" s="11" t="n">
        <f aca="false">IF(T566=1,X566/(1+Controls!$B$11)^F566,0)</f>
        <v>0</v>
      </c>
      <c r="Z566" s="11" t="n">
        <f aca="false">IF(AND(N566,E566="capacity",LEN(K566)&gt;0),1,0)</f>
        <v>0</v>
      </c>
      <c r="AA566" s="11" t="n">
        <f aca="false">IF(Z566=1,SUMPRODUCT(($K$4:$K$703=K566)*($F$4:$F$703=F566)*($Z$4:$Z$703=1)*($B$4:$B$703&lt;&gt;B566)),0)</f>
        <v>0</v>
      </c>
      <c r="AB566" s="11" t="n">
        <f aca="false">IF(AND(Z566=1,AA566&gt;0),1+SUMPRODUCT(($K$4:$K$703=K566)*($F$4:$F$703=F566)*($Z$4:$Z$703=1)*($P$4:$P$703&gt;P566))+SUMPRODUCT(($K$4:$K$703=K566)*($F$4:$F$703=F566)*($Z$4:$Z$703=1)*($P$4:$P$703=P566)*($C$4:$C$703&lt;C566))+SUMPRODUCT(($K$4:$K$703=K566)*($F$4:$F$703=F566)*($Z$4:$Z$703=1)*($P$4:$P$703=P566)*($C$4:$C$703=C566)*($D$4:$D$703&lt;D566)),0)</f>
        <v>0</v>
      </c>
      <c r="AC566" s="11" t="n">
        <f aca="false">IF(AND(Z566=1,AA566&gt;0,AB566&gt;1),P566,0)</f>
        <v>0</v>
      </c>
    </row>
    <row r="567" customFormat="false" ht="15" hidden="false" customHeight="false" outlineLevel="0" collapsed="false">
      <c r="A567" s="4" t="s">
        <v>821</v>
      </c>
      <c r="B567" s="4" t="s">
        <v>101</v>
      </c>
      <c r="C567" s="4" t="n">
        <v>19</v>
      </c>
      <c r="D567" s="4" t="n">
        <v>564</v>
      </c>
      <c r="E567" s="4" t="s">
        <v>205</v>
      </c>
      <c r="F567" s="4" t="n">
        <v>17</v>
      </c>
      <c r="G567" s="4" t="n">
        <v>15</v>
      </c>
      <c r="H567" s="4" t="n">
        <v>43950</v>
      </c>
      <c r="I567" s="13" t="b">
        <f aca="false">FALSE()</f>
        <v>0</v>
      </c>
      <c r="K567" s="4" t="s">
        <v>819</v>
      </c>
      <c r="L567" s="4" t="n">
        <v>3966.05</v>
      </c>
      <c r="M567" s="11" t="n">
        <f aca="false">IFERROR(MATCH(Controls!$B$3&amp;"|"&amp;B567,'Scenario inputs'!$A$4:$A$213,0),0)</f>
        <v>150</v>
      </c>
      <c r="N567" s="8" t="b">
        <f aca="false">IF(M567=0,FALSE(),F567&lt;Controls!$B$12)</f>
        <v>1</v>
      </c>
      <c r="O567" s="11" t="n">
        <f aca="false">IF(N567,IF(INDEX('Scenario inputs'!$E$4:$E$213,M567)=0,1,INDEX('Scenario inputs'!$F$4:$M$213,M567,MIN(MAX(F567-G567,0),INDEX('Scenario inputs'!$E$4:$E$213,M567)-1)+1)),0)</f>
        <v>0.4</v>
      </c>
      <c r="P567" s="11" t="n">
        <f aca="false">H567*O567</f>
        <v>17580</v>
      </c>
      <c r="Q567" s="0" t="str">
        <f aca="false">IF(M567=0,"",IF(ISNUMBER(INDEX('Scenario inputs'!$N$4:$N$213,M567)),INDEX('Scenario inputs'!$N$4:$N$213,M567),""))</f>
        <v/>
      </c>
      <c r="R567" s="0" t="str">
        <f aca="false">IF(NOT(N567),"",IF(OR(E567="cash",E567="revenue"),E567,IF(E567="avoided_cost",IF(AND(I567,LEN(TRIM(J567))&gt;0),"avoided_cost_realised","avoided_cost_beside"),IF(ISNUMBER(Q567),"capacity_converted","capacity_hours"))))</f>
        <v>avoided_cost_beside</v>
      </c>
      <c r="S567" s="11" t="n">
        <f aca="false">IF(OR(R567="",R567="capacity_hours"),0,IF(R567="capacity_converted",P567*Q567,P567))</f>
        <v>17580</v>
      </c>
      <c r="T567" s="11" t="n">
        <f aca="false">IF(OR(R567="cash",R567="revenue",R567="avoided_cost_realised",R567="capacity_converted"),1,0)</f>
        <v>0</v>
      </c>
      <c r="U567" s="11" t="n">
        <f aca="false">IF(AND(N567,R567&lt;&gt;"capacity_hours",LEN(K567)&gt;0),1,0)</f>
        <v>1</v>
      </c>
      <c r="V567" s="11" t="n">
        <f aca="false">IF(U567=1,SUMPRODUCT(($K$4:$K$703=K567)*($F$4:$F$703=F567)*($U$4:$U$703=1)*($B$4:$B$703&lt;&gt;B567)),0)</f>
        <v>0</v>
      </c>
      <c r="W567" s="11" t="n">
        <f aca="false">IF(AND(U567=1,V567&gt;0),1+SUMPRODUCT(($K$4:$K$703=K567)*($F$4:$F$703=F567)*($U$4:$U$703=1)*($S$4:$S$703&gt;S567))+SUMPRODUCT(($K$4:$K$703=K567)*($F$4:$F$703=F567)*($U$4:$U$703=1)*($S$4:$S$703=S567)*($T$4:$T$703&gt;T567))+SUMPRODUCT(($K$4:$K$703=K567)*($F$4:$F$703=F567)*($U$4:$U$703=1)*($S$4:$S$703=S567)*($T$4:$T$703=T567)*($C$4:$C$703&lt;C567))+SUMPRODUCT(($K$4:$K$703=K567)*($F$4:$F$703=F567)*($U$4:$U$703=1)*($S$4:$S$703=S567)*($T$4:$T$703=T567)*($C$4:$C$703=C567)*($D$4:$D$703&lt;D567)),0)</f>
        <v>0</v>
      </c>
      <c r="X567" s="11" t="n">
        <f aca="false">IF(AND(U567=1,V567&gt;0,W567&gt;1),S567,0)</f>
        <v>0</v>
      </c>
      <c r="Y567" s="11" t="n">
        <f aca="false">IF(T567=1,X567/(1+Controls!$B$11)^F567,0)</f>
        <v>0</v>
      </c>
      <c r="Z567" s="11" t="n">
        <f aca="false">IF(AND(N567,E567="capacity",LEN(K567)&gt;0),1,0)</f>
        <v>0</v>
      </c>
      <c r="AA567" s="11" t="n">
        <f aca="false">IF(Z567=1,SUMPRODUCT(($K$4:$K$703=K567)*($F$4:$F$703=F567)*($Z$4:$Z$703=1)*($B$4:$B$703&lt;&gt;B567)),0)</f>
        <v>0</v>
      </c>
      <c r="AB567" s="11" t="n">
        <f aca="false">IF(AND(Z567=1,AA567&gt;0),1+SUMPRODUCT(($K$4:$K$703=K567)*($F$4:$F$703=F567)*($Z$4:$Z$703=1)*($P$4:$P$703&gt;P567))+SUMPRODUCT(($K$4:$K$703=K567)*($F$4:$F$703=F567)*($Z$4:$Z$703=1)*($P$4:$P$703=P567)*($C$4:$C$703&lt;C567))+SUMPRODUCT(($K$4:$K$703=K567)*($F$4:$F$703=F567)*($Z$4:$Z$703=1)*($P$4:$P$703=P567)*($C$4:$C$703=C567)*($D$4:$D$703&lt;D567)),0)</f>
        <v>0</v>
      </c>
      <c r="AC567" s="11" t="n">
        <f aca="false">IF(AND(Z567=1,AA567&gt;0,AB567&gt;1),P567,0)</f>
        <v>0</v>
      </c>
    </row>
    <row r="568" customFormat="false" ht="15" hidden="false" customHeight="false" outlineLevel="0" collapsed="false">
      <c r="A568" s="4" t="s">
        <v>822</v>
      </c>
      <c r="B568" s="4" t="s">
        <v>101</v>
      </c>
      <c r="C568" s="4" t="n">
        <v>19</v>
      </c>
      <c r="D568" s="4" t="n">
        <v>565</v>
      </c>
      <c r="E568" s="4" t="s">
        <v>205</v>
      </c>
      <c r="F568" s="4" t="n">
        <v>18</v>
      </c>
      <c r="G568" s="4" t="n">
        <v>15</v>
      </c>
      <c r="H568" s="4" t="n">
        <v>43950</v>
      </c>
      <c r="I568" s="13" t="b">
        <f aca="false">FALSE()</f>
        <v>0</v>
      </c>
      <c r="K568" s="4" t="s">
        <v>819</v>
      </c>
      <c r="L568" s="4" t="n">
        <v>6610.08</v>
      </c>
      <c r="M568" s="11" t="n">
        <f aca="false">IFERROR(MATCH(Controls!$B$3&amp;"|"&amp;B568,'Scenario inputs'!$A$4:$A$213,0),0)</f>
        <v>150</v>
      </c>
      <c r="N568" s="8" t="b">
        <f aca="false">IF(M568=0,FALSE(),F568&lt;Controls!$B$12)</f>
        <v>1</v>
      </c>
      <c r="O568" s="11" t="n">
        <f aca="false">IF(N568,IF(INDEX('Scenario inputs'!$E$4:$E$213,M568)=0,1,INDEX('Scenario inputs'!$F$4:$M$213,M568,MIN(MAX(F568-G568,0),INDEX('Scenario inputs'!$E$4:$E$213,M568)-1)+1)),0)</f>
        <v>0.666667</v>
      </c>
      <c r="P568" s="11" t="n">
        <f aca="false">H568*O568</f>
        <v>29300.01465</v>
      </c>
      <c r="Q568" s="0" t="str">
        <f aca="false">IF(M568=0,"",IF(ISNUMBER(INDEX('Scenario inputs'!$N$4:$N$213,M568)),INDEX('Scenario inputs'!$N$4:$N$213,M568),""))</f>
        <v/>
      </c>
      <c r="R568" s="0" t="str">
        <f aca="false">IF(NOT(N568),"",IF(OR(E568="cash",E568="revenue"),E568,IF(E568="avoided_cost",IF(AND(I568,LEN(TRIM(J568))&gt;0),"avoided_cost_realised","avoided_cost_beside"),IF(ISNUMBER(Q568),"capacity_converted","capacity_hours"))))</f>
        <v>avoided_cost_beside</v>
      </c>
      <c r="S568" s="11" t="n">
        <f aca="false">IF(OR(R568="",R568="capacity_hours"),0,IF(R568="capacity_converted",P568*Q568,P568))</f>
        <v>29300.01465</v>
      </c>
      <c r="T568" s="11" t="n">
        <f aca="false">IF(OR(R568="cash",R568="revenue",R568="avoided_cost_realised",R568="capacity_converted"),1,0)</f>
        <v>0</v>
      </c>
      <c r="U568" s="11" t="n">
        <f aca="false">IF(AND(N568,R568&lt;&gt;"capacity_hours",LEN(K568)&gt;0),1,0)</f>
        <v>1</v>
      </c>
      <c r="V568" s="11" t="n">
        <f aca="false">IF(U568=1,SUMPRODUCT(($K$4:$K$703=K568)*($F$4:$F$703=F568)*($U$4:$U$703=1)*($B$4:$B$703&lt;&gt;B568)),0)</f>
        <v>0</v>
      </c>
      <c r="W568" s="11" t="n">
        <f aca="false">IF(AND(U568=1,V568&gt;0),1+SUMPRODUCT(($K$4:$K$703=K568)*($F$4:$F$703=F568)*($U$4:$U$703=1)*($S$4:$S$703&gt;S568))+SUMPRODUCT(($K$4:$K$703=K568)*($F$4:$F$703=F568)*($U$4:$U$703=1)*($S$4:$S$703=S568)*($T$4:$T$703&gt;T568))+SUMPRODUCT(($K$4:$K$703=K568)*($F$4:$F$703=F568)*($U$4:$U$703=1)*($S$4:$S$703=S568)*($T$4:$T$703=T568)*($C$4:$C$703&lt;C568))+SUMPRODUCT(($K$4:$K$703=K568)*($F$4:$F$703=F568)*($U$4:$U$703=1)*($S$4:$S$703=S568)*($T$4:$T$703=T568)*($C$4:$C$703=C568)*($D$4:$D$703&lt;D568)),0)</f>
        <v>0</v>
      </c>
      <c r="X568" s="11" t="n">
        <f aca="false">IF(AND(U568=1,V568&gt;0,W568&gt;1),S568,0)</f>
        <v>0</v>
      </c>
      <c r="Y568" s="11" t="n">
        <f aca="false">IF(T568=1,X568/(1+Controls!$B$11)^F568,0)</f>
        <v>0</v>
      </c>
      <c r="Z568" s="11" t="n">
        <f aca="false">IF(AND(N568,E568="capacity",LEN(K568)&gt;0),1,0)</f>
        <v>0</v>
      </c>
      <c r="AA568" s="11" t="n">
        <f aca="false">IF(Z568=1,SUMPRODUCT(($K$4:$K$703=K568)*($F$4:$F$703=F568)*($Z$4:$Z$703=1)*($B$4:$B$703&lt;&gt;B568)),0)</f>
        <v>0</v>
      </c>
      <c r="AB568" s="11" t="n">
        <f aca="false">IF(AND(Z568=1,AA568&gt;0),1+SUMPRODUCT(($K$4:$K$703=K568)*($F$4:$F$703=F568)*($Z$4:$Z$703=1)*($P$4:$P$703&gt;P568))+SUMPRODUCT(($K$4:$K$703=K568)*($F$4:$F$703=F568)*($Z$4:$Z$703=1)*($P$4:$P$703=P568)*($C$4:$C$703&lt;C568))+SUMPRODUCT(($K$4:$K$703=K568)*($F$4:$F$703=F568)*($Z$4:$Z$703=1)*($P$4:$P$703=P568)*($C$4:$C$703=C568)*($D$4:$D$703&lt;D568)),0)</f>
        <v>0</v>
      </c>
      <c r="AC568" s="11" t="n">
        <f aca="false">IF(AND(Z568=1,AA568&gt;0,AB568&gt;1),P568,0)</f>
        <v>0</v>
      </c>
    </row>
    <row r="569" customFormat="false" ht="15" hidden="false" customHeight="false" outlineLevel="0" collapsed="false">
      <c r="A569" s="4" t="s">
        <v>823</v>
      </c>
      <c r="B569" s="4" t="s">
        <v>101</v>
      </c>
      <c r="C569" s="4" t="n">
        <v>19</v>
      </c>
      <c r="D569" s="4" t="n">
        <v>566</v>
      </c>
      <c r="E569" s="4" t="s">
        <v>205</v>
      </c>
      <c r="F569" s="4" t="n">
        <v>19</v>
      </c>
      <c r="G569" s="4" t="n">
        <v>15</v>
      </c>
      <c r="H569" s="4" t="n">
        <v>43950</v>
      </c>
      <c r="I569" s="13" t="b">
        <f aca="false">FALSE()</f>
        <v>0</v>
      </c>
      <c r="K569" s="4" t="s">
        <v>819</v>
      </c>
      <c r="L569" s="4" t="n">
        <v>9915.12</v>
      </c>
      <c r="M569" s="11" t="n">
        <f aca="false">IFERROR(MATCH(Controls!$B$3&amp;"|"&amp;B569,'Scenario inputs'!$A$4:$A$213,0),0)</f>
        <v>150</v>
      </c>
      <c r="N569" s="8" t="b">
        <f aca="false">IF(M569=0,FALSE(),F569&lt;Controls!$B$12)</f>
        <v>1</v>
      </c>
      <c r="O569" s="11" t="n">
        <f aca="false">IF(N569,IF(INDEX('Scenario inputs'!$E$4:$E$213,M569)=0,1,INDEX('Scenario inputs'!$F$4:$M$213,M569,MIN(MAX(F569-G569,0),INDEX('Scenario inputs'!$E$4:$E$213,M569)-1)+1)),0)</f>
        <v>1</v>
      </c>
      <c r="P569" s="11" t="n">
        <f aca="false">H569*O569</f>
        <v>43950</v>
      </c>
      <c r="Q569" s="0" t="str">
        <f aca="false">IF(M569=0,"",IF(ISNUMBER(INDEX('Scenario inputs'!$N$4:$N$213,M569)),INDEX('Scenario inputs'!$N$4:$N$213,M569),""))</f>
        <v/>
      </c>
      <c r="R569" s="0" t="str">
        <f aca="false">IF(NOT(N569),"",IF(OR(E569="cash",E569="revenue"),E569,IF(E569="avoided_cost",IF(AND(I569,LEN(TRIM(J569))&gt;0),"avoided_cost_realised","avoided_cost_beside"),IF(ISNUMBER(Q569),"capacity_converted","capacity_hours"))))</f>
        <v>avoided_cost_beside</v>
      </c>
      <c r="S569" s="11" t="n">
        <f aca="false">IF(OR(R569="",R569="capacity_hours"),0,IF(R569="capacity_converted",P569*Q569,P569))</f>
        <v>43950</v>
      </c>
      <c r="T569" s="11" t="n">
        <f aca="false">IF(OR(R569="cash",R569="revenue",R569="avoided_cost_realised",R569="capacity_converted"),1,0)</f>
        <v>0</v>
      </c>
      <c r="U569" s="11" t="n">
        <f aca="false">IF(AND(N569,R569&lt;&gt;"capacity_hours",LEN(K569)&gt;0),1,0)</f>
        <v>1</v>
      </c>
      <c r="V569" s="11" t="n">
        <f aca="false">IF(U569=1,SUMPRODUCT(($K$4:$K$703=K569)*($F$4:$F$703=F569)*($U$4:$U$703=1)*($B$4:$B$703&lt;&gt;B569)),0)</f>
        <v>0</v>
      </c>
      <c r="W569" s="11" t="n">
        <f aca="false">IF(AND(U569=1,V569&gt;0),1+SUMPRODUCT(($K$4:$K$703=K569)*($F$4:$F$703=F569)*($U$4:$U$703=1)*($S$4:$S$703&gt;S569))+SUMPRODUCT(($K$4:$K$703=K569)*($F$4:$F$703=F569)*($U$4:$U$703=1)*($S$4:$S$703=S569)*($T$4:$T$703&gt;T569))+SUMPRODUCT(($K$4:$K$703=K569)*($F$4:$F$703=F569)*($U$4:$U$703=1)*($S$4:$S$703=S569)*($T$4:$T$703=T569)*($C$4:$C$703&lt;C569))+SUMPRODUCT(($K$4:$K$703=K569)*($F$4:$F$703=F569)*($U$4:$U$703=1)*($S$4:$S$703=S569)*($T$4:$T$703=T569)*($C$4:$C$703=C569)*($D$4:$D$703&lt;D569)),0)</f>
        <v>0</v>
      </c>
      <c r="X569" s="11" t="n">
        <f aca="false">IF(AND(U569=1,V569&gt;0,W569&gt;1),S569,0)</f>
        <v>0</v>
      </c>
      <c r="Y569" s="11" t="n">
        <f aca="false">IF(T569=1,X569/(1+Controls!$B$11)^F569,0)</f>
        <v>0</v>
      </c>
      <c r="Z569" s="11" t="n">
        <f aca="false">IF(AND(N569,E569="capacity",LEN(K569)&gt;0),1,0)</f>
        <v>0</v>
      </c>
      <c r="AA569" s="11" t="n">
        <f aca="false">IF(Z569=1,SUMPRODUCT(($K$4:$K$703=K569)*($F$4:$F$703=F569)*($Z$4:$Z$703=1)*($B$4:$B$703&lt;&gt;B569)),0)</f>
        <v>0</v>
      </c>
      <c r="AB569" s="11" t="n">
        <f aca="false">IF(AND(Z569=1,AA569&gt;0),1+SUMPRODUCT(($K$4:$K$703=K569)*($F$4:$F$703=F569)*($Z$4:$Z$703=1)*($P$4:$P$703&gt;P569))+SUMPRODUCT(($K$4:$K$703=K569)*($F$4:$F$703=F569)*($Z$4:$Z$703=1)*($P$4:$P$703=P569)*($C$4:$C$703&lt;C569))+SUMPRODUCT(($K$4:$K$703=K569)*($F$4:$F$703=F569)*($Z$4:$Z$703=1)*($P$4:$P$703=P569)*($C$4:$C$703=C569)*($D$4:$D$703&lt;D569)),0)</f>
        <v>0</v>
      </c>
      <c r="AC569" s="11" t="n">
        <f aca="false">IF(AND(Z569=1,AA569&gt;0,AB569&gt;1),P569,0)</f>
        <v>0</v>
      </c>
    </row>
    <row r="570" customFormat="false" ht="15" hidden="false" customHeight="false" outlineLevel="0" collapsed="false">
      <c r="A570" s="4" t="s">
        <v>824</v>
      </c>
      <c r="B570" s="4" t="s">
        <v>101</v>
      </c>
      <c r="C570" s="4" t="n">
        <v>19</v>
      </c>
      <c r="D570" s="4" t="n">
        <v>567</v>
      </c>
      <c r="E570" s="4" t="s">
        <v>205</v>
      </c>
      <c r="F570" s="4" t="n">
        <v>20</v>
      </c>
      <c r="G570" s="4" t="n">
        <v>15</v>
      </c>
      <c r="H570" s="4" t="n">
        <v>43950</v>
      </c>
      <c r="I570" s="13" t="b">
        <f aca="false">FALSE()</f>
        <v>0</v>
      </c>
      <c r="K570" s="4" t="s">
        <v>819</v>
      </c>
      <c r="L570" s="4" t="n">
        <v>9915.12</v>
      </c>
      <c r="M570" s="11" t="n">
        <f aca="false">IFERROR(MATCH(Controls!$B$3&amp;"|"&amp;B570,'Scenario inputs'!$A$4:$A$213,0),0)</f>
        <v>150</v>
      </c>
      <c r="N570" s="8" t="b">
        <f aca="false">IF(M570=0,FALSE(),F570&lt;Controls!$B$12)</f>
        <v>1</v>
      </c>
      <c r="O570" s="11" t="n">
        <f aca="false">IF(N570,IF(INDEX('Scenario inputs'!$E$4:$E$213,M570)=0,1,INDEX('Scenario inputs'!$F$4:$M$213,M570,MIN(MAX(F570-G570,0),INDEX('Scenario inputs'!$E$4:$E$213,M570)-1)+1)),0)</f>
        <v>1</v>
      </c>
      <c r="P570" s="11" t="n">
        <f aca="false">H570*O570</f>
        <v>43950</v>
      </c>
      <c r="Q570" s="0" t="str">
        <f aca="false">IF(M570=0,"",IF(ISNUMBER(INDEX('Scenario inputs'!$N$4:$N$213,M570)),INDEX('Scenario inputs'!$N$4:$N$213,M570),""))</f>
        <v/>
      </c>
      <c r="R570" s="0" t="str">
        <f aca="false">IF(NOT(N570),"",IF(OR(E570="cash",E570="revenue"),E570,IF(E570="avoided_cost",IF(AND(I570,LEN(TRIM(J570))&gt;0),"avoided_cost_realised","avoided_cost_beside"),IF(ISNUMBER(Q570),"capacity_converted","capacity_hours"))))</f>
        <v>avoided_cost_beside</v>
      </c>
      <c r="S570" s="11" t="n">
        <f aca="false">IF(OR(R570="",R570="capacity_hours"),0,IF(R570="capacity_converted",P570*Q570,P570))</f>
        <v>43950</v>
      </c>
      <c r="T570" s="11" t="n">
        <f aca="false">IF(OR(R570="cash",R570="revenue",R570="avoided_cost_realised",R570="capacity_converted"),1,0)</f>
        <v>0</v>
      </c>
      <c r="U570" s="11" t="n">
        <f aca="false">IF(AND(N570,R570&lt;&gt;"capacity_hours",LEN(K570)&gt;0),1,0)</f>
        <v>1</v>
      </c>
      <c r="V570" s="11" t="n">
        <f aca="false">IF(U570=1,SUMPRODUCT(($K$4:$K$703=K570)*($F$4:$F$703=F570)*($U$4:$U$703=1)*($B$4:$B$703&lt;&gt;B570)),0)</f>
        <v>0</v>
      </c>
      <c r="W570" s="11" t="n">
        <f aca="false">IF(AND(U570=1,V570&gt;0),1+SUMPRODUCT(($K$4:$K$703=K570)*($F$4:$F$703=F570)*($U$4:$U$703=1)*($S$4:$S$703&gt;S570))+SUMPRODUCT(($K$4:$K$703=K570)*($F$4:$F$703=F570)*($U$4:$U$703=1)*($S$4:$S$703=S570)*($T$4:$T$703&gt;T570))+SUMPRODUCT(($K$4:$K$703=K570)*($F$4:$F$703=F570)*($U$4:$U$703=1)*($S$4:$S$703=S570)*($T$4:$T$703=T570)*($C$4:$C$703&lt;C570))+SUMPRODUCT(($K$4:$K$703=K570)*($F$4:$F$703=F570)*($U$4:$U$703=1)*($S$4:$S$703=S570)*($T$4:$T$703=T570)*($C$4:$C$703=C570)*($D$4:$D$703&lt;D570)),0)</f>
        <v>0</v>
      </c>
      <c r="X570" s="11" t="n">
        <f aca="false">IF(AND(U570=1,V570&gt;0,W570&gt;1),S570,0)</f>
        <v>0</v>
      </c>
      <c r="Y570" s="11" t="n">
        <f aca="false">IF(T570=1,X570/(1+Controls!$B$11)^F570,0)</f>
        <v>0</v>
      </c>
      <c r="Z570" s="11" t="n">
        <f aca="false">IF(AND(N570,E570="capacity",LEN(K570)&gt;0),1,0)</f>
        <v>0</v>
      </c>
      <c r="AA570" s="11" t="n">
        <f aca="false">IF(Z570=1,SUMPRODUCT(($K$4:$K$703=K570)*($F$4:$F$703=F570)*($Z$4:$Z$703=1)*($B$4:$B$703&lt;&gt;B570)),0)</f>
        <v>0</v>
      </c>
      <c r="AB570" s="11" t="n">
        <f aca="false">IF(AND(Z570=1,AA570&gt;0),1+SUMPRODUCT(($K$4:$K$703=K570)*($F$4:$F$703=F570)*($Z$4:$Z$703=1)*($P$4:$P$703&gt;P570))+SUMPRODUCT(($K$4:$K$703=K570)*($F$4:$F$703=F570)*($Z$4:$Z$703=1)*($P$4:$P$703=P570)*($C$4:$C$703&lt;C570))+SUMPRODUCT(($K$4:$K$703=K570)*($F$4:$F$703=F570)*($Z$4:$Z$703=1)*($P$4:$P$703=P570)*($C$4:$C$703=C570)*($D$4:$D$703&lt;D570)),0)</f>
        <v>0</v>
      </c>
      <c r="AC570" s="11" t="n">
        <f aca="false">IF(AND(Z570=1,AA570&gt;0,AB570&gt;1),P570,0)</f>
        <v>0</v>
      </c>
    </row>
    <row r="571" customFormat="false" ht="15" hidden="false" customHeight="false" outlineLevel="0" collapsed="false">
      <c r="A571" s="4" t="s">
        <v>825</v>
      </c>
      <c r="B571" s="4" t="s">
        <v>101</v>
      </c>
      <c r="C571" s="4" t="n">
        <v>19</v>
      </c>
      <c r="D571" s="4" t="n">
        <v>568</v>
      </c>
      <c r="E571" s="4" t="s">
        <v>205</v>
      </c>
      <c r="F571" s="4" t="n">
        <v>21</v>
      </c>
      <c r="G571" s="4" t="n">
        <v>15</v>
      </c>
      <c r="H571" s="4" t="n">
        <v>43950</v>
      </c>
      <c r="I571" s="13" t="b">
        <f aca="false">FALSE()</f>
        <v>0</v>
      </c>
      <c r="K571" s="4" t="s">
        <v>819</v>
      </c>
      <c r="L571" s="4" t="n">
        <v>9915.12</v>
      </c>
      <c r="M571" s="11" t="n">
        <f aca="false">IFERROR(MATCH(Controls!$B$3&amp;"|"&amp;B571,'Scenario inputs'!$A$4:$A$213,0),0)</f>
        <v>150</v>
      </c>
      <c r="N571" s="8" t="b">
        <f aca="false">IF(M571=0,FALSE(),F571&lt;Controls!$B$12)</f>
        <v>1</v>
      </c>
      <c r="O571" s="11" t="n">
        <f aca="false">IF(N571,IF(INDEX('Scenario inputs'!$E$4:$E$213,M571)=0,1,INDEX('Scenario inputs'!$F$4:$M$213,M571,MIN(MAX(F571-G571,0),INDEX('Scenario inputs'!$E$4:$E$213,M571)-1)+1)),0)</f>
        <v>1</v>
      </c>
      <c r="P571" s="11" t="n">
        <f aca="false">H571*O571</f>
        <v>43950</v>
      </c>
      <c r="Q571" s="0" t="str">
        <f aca="false">IF(M571=0,"",IF(ISNUMBER(INDEX('Scenario inputs'!$N$4:$N$213,M571)),INDEX('Scenario inputs'!$N$4:$N$213,M571),""))</f>
        <v/>
      </c>
      <c r="R571" s="0" t="str">
        <f aca="false">IF(NOT(N571),"",IF(OR(E571="cash",E571="revenue"),E571,IF(E571="avoided_cost",IF(AND(I571,LEN(TRIM(J571))&gt;0),"avoided_cost_realised","avoided_cost_beside"),IF(ISNUMBER(Q571),"capacity_converted","capacity_hours"))))</f>
        <v>avoided_cost_beside</v>
      </c>
      <c r="S571" s="11" t="n">
        <f aca="false">IF(OR(R571="",R571="capacity_hours"),0,IF(R571="capacity_converted",P571*Q571,P571))</f>
        <v>43950</v>
      </c>
      <c r="T571" s="11" t="n">
        <f aca="false">IF(OR(R571="cash",R571="revenue",R571="avoided_cost_realised",R571="capacity_converted"),1,0)</f>
        <v>0</v>
      </c>
      <c r="U571" s="11" t="n">
        <f aca="false">IF(AND(N571,R571&lt;&gt;"capacity_hours",LEN(K571)&gt;0),1,0)</f>
        <v>1</v>
      </c>
      <c r="V571" s="11" t="n">
        <f aca="false">IF(U571=1,SUMPRODUCT(($K$4:$K$703=K571)*($F$4:$F$703=F571)*($U$4:$U$703=1)*($B$4:$B$703&lt;&gt;B571)),0)</f>
        <v>0</v>
      </c>
      <c r="W571" s="11" t="n">
        <f aca="false">IF(AND(U571=1,V571&gt;0),1+SUMPRODUCT(($K$4:$K$703=K571)*($F$4:$F$703=F571)*($U$4:$U$703=1)*($S$4:$S$703&gt;S571))+SUMPRODUCT(($K$4:$K$703=K571)*($F$4:$F$703=F571)*($U$4:$U$703=1)*($S$4:$S$703=S571)*($T$4:$T$703&gt;T571))+SUMPRODUCT(($K$4:$K$703=K571)*($F$4:$F$703=F571)*($U$4:$U$703=1)*($S$4:$S$703=S571)*($T$4:$T$703=T571)*($C$4:$C$703&lt;C571))+SUMPRODUCT(($K$4:$K$703=K571)*($F$4:$F$703=F571)*($U$4:$U$703=1)*($S$4:$S$703=S571)*($T$4:$T$703=T571)*($C$4:$C$703=C571)*($D$4:$D$703&lt;D571)),0)</f>
        <v>0</v>
      </c>
      <c r="X571" s="11" t="n">
        <f aca="false">IF(AND(U571=1,V571&gt;0,W571&gt;1),S571,0)</f>
        <v>0</v>
      </c>
      <c r="Y571" s="11" t="n">
        <f aca="false">IF(T571=1,X571/(1+Controls!$B$11)^F571,0)</f>
        <v>0</v>
      </c>
      <c r="Z571" s="11" t="n">
        <f aca="false">IF(AND(N571,E571="capacity",LEN(K571)&gt;0),1,0)</f>
        <v>0</v>
      </c>
      <c r="AA571" s="11" t="n">
        <f aca="false">IF(Z571=1,SUMPRODUCT(($K$4:$K$703=K571)*($F$4:$F$703=F571)*($Z$4:$Z$703=1)*($B$4:$B$703&lt;&gt;B571)),0)</f>
        <v>0</v>
      </c>
      <c r="AB571" s="11" t="n">
        <f aca="false">IF(AND(Z571=1,AA571&gt;0),1+SUMPRODUCT(($K$4:$K$703=K571)*($F$4:$F$703=F571)*($Z$4:$Z$703=1)*($P$4:$P$703&gt;P571))+SUMPRODUCT(($K$4:$K$703=K571)*($F$4:$F$703=F571)*($Z$4:$Z$703=1)*($P$4:$P$703=P571)*($C$4:$C$703&lt;C571))+SUMPRODUCT(($K$4:$K$703=K571)*($F$4:$F$703=F571)*($Z$4:$Z$703=1)*($P$4:$P$703=P571)*($C$4:$C$703=C571)*($D$4:$D$703&lt;D571)),0)</f>
        <v>0</v>
      </c>
      <c r="AC571" s="11" t="n">
        <f aca="false">IF(AND(Z571=1,AA571&gt;0,AB571&gt;1),P571,0)</f>
        <v>0</v>
      </c>
    </row>
    <row r="572" customFormat="false" ht="15" hidden="false" customHeight="false" outlineLevel="0" collapsed="false">
      <c r="A572" s="4" t="s">
        <v>826</v>
      </c>
      <c r="B572" s="4" t="s">
        <v>101</v>
      </c>
      <c r="C572" s="4" t="n">
        <v>19</v>
      </c>
      <c r="D572" s="4" t="n">
        <v>569</v>
      </c>
      <c r="E572" s="4" t="s">
        <v>205</v>
      </c>
      <c r="F572" s="4" t="n">
        <v>22</v>
      </c>
      <c r="G572" s="4" t="n">
        <v>15</v>
      </c>
      <c r="H572" s="4" t="n">
        <v>43950</v>
      </c>
      <c r="I572" s="13" t="b">
        <f aca="false">FALSE()</f>
        <v>0</v>
      </c>
      <c r="K572" s="4" t="s">
        <v>819</v>
      </c>
      <c r="L572" s="4" t="n">
        <v>9915.12</v>
      </c>
      <c r="M572" s="11" t="n">
        <f aca="false">IFERROR(MATCH(Controls!$B$3&amp;"|"&amp;B572,'Scenario inputs'!$A$4:$A$213,0),0)</f>
        <v>150</v>
      </c>
      <c r="N572" s="8" t="b">
        <f aca="false">IF(M572=0,FALSE(),F572&lt;Controls!$B$12)</f>
        <v>1</v>
      </c>
      <c r="O572" s="11" t="n">
        <f aca="false">IF(N572,IF(INDEX('Scenario inputs'!$E$4:$E$213,M572)=0,1,INDEX('Scenario inputs'!$F$4:$M$213,M572,MIN(MAX(F572-G572,0),INDEX('Scenario inputs'!$E$4:$E$213,M572)-1)+1)),0)</f>
        <v>1</v>
      </c>
      <c r="P572" s="11" t="n">
        <f aca="false">H572*O572</f>
        <v>43950</v>
      </c>
      <c r="Q572" s="0" t="str">
        <f aca="false">IF(M572=0,"",IF(ISNUMBER(INDEX('Scenario inputs'!$N$4:$N$213,M572)),INDEX('Scenario inputs'!$N$4:$N$213,M572),""))</f>
        <v/>
      </c>
      <c r="R572" s="0" t="str">
        <f aca="false">IF(NOT(N572),"",IF(OR(E572="cash",E572="revenue"),E572,IF(E572="avoided_cost",IF(AND(I572,LEN(TRIM(J572))&gt;0),"avoided_cost_realised","avoided_cost_beside"),IF(ISNUMBER(Q572),"capacity_converted","capacity_hours"))))</f>
        <v>avoided_cost_beside</v>
      </c>
      <c r="S572" s="11" t="n">
        <f aca="false">IF(OR(R572="",R572="capacity_hours"),0,IF(R572="capacity_converted",P572*Q572,P572))</f>
        <v>43950</v>
      </c>
      <c r="T572" s="11" t="n">
        <f aca="false">IF(OR(R572="cash",R572="revenue",R572="avoided_cost_realised",R572="capacity_converted"),1,0)</f>
        <v>0</v>
      </c>
      <c r="U572" s="11" t="n">
        <f aca="false">IF(AND(N572,R572&lt;&gt;"capacity_hours",LEN(K572)&gt;0),1,0)</f>
        <v>1</v>
      </c>
      <c r="V572" s="11" t="n">
        <f aca="false">IF(U572=1,SUMPRODUCT(($K$4:$K$703=K572)*($F$4:$F$703=F572)*($U$4:$U$703=1)*($B$4:$B$703&lt;&gt;B572)),0)</f>
        <v>0</v>
      </c>
      <c r="W572" s="11" t="n">
        <f aca="false">IF(AND(U572=1,V572&gt;0),1+SUMPRODUCT(($K$4:$K$703=K572)*($F$4:$F$703=F572)*($U$4:$U$703=1)*($S$4:$S$703&gt;S572))+SUMPRODUCT(($K$4:$K$703=K572)*($F$4:$F$703=F572)*($U$4:$U$703=1)*($S$4:$S$703=S572)*($T$4:$T$703&gt;T572))+SUMPRODUCT(($K$4:$K$703=K572)*($F$4:$F$703=F572)*($U$4:$U$703=1)*($S$4:$S$703=S572)*($T$4:$T$703=T572)*($C$4:$C$703&lt;C572))+SUMPRODUCT(($K$4:$K$703=K572)*($F$4:$F$703=F572)*($U$4:$U$703=1)*($S$4:$S$703=S572)*($T$4:$T$703=T572)*($C$4:$C$703=C572)*($D$4:$D$703&lt;D572)),0)</f>
        <v>0</v>
      </c>
      <c r="X572" s="11" t="n">
        <f aca="false">IF(AND(U572=1,V572&gt;0,W572&gt;1),S572,0)</f>
        <v>0</v>
      </c>
      <c r="Y572" s="11" t="n">
        <f aca="false">IF(T572=1,X572/(1+Controls!$B$11)^F572,0)</f>
        <v>0</v>
      </c>
      <c r="Z572" s="11" t="n">
        <f aca="false">IF(AND(N572,E572="capacity",LEN(K572)&gt;0),1,0)</f>
        <v>0</v>
      </c>
      <c r="AA572" s="11" t="n">
        <f aca="false">IF(Z572=1,SUMPRODUCT(($K$4:$K$703=K572)*($F$4:$F$703=F572)*($Z$4:$Z$703=1)*($B$4:$B$703&lt;&gt;B572)),0)</f>
        <v>0</v>
      </c>
      <c r="AB572" s="11" t="n">
        <f aca="false">IF(AND(Z572=1,AA572&gt;0),1+SUMPRODUCT(($K$4:$K$703=K572)*($F$4:$F$703=F572)*($Z$4:$Z$703=1)*($P$4:$P$703&gt;P572))+SUMPRODUCT(($K$4:$K$703=K572)*($F$4:$F$703=F572)*($Z$4:$Z$703=1)*($P$4:$P$703=P572)*($C$4:$C$703&lt;C572))+SUMPRODUCT(($K$4:$K$703=K572)*($F$4:$F$703=F572)*($Z$4:$Z$703=1)*($P$4:$P$703=P572)*($C$4:$C$703=C572)*($D$4:$D$703&lt;D572)),0)</f>
        <v>0</v>
      </c>
      <c r="AC572" s="11" t="n">
        <f aca="false">IF(AND(Z572=1,AA572&gt;0,AB572&gt;1),P572,0)</f>
        <v>0</v>
      </c>
    </row>
    <row r="573" customFormat="false" ht="15" hidden="false" customHeight="false" outlineLevel="0" collapsed="false">
      <c r="A573" s="4" t="s">
        <v>827</v>
      </c>
      <c r="B573" s="4" t="s">
        <v>101</v>
      </c>
      <c r="C573" s="4" t="n">
        <v>19</v>
      </c>
      <c r="D573" s="4" t="n">
        <v>570</v>
      </c>
      <c r="E573" s="4" t="s">
        <v>205</v>
      </c>
      <c r="F573" s="4" t="n">
        <v>23</v>
      </c>
      <c r="G573" s="4" t="n">
        <v>15</v>
      </c>
      <c r="H573" s="4" t="n">
        <v>43950</v>
      </c>
      <c r="I573" s="13" t="b">
        <f aca="false">FALSE()</f>
        <v>0</v>
      </c>
      <c r="K573" s="4" t="s">
        <v>819</v>
      </c>
      <c r="L573" s="4" t="n">
        <v>9915.12</v>
      </c>
      <c r="M573" s="11" t="n">
        <f aca="false">IFERROR(MATCH(Controls!$B$3&amp;"|"&amp;B573,'Scenario inputs'!$A$4:$A$213,0),0)</f>
        <v>150</v>
      </c>
      <c r="N573" s="8" t="b">
        <f aca="false">IF(M573=0,FALSE(),F573&lt;Controls!$B$12)</f>
        <v>1</v>
      </c>
      <c r="O573" s="11" t="n">
        <f aca="false">IF(N573,IF(INDEX('Scenario inputs'!$E$4:$E$213,M573)=0,1,INDEX('Scenario inputs'!$F$4:$M$213,M573,MIN(MAX(F573-G573,0),INDEX('Scenario inputs'!$E$4:$E$213,M573)-1)+1)),0)</f>
        <v>1</v>
      </c>
      <c r="P573" s="11" t="n">
        <f aca="false">H573*O573</f>
        <v>43950</v>
      </c>
      <c r="Q573" s="0" t="str">
        <f aca="false">IF(M573=0,"",IF(ISNUMBER(INDEX('Scenario inputs'!$N$4:$N$213,M573)),INDEX('Scenario inputs'!$N$4:$N$213,M573),""))</f>
        <v/>
      </c>
      <c r="R573" s="0" t="str">
        <f aca="false">IF(NOT(N573),"",IF(OR(E573="cash",E573="revenue"),E573,IF(E573="avoided_cost",IF(AND(I573,LEN(TRIM(J573))&gt;0),"avoided_cost_realised","avoided_cost_beside"),IF(ISNUMBER(Q573),"capacity_converted","capacity_hours"))))</f>
        <v>avoided_cost_beside</v>
      </c>
      <c r="S573" s="11" t="n">
        <f aca="false">IF(OR(R573="",R573="capacity_hours"),0,IF(R573="capacity_converted",P573*Q573,P573))</f>
        <v>43950</v>
      </c>
      <c r="T573" s="11" t="n">
        <f aca="false">IF(OR(R573="cash",R573="revenue",R573="avoided_cost_realised",R573="capacity_converted"),1,0)</f>
        <v>0</v>
      </c>
      <c r="U573" s="11" t="n">
        <f aca="false">IF(AND(N573,R573&lt;&gt;"capacity_hours",LEN(K573)&gt;0),1,0)</f>
        <v>1</v>
      </c>
      <c r="V573" s="11" t="n">
        <f aca="false">IF(U573=1,SUMPRODUCT(($K$4:$K$703=K573)*($F$4:$F$703=F573)*($U$4:$U$703=1)*($B$4:$B$703&lt;&gt;B573)),0)</f>
        <v>0</v>
      </c>
      <c r="W573" s="11" t="n">
        <f aca="false">IF(AND(U573=1,V573&gt;0),1+SUMPRODUCT(($K$4:$K$703=K573)*($F$4:$F$703=F573)*($U$4:$U$703=1)*($S$4:$S$703&gt;S573))+SUMPRODUCT(($K$4:$K$703=K573)*($F$4:$F$703=F573)*($U$4:$U$703=1)*($S$4:$S$703=S573)*($T$4:$T$703&gt;T573))+SUMPRODUCT(($K$4:$K$703=K573)*($F$4:$F$703=F573)*($U$4:$U$703=1)*($S$4:$S$703=S573)*($T$4:$T$703=T573)*($C$4:$C$703&lt;C573))+SUMPRODUCT(($K$4:$K$703=K573)*($F$4:$F$703=F573)*($U$4:$U$703=1)*($S$4:$S$703=S573)*($T$4:$T$703=T573)*($C$4:$C$703=C573)*($D$4:$D$703&lt;D573)),0)</f>
        <v>0</v>
      </c>
      <c r="X573" s="11" t="n">
        <f aca="false">IF(AND(U573=1,V573&gt;0,W573&gt;1),S573,0)</f>
        <v>0</v>
      </c>
      <c r="Y573" s="11" t="n">
        <f aca="false">IF(T573=1,X573/(1+Controls!$B$11)^F573,0)</f>
        <v>0</v>
      </c>
      <c r="Z573" s="11" t="n">
        <f aca="false">IF(AND(N573,E573="capacity",LEN(K573)&gt;0),1,0)</f>
        <v>0</v>
      </c>
      <c r="AA573" s="11" t="n">
        <f aca="false">IF(Z573=1,SUMPRODUCT(($K$4:$K$703=K573)*($F$4:$F$703=F573)*($Z$4:$Z$703=1)*($B$4:$B$703&lt;&gt;B573)),0)</f>
        <v>0</v>
      </c>
      <c r="AB573" s="11" t="n">
        <f aca="false">IF(AND(Z573=1,AA573&gt;0),1+SUMPRODUCT(($K$4:$K$703=K573)*($F$4:$F$703=F573)*($Z$4:$Z$703=1)*($P$4:$P$703&gt;P573))+SUMPRODUCT(($K$4:$K$703=K573)*($F$4:$F$703=F573)*($Z$4:$Z$703=1)*($P$4:$P$703=P573)*($C$4:$C$703&lt;C573))+SUMPRODUCT(($K$4:$K$703=K573)*($F$4:$F$703=F573)*($Z$4:$Z$703=1)*($P$4:$P$703=P573)*($C$4:$C$703=C573)*($D$4:$D$703&lt;D573)),0)</f>
        <v>0</v>
      </c>
      <c r="AC573" s="11" t="n">
        <f aca="false">IF(AND(Z573=1,AA573&gt;0,AB573&gt;1),P573,0)</f>
        <v>0</v>
      </c>
    </row>
    <row r="574" customFormat="false" ht="15" hidden="false" customHeight="false" outlineLevel="0" collapsed="false">
      <c r="A574" s="4" t="s">
        <v>828</v>
      </c>
      <c r="B574" s="4" t="s">
        <v>101</v>
      </c>
      <c r="C574" s="4" t="n">
        <v>19</v>
      </c>
      <c r="D574" s="4" t="n">
        <v>571</v>
      </c>
      <c r="E574" s="4" t="s">
        <v>205</v>
      </c>
      <c r="F574" s="4" t="n">
        <v>24</v>
      </c>
      <c r="G574" s="4" t="n">
        <v>15</v>
      </c>
      <c r="H574" s="4" t="n">
        <v>43950</v>
      </c>
      <c r="I574" s="13" t="b">
        <f aca="false">FALSE()</f>
        <v>0</v>
      </c>
      <c r="K574" s="4" t="s">
        <v>819</v>
      </c>
      <c r="L574" s="4" t="n">
        <v>9915.12</v>
      </c>
      <c r="M574" s="11" t="n">
        <f aca="false">IFERROR(MATCH(Controls!$B$3&amp;"|"&amp;B574,'Scenario inputs'!$A$4:$A$213,0),0)</f>
        <v>150</v>
      </c>
      <c r="N574" s="8" t="b">
        <f aca="false">IF(M574=0,FALSE(),F574&lt;Controls!$B$12)</f>
        <v>1</v>
      </c>
      <c r="O574" s="11" t="n">
        <f aca="false">IF(N574,IF(INDEX('Scenario inputs'!$E$4:$E$213,M574)=0,1,INDEX('Scenario inputs'!$F$4:$M$213,M574,MIN(MAX(F574-G574,0),INDEX('Scenario inputs'!$E$4:$E$213,M574)-1)+1)),0)</f>
        <v>1</v>
      </c>
      <c r="P574" s="11" t="n">
        <f aca="false">H574*O574</f>
        <v>43950</v>
      </c>
      <c r="Q574" s="0" t="str">
        <f aca="false">IF(M574=0,"",IF(ISNUMBER(INDEX('Scenario inputs'!$N$4:$N$213,M574)),INDEX('Scenario inputs'!$N$4:$N$213,M574),""))</f>
        <v/>
      </c>
      <c r="R574" s="0" t="str">
        <f aca="false">IF(NOT(N574),"",IF(OR(E574="cash",E574="revenue"),E574,IF(E574="avoided_cost",IF(AND(I574,LEN(TRIM(J574))&gt;0),"avoided_cost_realised","avoided_cost_beside"),IF(ISNUMBER(Q574),"capacity_converted","capacity_hours"))))</f>
        <v>avoided_cost_beside</v>
      </c>
      <c r="S574" s="11" t="n">
        <f aca="false">IF(OR(R574="",R574="capacity_hours"),0,IF(R574="capacity_converted",P574*Q574,P574))</f>
        <v>43950</v>
      </c>
      <c r="T574" s="11" t="n">
        <f aca="false">IF(OR(R574="cash",R574="revenue",R574="avoided_cost_realised",R574="capacity_converted"),1,0)</f>
        <v>0</v>
      </c>
      <c r="U574" s="11" t="n">
        <f aca="false">IF(AND(N574,R574&lt;&gt;"capacity_hours",LEN(K574)&gt;0),1,0)</f>
        <v>1</v>
      </c>
      <c r="V574" s="11" t="n">
        <f aca="false">IF(U574=1,SUMPRODUCT(($K$4:$K$703=K574)*($F$4:$F$703=F574)*($U$4:$U$703=1)*($B$4:$B$703&lt;&gt;B574)),0)</f>
        <v>0</v>
      </c>
      <c r="W574" s="11" t="n">
        <f aca="false">IF(AND(U574=1,V574&gt;0),1+SUMPRODUCT(($K$4:$K$703=K574)*($F$4:$F$703=F574)*($U$4:$U$703=1)*($S$4:$S$703&gt;S574))+SUMPRODUCT(($K$4:$K$703=K574)*($F$4:$F$703=F574)*($U$4:$U$703=1)*($S$4:$S$703=S574)*($T$4:$T$703&gt;T574))+SUMPRODUCT(($K$4:$K$703=K574)*($F$4:$F$703=F574)*($U$4:$U$703=1)*($S$4:$S$703=S574)*($T$4:$T$703=T574)*($C$4:$C$703&lt;C574))+SUMPRODUCT(($K$4:$K$703=K574)*($F$4:$F$703=F574)*($U$4:$U$703=1)*($S$4:$S$703=S574)*($T$4:$T$703=T574)*($C$4:$C$703=C574)*($D$4:$D$703&lt;D574)),0)</f>
        <v>0</v>
      </c>
      <c r="X574" s="11" t="n">
        <f aca="false">IF(AND(U574=1,V574&gt;0,W574&gt;1),S574,0)</f>
        <v>0</v>
      </c>
      <c r="Y574" s="11" t="n">
        <f aca="false">IF(T574=1,X574/(1+Controls!$B$11)^F574,0)</f>
        <v>0</v>
      </c>
      <c r="Z574" s="11" t="n">
        <f aca="false">IF(AND(N574,E574="capacity",LEN(K574)&gt;0),1,0)</f>
        <v>0</v>
      </c>
      <c r="AA574" s="11" t="n">
        <f aca="false">IF(Z574=1,SUMPRODUCT(($K$4:$K$703=K574)*($F$4:$F$703=F574)*($Z$4:$Z$703=1)*($B$4:$B$703&lt;&gt;B574)),0)</f>
        <v>0</v>
      </c>
      <c r="AB574" s="11" t="n">
        <f aca="false">IF(AND(Z574=1,AA574&gt;0),1+SUMPRODUCT(($K$4:$K$703=K574)*($F$4:$F$703=F574)*($Z$4:$Z$703=1)*($P$4:$P$703&gt;P574))+SUMPRODUCT(($K$4:$K$703=K574)*($F$4:$F$703=F574)*($Z$4:$Z$703=1)*($P$4:$P$703=P574)*($C$4:$C$703&lt;C574))+SUMPRODUCT(($K$4:$K$703=K574)*($F$4:$F$703=F574)*($Z$4:$Z$703=1)*($P$4:$P$703=P574)*($C$4:$C$703=C574)*($D$4:$D$703&lt;D574)),0)</f>
        <v>0</v>
      </c>
      <c r="AC574" s="11" t="n">
        <f aca="false">IF(AND(Z574=1,AA574&gt;0,AB574&gt;1),P574,0)</f>
        <v>0</v>
      </c>
    </row>
    <row r="575" customFormat="false" ht="15" hidden="false" customHeight="false" outlineLevel="0" collapsed="false">
      <c r="A575" s="4" t="s">
        <v>829</v>
      </c>
      <c r="B575" s="4" t="s">
        <v>101</v>
      </c>
      <c r="C575" s="4" t="n">
        <v>19</v>
      </c>
      <c r="D575" s="4" t="n">
        <v>572</v>
      </c>
      <c r="E575" s="4" t="s">
        <v>205</v>
      </c>
      <c r="F575" s="4" t="n">
        <v>25</v>
      </c>
      <c r="G575" s="4" t="n">
        <v>15</v>
      </c>
      <c r="H575" s="4" t="n">
        <v>43950</v>
      </c>
      <c r="I575" s="13" t="b">
        <f aca="false">FALSE()</f>
        <v>0</v>
      </c>
      <c r="K575" s="4" t="s">
        <v>819</v>
      </c>
      <c r="L575" s="4" t="n">
        <v>9915.12</v>
      </c>
      <c r="M575" s="11" t="n">
        <f aca="false">IFERROR(MATCH(Controls!$B$3&amp;"|"&amp;B575,'Scenario inputs'!$A$4:$A$213,0),0)</f>
        <v>150</v>
      </c>
      <c r="N575" s="8" t="b">
        <f aca="false">IF(M575=0,FALSE(),F575&lt;Controls!$B$12)</f>
        <v>1</v>
      </c>
      <c r="O575" s="11" t="n">
        <f aca="false">IF(N575,IF(INDEX('Scenario inputs'!$E$4:$E$213,M575)=0,1,INDEX('Scenario inputs'!$F$4:$M$213,M575,MIN(MAX(F575-G575,0),INDEX('Scenario inputs'!$E$4:$E$213,M575)-1)+1)),0)</f>
        <v>1</v>
      </c>
      <c r="P575" s="11" t="n">
        <f aca="false">H575*O575</f>
        <v>43950</v>
      </c>
      <c r="Q575" s="0" t="str">
        <f aca="false">IF(M575=0,"",IF(ISNUMBER(INDEX('Scenario inputs'!$N$4:$N$213,M575)),INDEX('Scenario inputs'!$N$4:$N$213,M575),""))</f>
        <v/>
      </c>
      <c r="R575" s="0" t="str">
        <f aca="false">IF(NOT(N575),"",IF(OR(E575="cash",E575="revenue"),E575,IF(E575="avoided_cost",IF(AND(I575,LEN(TRIM(J575))&gt;0),"avoided_cost_realised","avoided_cost_beside"),IF(ISNUMBER(Q575),"capacity_converted","capacity_hours"))))</f>
        <v>avoided_cost_beside</v>
      </c>
      <c r="S575" s="11" t="n">
        <f aca="false">IF(OR(R575="",R575="capacity_hours"),0,IF(R575="capacity_converted",P575*Q575,P575))</f>
        <v>43950</v>
      </c>
      <c r="T575" s="11" t="n">
        <f aca="false">IF(OR(R575="cash",R575="revenue",R575="avoided_cost_realised",R575="capacity_converted"),1,0)</f>
        <v>0</v>
      </c>
      <c r="U575" s="11" t="n">
        <f aca="false">IF(AND(N575,R575&lt;&gt;"capacity_hours",LEN(K575)&gt;0),1,0)</f>
        <v>1</v>
      </c>
      <c r="V575" s="11" t="n">
        <f aca="false">IF(U575=1,SUMPRODUCT(($K$4:$K$703=K575)*($F$4:$F$703=F575)*($U$4:$U$703=1)*($B$4:$B$703&lt;&gt;B575)),0)</f>
        <v>0</v>
      </c>
      <c r="W575" s="11" t="n">
        <f aca="false">IF(AND(U575=1,V575&gt;0),1+SUMPRODUCT(($K$4:$K$703=K575)*($F$4:$F$703=F575)*($U$4:$U$703=1)*($S$4:$S$703&gt;S575))+SUMPRODUCT(($K$4:$K$703=K575)*($F$4:$F$703=F575)*($U$4:$U$703=1)*($S$4:$S$703=S575)*($T$4:$T$703&gt;T575))+SUMPRODUCT(($K$4:$K$703=K575)*($F$4:$F$703=F575)*($U$4:$U$703=1)*($S$4:$S$703=S575)*($T$4:$T$703=T575)*($C$4:$C$703&lt;C575))+SUMPRODUCT(($K$4:$K$703=K575)*($F$4:$F$703=F575)*($U$4:$U$703=1)*($S$4:$S$703=S575)*($T$4:$T$703=T575)*($C$4:$C$703=C575)*($D$4:$D$703&lt;D575)),0)</f>
        <v>0</v>
      </c>
      <c r="X575" s="11" t="n">
        <f aca="false">IF(AND(U575=1,V575&gt;0,W575&gt;1),S575,0)</f>
        <v>0</v>
      </c>
      <c r="Y575" s="11" t="n">
        <f aca="false">IF(T575=1,X575/(1+Controls!$B$11)^F575,0)</f>
        <v>0</v>
      </c>
      <c r="Z575" s="11" t="n">
        <f aca="false">IF(AND(N575,E575="capacity",LEN(K575)&gt;0),1,0)</f>
        <v>0</v>
      </c>
      <c r="AA575" s="11" t="n">
        <f aca="false">IF(Z575=1,SUMPRODUCT(($K$4:$K$703=K575)*($F$4:$F$703=F575)*($Z$4:$Z$703=1)*($B$4:$B$703&lt;&gt;B575)),0)</f>
        <v>0</v>
      </c>
      <c r="AB575" s="11" t="n">
        <f aca="false">IF(AND(Z575=1,AA575&gt;0),1+SUMPRODUCT(($K$4:$K$703=K575)*($F$4:$F$703=F575)*($Z$4:$Z$703=1)*($P$4:$P$703&gt;P575))+SUMPRODUCT(($K$4:$K$703=K575)*($F$4:$F$703=F575)*($Z$4:$Z$703=1)*($P$4:$P$703=P575)*($C$4:$C$703&lt;C575))+SUMPRODUCT(($K$4:$K$703=K575)*($F$4:$F$703=F575)*($Z$4:$Z$703=1)*($P$4:$P$703=P575)*($C$4:$C$703=C575)*($D$4:$D$703&lt;D575)),0)</f>
        <v>0</v>
      </c>
      <c r="AC575" s="11" t="n">
        <f aca="false">IF(AND(Z575=1,AA575&gt;0,AB575&gt;1),P575,0)</f>
        <v>0</v>
      </c>
    </row>
    <row r="576" customFormat="false" ht="15" hidden="false" customHeight="false" outlineLevel="0" collapsed="false">
      <c r="A576" s="4" t="s">
        <v>830</v>
      </c>
      <c r="B576" s="4" t="s">
        <v>101</v>
      </c>
      <c r="C576" s="4" t="n">
        <v>19</v>
      </c>
      <c r="D576" s="4" t="n">
        <v>573</v>
      </c>
      <c r="E576" s="4" t="s">
        <v>205</v>
      </c>
      <c r="F576" s="4" t="n">
        <v>26</v>
      </c>
      <c r="G576" s="4" t="n">
        <v>15</v>
      </c>
      <c r="H576" s="4" t="n">
        <v>43950</v>
      </c>
      <c r="I576" s="13" t="b">
        <f aca="false">FALSE()</f>
        <v>0</v>
      </c>
      <c r="K576" s="4" t="s">
        <v>819</v>
      </c>
      <c r="L576" s="4" t="n">
        <v>9915.12</v>
      </c>
      <c r="M576" s="11" t="n">
        <f aca="false">IFERROR(MATCH(Controls!$B$3&amp;"|"&amp;B576,'Scenario inputs'!$A$4:$A$213,0),0)</f>
        <v>150</v>
      </c>
      <c r="N576" s="8" t="b">
        <f aca="false">IF(M576=0,FALSE(),F576&lt;Controls!$B$12)</f>
        <v>1</v>
      </c>
      <c r="O576" s="11" t="n">
        <f aca="false">IF(N576,IF(INDEX('Scenario inputs'!$E$4:$E$213,M576)=0,1,INDEX('Scenario inputs'!$F$4:$M$213,M576,MIN(MAX(F576-G576,0),INDEX('Scenario inputs'!$E$4:$E$213,M576)-1)+1)),0)</f>
        <v>1</v>
      </c>
      <c r="P576" s="11" t="n">
        <f aca="false">H576*O576</f>
        <v>43950</v>
      </c>
      <c r="Q576" s="0" t="str">
        <f aca="false">IF(M576=0,"",IF(ISNUMBER(INDEX('Scenario inputs'!$N$4:$N$213,M576)),INDEX('Scenario inputs'!$N$4:$N$213,M576),""))</f>
        <v/>
      </c>
      <c r="R576" s="0" t="str">
        <f aca="false">IF(NOT(N576),"",IF(OR(E576="cash",E576="revenue"),E576,IF(E576="avoided_cost",IF(AND(I576,LEN(TRIM(J576))&gt;0),"avoided_cost_realised","avoided_cost_beside"),IF(ISNUMBER(Q576),"capacity_converted","capacity_hours"))))</f>
        <v>avoided_cost_beside</v>
      </c>
      <c r="S576" s="11" t="n">
        <f aca="false">IF(OR(R576="",R576="capacity_hours"),0,IF(R576="capacity_converted",P576*Q576,P576))</f>
        <v>43950</v>
      </c>
      <c r="T576" s="11" t="n">
        <f aca="false">IF(OR(R576="cash",R576="revenue",R576="avoided_cost_realised",R576="capacity_converted"),1,0)</f>
        <v>0</v>
      </c>
      <c r="U576" s="11" t="n">
        <f aca="false">IF(AND(N576,R576&lt;&gt;"capacity_hours",LEN(K576)&gt;0),1,0)</f>
        <v>1</v>
      </c>
      <c r="V576" s="11" t="n">
        <f aca="false">IF(U576=1,SUMPRODUCT(($K$4:$K$703=K576)*($F$4:$F$703=F576)*($U$4:$U$703=1)*($B$4:$B$703&lt;&gt;B576)),0)</f>
        <v>0</v>
      </c>
      <c r="W576" s="11" t="n">
        <f aca="false">IF(AND(U576=1,V576&gt;0),1+SUMPRODUCT(($K$4:$K$703=K576)*($F$4:$F$703=F576)*($U$4:$U$703=1)*($S$4:$S$703&gt;S576))+SUMPRODUCT(($K$4:$K$703=K576)*($F$4:$F$703=F576)*($U$4:$U$703=1)*($S$4:$S$703=S576)*($T$4:$T$703&gt;T576))+SUMPRODUCT(($K$4:$K$703=K576)*($F$4:$F$703=F576)*($U$4:$U$703=1)*($S$4:$S$703=S576)*($T$4:$T$703=T576)*($C$4:$C$703&lt;C576))+SUMPRODUCT(($K$4:$K$703=K576)*($F$4:$F$703=F576)*($U$4:$U$703=1)*($S$4:$S$703=S576)*($T$4:$T$703=T576)*($C$4:$C$703=C576)*($D$4:$D$703&lt;D576)),0)</f>
        <v>0</v>
      </c>
      <c r="X576" s="11" t="n">
        <f aca="false">IF(AND(U576=1,V576&gt;0,W576&gt;1),S576,0)</f>
        <v>0</v>
      </c>
      <c r="Y576" s="11" t="n">
        <f aca="false">IF(T576=1,X576/(1+Controls!$B$11)^F576,0)</f>
        <v>0</v>
      </c>
      <c r="Z576" s="11" t="n">
        <f aca="false">IF(AND(N576,E576="capacity",LEN(K576)&gt;0),1,0)</f>
        <v>0</v>
      </c>
      <c r="AA576" s="11" t="n">
        <f aca="false">IF(Z576=1,SUMPRODUCT(($K$4:$K$703=K576)*($F$4:$F$703=F576)*($Z$4:$Z$703=1)*($B$4:$B$703&lt;&gt;B576)),0)</f>
        <v>0</v>
      </c>
      <c r="AB576" s="11" t="n">
        <f aca="false">IF(AND(Z576=1,AA576&gt;0),1+SUMPRODUCT(($K$4:$K$703=K576)*($F$4:$F$703=F576)*($Z$4:$Z$703=1)*($P$4:$P$703&gt;P576))+SUMPRODUCT(($K$4:$K$703=K576)*($F$4:$F$703=F576)*($Z$4:$Z$703=1)*($P$4:$P$703=P576)*($C$4:$C$703&lt;C576))+SUMPRODUCT(($K$4:$K$703=K576)*($F$4:$F$703=F576)*($Z$4:$Z$703=1)*($P$4:$P$703=P576)*($C$4:$C$703=C576)*($D$4:$D$703&lt;D576)),0)</f>
        <v>0</v>
      </c>
      <c r="AC576" s="11" t="n">
        <f aca="false">IF(AND(Z576=1,AA576&gt;0,AB576&gt;1),P576,0)</f>
        <v>0</v>
      </c>
    </row>
    <row r="577" customFormat="false" ht="15" hidden="false" customHeight="false" outlineLevel="0" collapsed="false">
      <c r="A577" s="4" t="s">
        <v>831</v>
      </c>
      <c r="B577" s="4" t="s">
        <v>102</v>
      </c>
      <c r="C577" s="4" t="n">
        <v>20</v>
      </c>
      <c r="D577" s="4" t="n">
        <v>574</v>
      </c>
      <c r="E577" s="4" t="s">
        <v>233</v>
      </c>
      <c r="F577" s="4" t="n">
        <v>16</v>
      </c>
      <c r="G577" s="4" t="n">
        <v>16</v>
      </c>
      <c r="H577" s="4" t="n">
        <v>566</v>
      </c>
      <c r="I577" s="13" t="b">
        <f aca="false">FALSE()</f>
        <v>0</v>
      </c>
      <c r="K577" s="4" t="s">
        <v>832</v>
      </c>
      <c r="L577" s="4" t="n">
        <v>4.62</v>
      </c>
      <c r="M577" s="11" t="n">
        <f aca="false">IFERROR(MATCH(Controls!$B$3&amp;"|"&amp;B577,'Scenario inputs'!$A$4:$A$213,0),0)</f>
        <v>151</v>
      </c>
      <c r="N577" s="8" t="b">
        <f aca="false">IF(M577=0,FALSE(),F577&lt;Controls!$B$12)</f>
        <v>1</v>
      </c>
      <c r="O577" s="11" t="n">
        <f aca="false">IF(N577,IF(INDEX('Scenario inputs'!$E$4:$E$213,M577)=0,1,INDEX('Scenario inputs'!$F$4:$M$213,M577,MIN(MAX(F577-G577,0),INDEX('Scenario inputs'!$E$4:$E$213,M577)-1)+1)),0)</f>
        <v>0.066667</v>
      </c>
      <c r="P577" s="11" t="n">
        <f aca="false">H577*O577</f>
        <v>37.733522</v>
      </c>
      <c r="Q577" s="0" t="str">
        <f aca="false">IF(M577=0,"",IF(ISNUMBER(INDEX('Scenario inputs'!$N$4:$N$213,M577)),INDEX('Scenario inputs'!$N$4:$N$213,M577),""))</f>
        <v/>
      </c>
      <c r="R577" s="0" t="str">
        <f aca="false">IF(NOT(N577),"",IF(OR(E577="cash",E577="revenue"),E577,IF(E577="avoided_cost",IF(AND(I577,LEN(TRIM(J577))&gt;0),"avoided_cost_realised","avoided_cost_beside"),IF(ISNUMBER(Q577),"capacity_converted","capacity_hours"))))</f>
        <v>capacity_hours</v>
      </c>
      <c r="S577" s="11" t="n">
        <f aca="false">IF(OR(R577="",R577="capacity_hours"),0,IF(R577="capacity_converted",P577*Q577,P577))</f>
        <v>0</v>
      </c>
      <c r="T577" s="11" t="n">
        <f aca="false">IF(OR(R577="cash",R577="revenue",R577="avoided_cost_realised",R577="capacity_converted"),1,0)</f>
        <v>0</v>
      </c>
      <c r="U577" s="11" t="n">
        <f aca="false">IF(AND(N577,R577&lt;&gt;"capacity_hours",LEN(K577)&gt;0),1,0)</f>
        <v>0</v>
      </c>
      <c r="V577" s="11" t="n">
        <f aca="false">IF(U577=1,SUMPRODUCT(($K$4:$K$703=K577)*($F$4:$F$703=F577)*($U$4:$U$703=1)*($B$4:$B$703&lt;&gt;B577)),0)</f>
        <v>0</v>
      </c>
      <c r="W577" s="11" t="n">
        <f aca="false">IF(AND(U577=1,V577&gt;0),1+SUMPRODUCT(($K$4:$K$703=K577)*($F$4:$F$703=F577)*($U$4:$U$703=1)*($S$4:$S$703&gt;S577))+SUMPRODUCT(($K$4:$K$703=K577)*($F$4:$F$703=F577)*($U$4:$U$703=1)*($S$4:$S$703=S577)*($T$4:$T$703&gt;T577))+SUMPRODUCT(($K$4:$K$703=K577)*($F$4:$F$703=F577)*($U$4:$U$703=1)*($S$4:$S$703=S577)*($T$4:$T$703=T577)*($C$4:$C$703&lt;C577))+SUMPRODUCT(($K$4:$K$703=K577)*($F$4:$F$703=F577)*($U$4:$U$703=1)*($S$4:$S$703=S577)*($T$4:$T$703=T577)*($C$4:$C$703=C577)*($D$4:$D$703&lt;D577)),0)</f>
        <v>0</v>
      </c>
      <c r="X577" s="11" t="n">
        <f aca="false">IF(AND(U577=1,V577&gt;0,W577&gt;1),S577,0)</f>
        <v>0</v>
      </c>
      <c r="Y577" s="11" t="n">
        <f aca="false">IF(T577=1,X577/(1+Controls!$B$11)^F577,0)</f>
        <v>0</v>
      </c>
      <c r="Z577" s="11" t="n">
        <f aca="false">IF(AND(N577,E577="capacity",LEN(K577)&gt;0),1,0)</f>
        <v>1</v>
      </c>
      <c r="AA577" s="11" t="n">
        <f aca="false">IF(Z577=1,SUMPRODUCT(($K$4:$K$703=K577)*($F$4:$F$703=F577)*($Z$4:$Z$703=1)*($B$4:$B$703&lt;&gt;B577)),0)</f>
        <v>0</v>
      </c>
      <c r="AB577" s="11" t="n">
        <f aca="false">IF(AND(Z577=1,AA577&gt;0),1+SUMPRODUCT(($K$4:$K$703=K577)*($F$4:$F$703=F577)*($Z$4:$Z$703=1)*($P$4:$P$703&gt;P577))+SUMPRODUCT(($K$4:$K$703=K577)*($F$4:$F$703=F577)*($Z$4:$Z$703=1)*($P$4:$P$703=P577)*($C$4:$C$703&lt;C577))+SUMPRODUCT(($K$4:$K$703=K577)*($F$4:$F$703=F577)*($Z$4:$Z$703=1)*($P$4:$P$703=P577)*($C$4:$C$703=C577)*($D$4:$D$703&lt;D577)),0)</f>
        <v>0</v>
      </c>
      <c r="AC577" s="11" t="n">
        <f aca="false">IF(AND(Z577=1,AA577&gt;0,AB577&gt;1),P577,0)</f>
        <v>0</v>
      </c>
    </row>
    <row r="578" customFormat="false" ht="15" hidden="false" customHeight="false" outlineLevel="0" collapsed="false">
      <c r="A578" s="4" t="s">
        <v>833</v>
      </c>
      <c r="B578" s="4" t="s">
        <v>102</v>
      </c>
      <c r="C578" s="4" t="n">
        <v>20</v>
      </c>
      <c r="D578" s="4" t="n">
        <v>575</v>
      </c>
      <c r="E578" s="4" t="s">
        <v>233</v>
      </c>
      <c r="F578" s="4" t="n">
        <v>17</v>
      </c>
      <c r="G578" s="4" t="n">
        <v>16</v>
      </c>
      <c r="H578" s="4" t="n">
        <v>566</v>
      </c>
      <c r="I578" s="13" t="b">
        <f aca="false">FALSE()</f>
        <v>0</v>
      </c>
      <c r="K578" s="4" t="s">
        <v>832</v>
      </c>
      <c r="L578" s="4" t="n">
        <v>13.86</v>
      </c>
      <c r="M578" s="11" t="n">
        <f aca="false">IFERROR(MATCH(Controls!$B$3&amp;"|"&amp;B578,'Scenario inputs'!$A$4:$A$213,0),0)</f>
        <v>151</v>
      </c>
      <c r="N578" s="8" t="b">
        <f aca="false">IF(M578=0,FALSE(),F578&lt;Controls!$B$12)</f>
        <v>1</v>
      </c>
      <c r="O578" s="11" t="n">
        <f aca="false">IF(N578,IF(INDEX('Scenario inputs'!$E$4:$E$213,M578)=0,1,INDEX('Scenario inputs'!$F$4:$M$213,M578,MIN(MAX(F578-G578,0),INDEX('Scenario inputs'!$E$4:$E$213,M578)-1)+1)),0)</f>
        <v>0.2</v>
      </c>
      <c r="P578" s="11" t="n">
        <f aca="false">H578*O578</f>
        <v>113.2</v>
      </c>
      <c r="Q578" s="0" t="str">
        <f aca="false">IF(M578=0,"",IF(ISNUMBER(INDEX('Scenario inputs'!$N$4:$N$213,M578)),INDEX('Scenario inputs'!$N$4:$N$213,M578),""))</f>
        <v/>
      </c>
      <c r="R578" s="0" t="str">
        <f aca="false">IF(NOT(N578),"",IF(OR(E578="cash",E578="revenue"),E578,IF(E578="avoided_cost",IF(AND(I578,LEN(TRIM(J578))&gt;0),"avoided_cost_realised","avoided_cost_beside"),IF(ISNUMBER(Q578),"capacity_converted","capacity_hours"))))</f>
        <v>capacity_hours</v>
      </c>
      <c r="S578" s="11" t="n">
        <f aca="false">IF(OR(R578="",R578="capacity_hours"),0,IF(R578="capacity_converted",P578*Q578,P578))</f>
        <v>0</v>
      </c>
      <c r="T578" s="11" t="n">
        <f aca="false">IF(OR(R578="cash",R578="revenue",R578="avoided_cost_realised",R578="capacity_converted"),1,0)</f>
        <v>0</v>
      </c>
      <c r="U578" s="11" t="n">
        <f aca="false">IF(AND(N578,R578&lt;&gt;"capacity_hours",LEN(K578)&gt;0),1,0)</f>
        <v>0</v>
      </c>
      <c r="V578" s="11" t="n">
        <f aca="false">IF(U578=1,SUMPRODUCT(($K$4:$K$703=K578)*($F$4:$F$703=F578)*($U$4:$U$703=1)*($B$4:$B$703&lt;&gt;B578)),0)</f>
        <v>0</v>
      </c>
      <c r="W578" s="11" t="n">
        <f aca="false">IF(AND(U578=1,V578&gt;0),1+SUMPRODUCT(($K$4:$K$703=K578)*($F$4:$F$703=F578)*($U$4:$U$703=1)*($S$4:$S$703&gt;S578))+SUMPRODUCT(($K$4:$K$703=K578)*($F$4:$F$703=F578)*($U$4:$U$703=1)*($S$4:$S$703=S578)*($T$4:$T$703&gt;T578))+SUMPRODUCT(($K$4:$K$703=K578)*($F$4:$F$703=F578)*($U$4:$U$703=1)*($S$4:$S$703=S578)*($T$4:$T$703=T578)*($C$4:$C$703&lt;C578))+SUMPRODUCT(($K$4:$K$703=K578)*($F$4:$F$703=F578)*($U$4:$U$703=1)*($S$4:$S$703=S578)*($T$4:$T$703=T578)*($C$4:$C$703=C578)*($D$4:$D$703&lt;D578)),0)</f>
        <v>0</v>
      </c>
      <c r="X578" s="11" t="n">
        <f aca="false">IF(AND(U578=1,V578&gt;0,W578&gt;1),S578,0)</f>
        <v>0</v>
      </c>
      <c r="Y578" s="11" t="n">
        <f aca="false">IF(T578=1,X578/(1+Controls!$B$11)^F578,0)</f>
        <v>0</v>
      </c>
      <c r="Z578" s="11" t="n">
        <f aca="false">IF(AND(N578,E578="capacity",LEN(K578)&gt;0),1,0)</f>
        <v>1</v>
      </c>
      <c r="AA578" s="11" t="n">
        <f aca="false">IF(Z578=1,SUMPRODUCT(($K$4:$K$703=K578)*($F$4:$F$703=F578)*($Z$4:$Z$703=1)*($B$4:$B$703&lt;&gt;B578)),0)</f>
        <v>0</v>
      </c>
      <c r="AB578" s="11" t="n">
        <f aca="false">IF(AND(Z578=1,AA578&gt;0),1+SUMPRODUCT(($K$4:$K$703=K578)*($F$4:$F$703=F578)*($Z$4:$Z$703=1)*($P$4:$P$703&gt;P578))+SUMPRODUCT(($K$4:$K$703=K578)*($F$4:$F$703=F578)*($Z$4:$Z$703=1)*($P$4:$P$703=P578)*($C$4:$C$703&lt;C578))+SUMPRODUCT(($K$4:$K$703=K578)*($F$4:$F$703=F578)*($Z$4:$Z$703=1)*($P$4:$P$703=P578)*($C$4:$C$703=C578)*($D$4:$D$703&lt;D578)),0)</f>
        <v>0</v>
      </c>
      <c r="AC578" s="11" t="n">
        <f aca="false">IF(AND(Z578=1,AA578&gt;0,AB578&gt;1),P578,0)</f>
        <v>0</v>
      </c>
    </row>
    <row r="579" customFormat="false" ht="15" hidden="false" customHeight="false" outlineLevel="0" collapsed="false">
      <c r="A579" s="4" t="s">
        <v>834</v>
      </c>
      <c r="B579" s="4" t="s">
        <v>102</v>
      </c>
      <c r="C579" s="4" t="n">
        <v>20</v>
      </c>
      <c r="D579" s="4" t="n">
        <v>576</v>
      </c>
      <c r="E579" s="4" t="s">
        <v>233</v>
      </c>
      <c r="F579" s="4" t="n">
        <v>18</v>
      </c>
      <c r="G579" s="4" t="n">
        <v>16</v>
      </c>
      <c r="H579" s="4" t="n">
        <v>566</v>
      </c>
      <c r="I579" s="13" t="b">
        <f aca="false">FALSE()</f>
        <v>0</v>
      </c>
      <c r="K579" s="4" t="s">
        <v>832</v>
      </c>
      <c r="L579" s="4" t="n">
        <v>27.71</v>
      </c>
      <c r="M579" s="11" t="n">
        <f aca="false">IFERROR(MATCH(Controls!$B$3&amp;"|"&amp;B579,'Scenario inputs'!$A$4:$A$213,0),0)</f>
        <v>151</v>
      </c>
      <c r="N579" s="8" t="b">
        <f aca="false">IF(M579=0,FALSE(),F579&lt;Controls!$B$12)</f>
        <v>1</v>
      </c>
      <c r="O579" s="11" t="n">
        <f aca="false">IF(N579,IF(INDEX('Scenario inputs'!$E$4:$E$213,M579)=0,1,INDEX('Scenario inputs'!$F$4:$M$213,M579,MIN(MAX(F579-G579,0),INDEX('Scenario inputs'!$E$4:$E$213,M579)-1)+1)),0)</f>
        <v>0.4</v>
      </c>
      <c r="P579" s="11" t="n">
        <f aca="false">H579*O579</f>
        <v>226.4</v>
      </c>
      <c r="Q579" s="0" t="str">
        <f aca="false">IF(M579=0,"",IF(ISNUMBER(INDEX('Scenario inputs'!$N$4:$N$213,M579)),INDEX('Scenario inputs'!$N$4:$N$213,M579),""))</f>
        <v/>
      </c>
      <c r="R579" s="0" t="str">
        <f aca="false">IF(NOT(N579),"",IF(OR(E579="cash",E579="revenue"),E579,IF(E579="avoided_cost",IF(AND(I579,LEN(TRIM(J579))&gt;0),"avoided_cost_realised","avoided_cost_beside"),IF(ISNUMBER(Q579),"capacity_converted","capacity_hours"))))</f>
        <v>capacity_hours</v>
      </c>
      <c r="S579" s="11" t="n">
        <f aca="false">IF(OR(R579="",R579="capacity_hours"),0,IF(R579="capacity_converted",P579*Q579,P579))</f>
        <v>0</v>
      </c>
      <c r="T579" s="11" t="n">
        <f aca="false">IF(OR(R579="cash",R579="revenue",R579="avoided_cost_realised",R579="capacity_converted"),1,0)</f>
        <v>0</v>
      </c>
      <c r="U579" s="11" t="n">
        <f aca="false">IF(AND(N579,R579&lt;&gt;"capacity_hours",LEN(K579)&gt;0),1,0)</f>
        <v>0</v>
      </c>
      <c r="V579" s="11" t="n">
        <f aca="false">IF(U579=1,SUMPRODUCT(($K$4:$K$703=K579)*($F$4:$F$703=F579)*($U$4:$U$703=1)*($B$4:$B$703&lt;&gt;B579)),0)</f>
        <v>0</v>
      </c>
      <c r="W579" s="11" t="n">
        <f aca="false">IF(AND(U579=1,V579&gt;0),1+SUMPRODUCT(($K$4:$K$703=K579)*($F$4:$F$703=F579)*($U$4:$U$703=1)*($S$4:$S$703&gt;S579))+SUMPRODUCT(($K$4:$K$703=K579)*($F$4:$F$703=F579)*($U$4:$U$703=1)*($S$4:$S$703=S579)*($T$4:$T$703&gt;T579))+SUMPRODUCT(($K$4:$K$703=K579)*($F$4:$F$703=F579)*($U$4:$U$703=1)*($S$4:$S$703=S579)*($T$4:$T$703=T579)*($C$4:$C$703&lt;C579))+SUMPRODUCT(($K$4:$K$703=K579)*($F$4:$F$703=F579)*($U$4:$U$703=1)*($S$4:$S$703=S579)*($T$4:$T$703=T579)*($C$4:$C$703=C579)*($D$4:$D$703&lt;D579)),0)</f>
        <v>0</v>
      </c>
      <c r="X579" s="11" t="n">
        <f aca="false">IF(AND(U579=1,V579&gt;0,W579&gt;1),S579,0)</f>
        <v>0</v>
      </c>
      <c r="Y579" s="11" t="n">
        <f aca="false">IF(T579=1,X579/(1+Controls!$B$11)^F579,0)</f>
        <v>0</v>
      </c>
      <c r="Z579" s="11" t="n">
        <f aca="false">IF(AND(N579,E579="capacity",LEN(K579)&gt;0),1,0)</f>
        <v>1</v>
      </c>
      <c r="AA579" s="11" t="n">
        <f aca="false">IF(Z579=1,SUMPRODUCT(($K$4:$K$703=K579)*($F$4:$F$703=F579)*($Z$4:$Z$703=1)*($B$4:$B$703&lt;&gt;B579)),0)</f>
        <v>0</v>
      </c>
      <c r="AB579" s="11" t="n">
        <f aca="false">IF(AND(Z579=1,AA579&gt;0),1+SUMPRODUCT(($K$4:$K$703=K579)*($F$4:$F$703=F579)*($Z$4:$Z$703=1)*($P$4:$P$703&gt;P579))+SUMPRODUCT(($K$4:$K$703=K579)*($F$4:$F$703=F579)*($Z$4:$Z$703=1)*($P$4:$P$703=P579)*($C$4:$C$703&lt;C579))+SUMPRODUCT(($K$4:$K$703=K579)*($F$4:$F$703=F579)*($Z$4:$Z$703=1)*($P$4:$P$703=P579)*($C$4:$C$703=C579)*($D$4:$D$703&lt;D579)),0)</f>
        <v>0</v>
      </c>
      <c r="AC579" s="11" t="n">
        <f aca="false">IF(AND(Z579=1,AA579&gt;0,AB579&gt;1),P579,0)</f>
        <v>0</v>
      </c>
    </row>
    <row r="580" customFormat="false" ht="15" hidden="false" customHeight="false" outlineLevel="0" collapsed="false">
      <c r="A580" s="4" t="s">
        <v>835</v>
      </c>
      <c r="B580" s="4" t="s">
        <v>102</v>
      </c>
      <c r="C580" s="4" t="n">
        <v>20</v>
      </c>
      <c r="D580" s="4" t="n">
        <v>577</v>
      </c>
      <c r="E580" s="4" t="s">
        <v>233</v>
      </c>
      <c r="F580" s="4" t="n">
        <v>19</v>
      </c>
      <c r="G580" s="4" t="n">
        <v>16</v>
      </c>
      <c r="H580" s="4" t="n">
        <v>566</v>
      </c>
      <c r="I580" s="13" t="b">
        <f aca="false">FALSE()</f>
        <v>0</v>
      </c>
      <c r="K580" s="4" t="s">
        <v>832</v>
      </c>
      <c r="L580" s="4" t="n">
        <v>46.19</v>
      </c>
      <c r="M580" s="11" t="n">
        <f aca="false">IFERROR(MATCH(Controls!$B$3&amp;"|"&amp;B580,'Scenario inputs'!$A$4:$A$213,0),0)</f>
        <v>151</v>
      </c>
      <c r="N580" s="8" t="b">
        <f aca="false">IF(M580=0,FALSE(),F580&lt;Controls!$B$12)</f>
        <v>1</v>
      </c>
      <c r="O580" s="11" t="n">
        <f aca="false">IF(N580,IF(INDEX('Scenario inputs'!$E$4:$E$213,M580)=0,1,INDEX('Scenario inputs'!$F$4:$M$213,M580,MIN(MAX(F580-G580,0),INDEX('Scenario inputs'!$E$4:$E$213,M580)-1)+1)),0)</f>
        <v>0.666667</v>
      </c>
      <c r="P580" s="11" t="n">
        <f aca="false">H580*O580</f>
        <v>377.333522</v>
      </c>
      <c r="Q580" s="0" t="str">
        <f aca="false">IF(M580=0,"",IF(ISNUMBER(INDEX('Scenario inputs'!$N$4:$N$213,M580)),INDEX('Scenario inputs'!$N$4:$N$213,M580),""))</f>
        <v/>
      </c>
      <c r="R580" s="0" t="str">
        <f aca="false">IF(NOT(N580),"",IF(OR(E580="cash",E580="revenue"),E580,IF(E580="avoided_cost",IF(AND(I580,LEN(TRIM(J580))&gt;0),"avoided_cost_realised","avoided_cost_beside"),IF(ISNUMBER(Q580),"capacity_converted","capacity_hours"))))</f>
        <v>capacity_hours</v>
      </c>
      <c r="S580" s="11" t="n">
        <f aca="false">IF(OR(R580="",R580="capacity_hours"),0,IF(R580="capacity_converted",P580*Q580,P580))</f>
        <v>0</v>
      </c>
      <c r="T580" s="11" t="n">
        <f aca="false">IF(OR(R580="cash",R580="revenue",R580="avoided_cost_realised",R580="capacity_converted"),1,0)</f>
        <v>0</v>
      </c>
      <c r="U580" s="11" t="n">
        <f aca="false">IF(AND(N580,R580&lt;&gt;"capacity_hours",LEN(K580)&gt;0),1,0)</f>
        <v>0</v>
      </c>
      <c r="V580" s="11" t="n">
        <f aca="false">IF(U580=1,SUMPRODUCT(($K$4:$K$703=K580)*($F$4:$F$703=F580)*($U$4:$U$703=1)*($B$4:$B$703&lt;&gt;B580)),0)</f>
        <v>0</v>
      </c>
      <c r="W580" s="11" t="n">
        <f aca="false">IF(AND(U580=1,V580&gt;0),1+SUMPRODUCT(($K$4:$K$703=K580)*($F$4:$F$703=F580)*($U$4:$U$703=1)*($S$4:$S$703&gt;S580))+SUMPRODUCT(($K$4:$K$703=K580)*($F$4:$F$703=F580)*($U$4:$U$703=1)*($S$4:$S$703=S580)*($T$4:$T$703&gt;T580))+SUMPRODUCT(($K$4:$K$703=K580)*($F$4:$F$703=F580)*($U$4:$U$703=1)*($S$4:$S$703=S580)*($T$4:$T$703=T580)*($C$4:$C$703&lt;C580))+SUMPRODUCT(($K$4:$K$703=K580)*($F$4:$F$703=F580)*($U$4:$U$703=1)*($S$4:$S$703=S580)*($T$4:$T$703=T580)*($C$4:$C$703=C580)*($D$4:$D$703&lt;D580)),0)</f>
        <v>0</v>
      </c>
      <c r="X580" s="11" t="n">
        <f aca="false">IF(AND(U580=1,V580&gt;0,W580&gt;1),S580,0)</f>
        <v>0</v>
      </c>
      <c r="Y580" s="11" t="n">
        <f aca="false">IF(T580=1,X580/(1+Controls!$B$11)^F580,0)</f>
        <v>0</v>
      </c>
      <c r="Z580" s="11" t="n">
        <f aca="false">IF(AND(N580,E580="capacity",LEN(K580)&gt;0),1,0)</f>
        <v>1</v>
      </c>
      <c r="AA580" s="11" t="n">
        <f aca="false">IF(Z580=1,SUMPRODUCT(($K$4:$K$703=K580)*($F$4:$F$703=F580)*($Z$4:$Z$703=1)*($B$4:$B$703&lt;&gt;B580)),0)</f>
        <v>0</v>
      </c>
      <c r="AB580" s="11" t="n">
        <f aca="false">IF(AND(Z580=1,AA580&gt;0),1+SUMPRODUCT(($K$4:$K$703=K580)*($F$4:$F$703=F580)*($Z$4:$Z$703=1)*($P$4:$P$703&gt;P580))+SUMPRODUCT(($K$4:$K$703=K580)*($F$4:$F$703=F580)*($Z$4:$Z$703=1)*($P$4:$P$703=P580)*($C$4:$C$703&lt;C580))+SUMPRODUCT(($K$4:$K$703=K580)*($F$4:$F$703=F580)*($Z$4:$Z$703=1)*($P$4:$P$703=P580)*($C$4:$C$703=C580)*($D$4:$D$703&lt;D580)),0)</f>
        <v>0</v>
      </c>
      <c r="AC580" s="11" t="n">
        <f aca="false">IF(AND(Z580=1,AA580&gt;0,AB580&gt;1),P580,0)</f>
        <v>0</v>
      </c>
    </row>
    <row r="581" customFormat="false" ht="15" hidden="false" customHeight="false" outlineLevel="0" collapsed="false">
      <c r="A581" s="4" t="s">
        <v>836</v>
      </c>
      <c r="B581" s="4" t="s">
        <v>102</v>
      </c>
      <c r="C581" s="4" t="n">
        <v>20</v>
      </c>
      <c r="D581" s="4" t="n">
        <v>578</v>
      </c>
      <c r="E581" s="4" t="s">
        <v>233</v>
      </c>
      <c r="F581" s="4" t="n">
        <v>20</v>
      </c>
      <c r="G581" s="4" t="n">
        <v>16</v>
      </c>
      <c r="H581" s="4" t="n">
        <v>566</v>
      </c>
      <c r="I581" s="13" t="b">
        <f aca="false">FALSE()</f>
        <v>0</v>
      </c>
      <c r="K581" s="4" t="s">
        <v>832</v>
      </c>
      <c r="L581" s="4" t="n">
        <v>69.28</v>
      </c>
      <c r="M581" s="11" t="n">
        <f aca="false">IFERROR(MATCH(Controls!$B$3&amp;"|"&amp;B581,'Scenario inputs'!$A$4:$A$213,0),0)</f>
        <v>151</v>
      </c>
      <c r="N581" s="8" t="b">
        <f aca="false">IF(M581=0,FALSE(),F581&lt;Controls!$B$12)</f>
        <v>1</v>
      </c>
      <c r="O581" s="11" t="n">
        <f aca="false">IF(N581,IF(INDEX('Scenario inputs'!$E$4:$E$213,M581)=0,1,INDEX('Scenario inputs'!$F$4:$M$213,M581,MIN(MAX(F581-G581,0),INDEX('Scenario inputs'!$E$4:$E$213,M581)-1)+1)),0)</f>
        <v>1</v>
      </c>
      <c r="P581" s="11" t="n">
        <f aca="false">H581*O581</f>
        <v>566</v>
      </c>
      <c r="Q581" s="0" t="str">
        <f aca="false">IF(M581=0,"",IF(ISNUMBER(INDEX('Scenario inputs'!$N$4:$N$213,M581)),INDEX('Scenario inputs'!$N$4:$N$213,M581),""))</f>
        <v/>
      </c>
      <c r="R581" s="0" t="str">
        <f aca="false">IF(NOT(N581),"",IF(OR(E581="cash",E581="revenue"),E581,IF(E581="avoided_cost",IF(AND(I581,LEN(TRIM(J581))&gt;0),"avoided_cost_realised","avoided_cost_beside"),IF(ISNUMBER(Q581),"capacity_converted","capacity_hours"))))</f>
        <v>capacity_hours</v>
      </c>
      <c r="S581" s="11" t="n">
        <f aca="false">IF(OR(R581="",R581="capacity_hours"),0,IF(R581="capacity_converted",P581*Q581,P581))</f>
        <v>0</v>
      </c>
      <c r="T581" s="11" t="n">
        <f aca="false">IF(OR(R581="cash",R581="revenue",R581="avoided_cost_realised",R581="capacity_converted"),1,0)</f>
        <v>0</v>
      </c>
      <c r="U581" s="11" t="n">
        <f aca="false">IF(AND(N581,R581&lt;&gt;"capacity_hours",LEN(K581)&gt;0),1,0)</f>
        <v>0</v>
      </c>
      <c r="V581" s="11" t="n">
        <f aca="false">IF(U581=1,SUMPRODUCT(($K$4:$K$703=K581)*($F$4:$F$703=F581)*($U$4:$U$703=1)*($B$4:$B$703&lt;&gt;B581)),0)</f>
        <v>0</v>
      </c>
      <c r="W581" s="11" t="n">
        <f aca="false">IF(AND(U581=1,V581&gt;0),1+SUMPRODUCT(($K$4:$K$703=K581)*($F$4:$F$703=F581)*($U$4:$U$703=1)*($S$4:$S$703&gt;S581))+SUMPRODUCT(($K$4:$K$703=K581)*($F$4:$F$703=F581)*($U$4:$U$703=1)*($S$4:$S$703=S581)*($T$4:$T$703&gt;T581))+SUMPRODUCT(($K$4:$K$703=K581)*($F$4:$F$703=F581)*($U$4:$U$703=1)*($S$4:$S$703=S581)*($T$4:$T$703=T581)*($C$4:$C$703&lt;C581))+SUMPRODUCT(($K$4:$K$703=K581)*($F$4:$F$703=F581)*($U$4:$U$703=1)*($S$4:$S$703=S581)*($T$4:$T$703=T581)*($C$4:$C$703=C581)*($D$4:$D$703&lt;D581)),0)</f>
        <v>0</v>
      </c>
      <c r="X581" s="11" t="n">
        <f aca="false">IF(AND(U581=1,V581&gt;0,W581&gt;1),S581,0)</f>
        <v>0</v>
      </c>
      <c r="Y581" s="11" t="n">
        <f aca="false">IF(T581=1,X581/(1+Controls!$B$11)^F581,0)</f>
        <v>0</v>
      </c>
      <c r="Z581" s="11" t="n">
        <f aca="false">IF(AND(N581,E581="capacity",LEN(K581)&gt;0),1,0)</f>
        <v>1</v>
      </c>
      <c r="AA581" s="11" t="n">
        <f aca="false">IF(Z581=1,SUMPRODUCT(($K$4:$K$703=K581)*($F$4:$F$703=F581)*($Z$4:$Z$703=1)*($B$4:$B$703&lt;&gt;B581)),0)</f>
        <v>0</v>
      </c>
      <c r="AB581" s="11" t="n">
        <f aca="false">IF(AND(Z581=1,AA581&gt;0),1+SUMPRODUCT(($K$4:$K$703=K581)*($F$4:$F$703=F581)*($Z$4:$Z$703=1)*($P$4:$P$703&gt;P581))+SUMPRODUCT(($K$4:$K$703=K581)*($F$4:$F$703=F581)*($Z$4:$Z$703=1)*($P$4:$P$703=P581)*($C$4:$C$703&lt;C581))+SUMPRODUCT(($K$4:$K$703=K581)*($F$4:$F$703=F581)*($Z$4:$Z$703=1)*($P$4:$P$703=P581)*($C$4:$C$703=C581)*($D$4:$D$703&lt;D581)),0)</f>
        <v>0</v>
      </c>
      <c r="AC581" s="11" t="n">
        <f aca="false">IF(AND(Z581=1,AA581&gt;0,AB581&gt;1),P581,0)</f>
        <v>0</v>
      </c>
    </row>
    <row r="582" customFormat="false" ht="15" hidden="false" customHeight="false" outlineLevel="0" collapsed="false">
      <c r="A582" s="4" t="s">
        <v>837</v>
      </c>
      <c r="B582" s="4" t="s">
        <v>102</v>
      </c>
      <c r="C582" s="4" t="n">
        <v>20</v>
      </c>
      <c r="D582" s="4" t="n">
        <v>579</v>
      </c>
      <c r="E582" s="4" t="s">
        <v>233</v>
      </c>
      <c r="F582" s="4" t="n">
        <v>21</v>
      </c>
      <c r="G582" s="4" t="n">
        <v>16</v>
      </c>
      <c r="H582" s="4" t="n">
        <v>566</v>
      </c>
      <c r="I582" s="13" t="b">
        <f aca="false">FALSE()</f>
        <v>0</v>
      </c>
      <c r="K582" s="4" t="s">
        <v>832</v>
      </c>
      <c r="L582" s="4" t="n">
        <v>69.28</v>
      </c>
      <c r="M582" s="11" t="n">
        <f aca="false">IFERROR(MATCH(Controls!$B$3&amp;"|"&amp;B582,'Scenario inputs'!$A$4:$A$213,0),0)</f>
        <v>151</v>
      </c>
      <c r="N582" s="8" t="b">
        <f aca="false">IF(M582=0,FALSE(),F582&lt;Controls!$B$12)</f>
        <v>1</v>
      </c>
      <c r="O582" s="11" t="n">
        <f aca="false">IF(N582,IF(INDEX('Scenario inputs'!$E$4:$E$213,M582)=0,1,INDEX('Scenario inputs'!$F$4:$M$213,M582,MIN(MAX(F582-G582,0),INDEX('Scenario inputs'!$E$4:$E$213,M582)-1)+1)),0)</f>
        <v>1</v>
      </c>
      <c r="P582" s="11" t="n">
        <f aca="false">H582*O582</f>
        <v>566</v>
      </c>
      <c r="Q582" s="0" t="str">
        <f aca="false">IF(M582=0,"",IF(ISNUMBER(INDEX('Scenario inputs'!$N$4:$N$213,M582)),INDEX('Scenario inputs'!$N$4:$N$213,M582),""))</f>
        <v/>
      </c>
      <c r="R582" s="0" t="str">
        <f aca="false">IF(NOT(N582),"",IF(OR(E582="cash",E582="revenue"),E582,IF(E582="avoided_cost",IF(AND(I582,LEN(TRIM(J582))&gt;0),"avoided_cost_realised","avoided_cost_beside"),IF(ISNUMBER(Q582),"capacity_converted","capacity_hours"))))</f>
        <v>capacity_hours</v>
      </c>
      <c r="S582" s="11" t="n">
        <f aca="false">IF(OR(R582="",R582="capacity_hours"),0,IF(R582="capacity_converted",P582*Q582,P582))</f>
        <v>0</v>
      </c>
      <c r="T582" s="11" t="n">
        <f aca="false">IF(OR(R582="cash",R582="revenue",R582="avoided_cost_realised",R582="capacity_converted"),1,0)</f>
        <v>0</v>
      </c>
      <c r="U582" s="11" t="n">
        <f aca="false">IF(AND(N582,R582&lt;&gt;"capacity_hours",LEN(K582)&gt;0),1,0)</f>
        <v>0</v>
      </c>
      <c r="V582" s="11" t="n">
        <f aca="false">IF(U582=1,SUMPRODUCT(($K$4:$K$703=K582)*($F$4:$F$703=F582)*($U$4:$U$703=1)*($B$4:$B$703&lt;&gt;B582)),0)</f>
        <v>0</v>
      </c>
      <c r="W582" s="11" t="n">
        <f aca="false">IF(AND(U582=1,V582&gt;0),1+SUMPRODUCT(($K$4:$K$703=K582)*($F$4:$F$703=F582)*($U$4:$U$703=1)*($S$4:$S$703&gt;S582))+SUMPRODUCT(($K$4:$K$703=K582)*($F$4:$F$703=F582)*($U$4:$U$703=1)*($S$4:$S$703=S582)*($T$4:$T$703&gt;T582))+SUMPRODUCT(($K$4:$K$703=K582)*($F$4:$F$703=F582)*($U$4:$U$703=1)*($S$4:$S$703=S582)*($T$4:$T$703=T582)*($C$4:$C$703&lt;C582))+SUMPRODUCT(($K$4:$K$703=K582)*($F$4:$F$703=F582)*($U$4:$U$703=1)*($S$4:$S$703=S582)*($T$4:$T$703=T582)*($C$4:$C$703=C582)*($D$4:$D$703&lt;D582)),0)</f>
        <v>0</v>
      </c>
      <c r="X582" s="11" t="n">
        <f aca="false">IF(AND(U582=1,V582&gt;0,W582&gt;1),S582,0)</f>
        <v>0</v>
      </c>
      <c r="Y582" s="11" t="n">
        <f aca="false">IF(T582=1,X582/(1+Controls!$B$11)^F582,0)</f>
        <v>0</v>
      </c>
      <c r="Z582" s="11" t="n">
        <f aca="false">IF(AND(N582,E582="capacity",LEN(K582)&gt;0),1,0)</f>
        <v>1</v>
      </c>
      <c r="AA582" s="11" t="n">
        <f aca="false">IF(Z582=1,SUMPRODUCT(($K$4:$K$703=K582)*($F$4:$F$703=F582)*($Z$4:$Z$703=1)*($B$4:$B$703&lt;&gt;B582)),0)</f>
        <v>0</v>
      </c>
      <c r="AB582" s="11" t="n">
        <f aca="false">IF(AND(Z582=1,AA582&gt;0),1+SUMPRODUCT(($K$4:$K$703=K582)*($F$4:$F$703=F582)*($Z$4:$Z$703=1)*($P$4:$P$703&gt;P582))+SUMPRODUCT(($K$4:$K$703=K582)*($F$4:$F$703=F582)*($Z$4:$Z$703=1)*($P$4:$P$703=P582)*($C$4:$C$703&lt;C582))+SUMPRODUCT(($K$4:$K$703=K582)*($F$4:$F$703=F582)*($Z$4:$Z$703=1)*($P$4:$P$703=P582)*($C$4:$C$703=C582)*($D$4:$D$703&lt;D582)),0)</f>
        <v>0</v>
      </c>
      <c r="AC582" s="11" t="n">
        <f aca="false">IF(AND(Z582=1,AA582&gt;0,AB582&gt;1),P582,0)</f>
        <v>0</v>
      </c>
    </row>
    <row r="583" customFormat="false" ht="15" hidden="false" customHeight="false" outlineLevel="0" collapsed="false">
      <c r="A583" s="4" t="s">
        <v>838</v>
      </c>
      <c r="B583" s="4" t="s">
        <v>102</v>
      </c>
      <c r="C583" s="4" t="n">
        <v>20</v>
      </c>
      <c r="D583" s="4" t="n">
        <v>580</v>
      </c>
      <c r="E583" s="4" t="s">
        <v>233</v>
      </c>
      <c r="F583" s="4" t="n">
        <v>22</v>
      </c>
      <c r="G583" s="4" t="n">
        <v>16</v>
      </c>
      <c r="H583" s="4" t="n">
        <v>566</v>
      </c>
      <c r="I583" s="13" t="b">
        <f aca="false">FALSE()</f>
        <v>0</v>
      </c>
      <c r="K583" s="4" t="s">
        <v>832</v>
      </c>
      <c r="L583" s="4" t="n">
        <v>69.28</v>
      </c>
      <c r="M583" s="11" t="n">
        <f aca="false">IFERROR(MATCH(Controls!$B$3&amp;"|"&amp;B583,'Scenario inputs'!$A$4:$A$213,0),0)</f>
        <v>151</v>
      </c>
      <c r="N583" s="8" t="b">
        <f aca="false">IF(M583=0,FALSE(),F583&lt;Controls!$B$12)</f>
        <v>1</v>
      </c>
      <c r="O583" s="11" t="n">
        <f aca="false">IF(N583,IF(INDEX('Scenario inputs'!$E$4:$E$213,M583)=0,1,INDEX('Scenario inputs'!$F$4:$M$213,M583,MIN(MAX(F583-G583,0),INDEX('Scenario inputs'!$E$4:$E$213,M583)-1)+1)),0)</f>
        <v>1</v>
      </c>
      <c r="P583" s="11" t="n">
        <f aca="false">H583*O583</f>
        <v>566</v>
      </c>
      <c r="Q583" s="0" t="str">
        <f aca="false">IF(M583=0,"",IF(ISNUMBER(INDEX('Scenario inputs'!$N$4:$N$213,M583)),INDEX('Scenario inputs'!$N$4:$N$213,M583),""))</f>
        <v/>
      </c>
      <c r="R583" s="0" t="str">
        <f aca="false">IF(NOT(N583),"",IF(OR(E583="cash",E583="revenue"),E583,IF(E583="avoided_cost",IF(AND(I583,LEN(TRIM(J583))&gt;0),"avoided_cost_realised","avoided_cost_beside"),IF(ISNUMBER(Q583),"capacity_converted","capacity_hours"))))</f>
        <v>capacity_hours</v>
      </c>
      <c r="S583" s="11" t="n">
        <f aca="false">IF(OR(R583="",R583="capacity_hours"),0,IF(R583="capacity_converted",P583*Q583,P583))</f>
        <v>0</v>
      </c>
      <c r="T583" s="11" t="n">
        <f aca="false">IF(OR(R583="cash",R583="revenue",R583="avoided_cost_realised",R583="capacity_converted"),1,0)</f>
        <v>0</v>
      </c>
      <c r="U583" s="11" t="n">
        <f aca="false">IF(AND(N583,R583&lt;&gt;"capacity_hours",LEN(K583)&gt;0),1,0)</f>
        <v>0</v>
      </c>
      <c r="V583" s="11" t="n">
        <f aca="false">IF(U583=1,SUMPRODUCT(($K$4:$K$703=K583)*($F$4:$F$703=F583)*($U$4:$U$703=1)*($B$4:$B$703&lt;&gt;B583)),0)</f>
        <v>0</v>
      </c>
      <c r="W583" s="11" t="n">
        <f aca="false">IF(AND(U583=1,V583&gt;0),1+SUMPRODUCT(($K$4:$K$703=K583)*($F$4:$F$703=F583)*($U$4:$U$703=1)*($S$4:$S$703&gt;S583))+SUMPRODUCT(($K$4:$K$703=K583)*($F$4:$F$703=F583)*($U$4:$U$703=1)*($S$4:$S$703=S583)*($T$4:$T$703&gt;T583))+SUMPRODUCT(($K$4:$K$703=K583)*($F$4:$F$703=F583)*($U$4:$U$703=1)*($S$4:$S$703=S583)*($T$4:$T$703=T583)*($C$4:$C$703&lt;C583))+SUMPRODUCT(($K$4:$K$703=K583)*($F$4:$F$703=F583)*($U$4:$U$703=1)*($S$4:$S$703=S583)*($T$4:$T$703=T583)*($C$4:$C$703=C583)*($D$4:$D$703&lt;D583)),0)</f>
        <v>0</v>
      </c>
      <c r="X583" s="11" t="n">
        <f aca="false">IF(AND(U583=1,V583&gt;0,W583&gt;1),S583,0)</f>
        <v>0</v>
      </c>
      <c r="Y583" s="11" t="n">
        <f aca="false">IF(T583=1,X583/(1+Controls!$B$11)^F583,0)</f>
        <v>0</v>
      </c>
      <c r="Z583" s="11" t="n">
        <f aca="false">IF(AND(N583,E583="capacity",LEN(K583)&gt;0),1,0)</f>
        <v>1</v>
      </c>
      <c r="AA583" s="11" t="n">
        <f aca="false">IF(Z583=1,SUMPRODUCT(($K$4:$K$703=K583)*($F$4:$F$703=F583)*($Z$4:$Z$703=1)*($B$4:$B$703&lt;&gt;B583)),0)</f>
        <v>0</v>
      </c>
      <c r="AB583" s="11" t="n">
        <f aca="false">IF(AND(Z583=1,AA583&gt;0),1+SUMPRODUCT(($K$4:$K$703=K583)*($F$4:$F$703=F583)*($Z$4:$Z$703=1)*($P$4:$P$703&gt;P583))+SUMPRODUCT(($K$4:$K$703=K583)*($F$4:$F$703=F583)*($Z$4:$Z$703=1)*($P$4:$P$703=P583)*($C$4:$C$703&lt;C583))+SUMPRODUCT(($K$4:$K$703=K583)*($F$4:$F$703=F583)*($Z$4:$Z$703=1)*($P$4:$P$703=P583)*($C$4:$C$703=C583)*($D$4:$D$703&lt;D583)),0)</f>
        <v>0</v>
      </c>
      <c r="AC583" s="11" t="n">
        <f aca="false">IF(AND(Z583=1,AA583&gt;0,AB583&gt;1),P583,0)</f>
        <v>0</v>
      </c>
    </row>
    <row r="584" customFormat="false" ht="15" hidden="false" customHeight="false" outlineLevel="0" collapsed="false">
      <c r="A584" s="4" t="s">
        <v>839</v>
      </c>
      <c r="B584" s="4" t="s">
        <v>102</v>
      </c>
      <c r="C584" s="4" t="n">
        <v>20</v>
      </c>
      <c r="D584" s="4" t="n">
        <v>581</v>
      </c>
      <c r="E584" s="4" t="s">
        <v>233</v>
      </c>
      <c r="F584" s="4" t="n">
        <v>23</v>
      </c>
      <c r="G584" s="4" t="n">
        <v>16</v>
      </c>
      <c r="H584" s="4" t="n">
        <v>566</v>
      </c>
      <c r="I584" s="13" t="b">
        <f aca="false">FALSE()</f>
        <v>0</v>
      </c>
      <c r="K584" s="4" t="s">
        <v>832</v>
      </c>
      <c r="L584" s="4" t="n">
        <v>69.28</v>
      </c>
      <c r="M584" s="11" t="n">
        <f aca="false">IFERROR(MATCH(Controls!$B$3&amp;"|"&amp;B584,'Scenario inputs'!$A$4:$A$213,0),0)</f>
        <v>151</v>
      </c>
      <c r="N584" s="8" t="b">
        <f aca="false">IF(M584=0,FALSE(),F584&lt;Controls!$B$12)</f>
        <v>1</v>
      </c>
      <c r="O584" s="11" t="n">
        <f aca="false">IF(N584,IF(INDEX('Scenario inputs'!$E$4:$E$213,M584)=0,1,INDEX('Scenario inputs'!$F$4:$M$213,M584,MIN(MAX(F584-G584,0),INDEX('Scenario inputs'!$E$4:$E$213,M584)-1)+1)),0)</f>
        <v>1</v>
      </c>
      <c r="P584" s="11" t="n">
        <f aca="false">H584*O584</f>
        <v>566</v>
      </c>
      <c r="Q584" s="0" t="str">
        <f aca="false">IF(M584=0,"",IF(ISNUMBER(INDEX('Scenario inputs'!$N$4:$N$213,M584)),INDEX('Scenario inputs'!$N$4:$N$213,M584),""))</f>
        <v/>
      </c>
      <c r="R584" s="0" t="str">
        <f aca="false">IF(NOT(N584),"",IF(OR(E584="cash",E584="revenue"),E584,IF(E584="avoided_cost",IF(AND(I584,LEN(TRIM(J584))&gt;0),"avoided_cost_realised","avoided_cost_beside"),IF(ISNUMBER(Q584),"capacity_converted","capacity_hours"))))</f>
        <v>capacity_hours</v>
      </c>
      <c r="S584" s="11" t="n">
        <f aca="false">IF(OR(R584="",R584="capacity_hours"),0,IF(R584="capacity_converted",P584*Q584,P584))</f>
        <v>0</v>
      </c>
      <c r="T584" s="11" t="n">
        <f aca="false">IF(OR(R584="cash",R584="revenue",R584="avoided_cost_realised",R584="capacity_converted"),1,0)</f>
        <v>0</v>
      </c>
      <c r="U584" s="11" t="n">
        <f aca="false">IF(AND(N584,R584&lt;&gt;"capacity_hours",LEN(K584)&gt;0),1,0)</f>
        <v>0</v>
      </c>
      <c r="V584" s="11" t="n">
        <f aca="false">IF(U584=1,SUMPRODUCT(($K$4:$K$703=K584)*($F$4:$F$703=F584)*($U$4:$U$703=1)*($B$4:$B$703&lt;&gt;B584)),0)</f>
        <v>0</v>
      </c>
      <c r="W584" s="11" t="n">
        <f aca="false">IF(AND(U584=1,V584&gt;0),1+SUMPRODUCT(($K$4:$K$703=K584)*($F$4:$F$703=F584)*($U$4:$U$703=1)*($S$4:$S$703&gt;S584))+SUMPRODUCT(($K$4:$K$703=K584)*($F$4:$F$703=F584)*($U$4:$U$703=1)*($S$4:$S$703=S584)*($T$4:$T$703&gt;T584))+SUMPRODUCT(($K$4:$K$703=K584)*($F$4:$F$703=F584)*($U$4:$U$703=1)*($S$4:$S$703=S584)*($T$4:$T$703=T584)*($C$4:$C$703&lt;C584))+SUMPRODUCT(($K$4:$K$703=K584)*($F$4:$F$703=F584)*($U$4:$U$703=1)*($S$4:$S$703=S584)*($T$4:$T$703=T584)*($C$4:$C$703=C584)*($D$4:$D$703&lt;D584)),0)</f>
        <v>0</v>
      </c>
      <c r="X584" s="11" t="n">
        <f aca="false">IF(AND(U584=1,V584&gt;0,W584&gt;1),S584,0)</f>
        <v>0</v>
      </c>
      <c r="Y584" s="11" t="n">
        <f aca="false">IF(T584=1,X584/(1+Controls!$B$11)^F584,0)</f>
        <v>0</v>
      </c>
      <c r="Z584" s="11" t="n">
        <f aca="false">IF(AND(N584,E584="capacity",LEN(K584)&gt;0),1,0)</f>
        <v>1</v>
      </c>
      <c r="AA584" s="11" t="n">
        <f aca="false">IF(Z584=1,SUMPRODUCT(($K$4:$K$703=K584)*($F$4:$F$703=F584)*($Z$4:$Z$703=1)*($B$4:$B$703&lt;&gt;B584)),0)</f>
        <v>0</v>
      </c>
      <c r="AB584" s="11" t="n">
        <f aca="false">IF(AND(Z584=1,AA584&gt;0),1+SUMPRODUCT(($K$4:$K$703=K584)*($F$4:$F$703=F584)*($Z$4:$Z$703=1)*($P$4:$P$703&gt;P584))+SUMPRODUCT(($K$4:$K$703=K584)*($F$4:$F$703=F584)*($Z$4:$Z$703=1)*($P$4:$P$703=P584)*($C$4:$C$703&lt;C584))+SUMPRODUCT(($K$4:$K$703=K584)*($F$4:$F$703=F584)*($Z$4:$Z$703=1)*($P$4:$P$703=P584)*($C$4:$C$703=C584)*($D$4:$D$703&lt;D584)),0)</f>
        <v>0</v>
      </c>
      <c r="AC584" s="11" t="n">
        <f aca="false">IF(AND(Z584=1,AA584&gt;0,AB584&gt;1),P584,0)</f>
        <v>0</v>
      </c>
    </row>
    <row r="585" customFormat="false" ht="15" hidden="false" customHeight="false" outlineLevel="0" collapsed="false">
      <c r="A585" s="4" t="s">
        <v>840</v>
      </c>
      <c r="B585" s="4" t="s">
        <v>102</v>
      </c>
      <c r="C585" s="4" t="n">
        <v>20</v>
      </c>
      <c r="D585" s="4" t="n">
        <v>582</v>
      </c>
      <c r="E585" s="4" t="s">
        <v>233</v>
      </c>
      <c r="F585" s="4" t="n">
        <v>24</v>
      </c>
      <c r="G585" s="4" t="n">
        <v>16</v>
      </c>
      <c r="H585" s="4" t="n">
        <v>566</v>
      </c>
      <c r="I585" s="13" t="b">
        <f aca="false">FALSE()</f>
        <v>0</v>
      </c>
      <c r="K585" s="4" t="s">
        <v>832</v>
      </c>
      <c r="L585" s="4" t="n">
        <v>69.28</v>
      </c>
      <c r="M585" s="11" t="n">
        <f aca="false">IFERROR(MATCH(Controls!$B$3&amp;"|"&amp;B585,'Scenario inputs'!$A$4:$A$213,0),0)</f>
        <v>151</v>
      </c>
      <c r="N585" s="8" t="b">
        <f aca="false">IF(M585=0,FALSE(),F585&lt;Controls!$B$12)</f>
        <v>1</v>
      </c>
      <c r="O585" s="11" t="n">
        <f aca="false">IF(N585,IF(INDEX('Scenario inputs'!$E$4:$E$213,M585)=0,1,INDEX('Scenario inputs'!$F$4:$M$213,M585,MIN(MAX(F585-G585,0),INDEX('Scenario inputs'!$E$4:$E$213,M585)-1)+1)),0)</f>
        <v>1</v>
      </c>
      <c r="P585" s="11" t="n">
        <f aca="false">H585*O585</f>
        <v>566</v>
      </c>
      <c r="Q585" s="0" t="str">
        <f aca="false">IF(M585=0,"",IF(ISNUMBER(INDEX('Scenario inputs'!$N$4:$N$213,M585)),INDEX('Scenario inputs'!$N$4:$N$213,M585),""))</f>
        <v/>
      </c>
      <c r="R585" s="0" t="str">
        <f aca="false">IF(NOT(N585),"",IF(OR(E585="cash",E585="revenue"),E585,IF(E585="avoided_cost",IF(AND(I585,LEN(TRIM(J585))&gt;0),"avoided_cost_realised","avoided_cost_beside"),IF(ISNUMBER(Q585),"capacity_converted","capacity_hours"))))</f>
        <v>capacity_hours</v>
      </c>
      <c r="S585" s="11" t="n">
        <f aca="false">IF(OR(R585="",R585="capacity_hours"),0,IF(R585="capacity_converted",P585*Q585,P585))</f>
        <v>0</v>
      </c>
      <c r="T585" s="11" t="n">
        <f aca="false">IF(OR(R585="cash",R585="revenue",R585="avoided_cost_realised",R585="capacity_converted"),1,0)</f>
        <v>0</v>
      </c>
      <c r="U585" s="11" t="n">
        <f aca="false">IF(AND(N585,R585&lt;&gt;"capacity_hours",LEN(K585)&gt;0),1,0)</f>
        <v>0</v>
      </c>
      <c r="V585" s="11" t="n">
        <f aca="false">IF(U585=1,SUMPRODUCT(($K$4:$K$703=K585)*($F$4:$F$703=F585)*($U$4:$U$703=1)*($B$4:$B$703&lt;&gt;B585)),0)</f>
        <v>0</v>
      </c>
      <c r="W585" s="11" t="n">
        <f aca="false">IF(AND(U585=1,V585&gt;0),1+SUMPRODUCT(($K$4:$K$703=K585)*($F$4:$F$703=F585)*($U$4:$U$703=1)*($S$4:$S$703&gt;S585))+SUMPRODUCT(($K$4:$K$703=K585)*($F$4:$F$703=F585)*($U$4:$U$703=1)*($S$4:$S$703=S585)*($T$4:$T$703&gt;T585))+SUMPRODUCT(($K$4:$K$703=K585)*($F$4:$F$703=F585)*($U$4:$U$703=1)*($S$4:$S$703=S585)*($T$4:$T$703=T585)*($C$4:$C$703&lt;C585))+SUMPRODUCT(($K$4:$K$703=K585)*($F$4:$F$703=F585)*($U$4:$U$703=1)*($S$4:$S$703=S585)*($T$4:$T$703=T585)*($C$4:$C$703=C585)*($D$4:$D$703&lt;D585)),0)</f>
        <v>0</v>
      </c>
      <c r="X585" s="11" t="n">
        <f aca="false">IF(AND(U585=1,V585&gt;0,W585&gt;1),S585,0)</f>
        <v>0</v>
      </c>
      <c r="Y585" s="11" t="n">
        <f aca="false">IF(T585=1,X585/(1+Controls!$B$11)^F585,0)</f>
        <v>0</v>
      </c>
      <c r="Z585" s="11" t="n">
        <f aca="false">IF(AND(N585,E585="capacity",LEN(K585)&gt;0),1,0)</f>
        <v>1</v>
      </c>
      <c r="AA585" s="11" t="n">
        <f aca="false">IF(Z585=1,SUMPRODUCT(($K$4:$K$703=K585)*($F$4:$F$703=F585)*($Z$4:$Z$703=1)*($B$4:$B$703&lt;&gt;B585)),0)</f>
        <v>0</v>
      </c>
      <c r="AB585" s="11" t="n">
        <f aca="false">IF(AND(Z585=1,AA585&gt;0),1+SUMPRODUCT(($K$4:$K$703=K585)*($F$4:$F$703=F585)*($Z$4:$Z$703=1)*($P$4:$P$703&gt;P585))+SUMPRODUCT(($K$4:$K$703=K585)*($F$4:$F$703=F585)*($Z$4:$Z$703=1)*($P$4:$P$703=P585)*($C$4:$C$703&lt;C585))+SUMPRODUCT(($K$4:$K$703=K585)*($F$4:$F$703=F585)*($Z$4:$Z$703=1)*($P$4:$P$703=P585)*($C$4:$C$703=C585)*($D$4:$D$703&lt;D585)),0)</f>
        <v>0</v>
      </c>
      <c r="AC585" s="11" t="n">
        <f aca="false">IF(AND(Z585=1,AA585&gt;0,AB585&gt;1),P585,0)</f>
        <v>0</v>
      </c>
    </row>
    <row r="586" customFormat="false" ht="15" hidden="false" customHeight="false" outlineLevel="0" collapsed="false">
      <c r="A586" s="4" t="s">
        <v>841</v>
      </c>
      <c r="B586" s="4" t="s">
        <v>102</v>
      </c>
      <c r="C586" s="4" t="n">
        <v>20</v>
      </c>
      <c r="D586" s="4" t="n">
        <v>583</v>
      </c>
      <c r="E586" s="4" t="s">
        <v>233</v>
      </c>
      <c r="F586" s="4" t="n">
        <v>25</v>
      </c>
      <c r="G586" s="4" t="n">
        <v>16</v>
      </c>
      <c r="H586" s="4" t="n">
        <v>566</v>
      </c>
      <c r="I586" s="13" t="b">
        <f aca="false">FALSE()</f>
        <v>0</v>
      </c>
      <c r="K586" s="4" t="s">
        <v>832</v>
      </c>
      <c r="L586" s="4" t="n">
        <v>69.28</v>
      </c>
      <c r="M586" s="11" t="n">
        <f aca="false">IFERROR(MATCH(Controls!$B$3&amp;"|"&amp;B586,'Scenario inputs'!$A$4:$A$213,0),0)</f>
        <v>151</v>
      </c>
      <c r="N586" s="8" t="b">
        <f aca="false">IF(M586=0,FALSE(),F586&lt;Controls!$B$12)</f>
        <v>1</v>
      </c>
      <c r="O586" s="11" t="n">
        <f aca="false">IF(N586,IF(INDEX('Scenario inputs'!$E$4:$E$213,M586)=0,1,INDEX('Scenario inputs'!$F$4:$M$213,M586,MIN(MAX(F586-G586,0),INDEX('Scenario inputs'!$E$4:$E$213,M586)-1)+1)),0)</f>
        <v>1</v>
      </c>
      <c r="P586" s="11" t="n">
        <f aca="false">H586*O586</f>
        <v>566</v>
      </c>
      <c r="Q586" s="0" t="str">
        <f aca="false">IF(M586=0,"",IF(ISNUMBER(INDEX('Scenario inputs'!$N$4:$N$213,M586)),INDEX('Scenario inputs'!$N$4:$N$213,M586),""))</f>
        <v/>
      </c>
      <c r="R586" s="0" t="str">
        <f aca="false">IF(NOT(N586),"",IF(OR(E586="cash",E586="revenue"),E586,IF(E586="avoided_cost",IF(AND(I586,LEN(TRIM(J586))&gt;0),"avoided_cost_realised","avoided_cost_beside"),IF(ISNUMBER(Q586),"capacity_converted","capacity_hours"))))</f>
        <v>capacity_hours</v>
      </c>
      <c r="S586" s="11" t="n">
        <f aca="false">IF(OR(R586="",R586="capacity_hours"),0,IF(R586="capacity_converted",P586*Q586,P586))</f>
        <v>0</v>
      </c>
      <c r="T586" s="11" t="n">
        <f aca="false">IF(OR(R586="cash",R586="revenue",R586="avoided_cost_realised",R586="capacity_converted"),1,0)</f>
        <v>0</v>
      </c>
      <c r="U586" s="11" t="n">
        <f aca="false">IF(AND(N586,R586&lt;&gt;"capacity_hours",LEN(K586)&gt;0),1,0)</f>
        <v>0</v>
      </c>
      <c r="V586" s="11" t="n">
        <f aca="false">IF(U586=1,SUMPRODUCT(($K$4:$K$703=K586)*($F$4:$F$703=F586)*($U$4:$U$703=1)*($B$4:$B$703&lt;&gt;B586)),0)</f>
        <v>0</v>
      </c>
      <c r="W586" s="11" t="n">
        <f aca="false">IF(AND(U586=1,V586&gt;0),1+SUMPRODUCT(($K$4:$K$703=K586)*($F$4:$F$703=F586)*($U$4:$U$703=1)*($S$4:$S$703&gt;S586))+SUMPRODUCT(($K$4:$K$703=K586)*($F$4:$F$703=F586)*($U$4:$U$703=1)*($S$4:$S$703=S586)*($T$4:$T$703&gt;T586))+SUMPRODUCT(($K$4:$K$703=K586)*($F$4:$F$703=F586)*($U$4:$U$703=1)*($S$4:$S$703=S586)*($T$4:$T$703=T586)*($C$4:$C$703&lt;C586))+SUMPRODUCT(($K$4:$K$703=K586)*($F$4:$F$703=F586)*($U$4:$U$703=1)*($S$4:$S$703=S586)*($T$4:$T$703=T586)*($C$4:$C$703=C586)*($D$4:$D$703&lt;D586)),0)</f>
        <v>0</v>
      </c>
      <c r="X586" s="11" t="n">
        <f aca="false">IF(AND(U586=1,V586&gt;0,W586&gt;1),S586,0)</f>
        <v>0</v>
      </c>
      <c r="Y586" s="11" t="n">
        <f aca="false">IF(T586=1,X586/(1+Controls!$B$11)^F586,0)</f>
        <v>0</v>
      </c>
      <c r="Z586" s="11" t="n">
        <f aca="false">IF(AND(N586,E586="capacity",LEN(K586)&gt;0),1,0)</f>
        <v>1</v>
      </c>
      <c r="AA586" s="11" t="n">
        <f aca="false">IF(Z586=1,SUMPRODUCT(($K$4:$K$703=K586)*($F$4:$F$703=F586)*($Z$4:$Z$703=1)*($B$4:$B$703&lt;&gt;B586)),0)</f>
        <v>0</v>
      </c>
      <c r="AB586" s="11" t="n">
        <f aca="false">IF(AND(Z586=1,AA586&gt;0),1+SUMPRODUCT(($K$4:$K$703=K586)*($F$4:$F$703=F586)*($Z$4:$Z$703=1)*($P$4:$P$703&gt;P586))+SUMPRODUCT(($K$4:$K$703=K586)*($F$4:$F$703=F586)*($Z$4:$Z$703=1)*($P$4:$P$703=P586)*($C$4:$C$703&lt;C586))+SUMPRODUCT(($K$4:$K$703=K586)*($F$4:$F$703=F586)*($Z$4:$Z$703=1)*($P$4:$P$703=P586)*($C$4:$C$703=C586)*($D$4:$D$703&lt;D586)),0)</f>
        <v>0</v>
      </c>
      <c r="AC586" s="11" t="n">
        <f aca="false">IF(AND(Z586=1,AA586&gt;0,AB586&gt;1),P586,0)</f>
        <v>0</v>
      </c>
    </row>
    <row r="587" customFormat="false" ht="15" hidden="false" customHeight="false" outlineLevel="0" collapsed="false">
      <c r="A587" s="4" t="s">
        <v>842</v>
      </c>
      <c r="B587" s="4" t="s">
        <v>102</v>
      </c>
      <c r="C587" s="4" t="n">
        <v>20</v>
      </c>
      <c r="D587" s="4" t="n">
        <v>584</v>
      </c>
      <c r="E587" s="4" t="s">
        <v>233</v>
      </c>
      <c r="F587" s="4" t="n">
        <v>26</v>
      </c>
      <c r="G587" s="4" t="n">
        <v>16</v>
      </c>
      <c r="H587" s="4" t="n">
        <v>566</v>
      </c>
      <c r="I587" s="13" t="b">
        <f aca="false">FALSE()</f>
        <v>0</v>
      </c>
      <c r="K587" s="4" t="s">
        <v>832</v>
      </c>
      <c r="L587" s="4" t="n">
        <v>69.28</v>
      </c>
      <c r="M587" s="11" t="n">
        <f aca="false">IFERROR(MATCH(Controls!$B$3&amp;"|"&amp;B587,'Scenario inputs'!$A$4:$A$213,0),0)</f>
        <v>151</v>
      </c>
      <c r="N587" s="8" t="b">
        <f aca="false">IF(M587=0,FALSE(),F587&lt;Controls!$B$12)</f>
        <v>1</v>
      </c>
      <c r="O587" s="11" t="n">
        <f aca="false">IF(N587,IF(INDEX('Scenario inputs'!$E$4:$E$213,M587)=0,1,INDEX('Scenario inputs'!$F$4:$M$213,M587,MIN(MAX(F587-G587,0),INDEX('Scenario inputs'!$E$4:$E$213,M587)-1)+1)),0)</f>
        <v>1</v>
      </c>
      <c r="P587" s="11" t="n">
        <f aca="false">H587*O587</f>
        <v>566</v>
      </c>
      <c r="Q587" s="0" t="str">
        <f aca="false">IF(M587=0,"",IF(ISNUMBER(INDEX('Scenario inputs'!$N$4:$N$213,M587)),INDEX('Scenario inputs'!$N$4:$N$213,M587),""))</f>
        <v/>
      </c>
      <c r="R587" s="0" t="str">
        <f aca="false">IF(NOT(N587),"",IF(OR(E587="cash",E587="revenue"),E587,IF(E587="avoided_cost",IF(AND(I587,LEN(TRIM(J587))&gt;0),"avoided_cost_realised","avoided_cost_beside"),IF(ISNUMBER(Q587),"capacity_converted","capacity_hours"))))</f>
        <v>capacity_hours</v>
      </c>
      <c r="S587" s="11" t="n">
        <f aca="false">IF(OR(R587="",R587="capacity_hours"),0,IF(R587="capacity_converted",P587*Q587,P587))</f>
        <v>0</v>
      </c>
      <c r="T587" s="11" t="n">
        <f aca="false">IF(OR(R587="cash",R587="revenue",R587="avoided_cost_realised",R587="capacity_converted"),1,0)</f>
        <v>0</v>
      </c>
      <c r="U587" s="11" t="n">
        <f aca="false">IF(AND(N587,R587&lt;&gt;"capacity_hours",LEN(K587)&gt;0),1,0)</f>
        <v>0</v>
      </c>
      <c r="V587" s="11" t="n">
        <f aca="false">IF(U587=1,SUMPRODUCT(($K$4:$K$703=K587)*($F$4:$F$703=F587)*($U$4:$U$703=1)*($B$4:$B$703&lt;&gt;B587)),0)</f>
        <v>0</v>
      </c>
      <c r="W587" s="11" t="n">
        <f aca="false">IF(AND(U587=1,V587&gt;0),1+SUMPRODUCT(($K$4:$K$703=K587)*($F$4:$F$703=F587)*($U$4:$U$703=1)*($S$4:$S$703&gt;S587))+SUMPRODUCT(($K$4:$K$703=K587)*($F$4:$F$703=F587)*($U$4:$U$703=1)*($S$4:$S$703=S587)*($T$4:$T$703&gt;T587))+SUMPRODUCT(($K$4:$K$703=K587)*($F$4:$F$703=F587)*($U$4:$U$703=1)*($S$4:$S$703=S587)*($T$4:$T$703=T587)*($C$4:$C$703&lt;C587))+SUMPRODUCT(($K$4:$K$703=K587)*($F$4:$F$703=F587)*($U$4:$U$703=1)*($S$4:$S$703=S587)*($T$4:$T$703=T587)*($C$4:$C$703=C587)*($D$4:$D$703&lt;D587)),0)</f>
        <v>0</v>
      </c>
      <c r="X587" s="11" t="n">
        <f aca="false">IF(AND(U587=1,V587&gt;0,W587&gt;1),S587,0)</f>
        <v>0</v>
      </c>
      <c r="Y587" s="11" t="n">
        <f aca="false">IF(T587=1,X587/(1+Controls!$B$11)^F587,0)</f>
        <v>0</v>
      </c>
      <c r="Z587" s="11" t="n">
        <f aca="false">IF(AND(N587,E587="capacity",LEN(K587)&gt;0),1,0)</f>
        <v>1</v>
      </c>
      <c r="AA587" s="11" t="n">
        <f aca="false">IF(Z587=1,SUMPRODUCT(($K$4:$K$703=K587)*($F$4:$F$703=F587)*($Z$4:$Z$703=1)*($B$4:$B$703&lt;&gt;B587)),0)</f>
        <v>0</v>
      </c>
      <c r="AB587" s="11" t="n">
        <f aca="false">IF(AND(Z587=1,AA587&gt;0),1+SUMPRODUCT(($K$4:$K$703=K587)*($F$4:$F$703=F587)*($Z$4:$Z$703=1)*($P$4:$P$703&gt;P587))+SUMPRODUCT(($K$4:$K$703=K587)*($F$4:$F$703=F587)*($Z$4:$Z$703=1)*($P$4:$P$703=P587)*($C$4:$C$703&lt;C587))+SUMPRODUCT(($K$4:$K$703=K587)*($F$4:$F$703=F587)*($Z$4:$Z$703=1)*($P$4:$P$703=P587)*($C$4:$C$703=C587)*($D$4:$D$703&lt;D587)),0)</f>
        <v>0</v>
      </c>
      <c r="AC587" s="11" t="n">
        <f aca="false">IF(AND(Z587=1,AA587&gt;0,AB587&gt;1),P587,0)</f>
        <v>0</v>
      </c>
    </row>
    <row r="588" customFormat="false" ht="15" hidden="false" customHeight="false" outlineLevel="0" collapsed="false">
      <c r="A588" s="4" t="s">
        <v>843</v>
      </c>
      <c r="B588" s="4" t="s">
        <v>102</v>
      </c>
      <c r="C588" s="4" t="n">
        <v>20</v>
      </c>
      <c r="D588" s="4" t="n">
        <v>585</v>
      </c>
      <c r="E588" s="4" t="s">
        <v>233</v>
      </c>
      <c r="F588" s="4" t="n">
        <v>27</v>
      </c>
      <c r="G588" s="4" t="n">
        <v>16</v>
      </c>
      <c r="H588" s="4" t="n">
        <v>566</v>
      </c>
      <c r="I588" s="13" t="b">
        <f aca="false">FALSE()</f>
        <v>0</v>
      </c>
      <c r="K588" s="4" t="s">
        <v>832</v>
      </c>
      <c r="L588" s="4" t="n">
        <v>69.28</v>
      </c>
      <c r="M588" s="11" t="n">
        <f aca="false">IFERROR(MATCH(Controls!$B$3&amp;"|"&amp;B588,'Scenario inputs'!$A$4:$A$213,0),0)</f>
        <v>151</v>
      </c>
      <c r="N588" s="8" t="b">
        <f aca="false">IF(M588=0,FALSE(),F588&lt;Controls!$B$12)</f>
        <v>1</v>
      </c>
      <c r="O588" s="11" t="n">
        <f aca="false">IF(N588,IF(INDEX('Scenario inputs'!$E$4:$E$213,M588)=0,1,INDEX('Scenario inputs'!$F$4:$M$213,M588,MIN(MAX(F588-G588,0),INDEX('Scenario inputs'!$E$4:$E$213,M588)-1)+1)),0)</f>
        <v>1</v>
      </c>
      <c r="P588" s="11" t="n">
        <f aca="false">H588*O588</f>
        <v>566</v>
      </c>
      <c r="Q588" s="0" t="str">
        <f aca="false">IF(M588=0,"",IF(ISNUMBER(INDEX('Scenario inputs'!$N$4:$N$213,M588)),INDEX('Scenario inputs'!$N$4:$N$213,M588),""))</f>
        <v/>
      </c>
      <c r="R588" s="0" t="str">
        <f aca="false">IF(NOT(N588),"",IF(OR(E588="cash",E588="revenue"),E588,IF(E588="avoided_cost",IF(AND(I588,LEN(TRIM(J588))&gt;0),"avoided_cost_realised","avoided_cost_beside"),IF(ISNUMBER(Q588),"capacity_converted","capacity_hours"))))</f>
        <v>capacity_hours</v>
      </c>
      <c r="S588" s="11" t="n">
        <f aca="false">IF(OR(R588="",R588="capacity_hours"),0,IF(R588="capacity_converted",P588*Q588,P588))</f>
        <v>0</v>
      </c>
      <c r="T588" s="11" t="n">
        <f aca="false">IF(OR(R588="cash",R588="revenue",R588="avoided_cost_realised",R588="capacity_converted"),1,0)</f>
        <v>0</v>
      </c>
      <c r="U588" s="11" t="n">
        <f aca="false">IF(AND(N588,R588&lt;&gt;"capacity_hours",LEN(K588)&gt;0),1,0)</f>
        <v>0</v>
      </c>
      <c r="V588" s="11" t="n">
        <f aca="false">IF(U588=1,SUMPRODUCT(($K$4:$K$703=K588)*($F$4:$F$703=F588)*($U$4:$U$703=1)*($B$4:$B$703&lt;&gt;B588)),0)</f>
        <v>0</v>
      </c>
      <c r="W588" s="11" t="n">
        <f aca="false">IF(AND(U588=1,V588&gt;0),1+SUMPRODUCT(($K$4:$K$703=K588)*($F$4:$F$703=F588)*($U$4:$U$703=1)*($S$4:$S$703&gt;S588))+SUMPRODUCT(($K$4:$K$703=K588)*($F$4:$F$703=F588)*($U$4:$U$703=1)*($S$4:$S$703=S588)*($T$4:$T$703&gt;T588))+SUMPRODUCT(($K$4:$K$703=K588)*($F$4:$F$703=F588)*($U$4:$U$703=1)*($S$4:$S$703=S588)*($T$4:$T$703=T588)*($C$4:$C$703&lt;C588))+SUMPRODUCT(($K$4:$K$703=K588)*($F$4:$F$703=F588)*($U$4:$U$703=1)*($S$4:$S$703=S588)*($T$4:$T$703=T588)*($C$4:$C$703=C588)*($D$4:$D$703&lt;D588)),0)</f>
        <v>0</v>
      </c>
      <c r="X588" s="11" t="n">
        <f aca="false">IF(AND(U588=1,V588&gt;0,W588&gt;1),S588,0)</f>
        <v>0</v>
      </c>
      <c r="Y588" s="11" t="n">
        <f aca="false">IF(T588=1,X588/(1+Controls!$B$11)^F588,0)</f>
        <v>0</v>
      </c>
      <c r="Z588" s="11" t="n">
        <f aca="false">IF(AND(N588,E588="capacity",LEN(K588)&gt;0),1,0)</f>
        <v>1</v>
      </c>
      <c r="AA588" s="11" t="n">
        <f aca="false">IF(Z588=1,SUMPRODUCT(($K$4:$K$703=K588)*($F$4:$F$703=F588)*($Z$4:$Z$703=1)*($B$4:$B$703&lt;&gt;B588)),0)</f>
        <v>0</v>
      </c>
      <c r="AB588" s="11" t="n">
        <f aca="false">IF(AND(Z588=1,AA588&gt;0),1+SUMPRODUCT(($K$4:$K$703=K588)*($F$4:$F$703=F588)*($Z$4:$Z$703=1)*($P$4:$P$703&gt;P588))+SUMPRODUCT(($K$4:$K$703=K588)*($F$4:$F$703=F588)*($Z$4:$Z$703=1)*($P$4:$P$703=P588)*($C$4:$C$703&lt;C588))+SUMPRODUCT(($K$4:$K$703=K588)*($F$4:$F$703=F588)*($Z$4:$Z$703=1)*($P$4:$P$703=P588)*($C$4:$C$703=C588)*($D$4:$D$703&lt;D588)),0)</f>
        <v>0</v>
      </c>
      <c r="AC588" s="11" t="n">
        <f aca="false">IF(AND(Z588=1,AA588&gt;0,AB588&gt;1),P588,0)</f>
        <v>0</v>
      </c>
    </row>
    <row r="589" customFormat="false" ht="15" hidden="false" customHeight="false" outlineLevel="0" collapsed="false">
      <c r="A589" s="4" t="s">
        <v>844</v>
      </c>
      <c r="B589" s="4" t="s">
        <v>102</v>
      </c>
      <c r="C589" s="4" t="n">
        <v>20</v>
      </c>
      <c r="D589" s="4" t="n">
        <v>586</v>
      </c>
      <c r="E589" s="4" t="s">
        <v>112</v>
      </c>
      <c r="F589" s="4" t="n">
        <v>17</v>
      </c>
      <c r="G589" s="4" t="n">
        <v>17</v>
      </c>
      <c r="H589" s="4" t="n">
        <v>115700</v>
      </c>
      <c r="I589" s="13" t="b">
        <f aca="false">FALSE()</f>
        <v>0</v>
      </c>
      <c r="K589" s="4" t="s">
        <v>845</v>
      </c>
      <c r="L589" s="4" t="n">
        <v>1603.61</v>
      </c>
      <c r="M589" s="11" t="n">
        <f aca="false">IFERROR(MATCH(Controls!$B$3&amp;"|"&amp;B589,'Scenario inputs'!$A$4:$A$213,0),0)</f>
        <v>151</v>
      </c>
      <c r="N589" s="8" t="b">
        <f aca="false">IF(M589=0,FALSE(),F589&lt;Controls!$B$12)</f>
        <v>1</v>
      </c>
      <c r="O589" s="11" t="n">
        <f aca="false">IF(N589,IF(INDEX('Scenario inputs'!$E$4:$E$213,M589)=0,1,INDEX('Scenario inputs'!$F$4:$M$213,M589,MIN(MAX(F589-G589,0),INDEX('Scenario inputs'!$E$4:$E$213,M589)-1)+1)),0)</f>
        <v>0.066667</v>
      </c>
      <c r="P589" s="11" t="n">
        <f aca="false">H589*O589</f>
        <v>7713.3719</v>
      </c>
      <c r="Q589" s="0" t="str">
        <f aca="false">IF(M589=0,"",IF(ISNUMBER(INDEX('Scenario inputs'!$N$4:$N$213,M589)),INDEX('Scenario inputs'!$N$4:$N$213,M589),""))</f>
        <v/>
      </c>
      <c r="R589" s="0" t="str">
        <f aca="false">IF(NOT(N589),"",IF(OR(E589="cash",E589="revenue"),E589,IF(E589="avoided_cost",IF(AND(I589,LEN(TRIM(J589))&gt;0),"avoided_cost_realised","avoided_cost_beside"),IF(ISNUMBER(Q589),"capacity_converted","capacity_hours"))))</f>
        <v>cash</v>
      </c>
      <c r="S589" s="11" t="n">
        <f aca="false">IF(OR(R589="",R589="capacity_hours"),0,IF(R589="capacity_converted",P589*Q589,P589))</f>
        <v>7713.3719</v>
      </c>
      <c r="T589" s="11" t="n">
        <f aca="false">IF(OR(R589="cash",R589="revenue",R589="avoided_cost_realised",R589="capacity_converted"),1,0)</f>
        <v>1</v>
      </c>
      <c r="U589" s="11" t="n">
        <f aca="false">IF(AND(N589,R589&lt;&gt;"capacity_hours",LEN(K589)&gt;0),1,0)</f>
        <v>1</v>
      </c>
      <c r="V589" s="11" t="n">
        <f aca="false">IF(U589=1,SUMPRODUCT(($K$4:$K$703=K589)*($F$4:$F$703=F589)*($U$4:$U$703=1)*($B$4:$B$703&lt;&gt;B589)),0)</f>
        <v>0</v>
      </c>
      <c r="W589" s="11" t="n">
        <f aca="false">IF(AND(U589=1,V589&gt;0),1+SUMPRODUCT(($K$4:$K$703=K589)*($F$4:$F$703=F589)*($U$4:$U$703=1)*($S$4:$S$703&gt;S589))+SUMPRODUCT(($K$4:$K$703=K589)*($F$4:$F$703=F589)*($U$4:$U$703=1)*($S$4:$S$703=S589)*($T$4:$T$703&gt;T589))+SUMPRODUCT(($K$4:$K$703=K589)*($F$4:$F$703=F589)*($U$4:$U$703=1)*($S$4:$S$703=S589)*($T$4:$T$703=T589)*($C$4:$C$703&lt;C589))+SUMPRODUCT(($K$4:$K$703=K589)*($F$4:$F$703=F589)*($U$4:$U$703=1)*($S$4:$S$703=S589)*($T$4:$T$703=T589)*($C$4:$C$703=C589)*($D$4:$D$703&lt;D589)),0)</f>
        <v>0</v>
      </c>
      <c r="X589" s="11" t="n">
        <f aca="false">IF(AND(U589=1,V589&gt;0,W589&gt;1),S589,0)</f>
        <v>0</v>
      </c>
      <c r="Y589" s="11" t="n">
        <f aca="false">IF(T589=1,X589/(1+Controls!$B$11)^F589,0)</f>
        <v>0</v>
      </c>
      <c r="Z589" s="11" t="n">
        <f aca="false">IF(AND(N589,E589="capacity",LEN(K589)&gt;0),1,0)</f>
        <v>0</v>
      </c>
      <c r="AA589" s="11" t="n">
        <f aca="false">IF(Z589=1,SUMPRODUCT(($K$4:$K$703=K589)*($F$4:$F$703=F589)*($Z$4:$Z$703=1)*($B$4:$B$703&lt;&gt;B589)),0)</f>
        <v>0</v>
      </c>
      <c r="AB589" s="11" t="n">
        <f aca="false">IF(AND(Z589=1,AA589&gt;0),1+SUMPRODUCT(($K$4:$K$703=K589)*($F$4:$F$703=F589)*($Z$4:$Z$703=1)*($P$4:$P$703&gt;P589))+SUMPRODUCT(($K$4:$K$703=K589)*($F$4:$F$703=F589)*($Z$4:$Z$703=1)*($P$4:$P$703=P589)*($C$4:$C$703&lt;C589))+SUMPRODUCT(($K$4:$K$703=K589)*($F$4:$F$703=F589)*($Z$4:$Z$703=1)*($P$4:$P$703=P589)*($C$4:$C$703=C589)*($D$4:$D$703&lt;D589)),0)</f>
        <v>0</v>
      </c>
      <c r="AC589" s="11" t="n">
        <f aca="false">IF(AND(Z589=1,AA589&gt;0,AB589&gt;1),P589,0)</f>
        <v>0</v>
      </c>
    </row>
    <row r="590" customFormat="false" ht="15" hidden="false" customHeight="false" outlineLevel="0" collapsed="false">
      <c r="A590" s="4" t="s">
        <v>846</v>
      </c>
      <c r="B590" s="4" t="s">
        <v>102</v>
      </c>
      <c r="C590" s="4" t="n">
        <v>20</v>
      </c>
      <c r="D590" s="4" t="n">
        <v>587</v>
      </c>
      <c r="E590" s="4" t="s">
        <v>112</v>
      </c>
      <c r="F590" s="4" t="n">
        <v>18</v>
      </c>
      <c r="G590" s="4" t="n">
        <v>17</v>
      </c>
      <c r="H590" s="4" t="n">
        <v>115700</v>
      </c>
      <c r="I590" s="13" t="b">
        <f aca="false">FALSE()</f>
        <v>0</v>
      </c>
      <c r="K590" s="4" t="s">
        <v>845</v>
      </c>
      <c r="L590" s="4" t="n">
        <v>4810.81</v>
      </c>
      <c r="M590" s="11" t="n">
        <f aca="false">IFERROR(MATCH(Controls!$B$3&amp;"|"&amp;B590,'Scenario inputs'!$A$4:$A$213,0),0)</f>
        <v>151</v>
      </c>
      <c r="N590" s="8" t="b">
        <f aca="false">IF(M590=0,FALSE(),F590&lt;Controls!$B$12)</f>
        <v>1</v>
      </c>
      <c r="O590" s="11" t="n">
        <f aca="false">IF(N590,IF(INDEX('Scenario inputs'!$E$4:$E$213,M590)=0,1,INDEX('Scenario inputs'!$F$4:$M$213,M590,MIN(MAX(F590-G590,0),INDEX('Scenario inputs'!$E$4:$E$213,M590)-1)+1)),0)</f>
        <v>0.2</v>
      </c>
      <c r="P590" s="11" t="n">
        <f aca="false">H590*O590</f>
        <v>23140</v>
      </c>
      <c r="Q590" s="0" t="str">
        <f aca="false">IF(M590=0,"",IF(ISNUMBER(INDEX('Scenario inputs'!$N$4:$N$213,M590)),INDEX('Scenario inputs'!$N$4:$N$213,M590),""))</f>
        <v/>
      </c>
      <c r="R590" s="0" t="str">
        <f aca="false">IF(NOT(N590),"",IF(OR(E590="cash",E590="revenue"),E590,IF(E590="avoided_cost",IF(AND(I590,LEN(TRIM(J590))&gt;0),"avoided_cost_realised","avoided_cost_beside"),IF(ISNUMBER(Q590),"capacity_converted","capacity_hours"))))</f>
        <v>cash</v>
      </c>
      <c r="S590" s="11" t="n">
        <f aca="false">IF(OR(R590="",R590="capacity_hours"),0,IF(R590="capacity_converted",P590*Q590,P590))</f>
        <v>23140</v>
      </c>
      <c r="T590" s="11" t="n">
        <f aca="false">IF(OR(R590="cash",R590="revenue",R590="avoided_cost_realised",R590="capacity_converted"),1,0)</f>
        <v>1</v>
      </c>
      <c r="U590" s="11" t="n">
        <f aca="false">IF(AND(N590,R590&lt;&gt;"capacity_hours",LEN(K590)&gt;0),1,0)</f>
        <v>1</v>
      </c>
      <c r="V590" s="11" t="n">
        <f aca="false">IF(U590=1,SUMPRODUCT(($K$4:$K$703=K590)*($F$4:$F$703=F590)*($U$4:$U$703=1)*($B$4:$B$703&lt;&gt;B590)),0)</f>
        <v>0</v>
      </c>
      <c r="W590" s="11" t="n">
        <f aca="false">IF(AND(U590=1,V590&gt;0),1+SUMPRODUCT(($K$4:$K$703=K590)*($F$4:$F$703=F590)*($U$4:$U$703=1)*($S$4:$S$703&gt;S590))+SUMPRODUCT(($K$4:$K$703=K590)*($F$4:$F$703=F590)*($U$4:$U$703=1)*($S$4:$S$703=S590)*($T$4:$T$703&gt;T590))+SUMPRODUCT(($K$4:$K$703=K590)*($F$4:$F$703=F590)*($U$4:$U$703=1)*($S$4:$S$703=S590)*($T$4:$T$703=T590)*($C$4:$C$703&lt;C590))+SUMPRODUCT(($K$4:$K$703=K590)*($F$4:$F$703=F590)*($U$4:$U$703=1)*($S$4:$S$703=S590)*($T$4:$T$703=T590)*($C$4:$C$703=C590)*($D$4:$D$703&lt;D590)),0)</f>
        <v>0</v>
      </c>
      <c r="X590" s="11" t="n">
        <f aca="false">IF(AND(U590=1,V590&gt;0,W590&gt;1),S590,0)</f>
        <v>0</v>
      </c>
      <c r="Y590" s="11" t="n">
        <f aca="false">IF(T590=1,X590/(1+Controls!$B$11)^F590,0)</f>
        <v>0</v>
      </c>
      <c r="Z590" s="11" t="n">
        <f aca="false">IF(AND(N590,E590="capacity",LEN(K590)&gt;0),1,0)</f>
        <v>0</v>
      </c>
      <c r="AA590" s="11" t="n">
        <f aca="false">IF(Z590=1,SUMPRODUCT(($K$4:$K$703=K590)*($F$4:$F$703=F590)*($Z$4:$Z$703=1)*($B$4:$B$703&lt;&gt;B590)),0)</f>
        <v>0</v>
      </c>
      <c r="AB590" s="11" t="n">
        <f aca="false">IF(AND(Z590=1,AA590&gt;0),1+SUMPRODUCT(($K$4:$K$703=K590)*($F$4:$F$703=F590)*($Z$4:$Z$703=1)*($P$4:$P$703&gt;P590))+SUMPRODUCT(($K$4:$K$703=K590)*($F$4:$F$703=F590)*($Z$4:$Z$703=1)*($P$4:$P$703=P590)*($C$4:$C$703&lt;C590))+SUMPRODUCT(($K$4:$K$703=K590)*($F$4:$F$703=F590)*($Z$4:$Z$703=1)*($P$4:$P$703=P590)*($C$4:$C$703=C590)*($D$4:$D$703&lt;D590)),0)</f>
        <v>0</v>
      </c>
      <c r="AC590" s="11" t="n">
        <f aca="false">IF(AND(Z590=1,AA590&gt;0,AB590&gt;1),P590,0)</f>
        <v>0</v>
      </c>
    </row>
    <row r="591" customFormat="false" ht="15" hidden="false" customHeight="false" outlineLevel="0" collapsed="false">
      <c r="A591" s="4" t="s">
        <v>847</v>
      </c>
      <c r="B591" s="4" t="s">
        <v>102</v>
      </c>
      <c r="C591" s="4" t="n">
        <v>20</v>
      </c>
      <c r="D591" s="4" t="n">
        <v>588</v>
      </c>
      <c r="E591" s="4" t="s">
        <v>112</v>
      </c>
      <c r="F591" s="4" t="n">
        <v>19</v>
      </c>
      <c r="G591" s="4" t="n">
        <v>17</v>
      </c>
      <c r="H591" s="4" t="n">
        <v>115700</v>
      </c>
      <c r="I591" s="13" t="b">
        <f aca="false">FALSE()</f>
        <v>0</v>
      </c>
      <c r="K591" s="4" t="s">
        <v>845</v>
      </c>
      <c r="L591" s="4" t="n">
        <v>9621.61</v>
      </c>
      <c r="M591" s="11" t="n">
        <f aca="false">IFERROR(MATCH(Controls!$B$3&amp;"|"&amp;B591,'Scenario inputs'!$A$4:$A$213,0),0)</f>
        <v>151</v>
      </c>
      <c r="N591" s="8" t="b">
        <f aca="false">IF(M591=0,FALSE(),F591&lt;Controls!$B$12)</f>
        <v>1</v>
      </c>
      <c r="O591" s="11" t="n">
        <f aca="false">IF(N591,IF(INDEX('Scenario inputs'!$E$4:$E$213,M591)=0,1,INDEX('Scenario inputs'!$F$4:$M$213,M591,MIN(MAX(F591-G591,0),INDEX('Scenario inputs'!$E$4:$E$213,M591)-1)+1)),0)</f>
        <v>0.4</v>
      </c>
      <c r="P591" s="11" t="n">
        <f aca="false">H591*O591</f>
        <v>46280</v>
      </c>
      <c r="Q591" s="0" t="str">
        <f aca="false">IF(M591=0,"",IF(ISNUMBER(INDEX('Scenario inputs'!$N$4:$N$213,M591)),INDEX('Scenario inputs'!$N$4:$N$213,M591),""))</f>
        <v/>
      </c>
      <c r="R591" s="0" t="str">
        <f aca="false">IF(NOT(N591),"",IF(OR(E591="cash",E591="revenue"),E591,IF(E591="avoided_cost",IF(AND(I591,LEN(TRIM(J591))&gt;0),"avoided_cost_realised","avoided_cost_beside"),IF(ISNUMBER(Q591),"capacity_converted","capacity_hours"))))</f>
        <v>cash</v>
      </c>
      <c r="S591" s="11" t="n">
        <f aca="false">IF(OR(R591="",R591="capacity_hours"),0,IF(R591="capacity_converted",P591*Q591,P591))</f>
        <v>46280</v>
      </c>
      <c r="T591" s="11" t="n">
        <f aca="false">IF(OR(R591="cash",R591="revenue",R591="avoided_cost_realised",R591="capacity_converted"),1,0)</f>
        <v>1</v>
      </c>
      <c r="U591" s="11" t="n">
        <f aca="false">IF(AND(N591,R591&lt;&gt;"capacity_hours",LEN(K591)&gt;0),1,0)</f>
        <v>1</v>
      </c>
      <c r="V591" s="11" t="n">
        <f aca="false">IF(U591=1,SUMPRODUCT(($K$4:$K$703=K591)*($F$4:$F$703=F591)*($U$4:$U$703=1)*($B$4:$B$703&lt;&gt;B591)),0)</f>
        <v>0</v>
      </c>
      <c r="W591" s="11" t="n">
        <f aca="false">IF(AND(U591=1,V591&gt;0),1+SUMPRODUCT(($K$4:$K$703=K591)*($F$4:$F$703=F591)*($U$4:$U$703=1)*($S$4:$S$703&gt;S591))+SUMPRODUCT(($K$4:$K$703=K591)*($F$4:$F$703=F591)*($U$4:$U$703=1)*($S$4:$S$703=S591)*($T$4:$T$703&gt;T591))+SUMPRODUCT(($K$4:$K$703=K591)*($F$4:$F$703=F591)*($U$4:$U$703=1)*($S$4:$S$703=S591)*($T$4:$T$703=T591)*($C$4:$C$703&lt;C591))+SUMPRODUCT(($K$4:$K$703=K591)*($F$4:$F$703=F591)*($U$4:$U$703=1)*($S$4:$S$703=S591)*($T$4:$T$703=T591)*($C$4:$C$703=C591)*($D$4:$D$703&lt;D591)),0)</f>
        <v>0</v>
      </c>
      <c r="X591" s="11" t="n">
        <f aca="false">IF(AND(U591=1,V591&gt;0,W591&gt;1),S591,0)</f>
        <v>0</v>
      </c>
      <c r="Y591" s="11" t="n">
        <f aca="false">IF(T591=1,X591/(1+Controls!$B$11)^F591,0)</f>
        <v>0</v>
      </c>
      <c r="Z591" s="11" t="n">
        <f aca="false">IF(AND(N591,E591="capacity",LEN(K591)&gt;0),1,0)</f>
        <v>0</v>
      </c>
      <c r="AA591" s="11" t="n">
        <f aca="false">IF(Z591=1,SUMPRODUCT(($K$4:$K$703=K591)*($F$4:$F$703=F591)*($Z$4:$Z$703=1)*($B$4:$B$703&lt;&gt;B591)),0)</f>
        <v>0</v>
      </c>
      <c r="AB591" s="11" t="n">
        <f aca="false">IF(AND(Z591=1,AA591&gt;0),1+SUMPRODUCT(($K$4:$K$703=K591)*($F$4:$F$703=F591)*($Z$4:$Z$703=1)*($P$4:$P$703&gt;P591))+SUMPRODUCT(($K$4:$K$703=K591)*($F$4:$F$703=F591)*($Z$4:$Z$703=1)*($P$4:$P$703=P591)*($C$4:$C$703&lt;C591))+SUMPRODUCT(($K$4:$K$703=K591)*($F$4:$F$703=F591)*($Z$4:$Z$703=1)*($P$4:$P$703=P591)*($C$4:$C$703=C591)*($D$4:$D$703&lt;D591)),0)</f>
        <v>0</v>
      </c>
      <c r="AC591" s="11" t="n">
        <f aca="false">IF(AND(Z591=1,AA591&gt;0,AB591&gt;1),P591,0)</f>
        <v>0</v>
      </c>
    </row>
    <row r="592" customFormat="false" ht="15" hidden="false" customHeight="false" outlineLevel="0" collapsed="false">
      <c r="A592" s="4" t="s">
        <v>848</v>
      </c>
      <c r="B592" s="4" t="s">
        <v>102</v>
      </c>
      <c r="C592" s="4" t="n">
        <v>20</v>
      </c>
      <c r="D592" s="4" t="n">
        <v>589</v>
      </c>
      <c r="E592" s="4" t="s">
        <v>112</v>
      </c>
      <c r="F592" s="4" t="n">
        <v>20</v>
      </c>
      <c r="G592" s="4" t="n">
        <v>17</v>
      </c>
      <c r="H592" s="4" t="n">
        <v>115700</v>
      </c>
      <c r="I592" s="13" t="b">
        <f aca="false">FALSE()</f>
        <v>0</v>
      </c>
      <c r="K592" s="4" t="s">
        <v>845</v>
      </c>
      <c r="L592" s="4" t="n">
        <v>16036.03</v>
      </c>
      <c r="M592" s="11" t="n">
        <f aca="false">IFERROR(MATCH(Controls!$B$3&amp;"|"&amp;B592,'Scenario inputs'!$A$4:$A$213,0),0)</f>
        <v>151</v>
      </c>
      <c r="N592" s="8" t="b">
        <f aca="false">IF(M592=0,FALSE(),F592&lt;Controls!$B$12)</f>
        <v>1</v>
      </c>
      <c r="O592" s="11" t="n">
        <f aca="false">IF(N592,IF(INDEX('Scenario inputs'!$E$4:$E$213,M592)=0,1,INDEX('Scenario inputs'!$F$4:$M$213,M592,MIN(MAX(F592-G592,0),INDEX('Scenario inputs'!$E$4:$E$213,M592)-1)+1)),0)</f>
        <v>0.666667</v>
      </c>
      <c r="P592" s="11" t="n">
        <f aca="false">H592*O592</f>
        <v>77133.3719</v>
      </c>
      <c r="Q592" s="0" t="str">
        <f aca="false">IF(M592=0,"",IF(ISNUMBER(INDEX('Scenario inputs'!$N$4:$N$213,M592)),INDEX('Scenario inputs'!$N$4:$N$213,M592),""))</f>
        <v/>
      </c>
      <c r="R592" s="0" t="str">
        <f aca="false">IF(NOT(N592),"",IF(OR(E592="cash",E592="revenue"),E592,IF(E592="avoided_cost",IF(AND(I592,LEN(TRIM(J592))&gt;0),"avoided_cost_realised","avoided_cost_beside"),IF(ISNUMBER(Q592),"capacity_converted","capacity_hours"))))</f>
        <v>cash</v>
      </c>
      <c r="S592" s="11" t="n">
        <f aca="false">IF(OR(R592="",R592="capacity_hours"),0,IF(R592="capacity_converted",P592*Q592,P592))</f>
        <v>77133.3719</v>
      </c>
      <c r="T592" s="11" t="n">
        <f aca="false">IF(OR(R592="cash",R592="revenue",R592="avoided_cost_realised",R592="capacity_converted"),1,0)</f>
        <v>1</v>
      </c>
      <c r="U592" s="11" t="n">
        <f aca="false">IF(AND(N592,R592&lt;&gt;"capacity_hours",LEN(K592)&gt;0),1,0)</f>
        <v>1</v>
      </c>
      <c r="V592" s="11" t="n">
        <f aca="false">IF(U592=1,SUMPRODUCT(($K$4:$K$703=K592)*($F$4:$F$703=F592)*($U$4:$U$703=1)*($B$4:$B$703&lt;&gt;B592)),0)</f>
        <v>0</v>
      </c>
      <c r="W592" s="11" t="n">
        <f aca="false">IF(AND(U592=1,V592&gt;0),1+SUMPRODUCT(($K$4:$K$703=K592)*($F$4:$F$703=F592)*($U$4:$U$703=1)*($S$4:$S$703&gt;S592))+SUMPRODUCT(($K$4:$K$703=K592)*($F$4:$F$703=F592)*($U$4:$U$703=1)*($S$4:$S$703=S592)*($T$4:$T$703&gt;T592))+SUMPRODUCT(($K$4:$K$703=K592)*($F$4:$F$703=F592)*($U$4:$U$703=1)*($S$4:$S$703=S592)*($T$4:$T$703=T592)*($C$4:$C$703&lt;C592))+SUMPRODUCT(($K$4:$K$703=K592)*($F$4:$F$703=F592)*($U$4:$U$703=1)*($S$4:$S$703=S592)*($T$4:$T$703=T592)*($C$4:$C$703=C592)*($D$4:$D$703&lt;D592)),0)</f>
        <v>0</v>
      </c>
      <c r="X592" s="11" t="n">
        <f aca="false">IF(AND(U592=1,V592&gt;0,W592&gt;1),S592,0)</f>
        <v>0</v>
      </c>
      <c r="Y592" s="11" t="n">
        <f aca="false">IF(T592=1,X592/(1+Controls!$B$11)^F592,0)</f>
        <v>0</v>
      </c>
      <c r="Z592" s="11" t="n">
        <f aca="false">IF(AND(N592,E592="capacity",LEN(K592)&gt;0),1,0)</f>
        <v>0</v>
      </c>
      <c r="AA592" s="11" t="n">
        <f aca="false">IF(Z592=1,SUMPRODUCT(($K$4:$K$703=K592)*($F$4:$F$703=F592)*($Z$4:$Z$703=1)*($B$4:$B$703&lt;&gt;B592)),0)</f>
        <v>0</v>
      </c>
      <c r="AB592" s="11" t="n">
        <f aca="false">IF(AND(Z592=1,AA592&gt;0),1+SUMPRODUCT(($K$4:$K$703=K592)*($F$4:$F$703=F592)*($Z$4:$Z$703=1)*($P$4:$P$703&gt;P592))+SUMPRODUCT(($K$4:$K$703=K592)*($F$4:$F$703=F592)*($Z$4:$Z$703=1)*($P$4:$P$703=P592)*($C$4:$C$703&lt;C592))+SUMPRODUCT(($K$4:$K$703=K592)*($F$4:$F$703=F592)*($Z$4:$Z$703=1)*($P$4:$P$703=P592)*($C$4:$C$703=C592)*($D$4:$D$703&lt;D592)),0)</f>
        <v>0</v>
      </c>
      <c r="AC592" s="11" t="n">
        <f aca="false">IF(AND(Z592=1,AA592&gt;0,AB592&gt;1),P592,0)</f>
        <v>0</v>
      </c>
    </row>
    <row r="593" customFormat="false" ht="15" hidden="false" customHeight="false" outlineLevel="0" collapsed="false">
      <c r="A593" s="4" t="s">
        <v>849</v>
      </c>
      <c r="B593" s="4" t="s">
        <v>102</v>
      </c>
      <c r="C593" s="4" t="n">
        <v>20</v>
      </c>
      <c r="D593" s="4" t="n">
        <v>590</v>
      </c>
      <c r="E593" s="4" t="s">
        <v>112</v>
      </c>
      <c r="F593" s="4" t="n">
        <v>21</v>
      </c>
      <c r="G593" s="4" t="n">
        <v>17</v>
      </c>
      <c r="H593" s="4" t="n">
        <v>115700</v>
      </c>
      <c r="I593" s="13" t="b">
        <f aca="false">FALSE()</f>
        <v>0</v>
      </c>
      <c r="K593" s="4" t="s">
        <v>845</v>
      </c>
      <c r="L593" s="4" t="n">
        <v>24054.03</v>
      </c>
      <c r="M593" s="11" t="n">
        <f aca="false">IFERROR(MATCH(Controls!$B$3&amp;"|"&amp;B593,'Scenario inputs'!$A$4:$A$213,0),0)</f>
        <v>151</v>
      </c>
      <c r="N593" s="8" t="b">
        <f aca="false">IF(M593=0,FALSE(),F593&lt;Controls!$B$12)</f>
        <v>1</v>
      </c>
      <c r="O593" s="11" t="n">
        <f aca="false">IF(N593,IF(INDEX('Scenario inputs'!$E$4:$E$213,M593)=0,1,INDEX('Scenario inputs'!$F$4:$M$213,M593,MIN(MAX(F593-G593,0),INDEX('Scenario inputs'!$E$4:$E$213,M593)-1)+1)),0)</f>
        <v>1</v>
      </c>
      <c r="P593" s="11" t="n">
        <f aca="false">H593*O593</f>
        <v>115700</v>
      </c>
      <c r="Q593" s="0" t="str">
        <f aca="false">IF(M593=0,"",IF(ISNUMBER(INDEX('Scenario inputs'!$N$4:$N$213,M593)),INDEX('Scenario inputs'!$N$4:$N$213,M593),""))</f>
        <v/>
      </c>
      <c r="R593" s="0" t="str">
        <f aca="false">IF(NOT(N593),"",IF(OR(E593="cash",E593="revenue"),E593,IF(E593="avoided_cost",IF(AND(I593,LEN(TRIM(J593))&gt;0),"avoided_cost_realised","avoided_cost_beside"),IF(ISNUMBER(Q593),"capacity_converted","capacity_hours"))))</f>
        <v>cash</v>
      </c>
      <c r="S593" s="11" t="n">
        <f aca="false">IF(OR(R593="",R593="capacity_hours"),0,IF(R593="capacity_converted",P593*Q593,P593))</f>
        <v>115700</v>
      </c>
      <c r="T593" s="11" t="n">
        <f aca="false">IF(OR(R593="cash",R593="revenue",R593="avoided_cost_realised",R593="capacity_converted"),1,0)</f>
        <v>1</v>
      </c>
      <c r="U593" s="11" t="n">
        <f aca="false">IF(AND(N593,R593&lt;&gt;"capacity_hours",LEN(K593)&gt;0),1,0)</f>
        <v>1</v>
      </c>
      <c r="V593" s="11" t="n">
        <f aca="false">IF(U593=1,SUMPRODUCT(($K$4:$K$703=K593)*($F$4:$F$703=F593)*($U$4:$U$703=1)*($B$4:$B$703&lt;&gt;B593)),0)</f>
        <v>0</v>
      </c>
      <c r="W593" s="11" t="n">
        <f aca="false">IF(AND(U593=1,V593&gt;0),1+SUMPRODUCT(($K$4:$K$703=K593)*($F$4:$F$703=F593)*($U$4:$U$703=1)*($S$4:$S$703&gt;S593))+SUMPRODUCT(($K$4:$K$703=K593)*($F$4:$F$703=F593)*($U$4:$U$703=1)*($S$4:$S$703=S593)*($T$4:$T$703&gt;T593))+SUMPRODUCT(($K$4:$K$703=K593)*($F$4:$F$703=F593)*($U$4:$U$703=1)*($S$4:$S$703=S593)*($T$4:$T$703=T593)*($C$4:$C$703&lt;C593))+SUMPRODUCT(($K$4:$K$703=K593)*($F$4:$F$703=F593)*($U$4:$U$703=1)*($S$4:$S$703=S593)*($T$4:$T$703=T593)*($C$4:$C$703=C593)*($D$4:$D$703&lt;D593)),0)</f>
        <v>0</v>
      </c>
      <c r="X593" s="11" t="n">
        <f aca="false">IF(AND(U593=1,V593&gt;0,W593&gt;1),S593,0)</f>
        <v>0</v>
      </c>
      <c r="Y593" s="11" t="n">
        <f aca="false">IF(T593=1,X593/(1+Controls!$B$11)^F593,0)</f>
        <v>0</v>
      </c>
      <c r="Z593" s="11" t="n">
        <f aca="false">IF(AND(N593,E593="capacity",LEN(K593)&gt;0),1,0)</f>
        <v>0</v>
      </c>
      <c r="AA593" s="11" t="n">
        <f aca="false">IF(Z593=1,SUMPRODUCT(($K$4:$K$703=K593)*($F$4:$F$703=F593)*($Z$4:$Z$703=1)*($B$4:$B$703&lt;&gt;B593)),0)</f>
        <v>0</v>
      </c>
      <c r="AB593" s="11" t="n">
        <f aca="false">IF(AND(Z593=1,AA593&gt;0),1+SUMPRODUCT(($K$4:$K$703=K593)*($F$4:$F$703=F593)*($Z$4:$Z$703=1)*($P$4:$P$703&gt;P593))+SUMPRODUCT(($K$4:$K$703=K593)*($F$4:$F$703=F593)*($Z$4:$Z$703=1)*($P$4:$P$703=P593)*($C$4:$C$703&lt;C593))+SUMPRODUCT(($K$4:$K$703=K593)*($F$4:$F$703=F593)*($Z$4:$Z$703=1)*($P$4:$P$703=P593)*($C$4:$C$703=C593)*($D$4:$D$703&lt;D593)),0)</f>
        <v>0</v>
      </c>
      <c r="AC593" s="11" t="n">
        <f aca="false">IF(AND(Z593=1,AA593&gt;0,AB593&gt;1),P593,0)</f>
        <v>0</v>
      </c>
    </row>
    <row r="594" customFormat="false" ht="15" hidden="false" customHeight="false" outlineLevel="0" collapsed="false">
      <c r="A594" s="4" t="s">
        <v>850</v>
      </c>
      <c r="B594" s="4" t="s">
        <v>102</v>
      </c>
      <c r="C594" s="4" t="n">
        <v>20</v>
      </c>
      <c r="D594" s="4" t="n">
        <v>591</v>
      </c>
      <c r="E594" s="4" t="s">
        <v>112</v>
      </c>
      <c r="F594" s="4" t="n">
        <v>22</v>
      </c>
      <c r="G594" s="4" t="n">
        <v>17</v>
      </c>
      <c r="H594" s="4" t="n">
        <v>115700</v>
      </c>
      <c r="I594" s="13" t="b">
        <f aca="false">FALSE()</f>
        <v>0</v>
      </c>
      <c r="K594" s="4" t="s">
        <v>845</v>
      </c>
      <c r="L594" s="4" t="n">
        <v>24054.03</v>
      </c>
      <c r="M594" s="11" t="n">
        <f aca="false">IFERROR(MATCH(Controls!$B$3&amp;"|"&amp;B594,'Scenario inputs'!$A$4:$A$213,0),0)</f>
        <v>151</v>
      </c>
      <c r="N594" s="8" t="b">
        <f aca="false">IF(M594=0,FALSE(),F594&lt;Controls!$B$12)</f>
        <v>1</v>
      </c>
      <c r="O594" s="11" t="n">
        <f aca="false">IF(N594,IF(INDEX('Scenario inputs'!$E$4:$E$213,M594)=0,1,INDEX('Scenario inputs'!$F$4:$M$213,M594,MIN(MAX(F594-G594,0),INDEX('Scenario inputs'!$E$4:$E$213,M594)-1)+1)),0)</f>
        <v>1</v>
      </c>
      <c r="P594" s="11" t="n">
        <f aca="false">H594*O594</f>
        <v>115700</v>
      </c>
      <c r="Q594" s="0" t="str">
        <f aca="false">IF(M594=0,"",IF(ISNUMBER(INDEX('Scenario inputs'!$N$4:$N$213,M594)),INDEX('Scenario inputs'!$N$4:$N$213,M594),""))</f>
        <v/>
      </c>
      <c r="R594" s="0" t="str">
        <f aca="false">IF(NOT(N594),"",IF(OR(E594="cash",E594="revenue"),E594,IF(E594="avoided_cost",IF(AND(I594,LEN(TRIM(J594))&gt;0),"avoided_cost_realised","avoided_cost_beside"),IF(ISNUMBER(Q594),"capacity_converted","capacity_hours"))))</f>
        <v>cash</v>
      </c>
      <c r="S594" s="11" t="n">
        <f aca="false">IF(OR(R594="",R594="capacity_hours"),0,IF(R594="capacity_converted",P594*Q594,P594))</f>
        <v>115700</v>
      </c>
      <c r="T594" s="11" t="n">
        <f aca="false">IF(OR(R594="cash",R594="revenue",R594="avoided_cost_realised",R594="capacity_converted"),1,0)</f>
        <v>1</v>
      </c>
      <c r="U594" s="11" t="n">
        <f aca="false">IF(AND(N594,R594&lt;&gt;"capacity_hours",LEN(K594)&gt;0),1,0)</f>
        <v>1</v>
      </c>
      <c r="V594" s="11" t="n">
        <f aca="false">IF(U594=1,SUMPRODUCT(($K$4:$K$703=K594)*($F$4:$F$703=F594)*($U$4:$U$703=1)*($B$4:$B$703&lt;&gt;B594)),0)</f>
        <v>0</v>
      </c>
      <c r="W594" s="11" t="n">
        <f aca="false">IF(AND(U594=1,V594&gt;0),1+SUMPRODUCT(($K$4:$K$703=K594)*($F$4:$F$703=F594)*($U$4:$U$703=1)*($S$4:$S$703&gt;S594))+SUMPRODUCT(($K$4:$K$703=K594)*($F$4:$F$703=F594)*($U$4:$U$703=1)*($S$4:$S$703=S594)*($T$4:$T$703&gt;T594))+SUMPRODUCT(($K$4:$K$703=K594)*($F$4:$F$703=F594)*($U$4:$U$703=1)*($S$4:$S$703=S594)*($T$4:$T$703=T594)*($C$4:$C$703&lt;C594))+SUMPRODUCT(($K$4:$K$703=K594)*($F$4:$F$703=F594)*($U$4:$U$703=1)*($S$4:$S$703=S594)*($T$4:$T$703=T594)*($C$4:$C$703=C594)*($D$4:$D$703&lt;D594)),0)</f>
        <v>0</v>
      </c>
      <c r="X594" s="11" t="n">
        <f aca="false">IF(AND(U594=1,V594&gt;0,W594&gt;1),S594,0)</f>
        <v>0</v>
      </c>
      <c r="Y594" s="11" t="n">
        <f aca="false">IF(T594=1,X594/(1+Controls!$B$11)^F594,0)</f>
        <v>0</v>
      </c>
      <c r="Z594" s="11" t="n">
        <f aca="false">IF(AND(N594,E594="capacity",LEN(K594)&gt;0),1,0)</f>
        <v>0</v>
      </c>
      <c r="AA594" s="11" t="n">
        <f aca="false">IF(Z594=1,SUMPRODUCT(($K$4:$K$703=K594)*($F$4:$F$703=F594)*($Z$4:$Z$703=1)*($B$4:$B$703&lt;&gt;B594)),0)</f>
        <v>0</v>
      </c>
      <c r="AB594" s="11" t="n">
        <f aca="false">IF(AND(Z594=1,AA594&gt;0),1+SUMPRODUCT(($K$4:$K$703=K594)*($F$4:$F$703=F594)*($Z$4:$Z$703=1)*($P$4:$P$703&gt;P594))+SUMPRODUCT(($K$4:$K$703=K594)*($F$4:$F$703=F594)*($Z$4:$Z$703=1)*($P$4:$P$703=P594)*($C$4:$C$703&lt;C594))+SUMPRODUCT(($K$4:$K$703=K594)*($F$4:$F$703=F594)*($Z$4:$Z$703=1)*($P$4:$P$703=P594)*($C$4:$C$703=C594)*($D$4:$D$703&lt;D594)),0)</f>
        <v>0</v>
      </c>
      <c r="AC594" s="11" t="n">
        <f aca="false">IF(AND(Z594=1,AA594&gt;0,AB594&gt;1),P594,0)</f>
        <v>0</v>
      </c>
    </row>
    <row r="595" customFormat="false" ht="15" hidden="false" customHeight="false" outlineLevel="0" collapsed="false">
      <c r="A595" s="4" t="s">
        <v>851</v>
      </c>
      <c r="B595" s="4" t="s">
        <v>102</v>
      </c>
      <c r="C595" s="4" t="n">
        <v>20</v>
      </c>
      <c r="D595" s="4" t="n">
        <v>592</v>
      </c>
      <c r="E595" s="4" t="s">
        <v>112</v>
      </c>
      <c r="F595" s="4" t="n">
        <v>23</v>
      </c>
      <c r="G595" s="4" t="n">
        <v>17</v>
      </c>
      <c r="H595" s="4" t="n">
        <v>115700</v>
      </c>
      <c r="I595" s="13" t="b">
        <f aca="false">FALSE()</f>
        <v>0</v>
      </c>
      <c r="K595" s="4" t="s">
        <v>845</v>
      </c>
      <c r="L595" s="4" t="n">
        <v>24054.03</v>
      </c>
      <c r="M595" s="11" t="n">
        <f aca="false">IFERROR(MATCH(Controls!$B$3&amp;"|"&amp;B595,'Scenario inputs'!$A$4:$A$213,0),0)</f>
        <v>151</v>
      </c>
      <c r="N595" s="8" t="b">
        <f aca="false">IF(M595=0,FALSE(),F595&lt;Controls!$B$12)</f>
        <v>1</v>
      </c>
      <c r="O595" s="11" t="n">
        <f aca="false">IF(N595,IF(INDEX('Scenario inputs'!$E$4:$E$213,M595)=0,1,INDEX('Scenario inputs'!$F$4:$M$213,M595,MIN(MAX(F595-G595,0),INDEX('Scenario inputs'!$E$4:$E$213,M595)-1)+1)),0)</f>
        <v>1</v>
      </c>
      <c r="P595" s="11" t="n">
        <f aca="false">H595*O595</f>
        <v>115700</v>
      </c>
      <c r="Q595" s="0" t="str">
        <f aca="false">IF(M595=0,"",IF(ISNUMBER(INDEX('Scenario inputs'!$N$4:$N$213,M595)),INDEX('Scenario inputs'!$N$4:$N$213,M595),""))</f>
        <v/>
      </c>
      <c r="R595" s="0" t="str">
        <f aca="false">IF(NOT(N595),"",IF(OR(E595="cash",E595="revenue"),E595,IF(E595="avoided_cost",IF(AND(I595,LEN(TRIM(J595))&gt;0),"avoided_cost_realised","avoided_cost_beside"),IF(ISNUMBER(Q595),"capacity_converted","capacity_hours"))))</f>
        <v>cash</v>
      </c>
      <c r="S595" s="11" t="n">
        <f aca="false">IF(OR(R595="",R595="capacity_hours"),0,IF(R595="capacity_converted",P595*Q595,P595))</f>
        <v>115700</v>
      </c>
      <c r="T595" s="11" t="n">
        <f aca="false">IF(OR(R595="cash",R595="revenue",R595="avoided_cost_realised",R595="capacity_converted"),1,0)</f>
        <v>1</v>
      </c>
      <c r="U595" s="11" t="n">
        <f aca="false">IF(AND(N595,R595&lt;&gt;"capacity_hours",LEN(K595)&gt;0),1,0)</f>
        <v>1</v>
      </c>
      <c r="V595" s="11" t="n">
        <f aca="false">IF(U595=1,SUMPRODUCT(($K$4:$K$703=K595)*($F$4:$F$703=F595)*($U$4:$U$703=1)*($B$4:$B$703&lt;&gt;B595)),0)</f>
        <v>0</v>
      </c>
      <c r="W595" s="11" t="n">
        <f aca="false">IF(AND(U595=1,V595&gt;0),1+SUMPRODUCT(($K$4:$K$703=K595)*($F$4:$F$703=F595)*($U$4:$U$703=1)*($S$4:$S$703&gt;S595))+SUMPRODUCT(($K$4:$K$703=K595)*($F$4:$F$703=F595)*($U$4:$U$703=1)*($S$4:$S$703=S595)*($T$4:$T$703&gt;T595))+SUMPRODUCT(($K$4:$K$703=K595)*($F$4:$F$703=F595)*($U$4:$U$703=1)*($S$4:$S$703=S595)*($T$4:$T$703=T595)*($C$4:$C$703&lt;C595))+SUMPRODUCT(($K$4:$K$703=K595)*($F$4:$F$703=F595)*($U$4:$U$703=1)*($S$4:$S$703=S595)*($T$4:$T$703=T595)*($C$4:$C$703=C595)*($D$4:$D$703&lt;D595)),0)</f>
        <v>0</v>
      </c>
      <c r="X595" s="11" t="n">
        <f aca="false">IF(AND(U595=1,V595&gt;0,W595&gt;1),S595,0)</f>
        <v>0</v>
      </c>
      <c r="Y595" s="11" t="n">
        <f aca="false">IF(T595=1,X595/(1+Controls!$B$11)^F595,0)</f>
        <v>0</v>
      </c>
      <c r="Z595" s="11" t="n">
        <f aca="false">IF(AND(N595,E595="capacity",LEN(K595)&gt;0),1,0)</f>
        <v>0</v>
      </c>
      <c r="AA595" s="11" t="n">
        <f aca="false">IF(Z595=1,SUMPRODUCT(($K$4:$K$703=K595)*($F$4:$F$703=F595)*($Z$4:$Z$703=1)*($B$4:$B$703&lt;&gt;B595)),0)</f>
        <v>0</v>
      </c>
      <c r="AB595" s="11" t="n">
        <f aca="false">IF(AND(Z595=1,AA595&gt;0),1+SUMPRODUCT(($K$4:$K$703=K595)*($F$4:$F$703=F595)*($Z$4:$Z$703=1)*($P$4:$P$703&gt;P595))+SUMPRODUCT(($K$4:$K$703=K595)*($F$4:$F$703=F595)*($Z$4:$Z$703=1)*($P$4:$P$703=P595)*($C$4:$C$703&lt;C595))+SUMPRODUCT(($K$4:$K$703=K595)*($F$4:$F$703=F595)*($Z$4:$Z$703=1)*($P$4:$P$703=P595)*($C$4:$C$703=C595)*($D$4:$D$703&lt;D595)),0)</f>
        <v>0</v>
      </c>
      <c r="AC595" s="11" t="n">
        <f aca="false">IF(AND(Z595=1,AA595&gt;0,AB595&gt;1),P595,0)</f>
        <v>0</v>
      </c>
    </row>
    <row r="596" customFormat="false" ht="15" hidden="false" customHeight="false" outlineLevel="0" collapsed="false">
      <c r="A596" s="4" t="s">
        <v>852</v>
      </c>
      <c r="B596" s="4" t="s">
        <v>102</v>
      </c>
      <c r="C596" s="4" t="n">
        <v>20</v>
      </c>
      <c r="D596" s="4" t="n">
        <v>593</v>
      </c>
      <c r="E596" s="4" t="s">
        <v>112</v>
      </c>
      <c r="F596" s="4" t="n">
        <v>24</v>
      </c>
      <c r="G596" s="4" t="n">
        <v>17</v>
      </c>
      <c r="H596" s="4" t="n">
        <v>115700</v>
      </c>
      <c r="I596" s="13" t="b">
        <f aca="false">FALSE()</f>
        <v>0</v>
      </c>
      <c r="K596" s="4" t="s">
        <v>845</v>
      </c>
      <c r="L596" s="4" t="n">
        <v>24054.03</v>
      </c>
      <c r="M596" s="11" t="n">
        <f aca="false">IFERROR(MATCH(Controls!$B$3&amp;"|"&amp;B596,'Scenario inputs'!$A$4:$A$213,0),0)</f>
        <v>151</v>
      </c>
      <c r="N596" s="8" t="b">
        <f aca="false">IF(M596=0,FALSE(),F596&lt;Controls!$B$12)</f>
        <v>1</v>
      </c>
      <c r="O596" s="11" t="n">
        <f aca="false">IF(N596,IF(INDEX('Scenario inputs'!$E$4:$E$213,M596)=0,1,INDEX('Scenario inputs'!$F$4:$M$213,M596,MIN(MAX(F596-G596,0),INDEX('Scenario inputs'!$E$4:$E$213,M596)-1)+1)),0)</f>
        <v>1</v>
      </c>
      <c r="P596" s="11" t="n">
        <f aca="false">H596*O596</f>
        <v>115700</v>
      </c>
      <c r="Q596" s="0" t="str">
        <f aca="false">IF(M596=0,"",IF(ISNUMBER(INDEX('Scenario inputs'!$N$4:$N$213,M596)),INDEX('Scenario inputs'!$N$4:$N$213,M596),""))</f>
        <v/>
      </c>
      <c r="R596" s="0" t="str">
        <f aca="false">IF(NOT(N596),"",IF(OR(E596="cash",E596="revenue"),E596,IF(E596="avoided_cost",IF(AND(I596,LEN(TRIM(J596))&gt;0),"avoided_cost_realised","avoided_cost_beside"),IF(ISNUMBER(Q596),"capacity_converted","capacity_hours"))))</f>
        <v>cash</v>
      </c>
      <c r="S596" s="11" t="n">
        <f aca="false">IF(OR(R596="",R596="capacity_hours"),0,IF(R596="capacity_converted",P596*Q596,P596))</f>
        <v>115700</v>
      </c>
      <c r="T596" s="11" t="n">
        <f aca="false">IF(OR(R596="cash",R596="revenue",R596="avoided_cost_realised",R596="capacity_converted"),1,0)</f>
        <v>1</v>
      </c>
      <c r="U596" s="11" t="n">
        <f aca="false">IF(AND(N596,R596&lt;&gt;"capacity_hours",LEN(K596)&gt;0),1,0)</f>
        <v>1</v>
      </c>
      <c r="V596" s="11" t="n">
        <f aca="false">IF(U596=1,SUMPRODUCT(($K$4:$K$703=K596)*($F$4:$F$703=F596)*($U$4:$U$703=1)*($B$4:$B$703&lt;&gt;B596)),0)</f>
        <v>0</v>
      </c>
      <c r="W596" s="11" t="n">
        <f aca="false">IF(AND(U596=1,V596&gt;0),1+SUMPRODUCT(($K$4:$K$703=K596)*($F$4:$F$703=F596)*($U$4:$U$703=1)*($S$4:$S$703&gt;S596))+SUMPRODUCT(($K$4:$K$703=K596)*($F$4:$F$703=F596)*($U$4:$U$703=1)*($S$4:$S$703=S596)*($T$4:$T$703&gt;T596))+SUMPRODUCT(($K$4:$K$703=K596)*($F$4:$F$703=F596)*($U$4:$U$703=1)*($S$4:$S$703=S596)*($T$4:$T$703=T596)*($C$4:$C$703&lt;C596))+SUMPRODUCT(($K$4:$K$703=K596)*($F$4:$F$703=F596)*($U$4:$U$703=1)*($S$4:$S$703=S596)*($T$4:$T$703=T596)*($C$4:$C$703=C596)*($D$4:$D$703&lt;D596)),0)</f>
        <v>0</v>
      </c>
      <c r="X596" s="11" t="n">
        <f aca="false">IF(AND(U596=1,V596&gt;0,W596&gt;1),S596,0)</f>
        <v>0</v>
      </c>
      <c r="Y596" s="11" t="n">
        <f aca="false">IF(T596=1,X596/(1+Controls!$B$11)^F596,0)</f>
        <v>0</v>
      </c>
      <c r="Z596" s="11" t="n">
        <f aca="false">IF(AND(N596,E596="capacity",LEN(K596)&gt;0),1,0)</f>
        <v>0</v>
      </c>
      <c r="AA596" s="11" t="n">
        <f aca="false">IF(Z596=1,SUMPRODUCT(($K$4:$K$703=K596)*($F$4:$F$703=F596)*($Z$4:$Z$703=1)*($B$4:$B$703&lt;&gt;B596)),0)</f>
        <v>0</v>
      </c>
      <c r="AB596" s="11" t="n">
        <f aca="false">IF(AND(Z596=1,AA596&gt;0),1+SUMPRODUCT(($K$4:$K$703=K596)*($F$4:$F$703=F596)*($Z$4:$Z$703=1)*($P$4:$P$703&gt;P596))+SUMPRODUCT(($K$4:$K$703=K596)*($F$4:$F$703=F596)*($Z$4:$Z$703=1)*($P$4:$P$703=P596)*($C$4:$C$703&lt;C596))+SUMPRODUCT(($K$4:$K$703=K596)*($F$4:$F$703=F596)*($Z$4:$Z$703=1)*($P$4:$P$703=P596)*($C$4:$C$703=C596)*($D$4:$D$703&lt;D596)),0)</f>
        <v>0</v>
      </c>
      <c r="AC596" s="11" t="n">
        <f aca="false">IF(AND(Z596=1,AA596&gt;0,AB596&gt;1),P596,0)</f>
        <v>0</v>
      </c>
    </row>
    <row r="597" customFormat="false" ht="15" hidden="false" customHeight="false" outlineLevel="0" collapsed="false">
      <c r="A597" s="4" t="s">
        <v>853</v>
      </c>
      <c r="B597" s="4" t="s">
        <v>102</v>
      </c>
      <c r="C597" s="4" t="n">
        <v>20</v>
      </c>
      <c r="D597" s="4" t="n">
        <v>594</v>
      </c>
      <c r="E597" s="4" t="s">
        <v>112</v>
      </c>
      <c r="F597" s="4" t="n">
        <v>25</v>
      </c>
      <c r="G597" s="4" t="n">
        <v>17</v>
      </c>
      <c r="H597" s="4" t="n">
        <v>115700</v>
      </c>
      <c r="I597" s="13" t="b">
        <f aca="false">FALSE()</f>
        <v>0</v>
      </c>
      <c r="K597" s="4" t="s">
        <v>845</v>
      </c>
      <c r="L597" s="4" t="n">
        <v>24054.03</v>
      </c>
      <c r="M597" s="11" t="n">
        <f aca="false">IFERROR(MATCH(Controls!$B$3&amp;"|"&amp;B597,'Scenario inputs'!$A$4:$A$213,0),0)</f>
        <v>151</v>
      </c>
      <c r="N597" s="8" t="b">
        <f aca="false">IF(M597=0,FALSE(),F597&lt;Controls!$B$12)</f>
        <v>1</v>
      </c>
      <c r="O597" s="11" t="n">
        <f aca="false">IF(N597,IF(INDEX('Scenario inputs'!$E$4:$E$213,M597)=0,1,INDEX('Scenario inputs'!$F$4:$M$213,M597,MIN(MAX(F597-G597,0),INDEX('Scenario inputs'!$E$4:$E$213,M597)-1)+1)),0)</f>
        <v>1</v>
      </c>
      <c r="P597" s="11" t="n">
        <f aca="false">H597*O597</f>
        <v>115700</v>
      </c>
      <c r="Q597" s="0" t="str">
        <f aca="false">IF(M597=0,"",IF(ISNUMBER(INDEX('Scenario inputs'!$N$4:$N$213,M597)),INDEX('Scenario inputs'!$N$4:$N$213,M597),""))</f>
        <v/>
      </c>
      <c r="R597" s="0" t="str">
        <f aca="false">IF(NOT(N597),"",IF(OR(E597="cash",E597="revenue"),E597,IF(E597="avoided_cost",IF(AND(I597,LEN(TRIM(J597))&gt;0),"avoided_cost_realised","avoided_cost_beside"),IF(ISNUMBER(Q597),"capacity_converted","capacity_hours"))))</f>
        <v>cash</v>
      </c>
      <c r="S597" s="11" t="n">
        <f aca="false">IF(OR(R597="",R597="capacity_hours"),0,IF(R597="capacity_converted",P597*Q597,P597))</f>
        <v>115700</v>
      </c>
      <c r="T597" s="11" t="n">
        <f aca="false">IF(OR(R597="cash",R597="revenue",R597="avoided_cost_realised",R597="capacity_converted"),1,0)</f>
        <v>1</v>
      </c>
      <c r="U597" s="11" t="n">
        <f aca="false">IF(AND(N597,R597&lt;&gt;"capacity_hours",LEN(K597)&gt;0),1,0)</f>
        <v>1</v>
      </c>
      <c r="V597" s="11" t="n">
        <f aca="false">IF(U597=1,SUMPRODUCT(($K$4:$K$703=K597)*($F$4:$F$703=F597)*($U$4:$U$703=1)*($B$4:$B$703&lt;&gt;B597)),0)</f>
        <v>0</v>
      </c>
      <c r="W597" s="11" t="n">
        <f aca="false">IF(AND(U597=1,V597&gt;0),1+SUMPRODUCT(($K$4:$K$703=K597)*($F$4:$F$703=F597)*($U$4:$U$703=1)*($S$4:$S$703&gt;S597))+SUMPRODUCT(($K$4:$K$703=K597)*($F$4:$F$703=F597)*($U$4:$U$703=1)*($S$4:$S$703=S597)*($T$4:$T$703&gt;T597))+SUMPRODUCT(($K$4:$K$703=K597)*($F$4:$F$703=F597)*($U$4:$U$703=1)*($S$4:$S$703=S597)*($T$4:$T$703=T597)*($C$4:$C$703&lt;C597))+SUMPRODUCT(($K$4:$K$703=K597)*($F$4:$F$703=F597)*($U$4:$U$703=1)*($S$4:$S$703=S597)*($T$4:$T$703=T597)*($C$4:$C$703=C597)*($D$4:$D$703&lt;D597)),0)</f>
        <v>0</v>
      </c>
      <c r="X597" s="11" t="n">
        <f aca="false">IF(AND(U597=1,V597&gt;0,W597&gt;1),S597,0)</f>
        <v>0</v>
      </c>
      <c r="Y597" s="11" t="n">
        <f aca="false">IF(T597=1,X597/(1+Controls!$B$11)^F597,0)</f>
        <v>0</v>
      </c>
      <c r="Z597" s="11" t="n">
        <f aca="false">IF(AND(N597,E597="capacity",LEN(K597)&gt;0),1,0)</f>
        <v>0</v>
      </c>
      <c r="AA597" s="11" t="n">
        <f aca="false">IF(Z597=1,SUMPRODUCT(($K$4:$K$703=K597)*($F$4:$F$703=F597)*($Z$4:$Z$703=1)*($B$4:$B$703&lt;&gt;B597)),0)</f>
        <v>0</v>
      </c>
      <c r="AB597" s="11" t="n">
        <f aca="false">IF(AND(Z597=1,AA597&gt;0),1+SUMPRODUCT(($K$4:$K$703=K597)*($F$4:$F$703=F597)*($Z$4:$Z$703=1)*($P$4:$P$703&gt;P597))+SUMPRODUCT(($K$4:$K$703=K597)*($F$4:$F$703=F597)*($Z$4:$Z$703=1)*($P$4:$P$703=P597)*($C$4:$C$703&lt;C597))+SUMPRODUCT(($K$4:$K$703=K597)*($F$4:$F$703=F597)*($Z$4:$Z$703=1)*($P$4:$P$703=P597)*($C$4:$C$703=C597)*($D$4:$D$703&lt;D597)),0)</f>
        <v>0</v>
      </c>
      <c r="AC597" s="11" t="n">
        <f aca="false">IF(AND(Z597=1,AA597&gt;0,AB597&gt;1),P597,0)</f>
        <v>0</v>
      </c>
    </row>
    <row r="598" customFormat="false" ht="15" hidden="false" customHeight="false" outlineLevel="0" collapsed="false">
      <c r="A598" s="4" t="s">
        <v>854</v>
      </c>
      <c r="B598" s="4" t="s">
        <v>102</v>
      </c>
      <c r="C598" s="4" t="n">
        <v>20</v>
      </c>
      <c r="D598" s="4" t="n">
        <v>595</v>
      </c>
      <c r="E598" s="4" t="s">
        <v>112</v>
      </c>
      <c r="F598" s="4" t="n">
        <v>26</v>
      </c>
      <c r="G598" s="4" t="n">
        <v>17</v>
      </c>
      <c r="H598" s="4" t="n">
        <v>115700</v>
      </c>
      <c r="I598" s="13" t="b">
        <f aca="false">FALSE()</f>
        <v>0</v>
      </c>
      <c r="K598" s="4" t="s">
        <v>845</v>
      </c>
      <c r="L598" s="4" t="n">
        <v>24054.03</v>
      </c>
      <c r="M598" s="11" t="n">
        <f aca="false">IFERROR(MATCH(Controls!$B$3&amp;"|"&amp;B598,'Scenario inputs'!$A$4:$A$213,0),0)</f>
        <v>151</v>
      </c>
      <c r="N598" s="8" t="b">
        <f aca="false">IF(M598=0,FALSE(),F598&lt;Controls!$B$12)</f>
        <v>1</v>
      </c>
      <c r="O598" s="11" t="n">
        <f aca="false">IF(N598,IF(INDEX('Scenario inputs'!$E$4:$E$213,M598)=0,1,INDEX('Scenario inputs'!$F$4:$M$213,M598,MIN(MAX(F598-G598,0),INDEX('Scenario inputs'!$E$4:$E$213,M598)-1)+1)),0)</f>
        <v>1</v>
      </c>
      <c r="P598" s="11" t="n">
        <f aca="false">H598*O598</f>
        <v>115700</v>
      </c>
      <c r="Q598" s="0" t="str">
        <f aca="false">IF(M598=0,"",IF(ISNUMBER(INDEX('Scenario inputs'!$N$4:$N$213,M598)),INDEX('Scenario inputs'!$N$4:$N$213,M598),""))</f>
        <v/>
      </c>
      <c r="R598" s="0" t="str">
        <f aca="false">IF(NOT(N598),"",IF(OR(E598="cash",E598="revenue"),E598,IF(E598="avoided_cost",IF(AND(I598,LEN(TRIM(J598))&gt;0),"avoided_cost_realised","avoided_cost_beside"),IF(ISNUMBER(Q598),"capacity_converted","capacity_hours"))))</f>
        <v>cash</v>
      </c>
      <c r="S598" s="11" t="n">
        <f aca="false">IF(OR(R598="",R598="capacity_hours"),0,IF(R598="capacity_converted",P598*Q598,P598))</f>
        <v>115700</v>
      </c>
      <c r="T598" s="11" t="n">
        <f aca="false">IF(OR(R598="cash",R598="revenue",R598="avoided_cost_realised",R598="capacity_converted"),1,0)</f>
        <v>1</v>
      </c>
      <c r="U598" s="11" t="n">
        <f aca="false">IF(AND(N598,R598&lt;&gt;"capacity_hours",LEN(K598)&gt;0),1,0)</f>
        <v>1</v>
      </c>
      <c r="V598" s="11" t="n">
        <f aca="false">IF(U598=1,SUMPRODUCT(($K$4:$K$703=K598)*($F$4:$F$703=F598)*($U$4:$U$703=1)*($B$4:$B$703&lt;&gt;B598)),0)</f>
        <v>0</v>
      </c>
      <c r="W598" s="11" t="n">
        <f aca="false">IF(AND(U598=1,V598&gt;0),1+SUMPRODUCT(($K$4:$K$703=K598)*($F$4:$F$703=F598)*($U$4:$U$703=1)*($S$4:$S$703&gt;S598))+SUMPRODUCT(($K$4:$K$703=K598)*($F$4:$F$703=F598)*($U$4:$U$703=1)*($S$4:$S$703=S598)*($T$4:$T$703&gt;T598))+SUMPRODUCT(($K$4:$K$703=K598)*($F$4:$F$703=F598)*($U$4:$U$703=1)*($S$4:$S$703=S598)*($T$4:$T$703=T598)*($C$4:$C$703&lt;C598))+SUMPRODUCT(($K$4:$K$703=K598)*($F$4:$F$703=F598)*($U$4:$U$703=1)*($S$4:$S$703=S598)*($T$4:$T$703=T598)*($C$4:$C$703=C598)*($D$4:$D$703&lt;D598)),0)</f>
        <v>0</v>
      </c>
      <c r="X598" s="11" t="n">
        <f aca="false">IF(AND(U598=1,V598&gt;0,W598&gt;1),S598,0)</f>
        <v>0</v>
      </c>
      <c r="Y598" s="11" t="n">
        <f aca="false">IF(T598=1,X598/(1+Controls!$B$11)^F598,0)</f>
        <v>0</v>
      </c>
      <c r="Z598" s="11" t="n">
        <f aca="false">IF(AND(N598,E598="capacity",LEN(K598)&gt;0),1,0)</f>
        <v>0</v>
      </c>
      <c r="AA598" s="11" t="n">
        <f aca="false">IF(Z598=1,SUMPRODUCT(($K$4:$K$703=K598)*($F$4:$F$703=F598)*($Z$4:$Z$703=1)*($B$4:$B$703&lt;&gt;B598)),0)</f>
        <v>0</v>
      </c>
      <c r="AB598" s="11" t="n">
        <f aca="false">IF(AND(Z598=1,AA598&gt;0),1+SUMPRODUCT(($K$4:$K$703=K598)*($F$4:$F$703=F598)*($Z$4:$Z$703=1)*($P$4:$P$703&gt;P598))+SUMPRODUCT(($K$4:$K$703=K598)*($F$4:$F$703=F598)*($Z$4:$Z$703=1)*($P$4:$P$703=P598)*($C$4:$C$703&lt;C598))+SUMPRODUCT(($K$4:$K$703=K598)*($F$4:$F$703=F598)*($Z$4:$Z$703=1)*($P$4:$P$703=P598)*($C$4:$C$703=C598)*($D$4:$D$703&lt;D598)),0)</f>
        <v>0</v>
      </c>
      <c r="AC598" s="11" t="n">
        <f aca="false">IF(AND(Z598=1,AA598&gt;0,AB598&gt;1),P598,0)</f>
        <v>0</v>
      </c>
    </row>
    <row r="599" customFormat="false" ht="15" hidden="false" customHeight="false" outlineLevel="0" collapsed="false">
      <c r="A599" s="4" t="s">
        <v>855</v>
      </c>
      <c r="B599" s="4" t="s">
        <v>102</v>
      </c>
      <c r="C599" s="4" t="n">
        <v>20</v>
      </c>
      <c r="D599" s="4" t="n">
        <v>596</v>
      </c>
      <c r="E599" s="4" t="s">
        <v>112</v>
      </c>
      <c r="F599" s="4" t="n">
        <v>27</v>
      </c>
      <c r="G599" s="4" t="n">
        <v>17</v>
      </c>
      <c r="H599" s="4" t="n">
        <v>115700</v>
      </c>
      <c r="I599" s="13" t="b">
        <f aca="false">FALSE()</f>
        <v>0</v>
      </c>
      <c r="K599" s="4" t="s">
        <v>845</v>
      </c>
      <c r="L599" s="4" t="n">
        <v>24054.03</v>
      </c>
      <c r="M599" s="11" t="n">
        <f aca="false">IFERROR(MATCH(Controls!$B$3&amp;"|"&amp;B599,'Scenario inputs'!$A$4:$A$213,0),0)</f>
        <v>151</v>
      </c>
      <c r="N599" s="8" t="b">
        <f aca="false">IF(M599=0,FALSE(),F599&lt;Controls!$B$12)</f>
        <v>1</v>
      </c>
      <c r="O599" s="11" t="n">
        <f aca="false">IF(N599,IF(INDEX('Scenario inputs'!$E$4:$E$213,M599)=0,1,INDEX('Scenario inputs'!$F$4:$M$213,M599,MIN(MAX(F599-G599,0),INDEX('Scenario inputs'!$E$4:$E$213,M599)-1)+1)),0)</f>
        <v>1</v>
      </c>
      <c r="P599" s="11" t="n">
        <f aca="false">H599*O599</f>
        <v>115700</v>
      </c>
      <c r="Q599" s="0" t="str">
        <f aca="false">IF(M599=0,"",IF(ISNUMBER(INDEX('Scenario inputs'!$N$4:$N$213,M599)),INDEX('Scenario inputs'!$N$4:$N$213,M599),""))</f>
        <v/>
      </c>
      <c r="R599" s="0" t="str">
        <f aca="false">IF(NOT(N599),"",IF(OR(E599="cash",E599="revenue"),E599,IF(E599="avoided_cost",IF(AND(I599,LEN(TRIM(J599))&gt;0),"avoided_cost_realised","avoided_cost_beside"),IF(ISNUMBER(Q599),"capacity_converted","capacity_hours"))))</f>
        <v>cash</v>
      </c>
      <c r="S599" s="11" t="n">
        <f aca="false">IF(OR(R599="",R599="capacity_hours"),0,IF(R599="capacity_converted",P599*Q599,P599))</f>
        <v>115700</v>
      </c>
      <c r="T599" s="11" t="n">
        <f aca="false">IF(OR(R599="cash",R599="revenue",R599="avoided_cost_realised",R599="capacity_converted"),1,0)</f>
        <v>1</v>
      </c>
      <c r="U599" s="11" t="n">
        <f aca="false">IF(AND(N599,R599&lt;&gt;"capacity_hours",LEN(K599)&gt;0),1,0)</f>
        <v>1</v>
      </c>
      <c r="V599" s="11" t="n">
        <f aca="false">IF(U599=1,SUMPRODUCT(($K$4:$K$703=K599)*($F$4:$F$703=F599)*($U$4:$U$703=1)*($B$4:$B$703&lt;&gt;B599)),0)</f>
        <v>0</v>
      </c>
      <c r="W599" s="11" t="n">
        <f aca="false">IF(AND(U599=1,V599&gt;0),1+SUMPRODUCT(($K$4:$K$703=K599)*($F$4:$F$703=F599)*($U$4:$U$703=1)*($S$4:$S$703&gt;S599))+SUMPRODUCT(($K$4:$K$703=K599)*($F$4:$F$703=F599)*($U$4:$U$703=1)*($S$4:$S$703=S599)*($T$4:$T$703&gt;T599))+SUMPRODUCT(($K$4:$K$703=K599)*($F$4:$F$703=F599)*($U$4:$U$703=1)*($S$4:$S$703=S599)*($T$4:$T$703=T599)*($C$4:$C$703&lt;C599))+SUMPRODUCT(($K$4:$K$703=K599)*($F$4:$F$703=F599)*($U$4:$U$703=1)*($S$4:$S$703=S599)*($T$4:$T$703=T599)*($C$4:$C$703=C599)*($D$4:$D$703&lt;D599)),0)</f>
        <v>0</v>
      </c>
      <c r="X599" s="11" t="n">
        <f aca="false">IF(AND(U599=1,V599&gt;0,W599&gt;1),S599,0)</f>
        <v>0</v>
      </c>
      <c r="Y599" s="11" t="n">
        <f aca="false">IF(T599=1,X599/(1+Controls!$B$11)^F599,0)</f>
        <v>0</v>
      </c>
      <c r="Z599" s="11" t="n">
        <f aca="false">IF(AND(N599,E599="capacity",LEN(K599)&gt;0),1,0)</f>
        <v>0</v>
      </c>
      <c r="AA599" s="11" t="n">
        <f aca="false">IF(Z599=1,SUMPRODUCT(($K$4:$K$703=K599)*($F$4:$F$703=F599)*($Z$4:$Z$703=1)*($B$4:$B$703&lt;&gt;B599)),0)</f>
        <v>0</v>
      </c>
      <c r="AB599" s="11" t="n">
        <f aca="false">IF(AND(Z599=1,AA599&gt;0),1+SUMPRODUCT(($K$4:$K$703=K599)*($F$4:$F$703=F599)*($Z$4:$Z$703=1)*($P$4:$P$703&gt;P599))+SUMPRODUCT(($K$4:$K$703=K599)*($F$4:$F$703=F599)*($Z$4:$Z$703=1)*($P$4:$P$703=P599)*($C$4:$C$703&lt;C599))+SUMPRODUCT(($K$4:$K$703=K599)*($F$4:$F$703=F599)*($Z$4:$Z$703=1)*($P$4:$P$703=P599)*($C$4:$C$703=C599)*($D$4:$D$703&lt;D599)),0)</f>
        <v>0</v>
      </c>
      <c r="AC599" s="11" t="n">
        <f aca="false">IF(AND(Z599=1,AA599&gt;0,AB599&gt;1),P599,0)</f>
        <v>0</v>
      </c>
    </row>
    <row r="600" customFormat="false" ht="15" hidden="false" customHeight="false" outlineLevel="0" collapsed="false">
      <c r="A600" s="4" t="s">
        <v>856</v>
      </c>
      <c r="B600" s="4" t="s">
        <v>102</v>
      </c>
      <c r="C600" s="4" t="n">
        <v>20</v>
      </c>
      <c r="D600" s="4" t="n">
        <v>597</v>
      </c>
      <c r="E600" s="4" t="s">
        <v>112</v>
      </c>
      <c r="F600" s="4" t="n">
        <v>28</v>
      </c>
      <c r="G600" s="4" t="n">
        <v>17</v>
      </c>
      <c r="H600" s="4" t="n">
        <v>115700</v>
      </c>
      <c r="I600" s="13" t="b">
        <f aca="false">FALSE()</f>
        <v>0</v>
      </c>
      <c r="K600" s="4" t="s">
        <v>845</v>
      </c>
      <c r="L600" s="4" t="n">
        <v>24054.03</v>
      </c>
      <c r="M600" s="11" t="n">
        <f aca="false">IFERROR(MATCH(Controls!$B$3&amp;"|"&amp;B600,'Scenario inputs'!$A$4:$A$213,0),0)</f>
        <v>151</v>
      </c>
      <c r="N600" s="8" t="b">
        <f aca="false">IF(M600=0,FALSE(),F600&lt;Controls!$B$12)</f>
        <v>1</v>
      </c>
      <c r="O600" s="11" t="n">
        <f aca="false">IF(N600,IF(INDEX('Scenario inputs'!$E$4:$E$213,M600)=0,1,INDEX('Scenario inputs'!$F$4:$M$213,M600,MIN(MAX(F600-G600,0),INDEX('Scenario inputs'!$E$4:$E$213,M600)-1)+1)),0)</f>
        <v>1</v>
      </c>
      <c r="P600" s="11" t="n">
        <f aca="false">H600*O600</f>
        <v>115700</v>
      </c>
      <c r="Q600" s="0" t="str">
        <f aca="false">IF(M600=0,"",IF(ISNUMBER(INDEX('Scenario inputs'!$N$4:$N$213,M600)),INDEX('Scenario inputs'!$N$4:$N$213,M600),""))</f>
        <v/>
      </c>
      <c r="R600" s="0" t="str">
        <f aca="false">IF(NOT(N600),"",IF(OR(E600="cash",E600="revenue"),E600,IF(E600="avoided_cost",IF(AND(I600,LEN(TRIM(J600))&gt;0),"avoided_cost_realised","avoided_cost_beside"),IF(ISNUMBER(Q600),"capacity_converted","capacity_hours"))))</f>
        <v>cash</v>
      </c>
      <c r="S600" s="11" t="n">
        <f aca="false">IF(OR(R600="",R600="capacity_hours"),0,IF(R600="capacity_converted",P600*Q600,P600))</f>
        <v>115700</v>
      </c>
      <c r="T600" s="11" t="n">
        <f aca="false">IF(OR(R600="cash",R600="revenue",R600="avoided_cost_realised",R600="capacity_converted"),1,0)</f>
        <v>1</v>
      </c>
      <c r="U600" s="11" t="n">
        <f aca="false">IF(AND(N600,R600&lt;&gt;"capacity_hours",LEN(K600)&gt;0),1,0)</f>
        <v>1</v>
      </c>
      <c r="V600" s="11" t="n">
        <f aca="false">IF(U600=1,SUMPRODUCT(($K$4:$K$703=K600)*($F$4:$F$703=F600)*($U$4:$U$703=1)*($B$4:$B$703&lt;&gt;B600)),0)</f>
        <v>0</v>
      </c>
      <c r="W600" s="11" t="n">
        <f aca="false">IF(AND(U600=1,V600&gt;0),1+SUMPRODUCT(($K$4:$K$703=K600)*($F$4:$F$703=F600)*($U$4:$U$703=1)*($S$4:$S$703&gt;S600))+SUMPRODUCT(($K$4:$K$703=K600)*($F$4:$F$703=F600)*($U$4:$U$703=1)*($S$4:$S$703=S600)*($T$4:$T$703&gt;T600))+SUMPRODUCT(($K$4:$K$703=K600)*($F$4:$F$703=F600)*($U$4:$U$703=1)*($S$4:$S$703=S600)*($T$4:$T$703=T600)*($C$4:$C$703&lt;C600))+SUMPRODUCT(($K$4:$K$703=K600)*($F$4:$F$703=F600)*($U$4:$U$703=1)*($S$4:$S$703=S600)*($T$4:$T$703=T600)*($C$4:$C$703=C600)*($D$4:$D$703&lt;D600)),0)</f>
        <v>0</v>
      </c>
      <c r="X600" s="11" t="n">
        <f aca="false">IF(AND(U600=1,V600&gt;0,W600&gt;1),S600,0)</f>
        <v>0</v>
      </c>
      <c r="Y600" s="11" t="n">
        <f aca="false">IF(T600=1,X600/(1+Controls!$B$11)^F600,0)</f>
        <v>0</v>
      </c>
      <c r="Z600" s="11" t="n">
        <f aca="false">IF(AND(N600,E600="capacity",LEN(K600)&gt;0),1,0)</f>
        <v>0</v>
      </c>
      <c r="AA600" s="11" t="n">
        <f aca="false">IF(Z600=1,SUMPRODUCT(($K$4:$K$703=K600)*($F$4:$F$703=F600)*($Z$4:$Z$703=1)*($B$4:$B$703&lt;&gt;B600)),0)</f>
        <v>0</v>
      </c>
      <c r="AB600" s="11" t="n">
        <f aca="false">IF(AND(Z600=1,AA600&gt;0),1+SUMPRODUCT(($K$4:$K$703=K600)*($F$4:$F$703=F600)*($Z$4:$Z$703=1)*($P$4:$P$703&gt;P600))+SUMPRODUCT(($K$4:$K$703=K600)*($F$4:$F$703=F600)*($Z$4:$Z$703=1)*($P$4:$P$703=P600)*($C$4:$C$703&lt;C600))+SUMPRODUCT(($K$4:$K$703=K600)*($F$4:$F$703=F600)*($Z$4:$Z$703=1)*($P$4:$P$703=P600)*($C$4:$C$703=C600)*($D$4:$D$703&lt;D600)),0)</f>
        <v>0</v>
      </c>
      <c r="AC600" s="11" t="n">
        <f aca="false">IF(AND(Z600=1,AA600&gt;0,AB600&gt;1),P600,0)</f>
        <v>0</v>
      </c>
    </row>
    <row r="601" customFormat="false" ht="15" hidden="false" customHeight="false" outlineLevel="0" collapsed="false">
      <c r="A601" s="4" t="s">
        <v>857</v>
      </c>
      <c r="B601" s="4" t="s">
        <v>103</v>
      </c>
      <c r="C601" s="4" t="n">
        <v>21</v>
      </c>
      <c r="D601" s="4" t="n">
        <v>598</v>
      </c>
      <c r="E601" s="4" t="s">
        <v>205</v>
      </c>
      <c r="F601" s="4" t="n">
        <v>19</v>
      </c>
      <c r="G601" s="4" t="n">
        <v>19</v>
      </c>
      <c r="H601" s="4" t="n">
        <v>13100</v>
      </c>
      <c r="I601" s="13" t="b">
        <f aca="false">FALSE()</f>
        <v>0</v>
      </c>
      <c r="K601" s="4" t="s">
        <v>858</v>
      </c>
      <c r="L601" s="4" t="n">
        <v>180.78</v>
      </c>
      <c r="M601" s="11" t="n">
        <f aca="false">IFERROR(MATCH(Controls!$B$3&amp;"|"&amp;B601,'Scenario inputs'!$A$4:$A$213,0),0)</f>
        <v>152</v>
      </c>
      <c r="N601" s="8" t="b">
        <f aca="false">IF(M601=0,FALSE(),F601&lt;Controls!$B$12)</f>
        <v>1</v>
      </c>
      <c r="O601" s="11" t="n">
        <f aca="false">IF(N601,IF(INDEX('Scenario inputs'!$E$4:$E$213,M601)=0,1,INDEX('Scenario inputs'!$F$4:$M$213,M601,MIN(MAX(F601-G601,0),INDEX('Scenario inputs'!$E$4:$E$213,M601)-1)+1)),0)</f>
        <v>0.1</v>
      </c>
      <c r="P601" s="11" t="n">
        <f aca="false">H601*O601</f>
        <v>1310</v>
      </c>
      <c r="Q601" s="0" t="str">
        <f aca="false">IF(M601=0,"",IF(ISNUMBER(INDEX('Scenario inputs'!$N$4:$N$213,M601)),INDEX('Scenario inputs'!$N$4:$N$213,M601),""))</f>
        <v/>
      </c>
      <c r="R601" s="0" t="str">
        <f aca="false">IF(NOT(N601),"",IF(OR(E601="cash",E601="revenue"),E601,IF(E601="avoided_cost",IF(AND(I601,LEN(TRIM(J601))&gt;0),"avoided_cost_realised","avoided_cost_beside"),IF(ISNUMBER(Q601),"capacity_converted","capacity_hours"))))</f>
        <v>avoided_cost_beside</v>
      </c>
      <c r="S601" s="11" t="n">
        <f aca="false">IF(OR(R601="",R601="capacity_hours"),0,IF(R601="capacity_converted",P601*Q601,P601))</f>
        <v>1310</v>
      </c>
      <c r="T601" s="11" t="n">
        <f aca="false">IF(OR(R601="cash",R601="revenue",R601="avoided_cost_realised",R601="capacity_converted"),1,0)</f>
        <v>0</v>
      </c>
      <c r="U601" s="11" t="n">
        <f aca="false">IF(AND(N601,R601&lt;&gt;"capacity_hours",LEN(K601)&gt;0),1,0)</f>
        <v>1</v>
      </c>
      <c r="V601" s="11" t="n">
        <f aca="false">IF(U601=1,SUMPRODUCT(($K$4:$K$703=K601)*($F$4:$F$703=F601)*($U$4:$U$703=1)*($B$4:$B$703&lt;&gt;B601)),0)</f>
        <v>0</v>
      </c>
      <c r="W601" s="11" t="n">
        <f aca="false">IF(AND(U601=1,V601&gt;0),1+SUMPRODUCT(($K$4:$K$703=K601)*($F$4:$F$703=F601)*($U$4:$U$703=1)*($S$4:$S$703&gt;S601))+SUMPRODUCT(($K$4:$K$703=K601)*($F$4:$F$703=F601)*($U$4:$U$703=1)*($S$4:$S$703=S601)*($T$4:$T$703&gt;T601))+SUMPRODUCT(($K$4:$K$703=K601)*($F$4:$F$703=F601)*($U$4:$U$703=1)*($S$4:$S$703=S601)*($T$4:$T$703=T601)*($C$4:$C$703&lt;C601))+SUMPRODUCT(($K$4:$K$703=K601)*($F$4:$F$703=F601)*($U$4:$U$703=1)*($S$4:$S$703=S601)*($T$4:$T$703=T601)*($C$4:$C$703=C601)*($D$4:$D$703&lt;D601)),0)</f>
        <v>0</v>
      </c>
      <c r="X601" s="11" t="n">
        <f aca="false">IF(AND(U601=1,V601&gt;0,W601&gt;1),S601,0)</f>
        <v>0</v>
      </c>
      <c r="Y601" s="11" t="n">
        <f aca="false">IF(T601=1,X601/(1+Controls!$B$11)^F601,0)</f>
        <v>0</v>
      </c>
      <c r="Z601" s="11" t="n">
        <f aca="false">IF(AND(N601,E601="capacity",LEN(K601)&gt;0),1,0)</f>
        <v>0</v>
      </c>
      <c r="AA601" s="11" t="n">
        <f aca="false">IF(Z601=1,SUMPRODUCT(($K$4:$K$703=K601)*($F$4:$F$703=F601)*($Z$4:$Z$703=1)*($B$4:$B$703&lt;&gt;B601)),0)</f>
        <v>0</v>
      </c>
      <c r="AB601" s="11" t="n">
        <f aca="false">IF(AND(Z601=1,AA601&gt;0),1+SUMPRODUCT(($K$4:$K$703=K601)*($F$4:$F$703=F601)*($Z$4:$Z$703=1)*($P$4:$P$703&gt;P601))+SUMPRODUCT(($K$4:$K$703=K601)*($F$4:$F$703=F601)*($Z$4:$Z$703=1)*($P$4:$P$703=P601)*($C$4:$C$703&lt;C601))+SUMPRODUCT(($K$4:$K$703=K601)*($F$4:$F$703=F601)*($Z$4:$Z$703=1)*($P$4:$P$703=P601)*($C$4:$C$703=C601)*($D$4:$D$703&lt;D601)),0)</f>
        <v>0</v>
      </c>
      <c r="AC601" s="11" t="n">
        <f aca="false">IF(AND(Z601=1,AA601&gt;0,AB601&gt;1),P601,0)</f>
        <v>0</v>
      </c>
    </row>
    <row r="602" customFormat="false" ht="15" hidden="false" customHeight="false" outlineLevel="0" collapsed="false">
      <c r="A602" s="4" t="s">
        <v>859</v>
      </c>
      <c r="B602" s="4" t="s">
        <v>103</v>
      </c>
      <c r="C602" s="4" t="n">
        <v>21</v>
      </c>
      <c r="D602" s="4" t="n">
        <v>599</v>
      </c>
      <c r="E602" s="4" t="s">
        <v>205</v>
      </c>
      <c r="F602" s="4" t="n">
        <v>20</v>
      </c>
      <c r="G602" s="4" t="n">
        <v>19</v>
      </c>
      <c r="H602" s="4" t="n">
        <v>13100</v>
      </c>
      <c r="I602" s="13" t="b">
        <f aca="false">FALSE()</f>
        <v>0</v>
      </c>
      <c r="K602" s="4" t="s">
        <v>858</v>
      </c>
      <c r="L602" s="4" t="n">
        <v>542.34</v>
      </c>
      <c r="M602" s="11" t="n">
        <f aca="false">IFERROR(MATCH(Controls!$B$3&amp;"|"&amp;B602,'Scenario inputs'!$A$4:$A$213,0),0)</f>
        <v>152</v>
      </c>
      <c r="N602" s="8" t="b">
        <f aca="false">IF(M602=0,FALSE(),F602&lt;Controls!$B$12)</f>
        <v>1</v>
      </c>
      <c r="O602" s="11" t="n">
        <f aca="false">IF(N602,IF(INDEX('Scenario inputs'!$E$4:$E$213,M602)=0,1,INDEX('Scenario inputs'!$F$4:$M$213,M602,MIN(MAX(F602-G602,0),INDEX('Scenario inputs'!$E$4:$E$213,M602)-1)+1)),0)</f>
        <v>0.3</v>
      </c>
      <c r="P602" s="11" t="n">
        <f aca="false">H602*O602</f>
        <v>3930</v>
      </c>
      <c r="Q602" s="0" t="str">
        <f aca="false">IF(M602=0,"",IF(ISNUMBER(INDEX('Scenario inputs'!$N$4:$N$213,M602)),INDEX('Scenario inputs'!$N$4:$N$213,M602),""))</f>
        <v/>
      </c>
      <c r="R602" s="0" t="str">
        <f aca="false">IF(NOT(N602),"",IF(OR(E602="cash",E602="revenue"),E602,IF(E602="avoided_cost",IF(AND(I602,LEN(TRIM(J602))&gt;0),"avoided_cost_realised","avoided_cost_beside"),IF(ISNUMBER(Q602),"capacity_converted","capacity_hours"))))</f>
        <v>avoided_cost_beside</v>
      </c>
      <c r="S602" s="11" t="n">
        <f aca="false">IF(OR(R602="",R602="capacity_hours"),0,IF(R602="capacity_converted",P602*Q602,P602))</f>
        <v>3930</v>
      </c>
      <c r="T602" s="11" t="n">
        <f aca="false">IF(OR(R602="cash",R602="revenue",R602="avoided_cost_realised",R602="capacity_converted"),1,0)</f>
        <v>0</v>
      </c>
      <c r="U602" s="11" t="n">
        <f aca="false">IF(AND(N602,R602&lt;&gt;"capacity_hours",LEN(K602)&gt;0),1,0)</f>
        <v>1</v>
      </c>
      <c r="V602" s="11" t="n">
        <f aca="false">IF(U602=1,SUMPRODUCT(($K$4:$K$703=K602)*($F$4:$F$703=F602)*($U$4:$U$703=1)*($B$4:$B$703&lt;&gt;B602)),0)</f>
        <v>0</v>
      </c>
      <c r="W602" s="11" t="n">
        <f aca="false">IF(AND(U602=1,V602&gt;0),1+SUMPRODUCT(($K$4:$K$703=K602)*($F$4:$F$703=F602)*($U$4:$U$703=1)*($S$4:$S$703&gt;S602))+SUMPRODUCT(($K$4:$K$703=K602)*($F$4:$F$703=F602)*($U$4:$U$703=1)*($S$4:$S$703=S602)*($T$4:$T$703&gt;T602))+SUMPRODUCT(($K$4:$K$703=K602)*($F$4:$F$703=F602)*($U$4:$U$703=1)*($S$4:$S$703=S602)*($T$4:$T$703=T602)*($C$4:$C$703&lt;C602))+SUMPRODUCT(($K$4:$K$703=K602)*($F$4:$F$703=F602)*($U$4:$U$703=1)*($S$4:$S$703=S602)*($T$4:$T$703=T602)*($C$4:$C$703=C602)*($D$4:$D$703&lt;D602)),0)</f>
        <v>0</v>
      </c>
      <c r="X602" s="11" t="n">
        <f aca="false">IF(AND(U602=1,V602&gt;0,W602&gt;1),S602,0)</f>
        <v>0</v>
      </c>
      <c r="Y602" s="11" t="n">
        <f aca="false">IF(T602=1,X602/(1+Controls!$B$11)^F602,0)</f>
        <v>0</v>
      </c>
      <c r="Z602" s="11" t="n">
        <f aca="false">IF(AND(N602,E602="capacity",LEN(K602)&gt;0),1,0)</f>
        <v>0</v>
      </c>
      <c r="AA602" s="11" t="n">
        <f aca="false">IF(Z602=1,SUMPRODUCT(($K$4:$K$703=K602)*($F$4:$F$703=F602)*($Z$4:$Z$703=1)*($B$4:$B$703&lt;&gt;B602)),0)</f>
        <v>0</v>
      </c>
      <c r="AB602" s="11" t="n">
        <f aca="false">IF(AND(Z602=1,AA602&gt;0),1+SUMPRODUCT(($K$4:$K$703=K602)*($F$4:$F$703=F602)*($Z$4:$Z$703=1)*($P$4:$P$703&gt;P602))+SUMPRODUCT(($K$4:$K$703=K602)*($F$4:$F$703=F602)*($Z$4:$Z$703=1)*($P$4:$P$703=P602)*($C$4:$C$703&lt;C602))+SUMPRODUCT(($K$4:$K$703=K602)*($F$4:$F$703=F602)*($Z$4:$Z$703=1)*($P$4:$P$703=P602)*($C$4:$C$703=C602)*($D$4:$D$703&lt;D602)),0)</f>
        <v>0</v>
      </c>
      <c r="AC602" s="11" t="n">
        <f aca="false">IF(AND(Z602=1,AA602&gt;0,AB602&gt;1),P602,0)</f>
        <v>0</v>
      </c>
    </row>
    <row r="603" customFormat="false" ht="15" hidden="false" customHeight="false" outlineLevel="0" collapsed="false">
      <c r="A603" s="4" t="s">
        <v>860</v>
      </c>
      <c r="B603" s="4" t="s">
        <v>103</v>
      </c>
      <c r="C603" s="4" t="n">
        <v>21</v>
      </c>
      <c r="D603" s="4" t="n">
        <v>600</v>
      </c>
      <c r="E603" s="4" t="s">
        <v>205</v>
      </c>
      <c r="F603" s="4" t="n">
        <v>21</v>
      </c>
      <c r="G603" s="4" t="n">
        <v>19</v>
      </c>
      <c r="H603" s="4" t="n">
        <v>13100</v>
      </c>
      <c r="I603" s="13" t="b">
        <f aca="false">FALSE()</f>
        <v>0</v>
      </c>
      <c r="K603" s="4" t="s">
        <v>858</v>
      </c>
      <c r="L603" s="4" t="n">
        <v>1084.68</v>
      </c>
      <c r="M603" s="11" t="n">
        <f aca="false">IFERROR(MATCH(Controls!$B$3&amp;"|"&amp;B603,'Scenario inputs'!$A$4:$A$213,0),0)</f>
        <v>152</v>
      </c>
      <c r="N603" s="8" t="b">
        <f aca="false">IF(M603=0,FALSE(),F603&lt;Controls!$B$12)</f>
        <v>1</v>
      </c>
      <c r="O603" s="11" t="n">
        <f aca="false">IF(N603,IF(INDEX('Scenario inputs'!$E$4:$E$213,M603)=0,1,INDEX('Scenario inputs'!$F$4:$M$213,M603,MIN(MAX(F603-G603,0),INDEX('Scenario inputs'!$E$4:$E$213,M603)-1)+1)),0)</f>
        <v>0.6</v>
      </c>
      <c r="P603" s="11" t="n">
        <f aca="false">H603*O603</f>
        <v>7860</v>
      </c>
      <c r="Q603" s="0" t="str">
        <f aca="false">IF(M603=0,"",IF(ISNUMBER(INDEX('Scenario inputs'!$N$4:$N$213,M603)),INDEX('Scenario inputs'!$N$4:$N$213,M603),""))</f>
        <v/>
      </c>
      <c r="R603" s="0" t="str">
        <f aca="false">IF(NOT(N603),"",IF(OR(E603="cash",E603="revenue"),E603,IF(E603="avoided_cost",IF(AND(I603,LEN(TRIM(J603))&gt;0),"avoided_cost_realised","avoided_cost_beside"),IF(ISNUMBER(Q603),"capacity_converted","capacity_hours"))))</f>
        <v>avoided_cost_beside</v>
      </c>
      <c r="S603" s="11" t="n">
        <f aca="false">IF(OR(R603="",R603="capacity_hours"),0,IF(R603="capacity_converted",P603*Q603,P603))</f>
        <v>7860</v>
      </c>
      <c r="T603" s="11" t="n">
        <f aca="false">IF(OR(R603="cash",R603="revenue",R603="avoided_cost_realised",R603="capacity_converted"),1,0)</f>
        <v>0</v>
      </c>
      <c r="U603" s="11" t="n">
        <f aca="false">IF(AND(N603,R603&lt;&gt;"capacity_hours",LEN(K603)&gt;0),1,0)</f>
        <v>1</v>
      </c>
      <c r="V603" s="11" t="n">
        <f aca="false">IF(U603=1,SUMPRODUCT(($K$4:$K$703=K603)*($F$4:$F$703=F603)*($U$4:$U$703=1)*($B$4:$B$703&lt;&gt;B603)),0)</f>
        <v>0</v>
      </c>
      <c r="W603" s="11" t="n">
        <f aca="false">IF(AND(U603=1,V603&gt;0),1+SUMPRODUCT(($K$4:$K$703=K603)*($F$4:$F$703=F603)*($U$4:$U$703=1)*($S$4:$S$703&gt;S603))+SUMPRODUCT(($K$4:$K$703=K603)*($F$4:$F$703=F603)*($U$4:$U$703=1)*($S$4:$S$703=S603)*($T$4:$T$703&gt;T603))+SUMPRODUCT(($K$4:$K$703=K603)*($F$4:$F$703=F603)*($U$4:$U$703=1)*($S$4:$S$703=S603)*($T$4:$T$703=T603)*($C$4:$C$703&lt;C603))+SUMPRODUCT(($K$4:$K$703=K603)*($F$4:$F$703=F603)*($U$4:$U$703=1)*($S$4:$S$703=S603)*($T$4:$T$703=T603)*($C$4:$C$703=C603)*($D$4:$D$703&lt;D603)),0)</f>
        <v>0</v>
      </c>
      <c r="X603" s="11" t="n">
        <f aca="false">IF(AND(U603=1,V603&gt;0,W603&gt;1),S603,0)</f>
        <v>0</v>
      </c>
      <c r="Y603" s="11" t="n">
        <f aca="false">IF(T603=1,X603/(1+Controls!$B$11)^F603,0)</f>
        <v>0</v>
      </c>
      <c r="Z603" s="11" t="n">
        <f aca="false">IF(AND(N603,E603="capacity",LEN(K603)&gt;0),1,0)</f>
        <v>0</v>
      </c>
      <c r="AA603" s="11" t="n">
        <f aca="false">IF(Z603=1,SUMPRODUCT(($K$4:$K$703=K603)*($F$4:$F$703=F603)*($Z$4:$Z$703=1)*($B$4:$B$703&lt;&gt;B603)),0)</f>
        <v>0</v>
      </c>
      <c r="AB603" s="11" t="n">
        <f aca="false">IF(AND(Z603=1,AA603&gt;0),1+SUMPRODUCT(($K$4:$K$703=K603)*($F$4:$F$703=F603)*($Z$4:$Z$703=1)*($P$4:$P$703&gt;P603))+SUMPRODUCT(($K$4:$K$703=K603)*($F$4:$F$703=F603)*($Z$4:$Z$703=1)*($P$4:$P$703=P603)*($C$4:$C$703&lt;C603))+SUMPRODUCT(($K$4:$K$703=K603)*($F$4:$F$703=F603)*($Z$4:$Z$703=1)*($P$4:$P$703=P603)*($C$4:$C$703=C603)*($D$4:$D$703&lt;D603)),0)</f>
        <v>0</v>
      </c>
      <c r="AC603" s="11" t="n">
        <f aca="false">IF(AND(Z603=1,AA603&gt;0,AB603&gt;1),P603,0)</f>
        <v>0</v>
      </c>
    </row>
    <row r="604" customFormat="false" ht="15" hidden="false" customHeight="false" outlineLevel="0" collapsed="false">
      <c r="A604" s="4" t="s">
        <v>861</v>
      </c>
      <c r="B604" s="4" t="s">
        <v>103</v>
      </c>
      <c r="C604" s="4" t="n">
        <v>21</v>
      </c>
      <c r="D604" s="4" t="n">
        <v>601</v>
      </c>
      <c r="E604" s="4" t="s">
        <v>205</v>
      </c>
      <c r="F604" s="4" t="n">
        <v>22</v>
      </c>
      <c r="G604" s="4" t="n">
        <v>19</v>
      </c>
      <c r="H604" s="4" t="n">
        <v>13100</v>
      </c>
      <c r="I604" s="13" t="b">
        <f aca="false">FALSE()</f>
        <v>0</v>
      </c>
      <c r="K604" s="4" t="s">
        <v>858</v>
      </c>
      <c r="L604" s="4" t="n">
        <v>1807.8</v>
      </c>
      <c r="M604" s="11" t="n">
        <f aca="false">IFERROR(MATCH(Controls!$B$3&amp;"|"&amp;B604,'Scenario inputs'!$A$4:$A$213,0),0)</f>
        <v>152</v>
      </c>
      <c r="N604" s="8" t="b">
        <f aca="false">IF(M604=0,FALSE(),F604&lt;Controls!$B$12)</f>
        <v>1</v>
      </c>
      <c r="O604" s="11" t="n">
        <f aca="false">IF(N604,IF(INDEX('Scenario inputs'!$E$4:$E$213,M604)=0,1,INDEX('Scenario inputs'!$F$4:$M$213,M604,MIN(MAX(F604-G604,0),INDEX('Scenario inputs'!$E$4:$E$213,M604)-1)+1)),0)</f>
        <v>1</v>
      </c>
      <c r="P604" s="11" t="n">
        <f aca="false">H604*O604</f>
        <v>13100</v>
      </c>
      <c r="Q604" s="0" t="str">
        <f aca="false">IF(M604=0,"",IF(ISNUMBER(INDEX('Scenario inputs'!$N$4:$N$213,M604)),INDEX('Scenario inputs'!$N$4:$N$213,M604),""))</f>
        <v/>
      </c>
      <c r="R604" s="0" t="str">
        <f aca="false">IF(NOT(N604),"",IF(OR(E604="cash",E604="revenue"),E604,IF(E604="avoided_cost",IF(AND(I604,LEN(TRIM(J604))&gt;0),"avoided_cost_realised","avoided_cost_beside"),IF(ISNUMBER(Q604),"capacity_converted","capacity_hours"))))</f>
        <v>avoided_cost_beside</v>
      </c>
      <c r="S604" s="11" t="n">
        <f aca="false">IF(OR(R604="",R604="capacity_hours"),0,IF(R604="capacity_converted",P604*Q604,P604))</f>
        <v>13100</v>
      </c>
      <c r="T604" s="11" t="n">
        <f aca="false">IF(OR(R604="cash",R604="revenue",R604="avoided_cost_realised",R604="capacity_converted"),1,0)</f>
        <v>0</v>
      </c>
      <c r="U604" s="11" t="n">
        <f aca="false">IF(AND(N604,R604&lt;&gt;"capacity_hours",LEN(K604)&gt;0),1,0)</f>
        <v>1</v>
      </c>
      <c r="V604" s="11" t="n">
        <f aca="false">IF(U604=1,SUMPRODUCT(($K$4:$K$703=K604)*($F$4:$F$703=F604)*($U$4:$U$703=1)*($B$4:$B$703&lt;&gt;B604)),0)</f>
        <v>0</v>
      </c>
      <c r="W604" s="11" t="n">
        <f aca="false">IF(AND(U604=1,V604&gt;0),1+SUMPRODUCT(($K$4:$K$703=K604)*($F$4:$F$703=F604)*($U$4:$U$703=1)*($S$4:$S$703&gt;S604))+SUMPRODUCT(($K$4:$K$703=K604)*($F$4:$F$703=F604)*($U$4:$U$703=1)*($S$4:$S$703=S604)*($T$4:$T$703&gt;T604))+SUMPRODUCT(($K$4:$K$703=K604)*($F$4:$F$703=F604)*($U$4:$U$703=1)*($S$4:$S$703=S604)*($T$4:$T$703=T604)*($C$4:$C$703&lt;C604))+SUMPRODUCT(($K$4:$K$703=K604)*($F$4:$F$703=F604)*($U$4:$U$703=1)*($S$4:$S$703=S604)*($T$4:$T$703=T604)*($C$4:$C$703=C604)*($D$4:$D$703&lt;D604)),0)</f>
        <v>0</v>
      </c>
      <c r="X604" s="11" t="n">
        <f aca="false">IF(AND(U604=1,V604&gt;0,W604&gt;1),S604,0)</f>
        <v>0</v>
      </c>
      <c r="Y604" s="11" t="n">
        <f aca="false">IF(T604=1,X604/(1+Controls!$B$11)^F604,0)</f>
        <v>0</v>
      </c>
      <c r="Z604" s="11" t="n">
        <f aca="false">IF(AND(N604,E604="capacity",LEN(K604)&gt;0),1,0)</f>
        <v>0</v>
      </c>
      <c r="AA604" s="11" t="n">
        <f aca="false">IF(Z604=1,SUMPRODUCT(($K$4:$K$703=K604)*($F$4:$F$703=F604)*($Z$4:$Z$703=1)*($B$4:$B$703&lt;&gt;B604)),0)</f>
        <v>0</v>
      </c>
      <c r="AB604" s="11" t="n">
        <f aca="false">IF(AND(Z604=1,AA604&gt;0),1+SUMPRODUCT(($K$4:$K$703=K604)*($F$4:$F$703=F604)*($Z$4:$Z$703=1)*($P$4:$P$703&gt;P604))+SUMPRODUCT(($K$4:$K$703=K604)*($F$4:$F$703=F604)*($Z$4:$Z$703=1)*($P$4:$P$703=P604)*($C$4:$C$703&lt;C604))+SUMPRODUCT(($K$4:$K$703=K604)*($F$4:$F$703=F604)*($Z$4:$Z$703=1)*($P$4:$P$703=P604)*($C$4:$C$703=C604)*($D$4:$D$703&lt;D604)),0)</f>
        <v>0</v>
      </c>
      <c r="AC604" s="11" t="n">
        <f aca="false">IF(AND(Z604=1,AA604&gt;0,AB604&gt;1),P604,0)</f>
        <v>0</v>
      </c>
    </row>
    <row r="605" customFormat="false" ht="15" hidden="false" customHeight="false" outlineLevel="0" collapsed="false">
      <c r="A605" s="4" t="s">
        <v>862</v>
      </c>
      <c r="B605" s="4" t="s">
        <v>103</v>
      </c>
      <c r="C605" s="4" t="n">
        <v>21</v>
      </c>
      <c r="D605" s="4" t="n">
        <v>602</v>
      </c>
      <c r="E605" s="4" t="s">
        <v>205</v>
      </c>
      <c r="F605" s="4" t="n">
        <v>23</v>
      </c>
      <c r="G605" s="4" t="n">
        <v>19</v>
      </c>
      <c r="H605" s="4" t="n">
        <v>13100</v>
      </c>
      <c r="I605" s="13" t="b">
        <f aca="false">FALSE()</f>
        <v>0</v>
      </c>
      <c r="K605" s="4" t="s">
        <v>858</v>
      </c>
      <c r="L605" s="4" t="n">
        <v>1807.8</v>
      </c>
      <c r="M605" s="11" t="n">
        <f aca="false">IFERROR(MATCH(Controls!$B$3&amp;"|"&amp;B605,'Scenario inputs'!$A$4:$A$213,0),0)</f>
        <v>152</v>
      </c>
      <c r="N605" s="8" t="b">
        <f aca="false">IF(M605=0,FALSE(),F605&lt;Controls!$B$12)</f>
        <v>1</v>
      </c>
      <c r="O605" s="11" t="n">
        <f aca="false">IF(N605,IF(INDEX('Scenario inputs'!$E$4:$E$213,M605)=0,1,INDEX('Scenario inputs'!$F$4:$M$213,M605,MIN(MAX(F605-G605,0),INDEX('Scenario inputs'!$E$4:$E$213,M605)-1)+1)),0)</f>
        <v>1</v>
      </c>
      <c r="P605" s="11" t="n">
        <f aca="false">H605*O605</f>
        <v>13100</v>
      </c>
      <c r="Q605" s="0" t="str">
        <f aca="false">IF(M605=0,"",IF(ISNUMBER(INDEX('Scenario inputs'!$N$4:$N$213,M605)),INDEX('Scenario inputs'!$N$4:$N$213,M605),""))</f>
        <v/>
      </c>
      <c r="R605" s="0" t="str">
        <f aca="false">IF(NOT(N605),"",IF(OR(E605="cash",E605="revenue"),E605,IF(E605="avoided_cost",IF(AND(I605,LEN(TRIM(J605))&gt;0),"avoided_cost_realised","avoided_cost_beside"),IF(ISNUMBER(Q605),"capacity_converted","capacity_hours"))))</f>
        <v>avoided_cost_beside</v>
      </c>
      <c r="S605" s="11" t="n">
        <f aca="false">IF(OR(R605="",R605="capacity_hours"),0,IF(R605="capacity_converted",P605*Q605,P605))</f>
        <v>13100</v>
      </c>
      <c r="T605" s="11" t="n">
        <f aca="false">IF(OR(R605="cash",R605="revenue",R605="avoided_cost_realised",R605="capacity_converted"),1,0)</f>
        <v>0</v>
      </c>
      <c r="U605" s="11" t="n">
        <f aca="false">IF(AND(N605,R605&lt;&gt;"capacity_hours",LEN(K605)&gt;0),1,0)</f>
        <v>1</v>
      </c>
      <c r="V605" s="11" t="n">
        <f aca="false">IF(U605=1,SUMPRODUCT(($K$4:$K$703=K605)*($F$4:$F$703=F605)*($U$4:$U$703=1)*($B$4:$B$703&lt;&gt;B605)),0)</f>
        <v>0</v>
      </c>
      <c r="W605" s="11" t="n">
        <f aca="false">IF(AND(U605=1,V605&gt;0),1+SUMPRODUCT(($K$4:$K$703=K605)*($F$4:$F$703=F605)*($U$4:$U$703=1)*($S$4:$S$703&gt;S605))+SUMPRODUCT(($K$4:$K$703=K605)*($F$4:$F$703=F605)*($U$4:$U$703=1)*($S$4:$S$703=S605)*($T$4:$T$703&gt;T605))+SUMPRODUCT(($K$4:$K$703=K605)*($F$4:$F$703=F605)*($U$4:$U$703=1)*($S$4:$S$703=S605)*($T$4:$T$703=T605)*($C$4:$C$703&lt;C605))+SUMPRODUCT(($K$4:$K$703=K605)*($F$4:$F$703=F605)*($U$4:$U$703=1)*($S$4:$S$703=S605)*($T$4:$T$703=T605)*($C$4:$C$703=C605)*($D$4:$D$703&lt;D605)),0)</f>
        <v>0</v>
      </c>
      <c r="X605" s="11" t="n">
        <f aca="false">IF(AND(U605=1,V605&gt;0,W605&gt;1),S605,0)</f>
        <v>0</v>
      </c>
      <c r="Y605" s="11" t="n">
        <f aca="false">IF(T605=1,X605/(1+Controls!$B$11)^F605,0)</f>
        <v>0</v>
      </c>
      <c r="Z605" s="11" t="n">
        <f aca="false">IF(AND(N605,E605="capacity",LEN(K605)&gt;0),1,0)</f>
        <v>0</v>
      </c>
      <c r="AA605" s="11" t="n">
        <f aca="false">IF(Z605=1,SUMPRODUCT(($K$4:$K$703=K605)*($F$4:$F$703=F605)*($Z$4:$Z$703=1)*($B$4:$B$703&lt;&gt;B605)),0)</f>
        <v>0</v>
      </c>
      <c r="AB605" s="11" t="n">
        <f aca="false">IF(AND(Z605=1,AA605&gt;0),1+SUMPRODUCT(($K$4:$K$703=K605)*($F$4:$F$703=F605)*($Z$4:$Z$703=1)*($P$4:$P$703&gt;P605))+SUMPRODUCT(($K$4:$K$703=K605)*($F$4:$F$703=F605)*($Z$4:$Z$703=1)*($P$4:$P$703=P605)*($C$4:$C$703&lt;C605))+SUMPRODUCT(($K$4:$K$703=K605)*($F$4:$F$703=F605)*($Z$4:$Z$703=1)*($P$4:$P$703=P605)*($C$4:$C$703=C605)*($D$4:$D$703&lt;D605)),0)</f>
        <v>0</v>
      </c>
      <c r="AC605" s="11" t="n">
        <f aca="false">IF(AND(Z605=1,AA605&gt;0,AB605&gt;1),P605,0)</f>
        <v>0</v>
      </c>
    </row>
    <row r="606" customFormat="false" ht="15" hidden="false" customHeight="false" outlineLevel="0" collapsed="false">
      <c r="A606" s="4" t="s">
        <v>863</v>
      </c>
      <c r="B606" s="4" t="s">
        <v>103</v>
      </c>
      <c r="C606" s="4" t="n">
        <v>21</v>
      </c>
      <c r="D606" s="4" t="n">
        <v>603</v>
      </c>
      <c r="E606" s="4" t="s">
        <v>205</v>
      </c>
      <c r="F606" s="4" t="n">
        <v>24</v>
      </c>
      <c r="G606" s="4" t="n">
        <v>19</v>
      </c>
      <c r="H606" s="4" t="n">
        <v>13100</v>
      </c>
      <c r="I606" s="13" t="b">
        <f aca="false">FALSE()</f>
        <v>0</v>
      </c>
      <c r="K606" s="4" t="s">
        <v>858</v>
      </c>
      <c r="L606" s="4" t="n">
        <v>1807.8</v>
      </c>
      <c r="M606" s="11" t="n">
        <f aca="false">IFERROR(MATCH(Controls!$B$3&amp;"|"&amp;B606,'Scenario inputs'!$A$4:$A$213,0),0)</f>
        <v>152</v>
      </c>
      <c r="N606" s="8" t="b">
        <f aca="false">IF(M606=0,FALSE(),F606&lt;Controls!$B$12)</f>
        <v>1</v>
      </c>
      <c r="O606" s="11" t="n">
        <f aca="false">IF(N606,IF(INDEX('Scenario inputs'!$E$4:$E$213,M606)=0,1,INDEX('Scenario inputs'!$F$4:$M$213,M606,MIN(MAX(F606-G606,0),INDEX('Scenario inputs'!$E$4:$E$213,M606)-1)+1)),0)</f>
        <v>1</v>
      </c>
      <c r="P606" s="11" t="n">
        <f aca="false">H606*O606</f>
        <v>13100</v>
      </c>
      <c r="Q606" s="0" t="str">
        <f aca="false">IF(M606=0,"",IF(ISNUMBER(INDEX('Scenario inputs'!$N$4:$N$213,M606)),INDEX('Scenario inputs'!$N$4:$N$213,M606),""))</f>
        <v/>
      </c>
      <c r="R606" s="0" t="str">
        <f aca="false">IF(NOT(N606),"",IF(OR(E606="cash",E606="revenue"),E606,IF(E606="avoided_cost",IF(AND(I606,LEN(TRIM(J606))&gt;0),"avoided_cost_realised","avoided_cost_beside"),IF(ISNUMBER(Q606),"capacity_converted","capacity_hours"))))</f>
        <v>avoided_cost_beside</v>
      </c>
      <c r="S606" s="11" t="n">
        <f aca="false">IF(OR(R606="",R606="capacity_hours"),0,IF(R606="capacity_converted",P606*Q606,P606))</f>
        <v>13100</v>
      </c>
      <c r="T606" s="11" t="n">
        <f aca="false">IF(OR(R606="cash",R606="revenue",R606="avoided_cost_realised",R606="capacity_converted"),1,0)</f>
        <v>0</v>
      </c>
      <c r="U606" s="11" t="n">
        <f aca="false">IF(AND(N606,R606&lt;&gt;"capacity_hours",LEN(K606)&gt;0),1,0)</f>
        <v>1</v>
      </c>
      <c r="V606" s="11" t="n">
        <f aca="false">IF(U606=1,SUMPRODUCT(($K$4:$K$703=K606)*($F$4:$F$703=F606)*($U$4:$U$703=1)*($B$4:$B$703&lt;&gt;B606)),0)</f>
        <v>0</v>
      </c>
      <c r="W606" s="11" t="n">
        <f aca="false">IF(AND(U606=1,V606&gt;0),1+SUMPRODUCT(($K$4:$K$703=K606)*($F$4:$F$703=F606)*($U$4:$U$703=1)*($S$4:$S$703&gt;S606))+SUMPRODUCT(($K$4:$K$703=K606)*($F$4:$F$703=F606)*($U$4:$U$703=1)*($S$4:$S$703=S606)*($T$4:$T$703&gt;T606))+SUMPRODUCT(($K$4:$K$703=K606)*($F$4:$F$703=F606)*($U$4:$U$703=1)*($S$4:$S$703=S606)*($T$4:$T$703=T606)*($C$4:$C$703&lt;C606))+SUMPRODUCT(($K$4:$K$703=K606)*($F$4:$F$703=F606)*($U$4:$U$703=1)*($S$4:$S$703=S606)*($T$4:$T$703=T606)*($C$4:$C$703=C606)*($D$4:$D$703&lt;D606)),0)</f>
        <v>0</v>
      </c>
      <c r="X606" s="11" t="n">
        <f aca="false">IF(AND(U606=1,V606&gt;0,W606&gt;1),S606,0)</f>
        <v>0</v>
      </c>
      <c r="Y606" s="11" t="n">
        <f aca="false">IF(T606=1,X606/(1+Controls!$B$11)^F606,0)</f>
        <v>0</v>
      </c>
      <c r="Z606" s="11" t="n">
        <f aca="false">IF(AND(N606,E606="capacity",LEN(K606)&gt;0),1,0)</f>
        <v>0</v>
      </c>
      <c r="AA606" s="11" t="n">
        <f aca="false">IF(Z606=1,SUMPRODUCT(($K$4:$K$703=K606)*($F$4:$F$703=F606)*($Z$4:$Z$703=1)*($B$4:$B$703&lt;&gt;B606)),0)</f>
        <v>0</v>
      </c>
      <c r="AB606" s="11" t="n">
        <f aca="false">IF(AND(Z606=1,AA606&gt;0),1+SUMPRODUCT(($K$4:$K$703=K606)*($F$4:$F$703=F606)*($Z$4:$Z$703=1)*($P$4:$P$703&gt;P606))+SUMPRODUCT(($K$4:$K$703=K606)*($F$4:$F$703=F606)*($Z$4:$Z$703=1)*($P$4:$P$703=P606)*($C$4:$C$703&lt;C606))+SUMPRODUCT(($K$4:$K$703=K606)*($F$4:$F$703=F606)*($Z$4:$Z$703=1)*($P$4:$P$703=P606)*($C$4:$C$703=C606)*($D$4:$D$703&lt;D606)),0)</f>
        <v>0</v>
      </c>
      <c r="AC606" s="11" t="n">
        <f aca="false">IF(AND(Z606=1,AA606&gt;0,AB606&gt;1),P606,0)</f>
        <v>0</v>
      </c>
    </row>
    <row r="607" customFormat="false" ht="15" hidden="false" customHeight="false" outlineLevel="0" collapsed="false">
      <c r="A607" s="4" t="s">
        <v>864</v>
      </c>
      <c r="B607" s="4" t="s">
        <v>103</v>
      </c>
      <c r="C607" s="4" t="n">
        <v>21</v>
      </c>
      <c r="D607" s="4" t="n">
        <v>604</v>
      </c>
      <c r="E607" s="4" t="s">
        <v>205</v>
      </c>
      <c r="F607" s="4" t="n">
        <v>25</v>
      </c>
      <c r="G607" s="4" t="n">
        <v>19</v>
      </c>
      <c r="H607" s="4" t="n">
        <v>13100</v>
      </c>
      <c r="I607" s="13" t="b">
        <f aca="false">FALSE()</f>
        <v>0</v>
      </c>
      <c r="K607" s="4" t="s">
        <v>858</v>
      </c>
      <c r="L607" s="4" t="n">
        <v>1807.8</v>
      </c>
      <c r="M607" s="11" t="n">
        <f aca="false">IFERROR(MATCH(Controls!$B$3&amp;"|"&amp;B607,'Scenario inputs'!$A$4:$A$213,0),0)</f>
        <v>152</v>
      </c>
      <c r="N607" s="8" t="b">
        <f aca="false">IF(M607=0,FALSE(),F607&lt;Controls!$B$12)</f>
        <v>1</v>
      </c>
      <c r="O607" s="11" t="n">
        <f aca="false">IF(N607,IF(INDEX('Scenario inputs'!$E$4:$E$213,M607)=0,1,INDEX('Scenario inputs'!$F$4:$M$213,M607,MIN(MAX(F607-G607,0),INDEX('Scenario inputs'!$E$4:$E$213,M607)-1)+1)),0)</f>
        <v>1</v>
      </c>
      <c r="P607" s="11" t="n">
        <f aca="false">H607*O607</f>
        <v>13100</v>
      </c>
      <c r="Q607" s="0" t="str">
        <f aca="false">IF(M607=0,"",IF(ISNUMBER(INDEX('Scenario inputs'!$N$4:$N$213,M607)),INDEX('Scenario inputs'!$N$4:$N$213,M607),""))</f>
        <v/>
      </c>
      <c r="R607" s="0" t="str">
        <f aca="false">IF(NOT(N607),"",IF(OR(E607="cash",E607="revenue"),E607,IF(E607="avoided_cost",IF(AND(I607,LEN(TRIM(J607))&gt;0),"avoided_cost_realised","avoided_cost_beside"),IF(ISNUMBER(Q607),"capacity_converted","capacity_hours"))))</f>
        <v>avoided_cost_beside</v>
      </c>
      <c r="S607" s="11" t="n">
        <f aca="false">IF(OR(R607="",R607="capacity_hours"),0,IF(R607="capacity_converted",P607*Q607,P607))</f>
        <v>13100</v>
      </c>
      <c r="T607" s="11" t="n">
        <f aca="false">IF(OR(R607="cash",R607="revenue",R607="avoided_cost_realised",R607="capacity_converted"),1,0)</f>
        <v>0</v>
      </c>
      <c r="U607" s="11" t="n">
        <f aca="false">IF(AND(N607,R607&lt;&gt;"capacity_hours",LEN(K607)&gt;0),1,0)</f>
        <v>1</v>
      </c>
      <c r="V607" s="11" t="n">
        <f aca="false">IF(U607=1,SUMPRODUCT(($K$4:$K$703=K607)*($F$4:$F$703=F607)*($U$4:$U$703=1)*($B$4:$B$703&lt;&gt;B607)),0)</f>
        <v>0</v>
      </c>
      <c r="W607" s="11" t="n">
        <f aca="false">IF(AND(U607=1,V607&gt;0),1+SUMPRODUCT(($K$4:$K$703=K607)*($F$4:$F$703=F607)*($U$4:$U$703=1)*($S$4:$S$703&gt;S607))+SUMPRODUCT(($K$4:$K$703=K607)*($F$4:$F$703=F607)*($U$4:$U$703=1)*($S$4:$S$703=S607)*($T$4:$T$703&gt;T607))+SUMPRODUCT(($K$4:$K$703=K607)*($F$4:$F$703=F607)*($U$4:$U$703=1)*($S$4:$S$703=S607)*($T$4:$T$703=T607)*($C$4:$C$703&lt;C607))+SUMPRODUCT(($K$4:$K$703=K607)*($F$4:$F$703=F607)*($U$4:$U$703=1)*($S$4:$S$703=S607)*($T$4:$T$703=T607)*($C$4:$C$703=C607)*($D$4:$D$703&lt;D607)),0)</f>
        <v>0</v>
      </c>
      <c r="X607" s="11" t="n">
        <f aca="false">IF(AND(U607=1,V607&gt;0,W607&gt;1),S607,0)</f>
        <v>0</v>
      </c>
      <c r="Y607" s="11" t="n">
        <f aca="false">IF(T607=1,X607/(1+Controls!$B$11)^F607,0)</f>
        <v>0</v>
      </c>
      <c r="Z607" s="11" t="n">
        <f aca="false">IF(AND(N607,E607="capacity",LEN(K607)&gt;0),1,0)</f>
        <v>0</v>
      </c>
      <c r="AA607" s="11" t="n">
        <f aca="false">IF(Z607=1,SUMPRODUCT(($K$4:$K$703=K607)*($F$4:$F$703=F607)*($Z$4:$Z$703=1)*($B$4:$B$703&lt;&gt;B607)),0)</f>
        <v>0</v>
      </c>
      <c r="AB607" s="11" t="n">
        <f aca="false">IF(AND(Z607=1,AA607&gt;0),1+SUMPRODUCT(($K$4:$K$703=K607)*($F$4:$F$703=F607)*($Z$4:$Z$703=1)*($P$4:$P$703&gt;P607))+SUMPRODUCT(($K$4:$K$703=K607)*($F$4:$F$703=F607)*($Z$4:$Z$703=1)*($P$4:$P$703=P607)*($C$4:$C$703&lt;C607))+SUMPRODUCT(($K$4:$K$703=K607)*($F$4:$F$703=F607)*($Z$4:$Z$703=1)*($P$4:$P$703=P607)*($C$4:$C$703=C607)*($D$4:$D$703&lt;D607)),0)</f>
        <v>0</v>
      </c>
      <c r="AC607" s="11" t="n">
        <f aca="false">IF(AND(Z607=1,AA607&gt;0,AB607&gt;1),P607,0)</f>
        <v>0</v>
      </c>
    </row>
    <row r="608" customFormat="false" ht="15" hidden="false" customHeight="false" outlineLevel="0" collapsed="false">
      <c r="A608" s="4" t="s">
        <v>865</v>
      </c>
      <c r="B608" s="4" t="s">
        <v>103</v>
      </c>
      <c r="C608" s="4" t="n">
        <v>21</v>
      </c>
      <c r="D608" s="4" t="n">
        <v>605</v>
      </c>
      <c r="E608" s="4" t="s">
        <v>205</v>
      </c>
      <c r="F608" s="4" t="n">
        <v>26</v>
      </c>
      <c r="G608" s="4" t="n">
        <v>19</v>
      </c>
      <c r="H608" s="4" t="n">
        <v>13100</v>
      </c>
      <c r="I608" s="13" t="b">
        <f aca="false">FALSE()</f>
        <v>0</v>
      </c>
      <c r="K608" s="4" t="s">
        <v>858</v>
      </c>
      <c r="L608" s="4" t="n">
        <v>1807.8</v>
      </c>
      <c r="M608" s="11" t="n">
        <f aca="false">IFERROR(MATCH(Controls!$B$3&amp;"|"&amp;B608,'Scenario inputs'!$A$4:$A$213,0),0)</f>
        <v>152</v>
      </c>
      <c r="N608" s="8" t="b">
        <f aca="false">IF(M608=0,FALSE(),F608&lt;Controls!$B$12)</f>
        <v>1</v>
      </c>
      <c r="O608" s="11" t="n">
        <f aca="false">IF(N608,IF(INDEX('Scenario inputs'!$E$4:$E$213,M608)=0,1,INDEX('Scenario inputs'!$F$4:$M$213,M608,MIN(MAX(F608-G608,0),INDEX('Scenario inputs'!$E$4:$E$213,M608)-1)+1)),0)</f>
        <v>1</v>
      </c>
      <c r="P608" s="11" t="n">
        <f aca="false">H608*O608</f>
        <v>13100</v>
      </c>
      <c r="Q608" s="0" t="str">
        <f aca="false">IF(M608=0,"",IF(ISNUMBER(INDEX('Scenario inputs'!$N$4:$N$213,M608)),INDEX('Scenario inputs'!$N$4:$N$213,M608),""))</f>
        <v/>
      </c>
      <c r="R608" s="0" t="str">
        <f aca="false">IF(NOT(N608),"",IF(OR(E608="cash",E608="revenue"),E608,IF(E608="avoided_cost",IF(AND(I608,LEN(TRIM(J608))&gt;0),"avoided_cost_realised","avoided_cost_beside"),IF(ISNUMBER(Q608),"capacity_converted","capacity_hours"))))</f>
        <v>avoided_cost_beside</v>
      </c>
      <c r="S608" s="11" t="n">
        <f aca="false">IF(OR(R608="",R608="capacity_hours"),0,IF(R608="capacity_converted",P608*Q608,P608))</f>
        <v>13100</v>
      </c>
      <c r="T608" s="11" t="n">
        <f aca="false">IF(OR(R608="cash",R608="revenue",R608="avoided_cost_realised",R608="capacity_converted"),1,0)</f>
        <v>0</v>
      </c>
      <c r="U608" s="11" t="n">
        <f aca="false">IF(AND(N608,R608&lt;&gt;"capacity_hours",LEN(K608)&gt;0),1,0)</f>
        <v>1</v>
      </c>
      <c r="V608" s="11" t="n">
        <f aca="false">IF(U608=1,SUMPRODUCT(($K$4:$K$703=K608)*($F$4:$F$703=F608)*($U$4:$U$703=1)*($B$4:$B$703&lt;&gt;B608)),0)</f>
        <v>0</v>
      </c>
      <c r="W608" s="11" t="n">
        <f aca="false">IF(AND(U608=1,V608&gt;0),1+SUMPRODUCT(($K$4:$K$703=K608)*($F$4:$F$703=F608)*($U$4:$U$703=1)*($S$4:$S$703&gt;S608))+SUMPRODUCT(($K$4:$K$703=K608)*($F$4:$F$703=F608)*($U$4:$U$703=1)*($S$4:$S$703=S608)*($T$4:$T$703&gt;T608))+SUMPRODUCT(($K$4:$K$703=K608)*($F$4:$F$703=F608)*($U$4:$U$703=1)*($S$4:$S$703=S608)*($T$4:$T$703=T608)*($C$4:$C$703&lt;C608))+SUMPRODUCT(($K$4:$K$703=K608)*($F$4:$F$703=F608)*($U$4:$U$703=1)*($S$4:$S$703=S608)*($T$4:$T$703=T608)*($C$4:$C$703=C608)*($D$4:$D$703&lt;D608)),0)</f>
        <v>0</v>
      </c>
      <c r="X608" s="11" t="n">
        <f aca="false">IF(AND(U608=1,V608&gt;0,W608&gt;1),S608,0)</f>
        <v>0</v>
      </c>
      <c r="Y608" s="11" t="n">
        <f aca="false">IF(T608=1,X608/(1+Controls!$B$11)^F608,0)</f>
        <v>0</v>
      </c>
      <c r="Z608" s="11" t="n">
        <f aca="false">IF(AND(N608,E608="capacity",LEN(K608)&gt;0),1,0)</f>
        <v>0</v>
      </c>
      <c r="AA608" s="11" t="n">
        <f aca="false">IF(Z608=1,SUMPRODUCT(($K$4:$K$703=K608)*($F$4:$F$703=F608)*($Z$4:$Z$703=1)*($B$4:$B$703&lt;&gt;B608)),0)</f>
        <v>0</v>
      </c>
      <c r="AB608" s="11" t="n">
        <f aca="false">IF(AND(Z608=1,AA608&gt;0),1+SUMPRODUCT(($K$4:$K$703=K608)*($F$4:$F$703=F608)*($Z$4:$Z$703=1)*($P$4:$P$703&gt;P608))+SUMPRODUCT(($K$4:$K$703=K608)*($F$4:$F$703=F608)*($Z$4:$Z$703=1)*($P$4:$P$703=P608)*($C$4:$C$703&lt;C608))+SUMPRODUCT(($K$4:$K$703=K608)*($F$4:$F$703=F608)*($Z$4:$Z$703=1)*($P$4:$P$703=P608)*($C$4:$C$703=C608)*($D$4:$D$703&lt;D608)),0)</f>
        <v>0</v>
      </c>
      <c r="AC608" s="11" t="n">
        <f aca="false">IF(AND(Z608=1,AA608&gt;0,AB608&gt;1),P608,0)</f>
        <v>0</v>
      </c>
    </row>
    <row r="609" customFormat="false" ht="15" hidden="false" customHeight="false" outlineLevel="0" collapsed="false">
      <c r="A609" s="4" t="s">
        <v>866</v>
      </c>
      <c r="B609" s="4" t="s">
        <v>103</v>
      </c>
      <c r="C609" s="4" t="n">
        <v>21</v>
      </c>
      <c r="D609" s="4" t="n">
        <v>606</v>
      </c>
      <c r="E609" s="4" t="s">
        <v>205</v>
      </c>
      <c r="F609" s="4" t="n">
        <v>27</v>
      </c>
      <c r="G609" s="4" t="n">
        <v>19</v>
      </c>
      <c r="H609" s="4" t="n">
        <v>13100</v>
      </c>
      <c r="I609" s="13" t="b">
        <f aca="false">FALSE()</f>
        <v>0</v>
      </c>
      <c r="K609" s="4" t="s">
        <v>858</v>
      </c>
      <c r="L609" s="4" t="n">
        <v>1807.8</v>
      </c>
      <c r="M609" s="11" t="n">
        <f aca="false">IFERROR(MATCH(Controls!$B$3&amp;"|"&amp;B609,'Scenario inputs'!$A$4:$A$213,0),0)</f>
        <v>152</v>
      </c>
      <c r="N609" s="8" t="b">
        <f aca="false">IF(M609=0,FALSE(),F609&lt;Controls!$B$12)</f>
        <v>1</v>
      </c>
      <c r="O609" s="11" t="n">
        <f aca="false">IF(N609,IF(INDEX('Scenario inputs'!$E$4:$E$213,M609)=0,1,INDEX('Scenario inputs'!$F$4:$M$213,M609,MIN(MAX(F609-G609,0),INDEX('Scenario inputs'!$E$4:$E$213,M609)-1)+1)),0)</f>
        <v>1</v>
      </c>
      <c r="P609" s="11" t="n">
        <f aca="false">H609*O609</f>
        <v>13100</v>
      </c>
      <c r="Q609" s="0" t="str">
        <f aca="false">IF(M609=0,"",IF(ISNUMBER(INDEX('Scenario inputs'!$N$4:$N$213,M609)),INDEX('Scenario inputs'!$N$4:$N$213,M609),""))</f>
        <v/>
      </c>
      <c r="R609" s="0" t="str">
        <f aca="false">IF(NOT(N609),"",IF(OR(E609="cash",E609="revenue"),E609,IF(E609="avoided_cost",IF(AND(I609,LEN(TRIM(J609))&gt;0),"avoided_cost_realised","avoided_cost_beside"),IF(ISNUMBER(Q609),"capacity_converted","capacity_hours"))))</f>
        <v>avoided_cost_beside</v>
      </c>
      <c r="S609" s="11" t="n">
        <f aca="false">IF(OR(R609="",R609="capacity_hours"),0,IF(R609="capacity_converted",P609*Q609,P609))</f>
        <v>13100</v>
      </c>
      <c r="T609" s="11" t="n">
        <f aca="false">IF(OR(R609="cash",R609="revenue",R609="avoided_cost_realised",R609="capacity_converted"),1,0)</f>
        <v>0</v>
      </c>
      <c r="U609" s="11" t="n">
        <f aca="false">IF(AND(N609,R609&lt;&gt;"capacity_hours",LEN(K609)&gt;0),1,0)</f>
        <v>1</v>
      </c>
      <c r="V609" s="11" t="n">
        <f aca="false">IF(U609=1,SUMPRODUCT(($K$4:$K$703=K609)*($F$4:$F$703=F609)*($U$4:$U$703=1)*($B$4:$B$703&lt;&gt;B609)),0)</f>
        <v>0</v>
      </c>
      <c r="W609" s="11" t="n">
        <f aca="false">IF(AND(U609=1,V609&gt;0),1+SUMPRODUCT(($K$4:$K$703=K609)*($F$4:$F$703=F609)*($U$4:$U$703=1)*($S$4:$S$703&gt;S609))+SUMPRODUCT(($K$4:$K$703=K609)*($F$4:$F$703=F609)*($U$4:$U$703=1)*($S$4:$S$703=S609)*($T$4:$T$703&gt;T609))+SUMPRODUCT(($K$4:$K$703=K609)*($F$4:$F$703=F609)*($U$4:$U$703=1)*($S$4:$S$703=S609)*($T$4:$T$703=T609)*($C$4:$C$703&lt;C609))+SUMPRODUCT(($K$4:$K$703=K609)*($F$4:$F$703=F609)*($U$4:$U$703=1)*($S$4:$S$703=S609)*($T$4:$T$703=T609)*($C$4:$C$703=C609)*($D$4:$D$703&lt;D609)),0)</f>
        <v>0</v>
      </c>
      <c r="X609" s="11" t="n">
        <f aca="false">IF(AND(U609=1,V609&gt;0,W609&gt;1),S609,0)</f>
        <v>0</v>
      </c>
      <c r="Y609" s="11" t="n">
        <f aca="false">IF(T609=1,X609/(1+Controls!$B$11)^F609,0)</f>
        <v>0</v>
      </c>
      <c r="Z609" s="11" t="n">
        <f aca="false">IF(AND(N609,E609="capacity",LEN(K609)&gt;0),1,0)</f>
        <v>0</v>
      </c>
      <c r="AA609" s="11" t="n">
        <f aca="false">IF(Z609=1,SUMPRODUCT(($K$4:$K$703=K609)*($F$4:$F$703=F609)*($Z$4:$Z$703=1)*($B$4:$B$703&lt;&gt;B609)),0)</f>
        <v>0</v>
      </c>
      <c r="AB609" s="11" t="n">
        <f aca="false">IF(AND(Z609=1,AA609&gt;0),1+SUMPRODUCT(($K$4:$K$703=K609)*($F$4:$F$703=F609)*($Z$4:$Z$703=1)*($P$4:$P$703&gt;P609))+SUMPRODUCT(($K$4:$K$703=K609)*($F$4:$F$703=F609)*($Z$4:$Z$703=1)*($P$4:$P$703=P609)*($C$4:$C$703&lt;C609))+SUMPRODUCT(($K$4:$K$703=K609)*($F$4:$F$703=F609)*($Z$4:$Z$703=1)*($P$4:$P$703=P609)*($C$4:$C$703=C609)*($D$4:$D$703&lt;D609)),0)</f>
        <v>0</v>
      </c>
      <c r="AC609" s="11" t="n">
        <f aca="false">IF(AND(Z609=1,AA609&gt;0,AB609&gt;1),P609,0)</f>
        <v>0</v>
      </c>
    </row>
    <row r="610" customFormat="false" ht="15" hidden="false" customHeight="false" outlineLevel="0" collapsed="false">
      <c r="A610" s="4" t="s">
        <v>867</v>
      </c>
      <c r="B610" s="4" t="s">
        <v>103</v>
      </c>
      <c r="C610" s="4" t="n">
        <v>21</v>
      </c>
      <c r="D610" s="4" t="n">
        <v>607</v>
      </c>
      <c r="E610" s="4" t="s">
        <v>205</v>
      </c>
      <c r="F610" s="4" t="n">
        <v>28</v>
      </c>
      <c r="G610" s="4" t="n">
        <v>19</v>
      </c>
      <c r="H610" s="4" t="n">
        <v>13100</v>
      </c>
      <c r="I610" s="13" t="b">
        <f aca="false">FALSE()</f>
        <v>0</v>
      </c>
      <c r="K610" s="4" t="s">
        <v>858</v>
      </c>
      <c r="L610" s="4" t="n">
        <v>1807.8</v>
      </c>
      <c r="M610" s="11" t="n">
        <f aca="false">IFERROR(MATCH(Controls!$B$3&amp;"|"&amp;B610,'Scenario inputs'!$A$4:$A$213,0),0)</f>
        <v>152</v>
      </c>
      <c r="N610" s="8" t="b">
        <f aca="false">IF(M610=0,FALSE(),F610&lt;Controls!$B$12)</f>
        <v>1</v>
      </c>
      <c r="O610" s="11" t="n">
        <f aca="false">IF(N610,IF(INDEX('Scenario inputs'!$E$4:$E$213,M610)=0,1,INDEX('Scenario inputs'!$F$4:$M$213,M610,MIN(MAX(F610-G610,0),INDEX('Scenario inputs'!$E$4:$E$213,M610)-1)+1)),0)</f>
        <v>1</v>
      </c>
      <c r="P610" s="11" t="n">
        <f aca="false">H610*O610</f>
        <v>13100</v>
      </c>
      <c r="Q610" s="0" t="str">
        <f aca="false">IF(M610=0,"",IF(ISNUMBER(INDEX('Scenario inputs'!$N$4:$N$213,M610)),INDEX('Scenario inputs'!$N$4:$N$213,M610),""))</f>
        <v/>
      </c>
      <c r="R610" s="0" t="str">
        <f aca="false">IF(NOT(N610),"",IF(OR(E610="cash",E610="revenue"),E610,IF(E610="avoided_cost",IF(AND(I610,LEN(TRIM(J610))&gt;0),"avoided_cost_realised","avoided_cost_beside"),IF(ISNUMBER(Q610),"capacity_converted","capacity_hours"))))</f>
        <v>avoided_cost_beside</v>
      </c>
      <c r="S610" s="11" t="n">
        <f aca="false">IF(OR(R610="",R610="capacity_hours"),0,IF(R610="capacity_converted",P610*Q610,P610))</f>
        <v>13100</v>
      </c>
      <c r="T610" s="11" t="n">
        <f aca="false">IF(OR(R610="cash",R610="revenue",R610="avoided_cost_realised",R610="capacity_converted"),1,0)</f>
        <v>0</v>
      </c>
      <c r="U610" s="11" t="n">
        <f aca="false">IF(AND(N610,R610&lt;&gt;"capacity_hours",LEN(K610)&gt;0),1,0)</f>
        <v>1</v>
      </c>
      <c r="V610" s="11" t="n">
        <f aca="false">IF(U610=1,SUMPRODUCT(($K$4:$K$703=K610)*($F$4:$F$703=F610)*($U$4:$U$703=1)*($B$4:$B$703&lt;&gt;B610)),0)</f>
        <v>0</v>
      </c>
      <c r="W610" s="11" t="n">
        <f aca="false">IF(AND(U610=1,V610&gt;0),1+SUMPRODUCT(($K$4:$K$703=K610)*($F$4:$F$703=F610)*($U$4:$U$703=1)*($S$4:$S$703&gt;S610))+SUMPRODUCT(($K$4:$K$703=K610)*($F$4:$F$703=F610)*($U$4:$U$703=1)*($S$4:$S$703=S610)*($T$4:$T$703&gt;T610))+SUMPRODUCT(($K$4:$K$703=K610)*($F$4:$F$703=F610)*($U$4:$U$703=1)*($S$4:$S$703=S610)*($T$4:$T$703=T610)*($C$4:$C$703&lt;C610))+SUMPRODUCT(($K$4:$K$703=K610)*($F$4:$F$703=F610)*($U$4:$U$703=1)*($S$4:$S$703=S610)*($T$4:$T$703=T610)*($C$4:$C$703=C610)*($D$4:$D$703&lt;D610)),0)</f>
        <v>0</v>
      </c>
      <c r="X610" s="11" t="n">
        <f aca="false">IF(AND(U610=1,V610&gt;0,W610&gt;1),S610,0)</f>
        <v>0</v>
      </c>
      <c r="Y610" s="11" t="n">
        <f aca="false">IF(T610=1,X610/(1+Controls!$B$11)^F610,0)</f>
        <v>0</v>
      </c>
      <c r="Z610" s="11" t="n">
        <f aca="false">IF(AND(N610,E610="capacity",LEN(K610)&gt;0),1,0)</f>
        <v>0</v>
      </c>
      <c r="AA610" s="11" t="n">
        <f aca="false">IF(Z610=1,SUMPRODUCT(($K$4:$K$703=K610)*($F$4:$F$703=F610)*($Z$4:$Z$703=1)*($B$4:$B$703&lt;&gt;B610)),0)</f>
        <v>0</v>
      </c>
      <c r="AB610" s="11" t="n">
        <f aca="false">IF(AND(Z610=1,AA610&gt;0),1+SUMPRODUCT(($K$4:$K$703=K610)*($F$4:$F$703=F610)*($Z$4:$Z$703=1)*($P$4:$P$703&gt;P610))+SUMPRODUCT(($K$4:$K$703=K610)*($F$4:$F$703=F610)*($Z$4:$Z$703=1)*($P$4:$P$703=P610)*($C$4:$C$703&lt;C610))+SUMPRODUCT(($K$4:$K$703=K610)*($F$4:$F$703=F610)*($Z$4:$Z$703=1)*($P$4:$P$703=P610)*($C$4:$C$703=C610)*($D$4:$D$703&lt;D610)),0)</f>
        <v>0</v>
      </c>
      <c r="AC610" s="11" t="n">
        <f aca="false">IF(AND(Z610=1,AA610&gt;0,AB610&gt;1),P610,0)</f>
        <v>0</v>
      </c>
    </row>
    <row r="611" customFormat="false" ht="15" hidden="false" customHeight="false" outlineLevel="0" collapsed="false">
      <c r="A611" s="4" t="s">
        <v>868</v>
      </c>
      <c r="B611" s="4" t="s">
        <v>103</v>
      </c>
      <c r="C611" s="4" t="n">
        <v>21</v>
      </c>
      <c r="D611" s="4" t="n">
        <v>608</v>
      </c>
      <c r="E611" s="4" t="s">
        <v>205</v>
      </c>
      <c r="F611" s="4" t="n">
        <v>29</v>
      </c>
      <c r="G611" s="4" t="n">
        <v>19</v>
      </c>
      <c r="H611" s="4" t="n">
        <v>13100</v>
      </c>
      <c r="I611" s="13" t="b">
        <f aca="false">FALSE()</f>
        <v>0</v>
      </c>
      <c r="K611" s="4" t="s">
        <v>858</v>
      </c>
      <c r="L611" s="4" t="n">
        <v>1807.8</v>
      </c>
      <c r="M611" s="11" t="n">
        <f aca="false">IFERROR(MATCH(Controls!$B$3&amp;"|"&amp;B611,'Scenario inputs'!$A$4:$A$213,0),0)</f>
        <v>152</v>
      </c>
      <c r="N611" s="8" t="b">
        <f aca="false">IF(M611=0,FALSE(),F611&lt;Controls!$B$12)</f>
        <v>1</v>
      </c>
      <c r="O611" s="11" t="n">
        <f aca="false">IF(N611,IF(INDEX('Scenario inputs'!$E$4:$E$213,M611)=0,1,INDEX('Scenario inputs'!$F$4:$M$213,M611,MIN(MAX(F611-G611,0),INDEX('Scenario inputs'!$E$4:$E$213,M611)-1)+1)),0)</f>
        <v>1</v>
      </c>
      <c r="P611" s="11" t="n">
        <f aca="false">H611*O611</f>
        <v>13100</v>
      </c>
      <c r="Q611" s="0" t="str">
        <f aca="false">IF(M611=0,"",IF(ISNUMBER(INDEX('Scenario inputs'!$N$4:$N$213,M611)),INDEX('Scenario inputs'!$N$4:$N$213,M611),""))</f>
        <v/>
      </c>
      <c r="R611" s="0" t="str">
        <f aca="false">IF(NOT(N611),"",IF(OR(E611="cash",E611="revenue"),E611,IF(E611="avoided_cost",IF(AND(I611,LEN(TRIM(J611))&gt;0),"avoided_cost_realised","avoided_cost_beside"),IF(ISNUMBER(Q611),"capacity_converted","capacity_hours"))))</f>
        <v>avoided_cost_beside</v>
      </c>
      <c r="S611" s="11" t="n">
        <f aca="false">IF(OR(R611="",R611="capacity_hours"),0,IF(R611="capacity_converted",P611*Q611,P611))</f>
        <v>13100</v>
      </c>
      <c r="T611" s="11" t="n">
        <f aca="false">IF(OR(R611="cash",R611="revenue",R611="avoided_cost_realised",R611="capacity_converted"),1,0)</f>
        <v>0</v>
      </c>
      <c r="U611" s="11" t="n">
        <f aca="false">IF(AND(N611,R611&lt;&gt;"capacity_hours",LEN(K611)&gt;0),1,0)</f>
        <v>1</v>
      </c>
      <c r="V611" s="11" t="n">
        <f aca="false">IF(U611=1,SUMPRODUCT(($K$4:$K$703=K611)*($F$4:$F$703=F611)*($U$4:$U$703=1)*($B$4:$B$703&lt;&gt;B611)),0)</f>
        <v>0</v>
      </c>
      <c r="W611" s="11" t="n">
        <f aca="false">IF(AND(U611=1,V611&gt;0),1+SUMPRODUCT(($K$4:$K$703=K611)*($F$4:$F$703=F611)*($U$4:$U$703=1)*($S$4:$S$703&gt;S611))+SUMPRODUCT(($K$4:$K$703=K611)*($F$4:$F$703=F611)*($U$4:$U$703=1)*($S$4:$S$703=S611)*($T$4:$T$703&gt;T611))+SUMPRODUCT(($K$4:$K$703=K611)*($F$4:$F$703=F611)*($U$4:$U$703=1)*($S$4:$S$703=S611)*($T$4:$T$703=T611)*($C$4:$C$703&lt;C611))+SUMPRODUCT(($K$4:$K$703=K611)*($F$4:$F$703=F611)*($U$4:$U$703=1)*($S$4:$S$703=S611)*($T$4:$T$703=T611)*($C$4:$C$703=C611)*($D$4:$D$703&lt;D611)),0)</f>
        <v>0</v>
      </c>
      <c r="X611" s="11" t="n">
        <f aca="false">IF(AND(U611=1,V611&gt;0,W611&gt;1),S611,0)</f>
        <v>0</v>
      </c>
      <c r="Y611" s="11" t="n">
        <f aca="false">IF(T611=1,X611/(1+Controls!$B$11)^F611,0)</f>
        <v>0</v>
      </c>
      <c r="Z611" s="11" t="n">
        <f aca="false">IF(AND(N611,E611="capacity",LEN(K611)&gt;0),1,0)</f>
        <v>0</v>
      </c>
      <c r="AA611" s="11" t="n">
        <f aca="false">IF(Z611=1,SUMPRODUCT(($K$4:$K$703=K611)*($F$4:$F$703=F611)*($Z$4:$Z$703=1)*($B$4:$B$703&lt;&gt;B611)),0)</f>
        <v>0</v>
      </c>
      <c r="AB611" s="11" t="n">
        <f aca="false">IF(AND(Z611=1,AA611&gt;0),1+SUMPRODUCT(($K$4:$K$703=K611)*($F$4:$F$703=F611)*($Z$4:$Z$703=1)*($P$4:$P$703&gt;P611))+SUMPRODUCT(($K$4:$K$703=K611)*($F$4:$F$703=F611)*($Z$4:$Z$703=1)*($P$4:$P$703=P611)*($C$4:$C$703&lt;C611))+SUMPRODUCT(($K$4:$K$703=K611)*($F$4:$F$703=F611)*($Z$4:$Z$703=1)*($P$4:$P$703=P611)*($C$4:$C$703=C611)*($D$4:$D$703&lt;D611)),0)</f>
        <v>0</v>
      </c>
      <c r="AC611" s="11" t="n">
        <f aca="false">IF(AND(Z611=1,AA611&gt;0,AB611&gt;1),P611,0)</f>
        <v>0</v>
      </c>
    </row>
    <row r="612" customFormat="false" ht="15" hidden="false" customHeight="false" outlineLevel="0" collapsed="false">
      <c r="A612" s="4" t="s">
        <v>869</v>
      </c>
      <c r="B612" s="4" t="s">
        <v>103</v>
      </c>
      <c r="C612" s="4" t="n">
        <v>21</v>
      </c>
      <c r="D612" s="4" t="n">
        <v>609</v>
      </c>
      <c r="E612" s="4" t="s">
        <v>233</v>
      </c>
      <c r="F612" s="4" t="n">
        <v>20</v>
      </c>
      <c r="G612" s="4" t="n">
        <v>20</v>
      </c>
      <c r="H612" s="4" t="n">
        <v>654</v>
      </c>
      <c r="I612" s="13" t="b">
        <f aca="false">FALSE()</f>
        <v>0</v>
      </c>
      <c r="K612" s="4" t="s">
        <v>870</v>
      </c>
      <c r="L612" s="4" t="n">
        <v>6.8</v>
      </c>
      <c r="M612" s="11" t="n">
        <f aca="false">IFERROR(MATCH(Controls!$B$3&amp;"|"&amp;B612,'Scenario inputs'!$A$4:$A$213,0),0)</f>
        <v>152</v>
      </c>
      <c r="N612" s="8" t="b">
        <f aca="false">IF(M612=0,FALSE(),F612&lt;Controls!$B$12)</f>
        <v>1</v>
      </c>
      <c r="O612" s="11" t="n">
        <f aca="false">IF(N612,IF(INDEX('Scenario inputs'!$E$4:$E$213,M612)=0,1,INDEX('Scenario inputs'!$F$4:$M$213,M612,MIN(MAX(F612-G612,0),INDEX('Scenario inputs'!$E$4:$E$213,M612)-1)+1)),0)</f>
        <v>0.1</v>
      </c>
      <c r="P612" s="11" t="n">
        <f aca="false">H612*O612</f>
        <v>65.4</v>
      </c>
      <c r="Q612" s="0" t="str">
        <f aca="false">IF(M612=0,"",IF(ISNUMBER(INDEX('Scenario inputs'!$N$4:$N$213,M612)),INDEX('Scenario inputs'!$N$4:$N$213,M612),""))</f>
        <v/>
      </c>
      <c r="R612" s="0" t="str">
        <f aca="false">IF(NOT(N612),"",IF(OR(E612="cash",E612="revenue"),E612,IF(E612="avoided_cost",IF(AND(I612,LEN(TRIM(J612))&gt;0),"avoided_cost_realised","avoided_cost_beside"),IF(ISNUMBER(Q612),"capacity_converted","capacity_hours"))))</f>
        <v>capacity_hours</v>
      </c>
      <c r="S612" s="11" t="n">
        <f aca="false">IF(OR(R612="",R612="capacity_hours"),0,IF(R612="capacity_converted",P612*Q612,P612))</f>
        <v>0</v>
      </c>
      <c r="T612" s="11" t="n">
        <f aca="false">IF(OR(R612="cash",R612="revenue",R612="avoided_cost_realised",R612="capacity_converted"),1,0)</f>
        <v>0</v>
      </c>
      <c r="U612" s="11" t="n">
        <f aca="false">IF(AND(N612,R612&lt;&gt;"capacity_hours",LEN(K612)&gt;0),1,0)</f>
        <v>0</v>
      </c>
      <c r="V612" s="11" t="n">
        <f aca="false">IF(U612=1,SUMPRODUCT(($K$4:$K$703=K612)*($F$4:$F$703=F612)*($U$4:$U$703=1)*($B$4:$B$703&lt;&gt;B612)),0)</f>
        <v>0</v>
      </c>
      <c r="W612" s="11" t="n">
        <f aca="false">IF(AND(U612=1,V612&gt;0),1+SUMPRODUCT(($K$4:$K$703=K612)*($F$4:$F$703=F612)*($U$4:$U$703=1)*($S$4:$S$703&gt;S612))+SUMPRODUCT(($K$4:$K$703=K612)*($F$4:$F$703=F612)*($U$4:$U$703=1)*($S$4:$S$703=S612)*($T$4:$T$703&gt;T612))+SUMPRODUCT(($K$4:$K$703=K612)*($F$4:$F$703=F612)*($U$4:$U$703=1)*($S$4:$S$703=S612)*($T$4:$T$703=T612)*($C$4:$C$703&lt;C612))+SUMPRODUCT(($K$4:$K$703=K612)*($F$4:$F$703=F612)*($U$4:$U$703=1)*($S$4:$S$703=S612)*($T$4:$T$703=T612)*($C$4:$C$703=C612)*($D$4:$D$703&lt;D612)),0)</f>
        <v>0</v>
      </c>
      <c r="X612" s="11" t="n">
        <f aca="false">IF(AND(U612=1,V612&gt;0,W612&gt;1),S612,0)</f>
        <v>0</v>
      </c>
      <c r="Y612" s="11" t="n">
        <f aca="false">IF(T612=1,X612/(1+Controls!$B$11)^F612,0)</f>
        <v>0</v>
      </c>
      <c r="Z612" s="11" t="n">
        <f aca="false">IF(AND(N612,E612="capacity",LEN(K612)&gt;0),1,0)</f>
        <v>1</v>
      </c>
      <c r="AA612" s="11" t="n">
        <f aca="false">IF(Z612=1,SUMPRODUCT(($K$4:$K$703=K612)*($F$4:$F$703=F612)*($Z$4:$Z$703=1)*($B$4:$B$703&lt;&gt;B612)),0)</f>
        <v>0</v>
      </c>
      <c r="AB612" s="11" t="n">
        <f aca="false">IF(AND(Z612=1,AA612&gt;0),1+SUMPRODUCT(($K$4:$K$703=K612)*($F$4:$F$703=F612)*($Z$4:$Z$703=1)*($P$4:$P$703&gt;P612))+SUMPRODUCT(($K$4:$K$703=K612)*($F$4:$F$703=F612)*($Z$4:$Z$703=1)*($P$4:$P$703=P612)*($C$4:$C$703&lt;C612))+SUMPRODUCT(($K$4:$K$703=K612)*($F$4:$F$703=F612)*($Z$4:$Z$703=1)*($P$4:$P$703=P612)*($C$4:$C$703=C612)*($D$4:$D$703&lt;D612)),0)</f>
        <v>0</v>
      </c>
      <c r="AC612" s="11" t="n">
        <f aca="false">IF(AND(Z612=1,AA612&gt;0,AB612&gt;1),P612,0)</f>
        <v>0</v>
      </c>
    </row>
    <row r="613" customFormat="false" ht="15" hidden="false" customHeight="false" outlineLevel="0" collapsed="false">
      <c r="A613" s="4" t="s">
        <v>871</v>
      </c>
      <c r="B613" s="4" t="s">
        <v>103</v>
      </c>
      <c r="C613" s="4" t="n">
        <v>21</v>
      </c>
      <c r="D613" s="4" t="n">
        <v>610</v>
      </c>
      <c r="E613" s="4" t="s">
        <v>233</v>
      </c>
      <c r="F613" s="4" t="n">
        <v>21</v>
      </c>
      <c r="G613" s="4" t="n">
        <v>20</v>
      </c>
      <c r="H613" s="4" t="n">
        <v>654</v>
      </c>
      <c r="I613" s="13" t="b">
        <f aca="false">FALSE()</f>
        <v>0</v>
      </c>
      <c r="K613" s="4" t="s">
        <v>870</v>
      </c>
      <c r="L613" s="4" t="n">
        <v>20.4</v>
      </c>
      <c r="M613" s="11" t="n">
        <f aca="false">IFERROR(MATCH(Controls!$B$3&amp;"|"&amp;B613,'Scenario inputs'!$A$4:$A$213,0),0)</f>
        <v>152</v>
      </c>
      <c r="N613" s="8" t="b">
        <f aca="false">IF(M613=0,FALSE(),F613&lt;Controls!$B$12)</f>
        <v>1</v>
      </c>
      <c r="O613" s="11" t="n">
        <f aca="false">IF(N613,IF(INDEX('Scenario inputs'!$E$4:$E$213,M613)=0,1,INDEX('Scenario inputs'!$F$4:$M$213,M613,MIN(MAX(F613-G613,0),INDEX('Scenario inputs'!$E$4:$E$213,M613)-1)+1)),0)</f>
        <v>0.3</v>
      </c>
      <c r="P613" s="11" t="n">
        <f aca="false">H613*O613</f>
        <v>196.2</v>
      </c>
      <c r="Q613" s="0" t="str">
        <f aca="false">IF(M613=0,"",IF(ISNUMBER(INDEX('Scenario inputs'!$N$4:$N$213,M613)),INDEX('Scenario inputs'!$N$4:$N$213,M613),""))</f>
        <v/>
      </c>
      <c r="R613" s="0" t="str">
        <f aca="false">IF(NOT(N613),"",IF(OR(E613="cash",E613="revenue"),E613,IF(E613="avoided_cost",IF(AND(I613,LEN(TRIM(J613))&gt;0),"avoided_cost_realised","avoided_cost_beside"),IF(ISNUMBER(Q613),"capacity_converted","capacity_hours"))))</f>
        <v>capacity_hours</v>
      </c>
      <c r="S613" s="11" t="n">
        <f aca="false">IF(OR(R613="",R613="capacity_hours"),0,IF(R613="capacity_converted",P613*Q613,P613))</f>
        <v>0</v>
      </c>
      <c r="T613" s="11" t="n">
        <f aca="false">IF(OR(R613="cash",R613="revenue",R613="avoided_cost_realised",R613="capacity_converted"),1,0)</f>
        <v>0</v>
      </c>
      <c r="U613" s="11" t="n">
        <f aca="false">IF(AND(N613,R613&lt;&gt;"capacity_hours",LEN(K613)&gt;0),1,0)</f>
        <v>0</v>
      </c>
      <c r="V613" s="11" t="n">
        <f aca="false">IF(U613=1,SUMPRODUCT(($K$4:$K$703=K613)*($F$4:$F$703=F613)*($U$4:$U$703=1)*($B$4:$B$703&lt;&gt;B613)),0)</f>
        <v>0</v>
      </c>
      <c r="W613" s="11" t="n">
        <f aca="false">IF(AND(U613=1,V613&gt;0),1+SUMPRODUCT(($K$4:$K$703=K613)*($F$4:$F$703=F613)*($U$4:$U$703=1)*($S$4:$S$703&gt;S613))+SUMPRODUCT(($K$4:$K$703=K613)*($F$4:$F$703=F613)*($U$4:$U$703=1)*($S$4:$S$703=S613)*($T$4:$T$703&gt;T613))+SUMPRODUCT(($K$4:$K$703=K613)*($F$4:$F$703=F613)*($U$4:$U$703=1)*($S$4:$S$703=S613)*($T$4:$T$703=T613)*($C$4:$C$703&lt;C613))+SUMPRODUCT(($K$4:$K$703=K613)*($F$4:$F$703=F613)*($U$4:$U$703=1)*($S$4:$S$703=S613)*($T$4:$T$703=T613)*($C$4:$C$703=C613)*($D$4:$D$703&lt;D613)),0)</f>
        <v>0</v>
      </c>
      <c r="X613" s="11" t="n">
        <f aca="false">IF(AND(U613=1,V613&gt;0,W613&gt;1),S613,0)</f>
        <v>0</v>
      </c>
      <c r="Y613" s="11" t="n">
        <f aca="false">IF(T613=1,X613/(1+Controls!$B$11)^F613,0)</f>
        <v>0</v>
      </c>
      <c r="Z613" s="11" t="n">
        <f aca="false">IF(AND(N613,E613="capacity",LEN(K613)&gt;0),1,0)</f>
        <v>1</v>
      </c>
      <c r="AA613" s="11" t="n">
        <f aca="false">IF(Z613=1,SUMPRODUCT(($K$4:$K$703=K613)*($F$4:$F$703=F613)*($Z$4:$Z$703=1)*($B$4:$B$703&lt;&gt;B613)),0)</f>
        <v>0</v>
      </c>
      <c r="AB613" s="11" t="n">
        <f aca="false">IF(AND(Z613=1,AA613&gt;0),1+SUMPRODUCT(($K$4:$K$703=K613)*($F$4:$F$703=F613)*($Z$4:$Z$703=1)*($P$4:$P$703&gt;P613))+SUMPRODUCT(($K$4:$K$703=K613)*($F$4:$F$703=F613)*($Z$4:$Z$703=1)*($P$4:$P$703=P613)*($C$4:$C$703&lt;C613))+SUMPRODUCT(($K$4:$K$703=K613)*($F$4:$F$703=F613)*($Z$4:$Z$703=1)*($P$4:$P$703=P613)*($C$4:$C$703=C613)*($D$4:$D$703&lt;D613)),0)</f>
        <v>0</v>
      </c>
      <c r="AC613" s="11" t="n">
        <f aca="false">IF(AND(Z613=1,AA613&gt;0,AB613&gt;1),P613,0)</f>
        <v>0</v>
      </c>
    </row>
    <row r="614" customFormat="false" ht="15" hidden="false" customHeight="false" outlineLevel="0" collapsed="false">
      <c r="A614" s="4" t="s">
        <v>872</v>
      </c>
      <c r="B614" s="4" t="s">
        <v>103</v>
      </c>
      <c r="C614" s="4" t="n">
        <v>21</v>
      </c>
      <c r="D614" s="4" t="n">
        <v>611</v>
      </c>
      <c r="E614" s="4" t="s">
        <v>233</v>
      </c>
      <c r="F614" s="4" t="n">
        <v>22</v>
      </c>
      <c r="G614" s="4" t="n">
        <v>20</v>
      </c>
      <c r="H614" s="4" t="n">
        <v>654</v>
      </c>
      <c r="I614" s="13" t="b">
        <f aca="false">FALSE()</f>
        <v>0</v>
      </c>
      <c r="K614" s="4" t="s">
        <v>870</v>
      </c>
      <c r="L614" s="4" t="n">
        <v>40.81</v>
      </c>
      <c r="M614" s="11" t="n">
        <f aca="false">IFERROR(MATCH(Controls!$B$3&amp;"|"&amp;B614,'Scenario inputs'!$A$4:$A$213,0),0)</f>
        <v>152</v>
      </c>
      <c r="N614" s="8" t="b">
        <f aca="false">IF(M614=0,FALSE(),F614&lt;Controls!$B$12)</f>
        <v>1</v>
      </c>
      <c r="O614" s="11" t="n">
        <f aca="false">IF(N614,IF(INDEX('Scenario inputs'!$E$4:$E$213,M614)=0,1,INDEX('Scenario inputs'!$F$4:$M$213,M614,MIN(MAX(F614-G614,0),INDEX('Scenario inputs'!$E$4:$E$213,M614)-1)+1)),0)</f>
        <v>0.6</v>
      </c>
      <c r="P614" s="11" t="n">
        <f aca="false">H614*O614</f>
        <v>392.4</v>
      </c>
      <c r="Q614" s="0" t="str">
        <f aca="false">IF(M614=0,"",IF(ISNUMBER(INDEX('Scenario inputs'!$N$4:$N$213,M614)),INDEX('Scenario inputs'!$N$4:$N$213,M614),""))</f>
        <v/>
      </c>
      <c r="R614" s="0" t="str">
        <f aca="false">IF(NOT(N614),"",IF(OR(E614="cash",E614="revenue"),E614,IF(E614="avoided_cost",IF(AND(I614,LEN(TRIM(J614))&gt;0),"avoided_cost_realised","avoided_cost_beside"),IF(ISNUMBER(Q614),"capacity_converted","capacity_hours"))))</f>
        <v>capacity_hours</v>
      </c>
      <c r="S614" s="11" t="n">
        <f aca="false">IF(OR(R614="",R614="capacity_hours"),0,IF(R614="capacity_converted",P614*Q614,P614))</f>
        <v>0</v>
      </c>
      <c r="T614" s="11" t="n">
        <f aca="false">IF(OR(R614="cash",R614="revenue",R614="avoided_cost_realised",R614="capacity_converted"),1,0)</f>
        <v>0</v>
      </c>
      <c r="U614" s="11" t="n">
        <f aca="false">IF(AND(N614,R614&lt;&gt;"capacity_hours",LEN(K614)&gt;0),1,0)</f>
        <v>0</v>
      </c>
      <c r="V614" s="11" t="n">
        <f aca="false">IF(U614=1,SUMPRODUCT(($K$4:$K$703=K614)*($F$4:$F$703=F614)*($U$4:$U$703=1)*($B$4:$B$703&lt;&gt;B614)),0)</f>
        <v>0</v>
      </c>
      <c r="W614" s="11" t="n">
        <f aca="false">IF(AND(U614=1,V614&gt;0),1+SUMPRODUCT(($K$4:$K$703=K614)*($F$4:$F$703=F614)*($U$4:$U$703=1)*($S$4:$S$703&gt;S614))+SUMPRODUCT(($K$4:$K$703=K614)*($F$4:$F$703=F614)*($U$4:$U$703=1)*($S$4:$S$703=S614)*($T$4:$T$703&gt;T614))+SUMPRODUCT(($K$4:$K$703=K614)*($F$4:$F$703=F614)*($U$4:$U$703=1)*($S$4:$S$703=S614)*($T$4:$T$703=T614)*($C$4:$C$703&lt;C614))+SUMPRODUCT(($K$4:$K$703=K614)*($F$4:$F$703=F614)*($U$4:$U$703=1)*($S$4:$S$703=S614)*($T$4:$T$703=T614)*($C$4:$C$703=C614)*($D$4:$D$703&lt;D614)),0)</f>
        <v>0</v>
      </c>
      <c r="X614" s="11" t="n">
        <f aca="false">IF(AND(U614=1,V614&gt;0,W614&gt;1),S614,0)</f>
        <v>0</v>
      </c>
      <c r="Y614" s="11" t="n">
        <f aca="false">IF(T614=1,X614/(1+Controls!$B$11)^F614,0)</f>
        <v>0</v>
      </c>
      <c r="Z614" s="11" t="n">
        <f aca="false">IF(AND(N614,E614="capacity",LEN(K614)&gt;0),1,0)</f>
        <v>1</v>
      </c>
      <c r="AA614" s="11" t="n">
        <f aca="false">IF(Z614=1,SUMPRODUCT(($K$4:$K$703=K614)*($F$4:$F$703=F614)*($Z$4:$Z$703=1)*($B$4:$B$703&lt;&gt;B614)),0)</f>
        <v>0</v>
      </c>
      <c r="AB614" s="11" t="n">
        <f aca="false">IF(AND(Z614=1,AA614&gt;0),1+SUMPRODUCT(($K$4:$K$703=K614)*($F$4:$F$703=F614)*($Z$4:$Z$703=1)*($P$4:$P$703&gt;P614))+SUMPRODUCT(($K$4:$K$703=K614)*($F$4:$F$703=F614)*($Z$4:$Z$703=1)*($P$4:$P$703=P614)*($C$4:$C$703&lt;C614))+SUMPRODUCT(($K$4:$K$703=K614)*($F$4:$F$703=F614)*($Z$4:$Z$703=1)*($P$4:$P$703=P614)*($C$4:$C$703=C614)*($D$4:$D$703&lt;D614)),0)</f>
        <v>0</v>
      </c>
      <c r="AC614" s="11" t="n">
        <f aca="false">IF(AND(Z614=1,AA614&gt;0,AB614&gt;1),P614,0)</f>
        <v>0</v>
      </c>
    </row>
    <row r="615" customFormat="false" ht="15" hidden="false" customHeight="false" outlineLevel="0" collapsed="false">
      <c r="A615" s="4" t="s">
        <v>873</v>
      </c>
      <c r="B615" s="4" t="s">
        <v>103</v>
      </c>
      <c r="C615" s="4" t="n">
        <v>21</v>
      </c>
      <c r="D615" s="4" t="n">
        <v>612</v>
      </c>
      <c r="E615" s="4" t="s">
        <v>233</v>
      </c>
      <c r="F615" s="4" t="n">
        <v>23</v>
      </c>
      <c r="G615" s="4" t="n">
        <v>20</v>
      </c>
      <c r="H615" s="4" t="n">
        <v>654</v>
      </c>
      <c r="I615" s="13" t="b">
        <f aca="false">FALSE()</f>
        <v>0</v>
      </c>
      <c r="K615" s="4" t="s">
        <v>870</v>
      </c>
      <c r="L615" s="4" t="n">
        <v>68.02</v>
      </c>
      <c r="M615" s="11" t="n">
        <f aca="false">IFERROR(MATCH(Controls!$B$3&amp;"|"&amp;B615,'Scenario inputs'!$A$4:$A$213,0),0)</f>
        <v>152</v>
      </c>
      <c r="N615" s="8" t="b">
        <f aca="false">IF(M615=0,FALSE(),F615&lt;Controls!$B$12)</f>
        <v>1</v>
      </c>
      <c r="O615" s="11" t="n">
        <f aca="false">IF(N615,IF(INDEX('Scenario inputs'!$E$4:$E$213,M615)=0,1,INDEX('Scenario inputs'!$F$4:$M$213,M615,MIN(MAX(F615-G615,0),INDEX('Scenario inputs'!$E$4:$E$213,M615)-1)+1)),0)</f>
        <v>1</v>
      </c>
      <c r="P615" s="11" t="n">
        <f aca="false">H615*O615</f>
        <v>654</v>
      </c>
      <c r="Q615" s="0" t="str">
        <f aca="false">IF(M615=0,"",IF(ISNUMBER(INDEX('Scenario inputs'!$N$4:$N$213,M615)),INDEX('Scenario inputs'!$N$4:$N$213,M615),""))</f>
        <v/>
      </c>
      <c r="R615" s="0" t="str">
        <f aca="false">IF(NOT(N615),"",IF(OR(E615="cash",E615="revenue"),E615,IF(E615="avoided_cost",IF(AND(I615,LEN(TRIM(J615))&gt;0),"avoided_cost_realised","avoided_cost_beside"),IF(ISNUMBER(Q615),"capacity_converted","capacity_hours"))))</f>
        <v>capacity_hours</v>
      </c>
      <c r="S615" s="11" t="n">
        <f aca="false">IF(OR(R615="",R615="capacity_hours"),0,IF(R615="capacity_converted",P615*Q615,P615))</f>
        <v>0</v>
      </c>
      <c r="T615" s="11" t="n">
        <f aca="false">IF(OR(R615="cash",R615="revenue",R615="avoided_cost_realised",R615="capacity_converted"),1,0)</f>
        <v>0</v>
      </c>
      <c r="U615" s="11" t="n">
        <f aca="false">IF(AND(N615,R615&lt;&gt;"capacity_hours",LEN(K615)&gt;0),1,0)</f>
        <v>0</v>
      </c>
      <c r="V615" s="11" t="n">
        <f aca="false">IF(U615=1,SUMPRODUCT(($K$4:$K$703=K615)*($F$4:$F$703=F615)*($U$4:$U$703=1)*($B$4:$B$703&lt;&gt;B615)),0)</f>
        <v>0</v>
      </c>
      <c r="W615" s="11" t="n">
        <f aca="false">IF(AND(U615=1,V615&gt;0),1+SUMPRODUCT(($K$4:$K$703=K615)*($F$4:$F$703=F615)*($U$4:$U$703=1)*($S$4:$S$703&gt;S615))+SUMPRODUCT(($K$4:$K$703=K615)*($F$4:$F$703=F615)*($U$4:$U$703=1)*($S$4:$S$703=S615)*($T$4:$T$703&gt;T615))+SUMPRODUCT(($K$4:$K$703=K615)*($F$4:$F$703=F615)*($U$4:$U$703=1)*($S$4:$S$703=S615)*($T$4:$T$703=T615)*($C$4:$C$703&lt;C615))+SUMPRODUCT(($K$4:$K$703=K615)*($F$4:$F$703=F615)*($U$4:$U$703=1)*($S$4:$S$703=S615)*($T$4:$T$703=T615)*($C$4:$C$703=C615)*($D$4:$D$703&lt;D615)),0)</f>
        <v>0</v>
      </c>
      <c r="X615" s="11" t="n">
        <f aca="false">IF(AND(U615=1,V615&gt;0,W615&gt;1),S615,0)</f>
        <v>0</v>
      </c>
      <c r="Y615" s="11" t="n">
        <f aca="false">IF(T615=1,X615/(1+Controls!$B$11)^F615,0)</f>
        <v>0</v>
      </c>
      <c r="Z615" s="11" t="n">
        <f aca="false">IF(AND(N615,E615="capacity",LEN(K615)&gt;0),1,0)</f>
        <v>1</v>
      </c>
      <c r="AA615" s="11" t="n">
        <f aca="false">IF(Z615=1,SUMPRODUCT(($K$4:$K$703=K615)*($F$4:$F$703=F615)*($Z$4:$Z$703=1)*($B$4:$B$703&lt;&gt;B615)),0)</f>
        <v>0</v>
      </c>
      <c r="AB615" s="11" t="n">
        <f aca="false">IF(AND(Z615=1,AA615&gt;0),1+SUMPRODUCT(($K$4:$K$703=K615)*($F$4:$F$703=F615)*($Z$4:$Z$703=1)*($P$4:$P$703&gt;P615))+SUMPRODUCT(($K$4:$K$703=K615)*($F$4:$F$703=F615)*($Z$4:$Z$703=1)*($P$4:$P$703=P615)*($C$4:$C$703&lt;C615))+SUMPRODUCT(($K$4:$K$703=K615)*($F$4:$F$703=F615)*($Z$4:$Z$703=1)*($P$4:$P$703=P615)*($C$4:$C$703=C615)*($D$4:$D$703&lt;D615)),0)</f>
        <v>0</v>
      </c>
      <c r="AC615" s="11" t="n">
        <f aca="false">IF(AND(Z615=1,AA615&gt;0,AB615&gt;1),P615,0)</f>
        <v>0</v>
      </c>
    </row>
    <row r="616" customFormat="false" ht="15" hidden="false" customHeight="false" outlineLevel="0" collapsed="false">
      <c r="A616" s="4" t="s">
        <v>874</v>
      </c>
      <c r="B616" s="4" t="s">
        <v>103</v>
      </c>
      <c r="C616" s="4" t="n">
        <v>21</v>
      </c>
      <c r="D616" s="4" t="n">
        <v>613</v>
      </c>
      <c r="E616" s="4" t="s">
        <v>233</v>
      </c>
      <c r="F616" s="4" t="n">
        <v>24</v>
      </c>
      <c r="G616" s="4" t="n">
        <v>20</v>
      </c>
      <c r="H616" s="4" t="n">
        <v>654</v>
      </c>
      <c r="I616" s="13" t="b">
        <f aca="false">FALSE()</f>
        <v>0</v>
      </c>
      <c r="K616" s="4" t="s">
        <v>870</v>
      </c>
      <c r="L616" s="4" t="n">
        <v>68.02</v>
      </c>
      <c r="M616" s="11" t="n">
        <f aca="false">IFERROR(MATCH(Controls!$B$3&amp;"|"&amp;B616,'Scenario inputs'!$A$4:$A$213,0),0)</f>
        <v>152</v>
      </c>
      <c r="N616" s="8" t="b">
        <f aca="false">IF(M616=0,FALSE(),F616&lt;Controls!$B$12)</f>
        <v>1</v>
      </c>
      <c r="O616" s="11" t="n">
        <f aca="false">IF(N616,IF(INDEX('Scenario inputs'!$E$4:$E$213,M616)=0,1,INDEX('Scenario inputs'!$F$4:$M$213,M616,MIN(MAX(F616-G616,0),INDEX('Scenario inputs'!$E$4:$E$213,M616)-1)+1)),0)</f>
        <v>1</v>
      </c>
      <c r="P616" s="11" t="n">
        <f aca="false">H616*O616</f>
        <v>654</v>
      </c>
      <c r="Q616" s="0" t="str">
        <f aca="false">IF(M616=0,"",IF(ISNUMBER(INDEX('Scenario inputs'!$N$4:$N$213,M616)),INDEX('Scenario inputs'!$N$4:$N$213,M616),""))</f>
        <v/>
      </c>
      <c r="R616" s="0" t="str">
        <f aca="false">IF(NOT(N616),"",IF(OR(E616="cash",E616="revenue"),E616,IF(E616="avoided_cost",IF(AND(I616,LEN(TRIM(J616))&gt;0),"avoided_cost_realised","avoided_cost_beside"),IF(ISNUMBER(Q616),"capacity_converted","capacity_hours"))))</f>
        <v>capacity_hours</v>
      </c>
      <c r="S616" s="11" t="n">
        <f aca="false">IF(OR(R616="",R616="capacity_hours"),0,IF(R616="capacity_converted",P616*Q616,P616))</f>
        <v>0</v>
      </c>
      <c r="T616" s="11" t="n">
        <f aca="false">IF(OR(R616="cash",R616="revenue",R616="avoided_cost_realised",R616="capacity_converted"),1,0)</f>
        <v>0</v>
      </c>
      <c r="U616" s="11" t="n">
        <f aca="false">IF(AND(N616,R616&lt;&gt;"capacity_hours",LEN(K616)&gt;0),1,0)</f>
        <v>0</v>
      </c>
      <c r="V616" s="11" t="n">
        <f aca="false">IF(U616=1,SUMPRODUCT(($K$4:$K$703=K616)*($F$4:$F$703=F616)*($U$4:$U$703=1)*($B$4:$B$703&lt;&gt;B616)),0)</f>
        <v>0</v>
      </c>
      <c r="W616" s="11" t="n">
        <f aca="false">IF(AND(U616=1,V616&gt;0),1+SUMPRODUCT(($K$4:$K$703=K616)*($F$4:$F$703=F616)*($U$4:$U$703=1)*($S$4:$S$703&gt;S616))+SUMPRODUCT(($K$4:$K$703=K616)*($F$4:$F$703=F616)*($U$4:$U$703=1)*($S$4:$S$703=S616)*($T$4:$T$703&gt;T616))+SUMPRODUCT(($K$4:$K$703=K616)*($F$4:$F$703=F616)*($U$4:$U$703=1)*($S$4:$S$703=S616)*($T$4:$T$703=T616)*($C$4:$C$703&lt;C616))+SUMPRODUCT(($K$4:$K$703=K616)*($F$4:$F$703=F616)*($U$4:$U$703=1)*($S$4:$S$703=S616)*($T$4:$T$703=T616)*($C$4:$C$703=C616)*($D$4:$D$703&lt;D616)),0)</f>
        <v>0</v>
      </c>
      <c r="X616" s="11" t="n">
        <f aca="false">IF(AND(U616=1,V616&gt;0,W616&gt;1),S616,0)</f>
        <v>0</v>
      </c>
      <c r="Y616" s="11" t="n">
        <f aca="false">IF(T616=1,X616/(1+Controls!$B$11)^F616,0)</f>
        <v>0</v>
      </c>
      <c r="Z616" s="11" t="n">
        <f aca="false">IF(AND(N616,E616="capacity",LEN(K616)&gt;0),1,0)</f>
        <v>1</v>
      </c>
      <c r="AA616" s="11" t="n">
        <f aca="false">IF(Z616=1,SUMPRODUCT(($K$4:$K$703=K616)*($F$4:$F$703=F616)*($Z$4:$Z$703=1)*($B$4:$B$703&lt;&gt;B616)),0)</f>
        <v>0</v>
      </c>
      <c r="AB616" s="11" t="n">
        <f aca="false">IF(AND(Z616=1,AA616&gt;0),1+SUMPRODUCT(($K$4:$K$703=K616)*($F$4:$F$703=F616)*($Z$4:$Z$703=1)*($P$4:$P$703&gt;P616))+SUMPRODUCT(($K$4:$K$703=K616)*($F$4:$F$703=F616)*($Z$4:$Z$703=1)*($P$4:$P$703=P616)*($C$4:$C$703&lt;C616))+SUMPRODUCT(($K$4:$K$703=K616)*($F$4:$F$703=F616)*($Z$4:$Z$703=1)*($P$4:$P$703=P616)*($C$4:$C$703=C616)*($D$4:$D$703&lt;D616)),0)</f>
        <v>0</v>
      </c>
      <c r="AC616" s="11" t="n">
        <f aca="false">IF(AND(Z616=1,AA616&gt;0,AB616&gt;1),P616,0)</f>
        <v>0</v>
      </c>
    </row>
    <row r="617" customFormat="false" ht="15" hidden="false" customHeight="false" outlineLevel="0" collapsed="false">
      <c r="A617" s="4" t="s">
        <v>875</v>
      </c>
      <c r="B617" s="4" t="s">
        <v>103</v>
      </c>
      <c r="C617" s="4" t="n">
        <v>21</v>
      </c>
      <c r="D617" s="4" t="n">
        <v>614</v>
      </c>
      <c r="E617" s="4" t="s">
        <v>233</v>
      </c>
      <c r="F617" s="4" t="n">
        <v>25</v>
      </c>
      <c r="G617" s="4" t="n">
        <v>20</v>
      </c>
      <c r="H617" s="4" t="n">
        <v>654</v>
      </c>
      <c r="I617" s="13" t="b">
        <f aca="false">FALSE()</f>
        <v>0</v>
      </c>
      <c r="K617" s="4" t="s">
        <v>870</v>
      </c>
      <c r="L617" s="4" t="n">
        <v>68.02</v>
      </c>
      <c r="M617" s="11" t="n">
        <f aca="false">IFERROR(MATCH(Controls!$B$3&amp;"|"&amp;B617,'Scenario inputs'!$A$4:$A$213,0),0)</f>
        <v>152</v>
      </c>
      <c r="N617" s="8" t="b">
        <f aca="false">IF(M617=0,FALSE(),F617&lt;Controls!$B$12)</f>
        <v>1</v>
      </c>
      <c r="O617" s="11" t="n">
        <f aca="false">IF(N617,IF(INDEX('Scenario inputs'!$E$4:$E$213,M617)=0,1,INDEX('Scenario inputs'!$F$4:$M$213,M617,MIN(MAX(F617-G617,0),INDEX('Scenario inputs'!$E$4:$E$213,M617)-1)+1)),0)</f>
        <v>1</v>
      </c>
      <c r="P617" s="11" t="n">
        <f aca="false">H617*O617</f>
        <v>654</v>
      </c>
      <c r="Q617" s="0" t="str">
        <f aca="false">IF(M617=0,"",IF(ISNUMBER(INDEX('Scenario inputs'!$N$4:$N$213,M617)),INDEX('Scenario inputs'!$N$4:$N$213,M617),""))</f>
        <v/>
      </c>
      <c r="R617" s="0" t="str">
        <f aca="false">IF(NOT(N617),"",IF(OR(E617="cash",E617="revenue"),E617,IF(E617="avoided_cost",IF(AND(I617,LEN(TRIM(J617))&gt;0),"avoided_cost_realised","avoided_cost_beside"),IF(ISNUMBER(Q617),"capacity_converted","capacity_hours"))))</f>
        <v>capacity_hours</v>
      </c>
      <c r="S617" s="11" t="n">
        <f aca="false">IF(OR(R617="",R617="capacity_hours"),0,IF(R617="capacity_converted",P617*Q617,P617))</f>
        <v>0</v>
      </c>
      <c r="T617" s="11" t="n">
        <f aca="false">IF(OR(R617="cash",R617="revenue",R617="avoided_cost_realised",R617="capacity_converted"),1,0)</f>
        <v>0</v>
      </c>
      <c r="U617" s="11" t="n">
        <f aca="false">IF(AND(N617,R617&lt;&gt;"capacity_hours",LEN(K617)&gt;0),1,0)</f>
        <v>0</v>
      </c>
      <c r="V617" s="11" t="n">
        <f aca="false">IF(U617=1,SUMPRODUCT(($K$4:$K$703=K617)*($F$4:$F$703=F617)*($U$4:$U$703=1)*($B$4:$B$703&lt;&gt;B617)),0)</f>
        <v>0</v>
      </c>
      <c r="W617" s="11" t="n">
        <f aca="false">IF(AND(U617=1,V617&gt;0),1+SUMPRODUCT(($K$4:$K$703=K617)*($F$4:$F$703=F617)*($U$4:$U$703=1)*($S$4:$S$703&gt;S617))+SUMPRODUCT(($K$4:$K$703=K617)*($F$4:$F$703=F617)*($U$4:$U$703=1)*($S$4:$S$703=S617)*($T$4:$T$703&gt;T617))+SUMPRODUCT(($K$4:$K$703=K617)*($F$4:$F$703=F617)*($U$4:$U$703=1)*($S$4:$S$703=S617)*($T$4:$T$703=T617)*($C$4:$C$703&lt;C617))+SUMPRODUCT(($K$4:$K$703=K617)*($F$4:$F$703=F617)*($U$4:$U$703=1)*($S$4:$S$703=S617)*($T$4:$T$703=T617)*($C$4:$C$703=C617)*($D$4:$D$703&lt;D617)),0)</f>
        <v>0</v>
      </c>
      <c r="X617" s="11" t="n">
        <f aca="false">IF(AND(U617=1,V617&gt;0,W617&gt;1),S617,0)</f>
        <v>0</v>
      </c>
      <c r="Y617" s="11" t="n">
        <f aca="false">IF(T617=1,X617/(1+Controls!$B$11)^F617,0)</f>
        <v>0</v>
      </c>
      <c r="Z617" s="11" t="n">
        <f aca="false">IF(AND(N617,E617="capacity",LEN(K617)&gt;0),1,0)</f>
        <v>1</v>
      </c>
      <c r="AA617" s="11" t="n">
        <f aca="false">IF(Z617=1,SUMPRODUCT(($K$4:$K$703=K617)*($F$4:$F$703=F617)*($Z$4:$Z$703=1)*($B$4:$B$703&lt;&gt;B617)),0)</f>
        <v>0</v>
      </c>
      <c r="AB617" s="11" t="n">
        <f aca="false">IF(AND(Z617=1,AA617&gt;0),1+SUMPRODUCT(($K$4:$K$703=K617)*($F$4:$F$703=F617)*($Z$4:$Z$703=1)*($P$4:$P$703&gt;P617))+SUMPRODUCT(($K$4:$K$703=K617)*($F$4:$F$703=F617)*($Z$4:$Z$703=1)*($P$4:$P$703=P617)*($C$4:$C$703&lt;C617))+SUMPRODUCT(($K$4:$K$703=K617)*($F$4:$F$703=F617)*($Z$4:$Z$703=1)*($P$4:$P$703=P617)*($C$4:$C$703=C617)*($D$4:$D$703&lt;D617)),0)</f>
        <v>0</v>
      </c>
      <c r="AC617" s="11" t="n">
        <f aca="false">IF(AND(Z617=1,AA617&gt;0,AB617&gt;1),P617,0)</f>
        <v>0</v>
      </c>
    </row>
    <row r="618" customFormat="false" ht="15" hidden="false" customHeight="false" outlineLevel="0" collapsed="false">
      <c r="A618" s="4" t="s">
        <v>876</v>
      </c>
      <c r="B618" s="4" t="s">
        <v>103</v>
      </c>
      <c r="C618" s="4" t="n">
        <v>21</v>
      </c>
      <c r="D618" s="4" t="n">
        <v>615</v>
      </c>
      <c r="E618" s="4" t="s">
        <v>233</v>
      </c>
      <c r="F618" s="4" t="n">
        <v>26</v>
      </c>
      <c r="G618" s="4" t="n">
        <v>20</v>
      </c>
      <c r="H618" s="4" t="n">
        <v>654</v>
      </c>
      <c r="I618" s="13" t="b">
        <f aca="false">FALSE()</f>
        <v>0</v>
      </c>
      <c r="K618" s="4" t="s">
        <v>870</v>
      </c>
      <c r="L618" s="4" t="n">
        <v>68.02</v>
      </c>
      <c r="M618" s="11" t="n">
        <f aca="false">IFERROR(MATCH(Controls!$B$3&amp;"|"&amp;B618,'Scenario inputs'!$A$4:$A$213,0),0)</f>
        <v>152</v>
      </c>
      <c r="N618" s="8" t="b">
        <f aca="false">IF(M618=0,FALSE(),F618&lt;Controls!$B$12)</f>
        <v>1</v>
      </c>
      <c r="O618" s="11" t="n">
        <f aca="false">IF(N618,IF(INDEX('Scenario inputs'!$E$4:$E$213,M618)=0,1,INDEX('Scenario inputs'!$F$4:$M$213,M618,MIN(MAX(F618-G618,0),INDEX('Scenario inputs'!$E$4:$E$213,M618)-1)+1)),0)</f>
        <v>1</v>
      </c>
      <c r="P618" s="11" t="n">
        <f aca="false">H618*O618</f>
        <v>654</v>
      </c>
      <c r="Q618" s="0" t="str">
        <f aca="false">IF(M618=0,"",IF(ISNUMBER(INDEX('Scenario inputs'!$N$4:$N$213,M618)),INDEX('Scenario inputs'!$N$4:$N$213,M618),""))</f>
        <v/>
      </c>
      <c r="R618" s="0" t="str">
        <f aca="false">IF(NOT(N618),"",IF(OR(E618="cash",E618="revenue"),E618,IF(E618="avoided_cost",IF(AND(I618,LEN(TRIM(J618))&gt;0),"avoided_cost_realised","avoided_cost_beside"),IF(ISNUMBER(Q618),"capacity_converted","capacity_hours"))))</f>
        <v>capacity_hours</v>
      </c>
      <c r="S618" s="11" t="n">
        <f aca="false">IF(OR(R618="",R618="capacity_hours"),0,IF(R618="capacity_converted",P618*Q618,P618))</f>
        <v>0</v>
      </c>
      <c r="T618" s="11" t="n">
        <f aca="false">IF(OR(R618="cash",R618="revenue",R618="avoided_cost_realised",R618="capacity_converted"),1,0)</f>
        <v>0</v>
      </c>
      <c r="U618" s="11" t="n">
        <f aca="false">IF(AND(N618,R618&lt;&gt;"capacity_hours",LEN(K618)&gt;0),1,0)</f>
        <v>0</v>
      </c>
      <c r="V618" s="11" t="n">
        <f aca="false">IF(U618=1,SUMPRODUCT(($K$4:$K$703=K618)*($F$4:$F$703=F618)*($U$4:$U$703=1)*($B$4:$B$703&lt;&gt;B618)),0)</f>
        <v>0</v>
      </c>
      <c r="W618" s="11" t="n">
        <f aca="false">IF(AND(U618=1,V618&gt;0),1+SUMPRODUCT(($K$4:$K$703=K618)*($F$4:$F$703=F618)*($U$4:$U$703=1)*($S$4:$S$703&gt;S618))+SUMPRODUCT(($K$4:$K$703=K618)*($F$4:$F$703=F618)*($U$4:$U$703=1)*($S$4:$S$703=S618)*($T$4:$T$703&gt;T618))+SUMPRODUCT(($K$4:$K$703=K618)*($F$4:$F$703=F618)*($U$4:$U$703=1)*($S$4:$S$703=S618)*($T$4:$T$703=T618)*($C$4:$C$703&lt;C618))+SUMPRODUCT(($K$4:$K$703=K618)*($F$4:$F$703=F618)*($U$4:$U$703=1)*($S$4:$S$703=S618)*($T$4:$T$703=T618)*($C$4:$C$703=C618)*($D$4:$D$703&lt;D618)),0)</f>
        <v>0</v>
      </c>
      <c r="X618" s="11" t="n">
        <f aca="false">IF(AND(U618=1,V618&gt;0,W618&gt;1),S618,0)</f>
        <v>0</v>
      </c>
      <c r="Y618" s="11" t="n">
        <f aca="false">IF(T618=1,X618/(1+Controls!$B$11)^F618,0)</f>
        <v>0</v>
      </c>
      <c r="Z618" s="11" t="n">
        <f aca="false">IF(AND(N618,E618="capacity",LEN(K618)&gt;0),1,0)</f>
        <v>1</v>
      </c>
      <c r="AA618" s="11" t="n">
        <f aca="false">IF(Z618=1,SUMPRODUCT(($K$4:$K$703=K618)*($F$4:$F$703=F618)*($Z$4:$Z$703=1)*($B$4:$B$703&lt;&gt;B618)),0)</f>
        <v>0</v>
      </c>
      <c r="AB618" s="11" t="n">
        <f aca="false">IF(AND(Z618=1,AA618&gt;0),1+SUMPRODUCT(($K$4:$K$703=K618)*($F$4:$F$703=F618)*($Z$4:$Z$703=1)*($P$4:$P$703&gt;P618))+SUMPRODUCT(($K$4:$K$703=K618)*($F$4:$F$703=F618)*($Z$4:$Z$703=1)*($P$4:$P$703=P618)*($C$4:$C$703&lt;C618))+SUMPRODUCT(($K$4:$K$703=K618)*($F$4:$F$703=F618)*($Z$4:$Z$703=1)*($P$4:$P$703=P618)*($C$4:$C$703=C618)*($D$4:$D$703&lt;D618)),0)</f>
        <v>0</v>
      </c>
      <c r="AC618" s="11" t="n">
        <f aca="false">IF(AND(Z618=1,AA618&gt;0,AB618&gt;1),P618,0)</f>
        <v>0</v>
      </c>
    </row>
    <row r="619" customFormat="false" ht="15" hidden="false" customHeight="false" outlineLevel="0" collapsed="false">
      <c r="A619" s="4" t="s">
        <v>877</v>
      </c>
      <c r="B619" s="4" t="s">
        <v>103</v>
      </c>
      <c r="C619" s="4" t="n">
        <v>21</v>
      </c>
      <c r="D619" s="4" t="n">
        <v>616</v>
      </c>
      <c r="E619" s="4" t="s">
        <v>233</v>
      </c>
      <c r="F619" s="4" t="n">
        <v>27</v>
      </c>
      <c r="G619" s="4" t="n">
        <v>20</v>
      </c>
      <c r="H619" s="4" t="n">
        <v>654</v>
      </c>
      <c r="I619" s="13" t="b">
        <f aca="false">FALSE()</f>
        <v>0</v>
      </c>
      <c r="K619" s="4" t="s">
        <v>870</v>
      </c>
      <c r="L619" s="4" t="n">
        <v>68.02</v>
      </c>
      <c r="M619" s="11" t="n">
        <f aca="false">IFERROR(MATCH(Controls!$B$3&amp;"|"&amp;B619,'Scenario inputs'!$A$4:$A$213,0),0)</f>
        <v>152</v>
      </c>
      <c r="N619" s="8" t="b">
        <f aca="false">IF(M619=0,FALSE(),F619&lt;Controls!$B$12)</f>
        <v>1</v>
      </c>
      <c r="O619" s="11" t="n">
        <f aca="false">IF(N619,IF(INDEX('Scenario inputs'!$E$4:$E$213,M619)=0,1,INDEX('Scenario inputs'!$F$4:$M$213,M619,MIN(MAX(F619-G619,0),INDEX('Scenario inputs'!$E$4:$E$213,M619)-1)+1)),0)</f>
        <v>1</v>
      </c>
      <c r="P619" s="11" t="n">
        <f aca="false">H619*O619</f>
        <v>654</v>
      </c>
      <c r="Q619" s="0" t="str">
        <f aca="false">IF(M619=0,"",IF(ISNUMBER(INDEX('Scenario inputs'!$N$4:$N$213,M619)),INDEX('Scenario inputs'!$N$4:$N$213,M619),""))</f>
        <v/>
      </c>
      <c r="R619" s="0" t="str">
        <f aca="false">IF(NOT(N619),"",IF(OR(E619="cash",E619="revenue"),E619,IF(E619="avoided_cost",IF(AND(I619,LEN(TRIM(J619))&gt;0),"avoided_cost_realised","avoided_cost_beside"),IF(ISNUMBER(Q619),"capacity_converted","capacity_hours"))))</f>
        <v>capacity_hours</v>
      </c>
      <c r="S619" s="11" t="n">
        <f aca="false">IF(OR(R619="",R619="capacity_hours"),0,IF(R619="capacity_converted",P619*Q619,P619))</f>
        <v>0</v>
      </c>
      <c r="T619" s="11" t="n">
        <f aca="false">IF(OR(R619="cash",R619="revenue",R619="avoided_cost_realised",R619="capacity_converted"),1,0)</f>
        <v>0</v>
      </c>
      <c r="U619" s="11" t="n">
        <f aca="false">IF(AND(N619,R619&lt;&gt;"capacity_hours",LEN(K619)&gt;0),1,0)</f>
        <v>0</v>
      </c>
      <c r="V619" s="11" t="n">
        <f aca="false">IF(U619=1,SUMPRODUCT(($K$4:$K$703=K619)*($F$4:$F$703=F619)*($U$4:$U$703=1)*($B$4:$B$703&lt;&gt;B619)),0)</f>
        <v>0</v>
      </c>
      <c r="W619" s="11" t="n">
        <f aca="false">IF(AND(U619=1,V619&gt;0),1+SUMPRODUCT(($K$4:$K$703=K619)*($F$4:$F$703=F619)*($U$4:$U$703=1)*($S$4:$S$703&gt;S619))+SUMPRODUCT(($K$4:$K$703=K619)*($F$4:$F$703=F619)*($U$4:$U$703=1)*($S$4:$S$703=S619)*($T$4:$T$703&gt;T619))+SUMPRODUCT(($K$4:$K$703=K619)*($F$4:$F$703=F619)*($U$4:$U$703=1)*($S$4:$S$703=S619)*($T$4:$T$703=T619)*($C$4:$C$703&lt;C619))+SUMPRODUCT(($K$4:$K$703=K619)*($F$4:$F$703=F619)*($U$4:$U$703=1)*($S$4:$S$703=S619)*($T$4:$T$703=T619)*($C$4:$C$703=C619)*($D$4:$D$703&lt;D619)),0)</f>
        <v>0</v>
      </c>
      <c r="X619" s="11" t="n">
        <f aca="false">IF(AND(U619=1,V619&gt;0,W619&gt;1),S619,0)</f>
        <v>0</v>
      </c>
      <c r="Y619" s="11" t="n">
        <f aca="false">IF(T619=1,X619/(1+Controls!$B$11)^F619,0)</f>
        <v>0</v>
      </c>
      <c r="Z619" s="11" t="n">
        <f aca="false">IF(AND(N619,E619="capacity",LEN(K619)&gt;0),1,0)</f>
        <v>1</v>
      </c>
      <c r="AA619" s="11" t="n">
        <f aca="false">IF(Z619=1,SUMPRODUCT(($K$4:$K$703=K619)*($F$4:$F$703=F619)*($Z$4:$Z$703=1)*($B$4:$B$703&lt;&gt;B619)),0)</f>
        <v>0</v>
      </c>
      <c r="AB619" s="11" t="n">
        <f aca="false">IF(AND(Z619=1,AA619&gt;0),1+SUMPRODUCT(($K$4:$K$703=K619)*($F$4:$F$703=F619)*($Z$4:$Z$703=1)*($P$4:$P$703&gt;P619))+SUMPRODUCT(($K$4:$K$703=K619)*($F$4:$F$703=F619)*($Z$4:$Z$703=1)*($P$4:$P$703=P619)*($C$4:$C$703&lt;C619))+SUMPRODUCT(($K$4:$K$703=K619)*($F$4:$F$703=F619)*($Z$4:$Z$703=1)*($P$4:$P$703=P619)*($C$4:$C$703=C619)*($D$4:$D$703&lt;D619)),0)</f>
        <v>0</v>
      </c>
      <c r="AC619" s="11" t="n">
        <f aca="false">IF(AND(Z619=1,AA619&gt;0,AB619&gt;1),P619,0)</f>
        <v>0</v>
      </c>
    </row>
    <row r="620" customFormat="false" ht="15" hidden="false" customHeight="false" outlineLevel="0" collapsed="false">
      <c r="A620" s="4" t="s">
        <v>878</v>
      </c>
      <c r="B620" s="4" t="s">
        <v>103</v>
      </c>
      <c r="C620" s="4" t="n">
        <v>21</v>
      </c>
      <c r="D620" s="4" t="n">
        <v>617</v>
      </c>
      <c r="E620" s="4" t="s">
        <v>233</v>
      </c>
      <c r="F620" s="4" t="n">
        <v>28</v>
      </c>
      <c r="G620" s="4" t="n">
        <v>20</v>
      </c>
      <c r="H620" s="4" t="n">
        <v>654</v>
      </c>
      <c r="I620" s="13" t="b">
        <f aca="false">FALSE()</f>
        <v>0</v>
      </c>
      <c r="K620" s="4" t="s">
        <v>870</v>
      </c>
      <c r="L620" s="4" t="n">
        <v>68.02</v>
      </c>
      <c r="M620" s="11" t="n">
        <f aca="false">IFERROR(MATCH(Controls!$B$3&amp;"|"&amp;B620,'Scenario inputs'!$A$4:$A$213,0),0)</f>
        <v>152</v>
      </c>
      <c r="N620" s="8" t="b">
        <f aca="false">IF(M620=0,FALSE(),F620&lt;Controls!$B$12)</f>
        <v>1</v>
      </c>
      <c r="O620" s="11" t="n">
        <f aca="false">IF(N620,IF(INDEX('Scenario inputs'!$E$4:$E$213,M620)=0,1,INDEX('Scenario inputs'!$F$4:$M$213,M620,MIN(MAX(F620-G620,0),INDEX('Scenario inputs'!$E$4:$E$213,M620)-1)+1)),0)</f>
        <v>1</v>
      </c>
      <c r="P620" s="11" t="n">
        <f aca="false">H620*O620</f>
        <v>654</v>
      </c>
      <c r="Q620" s="0" t="str">
        <f aca="false">IF(M620=0,"",IF(ISNUMBER(INDEX('Scenario inputs'!$N$4:$N$213,M620)),INDEX('Scenario inputs'!$N$4:$N$213,M620),""))</f>
        <v/>
      </c>
      <c r="R620" s="0" t="str">
        <f aca="false">IF(NOT(N620),"",IF(OR(E620="cash",E620="revenue"),E620,IF(E620="avoided_cost",IF(AND(I620,LEN(TRIM(J620))&gt;0),"avoided_cost_realised","avoided_cost_beside"),IF(ISNUMBER(Q620),"capacity_converted","capacity_hours"))))</f>
        <v>capacity_hours</v>
      </c>
      <c r="S620" s="11" t="n">
        <f aca="false">IF(OR(R620="",R620="capacity_hours"),0,IF(R620="capacity_converted",P620*Q620,P620))</f>
        <v>0</v>
      </c>
      <c r="T620" s="11" t="n">
        <f aca="false">IF(OR(R620="cash",R620="revenue",R620="avoided_cost_realised",R620="capacity_converted"),1,0)</f>
        <v>0</v>
      </c>
      <c r="U620" s="11" t="n">
        <f aca="false">IF(AND(N620,R620&lt;&gt;"capacity_hours",LEN(K620)&gt;0),1,0)</f>
        <v>0</v>
      </c>
      <c r="V620" s="11" t="n">
        <f aca="false">IF(U620=1,SUMPRODUCT(($K$4:$K$703=K620)*($F$4:$F$703=F620)*($U$4:$U$703=1)*($B$4:$B$703&lt;&gt;B620)),0)</f>
        <v>0</v>
      </c>
      <c r="W620" s="11" t="n">
        <f aca="false">IF(AND(U620=1,V620&gt;0),1+SUMPRODUCT(($K$4:$K$703=K620)*($F$4:$F$703=F620)*($U$4:$U$703=1)*($S$4:$S$703&gt;S620))+SUMPRODUCT(($K$4:$K$703=K620)*($F$4:$F$703=F620)*($U$4:$U$703=1)*($S$4:$S$703=S620)*($T$4:$T$703&gt;T620))+SUMPRODUCT(($K$4:$K$703=K620)*($F$4:$F$703=F620)*($U$4:$U$703=1)*($S$4:$S$703=S620)*($T$4:$T$703=T620)*($C$4:$C$703&lt;C620))+SUMPRODUCT(($K$4:$K$703=K620)*($F$4:$F$703=F620)*($U$4:$U$703=1)*($S$4:$S$703=S620)*($T$4:$T$703=T620)*($C$4:$C$703=C620)*($D$4:$D$703&lt;D620)),0)</f>
        <v>0</v>
      </c>
      <c r="X620" s="11" t="n">
        <f aca="false">IF(AND(U620=1,V620&gt;0,W620&gt;1),S620,0)</f>
        <v>0</v>
      </c>
      <c r="Y620" s="11" t="n">
        <f aca="false">IF(T620=1,X620/(1+Controls!$B$11)^F620,0)</f>
        <v>0</v>
      </c>
      <c r="Z620" s="11" t="n">
        <f aca="false">IF(AND(N620,E620="capacity",LEN(K620)&gt;0),1,0)</f>
        <v>1</v>
      </c>
      <c r="AA620" s="11" t="n">
        <f aca="false">IF(Z620=1,SUMPRODUCT(($K$4:$K$703=K620)*($F$4:$F$703=F620)*($Z$4:$Z$703=1)*($B$4:$B$703&lt;&gt;B620)),0)</f>
        <v>0</v>
      </c>
      <c r="AB620" s="11" t="n">
        <f aca="false">IF(AND(Z620=1,AA620&gt;0),1+SUMPRODUCT(($K$4:$K$703=K620)*($F$4:$F$703=F620)*($Z$4:$Z$703=1)*($P$4:$P$703&gt;P620))+SUMPRODUCT(($K$4:$K$703=K620)*($F$4:$F$703=F620)*($Z$4:$Z$703=1)*($P$4:$P$703=P620)*($C$4:$C$703&lt;C620))+SUMPRODUCT(($K$4:$K$703=K620)*($F$4:$F$703=F620)*($Z$4:$Z$703=1)*($P$4:$P$703=P620)*($C$4:$C$703=C620)*($D$4:$D$703&lt;D620)),0)</f>
        <v>0</v>
      </c>
      <c r="AC620" s="11" t="n">
        <f aca="false">IF(AND(Z620=1,AA620&gt;0,AB620&gt;1),P620,0)</f>
        <v>0</v>
      </c>
    </row>
    <row r="621" customFormat="false" ht="15" hidden="false" customHeight="false" outlineLevel="0" collapsed="false">
      <c r="A621" s="4" t="s">
        <v>879</v>
      </c>
      <c r="B621" s="4" t="s">
        <v>103</v>
      </c>
      <c r="C621" s="4" t="n">
        <v>21</v>
      </c>
      <c r="D621" s="4" t="n">
        <v>618</v>
      </c>
      <c r="E621" s="4" t="s">
        <v>233</v>
      </c>
      <c r="F621" s="4" t="n">
        <v>29</v>
      </c>
      <c r="G621" s="4" t="n">
        <v>20</v>
      </c>
      <c r="H621" s="4" t="n">
        <v>654</v>
      </c>
      <c r="I621" s="13" t="b">
        <f aca="false">FALSE()</f>
        <v>0</v>
      </c>
      <c r="K621" s="4" t="s">
        <v>870</v>
      </c>
      <c r="L621" s="4" t="n">
        <v>68.02</v>
      </c>
      <c r="M621" s="11" t="n">
        <f aca="false">IFERROR(MATCH(Controls!$B$3&amp;"|"&amp;B621,'Scenario inputs'!$A$4:$A$213,0),0)</f>
        <v>152</v>
      </c>
      <c r="N621" s="8" t="b">
        <f aca="false">IF(M621=0,FALSE(),F621&lt;Controls!$B$12)</f>
        <v>1</v>
      </c>
      <c r="O621" s="11" t="n">
        <f aca="false">IF(N621,IF(INDEX('Scenario inputs'!$E$4:$E$213,M621)=0,1,INDEX('Scenario inputs'!$F$4:$M$213,M621,MIN(MAX(F621-G621,0),INDEX('Scenario inputs'!$E$4:$E$213,M621)-1)+1)),0)</f>
        <v>1</v>
      </c>
      <c r="P621" s="11" t="n">
        <f aca="false">H621*O621</f>
        <v>654</v>
      </c>
      <c r="Q621" s="0" t="str">
        <f aca="false">IF(M621=0,"",IF(ISNUMBER(INDEX('Scenario inputs'!$N$4:$N$213,M621)),INDEX('Scenario inputs'!$N$4:$N$213,M621),""))</f>
        <v/>
      </c>
      <c r="R621" s="0" t="str">
        <f aca="false">IF(NOT(N621),"",IF(OR(E621="cash",E621="revenue"),E621,IF(E621="avoided_cost",IF(AND(I621,LEN(TRIM(J621))&gt;0),"avoided_cost_realised","avoided_cost_beside"),IF(ISNUMBER(Q621),"capacity_converted","capacity_hours"))))</f>
        <v>capacity_hours</v>
      </c>
      <c r="S621" s="11" t="n">
        <f aca="false">IF(OR(R621="",R621="capacity_hours"),0,IF(R621="capacity_converted",P621*Q621,P621))</f>
        <v>0</v>
      </c>
      <c r="T621" s="11" t="n">
        <f aca="false">IF(OR(R621="cash",R621="revenue",R621="avoided_cost_realised",R621="capacity_converted"),1,0)</f>
        <v>0</v>
      </c>
      <c r="U621" s="11" t="n">
        <f aca="false">IF(AND(N621,R621&lt;&gt;"capacity_hours",LEN(K621)&gt;0),1,0)</f>
        <v>0</v>
      </c>
      <c r="V621" s="11" t="n">
        <f aca="false">IF(U621=1,SUMPRODUCT(($K$4:$K$703=K621)*($F$4:$F$703=F621)*($U$4:$U$703=1)*($B$4:$B$703&lt;&gt;B621)),0)</f>
        <v>0</v>
      </c>
      <c r="W621" s="11" t="n">
        <f aca="false">IF(AND(U621=1,V621&gt;0),1+SUMPRODUCT(($K$4:$K$703=K621)*($F$4:$F$703=F621)*($U$4:$U$703=1)*($S$4:$S$703&gt;S621))+SUMPRODUCT(($K$4:$K$703=K621)*($F$4:$F$703=F621)*($U$4:$U$703=1)*($S$4:$S$703=S621)*($T$4:$T$703&gt;T621))+SUMPRODUCT(($K$4:$K$703=K621)*($F$4:$F$703=F621)*($U$4:$U$703=1)*($S$4:$S$703=S621)*($T$4:$T$703=T621)*($C$4:$C$703&lt;C621))+SUMPRODUCT(($K$4:$K$703=K621)*($F$4:$F$703=F621)*($U$4:$U$703=1)*($S$4:$S$703=S621)*($T$4:$T$703=T621)*($C$4:$C$703=C621)*($D$4:$D$703&lt;D621)),0)</f>
        <v>0</v>
      </c>
      <c r="X621" s="11" t="n">
        <f aca="false">IF(AND(U621=1,V621&gt;0,W621&gt;1),S621,0)</f>
        <v>0</v>
      </c>
      <c r="Y621" s="11" t="n">
        <f aca="false">IF(T621=1,X621/(1+Controls!$B$11)^F621,0)</f>
        <v>0</v>
      </c>
      <c r="Z621" s="11" t="n">
        <f aca="false">IF(AND(N621,E621="capacity",LEN(K621)&gt;0),1,0)</f>
        <v>1</v>
      </c>
      <c r="AA621" s="11" t="n">
        <f aca="false">IF(Z621=1,SUMPRODUCT(($K$4:$K$703=K621)*($F$4:$F$703=F621)*($Z$4:$Z$703=1)*($B$4:$B$703&lt;&gt;B621)),0)</f>
        <v>0</v>
      </c>
      <c r="AB621" s="11" t="n">
        <f aca="false">IF(AND(Z621=1,AA621&gt;0),1+SUMPRODUCT(($K$4:$K$703=K621)*($F$4:$F$703=F621)*($Z$4:$Z$703=1)*($P$4:$P$703&gt;P621))+SUMPRODUCT(($K$4:$K$703=K621)*($F$4:$F$703=F621)*($Z$4:$Z$703=1)*($P$4:$P$703=P621)*($C$4:$C$703&lt;C621))+SUMPRODUCT(($K$4:$K$703=K621)*($F$4:$F$703=F621)*($Z$4:$Z$703=1)*($P$4:$P$703=P621)*($C$4:$C$703=C621)*($D$4:$D$703&lt;D621)),0)</f>
        <v>0</v>
      </c>
      <c r="AC621" s="11" t="n">
        <f aca="false">IF(AND(Z621=1,AA621&gt;0,AB621&gt;1),P621,0)</f>
        <v>0</v>
      </c>
    </row>
    <row r="622" customFormat="false" ht="15" hidden="false" customHeight="false" outlineLevel="0" collapsed="false">
      <c r="A622" s="4" t="s">
        <v>880</v>
      </c>
      <c r="B622" s="4" t="s">
        <v>103</v>
      </c>
      <c r="C622" s="4" t="n">
        <v>21</v>
      </c>
      <c r="D622" s="4" t="n">
        <v>619</v>
      </c>
      <c r="E622" s="4" t="s">
        <v>233</v>
      </c>
      <c r="F622" s="4" t="n">
        <v>30</v>
      </c>
      <c r="G622" s="4" t="n">
        <v>20</v>
      </c>
      <c r="H622" s="4" t="n">
        <v>654</v>
      </c>
      <c r="I622" s="13" t="b">
        <f aca="false">FALSE()</f>
        <v>0</v>
      </c>
      <c r="K622" s="4" t="s">
        <v>870</v>
      </c>
      <c r="L622" s="4" t="n">
        <v>68.02</v>
      </c>
      <c r="M622" s="11" t="n">
        <f aca="false">IFERROR(MATCH(Controls!$B$3&amp;"|"&amp;B622,'Scenario inputs'!$A$4:$A$213,0),0)</f>
        <v>152</v>
      </c>
      <c r="N622" s="8" t="b">
        <f aca="false">IF(M622=0,FALSE(),F622&lt;Controls!$B$12)</f>
        <v>1</v>
      </c>
      <c r="O622" s="11" t="n">
        <f aca="false">IF(N622,IF(INDEX('Scenario inputs'!$E$4:$E$213,M622)=0,1,INDEX('Scenario inputs'!$F$4:$M$213,M622,MIN(MAX(F622-G622,0),INDEX('Scenario inputs'!$E$4:$E$213,M622)-1)+1)),0)</f>
        <v>1</v>
      </c>
      <c r="P622" s="11" t="n">
        <f aca="false">H622*O622</f>
        <v>654</v>
      </c>
      <c r="Q622" s="0" t="str">
        <f aca="false">IF(M622=0,"",IF(ISNUMBER(INDEX('Scenario inputs'!$N$4:$N$213,M622)),INDEX('Scenario inputs'!$N$4:$N$213,M622),""))</f>
        <v/>
      </c>
      <c r="R622" s="0" t="str">
        <f aca="false">IF(NOT(N622),"",IF(OR(E622="cash",E622="revenue"),E622,IF(E622="avoided_cost",IF(AND(I622,LEN(TRIM(J622))&gt;0),"avoided_cost_realised","avoided_cost_beside"),IF(ISNUMBER(Q622),"capacity_converted","capacity_hours"))))</f>
        <v>capacity_hours</v>
      </c>
      <c r="S622" s="11" t="n">
        <f aca="false">IF(OR(R622="",R622="capacity_hours"),0,IF(R622="capacity_converted",P622*Q622,P622))</f>
        <v>0</v>
      </c>
      <c r="T622" s="11" t="n">
        <f aca="false">IF(OR(R622="cash",R622="revenue",R622="avoided_cost_realised",R622="capacity_converted"),1,0)</f>
        <v>0</v>
      </c>
      <c r="U622" s="11" t="n">
        <f aca="false">IF(AND(N622,R622&lt;&gt;"capacity_hours",LEN(K622)&gt;0),1,0)</f>
        <v>0</v>
      </c>
      <c r="V622" s="11" t="n">
        <f aca="false">IF(U622=1,SUMPRODUCT(($K$4:$K$703=K622)*($F$4:$F$703=F622)*($U$4:$U$703=1)*($B$4:$B$703&lt;&gt;B622)),0)</f>
        <v>0</v>
      </c>
      <c r="W622" s="11" t="n">
        <f aca="false">IF(AND(U622=1,V622&gt;0),1+SUMPRODUCT(($K$4:$K$703=K622)*($F$4:$F$703=F622)*($U$4:$U$703=1)*($S$4:$S$703&gt;S622))+SUMPRODUCT(($K$4:$K$703=K622)*($F$4:$F$703=F622)*($U$4:$U$703=1)*($S$4:$S$703=S622)*($T$4:$T$703&gt;T622))+SUMPRODUCT(($K$4:$K$703=K622)*($F$4:$F$703=F622)*($U$4:$U$703=1)*($S$4:$S$703=S622)*($T$4:$T$703=T622)*($C$4:$C$703&lt;C622))+SUMPRODUCT(($K$4:$K$703=K622)*($F$4:$F$703=F622)*($U$4:$U$703=1)*($S$4:$S$703=S622)*($T$4:$T$703=T622)*($C$4:$C$703=C622)*($D$4:$D$703&lt;D622)),0)</f>
        <v>0</v>
      </c>
      <c r="X622" s="11" t="n">
        <f aca="false">IF(AND(U622=1,V622&gt;0,W622&gt;1),S622,0)</f>
        <v>0</v>
      </c>
      <c r="Y622" s="11" t="n">
        <f aca="false">IF(T622=1,X622/(1+Controls!$B$11)^F622,0)</f>
        <v>0</v>
      </c>
      <c r="Z622" s="11" t="n">
        <f aca="false">IF(AND(N622,E622="capacity",LEN(K622)&gt;0),1,0)</f>
        <v>1</v>
      </c>
      <c r="AA622" s="11" t="n">
        <f aca="false">IF(Z622=1,SUMPRODUCT(($K$4:$K$703=K622)*($F$4:$F$703=F622)*($Z$4:$Z$703=1)*($B$4:$B$703&lt;&gt;B622)),0)</f>
        <v>0</v>
      </c>
      <c r="AB622" s="11" t="n">
        <f aca="false">IF(AND(Z622=1,AA622&gt;0),1+SUMPRODUCT(($K$4:$K$703=K622)*($F$4:$F$703=F622)*($Z$4:$Z$703=1)*($P$4:$P$703&gt;P622))+SUMPRODUCT(($K$4:$K$703=K622)*($F$4:$F$703=F622)*($Z$4:$Z$703=1)*($P$4:$P$703=P622)*($C$4:$C$703&lt;C622))+SUMPRODUCT(($K$4:$K$703=K622)*($F$4:$F$703=F622)*($Z$4:$Z$703=1)*($P$4:$P$703=P622)*($C$4:$C$703=C622)*($D$4:$D$703&lt;D622)),0)</f>
        <v>0</v>
      </c>
      <c r="AC622" s="11" t="n">
        <f aca="false">IF(AND(Z622=1,AA622&gt;0,AB622&gt;1),P622,0)</f>
        <v>0</v>
      </c>
    </row>
    <row r="623" customFormat="false" ht="15" hidden="false" customHeight="false" outlineLevel="0" collapsed="false">
      <c r="A623" s="4" t="s">
        <v>881</v>
      </c>
      <c r="B623" s="4" t="s">
        <v>104</v>
      </c>
      <c r="C623" s="4" t="n">
        <v>22</v>
      </c>
      <c r="D623" s="4" t="n">
        <v>620</v>
      </c>
      <c r="E623" s="4" t="s">
        <v>233</v>
      </c>
      <c r="F623" s="4" t="n">
        <v>24</v>
      </c>
      <c r="G623" s="4" t="n">
        <v>24</v>
      </c>
      <c r="H623" s="4" t="n">
        <v>866</v>
      </c>
      <c r="I623" s="13" t="b">
        <f aca="false">FALSE()</f>
        <v>0</v>
      </c>
      <c r="K623" s="4" t="s">
        <v>882</v>
      </c>
      <c r="L623" s="4" t="n">
        <v>11.08</v>
      </c>
      <c r="M623" s="11" t="n">
        <f aca="false">IFERROR(MATCH(Controls!$B$3&amp;"|"&amp;B623,'Scenario inputs'!$A$4:$A$213,0),0)</f>
        <v>153</v>
      </c>
      <c r="N623" s="8" t="b">
        <f aca="false">IF(M623=0,FALSE(),F623&lt;Controls!$B$12)</f>
        <v>1</v>
      </c>
      <c r="O623" s="11" t="n">
        <f aca="false">IF(N623,IF(INDEX('Scenario inputs'!$E$4:$E$213,M623)=0,1,INDEX('Scenario inputs'!$F$4:$M$213,M623,MIN(MAX(F623-G623,0),INDEX('Scenario inputs'!$E$4:$E$213,M623)-1)+1)),0)</f>
        <v>0.066667</v>
      </c>
      <c r="P623" s="11" t="n">
        <f aca="false">H623*O623</f>
        <v>57.733622</v>
      </c>
      <c r="Q623" s="0" t="str">
        <f aca="false">IF(M623=0,"",IF(ISNUMBER(INDEX('Scenario inputs'!$N$4:$N$213,M623)),INDEX('Scenario inputs'!$N$4:$N$213,M623),""))</f>
        <v/>
      </c>
      <c r="R623" s="0" t="str">
        <f aca="false">IF(NOT(N623),"",IF(OR(E623="cash",E623="revenue"),E623,IF(E623="avoided_cost",IF(AND(I623,LEN(TRIM(J623))&gt;0),"avoided_cost_realised","avoided_cost_beside"),IF(ISNUMBER(Q623),"capacity_converted","capacity_hours"))))</f>
        <v>capacity_hours</v>
      </c>
      <c r="S623" s="11" t="n">
        <f aca="false">IF(OR(R623="",R623="capacity_hours"),0,IF(R623="capacity_converted",P623*Q623,P623))</f>
        <v>0</v>
      </c>
      <c r="T623" s="11" t="n">
        <f aca="false">IF(OR(R623="cash",R623="revenue",R623="avoided_cost_realised",R623="capacity_converted"),1,0)</f>
        <v>0</v>
      </c>
      <c r="U623" s="11" t="n">
        <f aca="false">IF(AND(N623,R623&lt;&gt;"capacity_hours",LEN(K623)&gt;0),1,0)</f>
        <v>0</v>
      </c>
      <c r="V623" s="11" t="n">
        <f aca="false">IF(U623=1,SUMPRODUCT(($K$4:$K$703=K623)*($F$4:$F$703=F623)*($U$4:$U$703=1)*($B$4:$B$703&lt;&gt;B623)),0)</f>
        <v>0</v>
      </c>
      <c r="W623" s="11" t="n">
        <f aca="false">IF(AND(U623=1,V623&gt;0),1+SUMPRODUCT(($K$4:$K$703=K623)*($F$4:$F$703=F623)*($U$4:$U$703=1)*($S$4:$S$703&gt;S623))+SUMPRODUCT(($K$4:$K$703=K623)*($F$4:$F$703=F623)*($U$4:$U$703=1)*($S$4:$S$703=S623)*($T$4:$T$703&gt;T623))+SUMPRODUCT(($K$4:$K$703=K623)*($F$4:$F$703=F623)*($U$4:$U$703=1)*($S$4:$S$703=S623)*($T$4:$T$703=T623)*($C$4:$C$703&lt;C623))+SUMPRODUCT(($K$4:$K$703=K623)*($F$4:$F$703=F623)*($U$4:$U$703=1)*($S$4:$S$703=S623)*($T$4:$T$703=T623)*($C$4:$C$703=C623)*($D$4:$D$703&lt;D623)),0)</f>
        <v>0</v>
      </c>
      <c r="X623" s="11" t="n">
        <f aca="false">IF(AND(U623=1,V623&gt;0,W623&gt;1),S623,0)</f>
        <v>0</v>
      </c>
      <c r="Y623" s="11" t="n">
        <f aca="false">IF(T623=1,X623/(1+Controls!$B$11)^F623,0)</f>
        <v>0</v>
      </c>
      <c r="Z623" s="11" t="n">
        <f aca="false">IF(AND(N623,E623="capacity",LEN(K623)&gt;0),1,0)</f>
        <v>1</v>
      </c>
      <c r="AA623" s="11" t="n">
        <f aca="false">IF(Z623=1,SUMPRODUCT(($K$4:$K$703=K623)*($F$4:$F$703=F623)*($Z$4:$Z$703=1)*($B$4:$B$703&lt;&gt;B623)),0)</f>
        <v>0</v>
      </c>
      <c r="AB623" s="11" t="n">
        <f aca="false">IF(AND(Z623=1,AA623&gt;0),1+SUMPRODUCT(($K$4:$K$703=K623)*($F$4:$F$703=F623)*($Z$4:$Z$703=1)*($P$4:$P$703&gt;P623))+SUMPRODUCT(($K$4:$K$703=K623)*($F$4:$F$703=F623)*($Z$4:$Z$703=1)*($P$4:$P$703=P623)*($C$4:$C$703&lt;C623))+SUMPRODUCT(($K$4:$K$703=K623)*($F$4:$F$703=F623)*($Z$4:$Z$703=1)*($P$4:$P$703=P623)*($C$4:$C$703=C623)*($D$4:$D$703&lt;D623)),0)</f>
        <v>0</v>
      </c>
      <c r="AC623" s="11" t="n">
        <f aca="false">IF(AND(Z623=1,AA623&gt;0,AB623&gt;1),P623,0)</f>
        <v>0</v>
      </c>
    </row>
    <row r="624" customFormat="false" ht="15" hidden="false" customHeight="false" outlineLevel="0" collapsed="false">
      <c r="A624" s="4" t="s">
        <v>883</v>
      </c>
      <c r="B624" s="4" t="s">
        <v>104</v>
      </c>
      <c r="C624" s="4" t="n">
        <v>22</v>
      </c>
      <c r="D624" s="4" t="n">
        <v>621</v>
      </c>
      <c r="E624" s="4" t="s">
        <v>233</v>
      </c>
      <c r="F624" s="4" t="n">
        <v>25</v>
      </c>
      <c r="G624" s="4" t="n">
        <v>24</v>
      </c>
      <c r="H624" s="4" t="n">
        <v>866</v>
      </c>
      <c r="I624" s="13" t="b">
        <f aca="false">FALSE()</f>
        <v>0</v>
      </c>
      <c r="K624" s="4" t="s">
        <v>882</v>
      </c>
      <c r="L624" s="4" t="n">
        <v>33.24</v>
      </c>
      <c r="M624" s="11" t="n">
        <f aca="false">IFERROR(MATCH(Controls!$B$3&amp;"|"&amp;B624,'Scenario inputs'!$A$4:$A$213,0),0)</f>
        <v>153</v>
      </c>
      <c r="N624" s="8" t="b">
        <f aca="false">IF(M624=0,FALSE(),F624&lt;Controls!$B$12)</f>
        <v>1</v>
      </c>
      <c r="O624" s="11" t="n">
        <f aca="false">IF(N624,IF(INDEX('Scenario inputs'!$E$4:$E$213,M624)=0,1,INDEX('Scenario inputs'!$F$4:$M$213,M624,MIN(MAX(F624-G624,0),INDEX('Scenario inputs'!$E$4:$E$213,M624)-1)+1)),0)</f>
        <v>0.2</v>
      </c>
      <c r="P624" s="11" t="n">
        <f aca="false">H624*O624</f>
        <v>173.2</v>
      </c>
      <c r="Q624" s="0" t="str">
        <f aca="false">IF(M624=0,"",IF(ISNUMBER(INDEX('Scenario inputs'!$N$4:$N$213,M624)),INDEX('Scenario inputs'!$N$4:$N$213,M624),""))</f>
        <v/>
      </c>
      <c r="R624" s="0" t="str">
        <f aca="false">IF(NOT(N624),"",IF(OR(E624="cash",E624="revenue"),E624,IF(E624="avoided_cost",IF(AND(I624,LEN(TRIM(J624))&gt;0),"avoided_cost_realised","avoided_cost_beside"),IF(ISNUMBER(Q624),"capacity_converted","capacity_hours"))))</f>
        <v>capacity_hours</v>
      </c>
      <c r="S624" s="11" t="n">
        <f aca="false">IF(OR(R624="",R624="capacity_hours"),0,IF(R624="capacity_converted",P624*Q624,P624))</f>
        <v>0</v>
      </c>
      <c r="T624" s="11" t="n">
        <f aca="false">IF(OR(R624="cash",R624="revenue",R624="avoided_cost_realised",R624="capacity_converted"),1,0)</f>
        <v>0</v>
      </c>
      <c r="U624" s="11" t="n">
        <f aca="false">IF(AND(N624,R624&lt;&gt;"capacity_hours",LEN(K624)&gt;0),1,0)</f>
        <v>0</v>
      </c>
      <c r="V624" s="11" t="n">
        <f aca="false">IF(U624=1,SUMPRODUCT(($K$4:$K$703=K624)*($F$4:$F$703=F624)*($U$4:$U$703=1)*($B$4:$B$703&lt;&gt;B624)),0)</f>
        <v>0</v>
      </c>
      <c r="W624" s="11" t="n">
        <f aca="false">IF(AND(U624=1,V624&gt;0),1+SUMPRODUCT(($K$4:$K$703=K624)*($F$4:$F$703=F624)*($U$4:$U$703=1)*($S$4:$S$703&gt;S624))+SUMPRODUCT(($K$4:$K$703=K624)*($F$4:$F$703=F624)*($U$4:$U$703=1)*($S$4:$S$703=S624)*($T$4:$T$703&gt;T624))+SUMPRODUCT(($K$4:$K$703=K624)*($F$4:$F$703=F624)*($U$4:$U$703=1)*($S$4:$S$703=S624)*($T$4:$T$703=T624)*($C$4:$C$703&lt;C624))+SUMPRODUCT(($K$4:$K$703=K624)*($F$4:$F$703=F624)*($U$4:$U$703=1)*($S$4:$S$703=S624)*($T$4:$T$703=T624)*($C$4:$C$703=C624)*($D$4:$D$703&lt;D624)),0)</f>
        <v>0</v>
      </c>
      <c r="X624" s="11" t="n">
        <f aca="false">IF(AND(U624=1,V624&gt;0,W624&gt;1),S624,0)</f>
        <v>0</v>
      </c>
      <c r="Y624" s="11" t="n">
        <f aca="false">IF(T624=1,X624/(1+Controls!$B$11)^F624,0)</f>
        <v>0</v>
      </c>
      <c r="Z624" s="11" t="n">
        <f aca="false">IF(AND(N624,E624="capacity",LEN(K624)&gt;0),1,0)</f>
        <v>1</v>
      </c>
      <c r="AA624" s="11" t="n">
        <f aca="false">IF(Z624=1,SUMPRODUCT(($K$4:$K$703=K624)*($F$4:$F$703=F624)*($Z$4:$Z$703=1)*($B$4:$B$703&lt;&gt;B624)),0)</f>
        <v>0</v>
      </c>
      <c r="AB624" s="11" t="n">
        <f aca="false">IF(AND(Z624=1,AA624&gt;0),1+SUMPRODUCT(($K$4:$K$703=K624)*($F$4:$F$703=F624)*($Z$4:$Z$703=1)*($P$4:$P$703&gt;P624))+SUMPRODUCT(($K$4:$K$703=K624)*($F$4:$F$703=F624)*($Z$4:$Z$703=1)*($P$4:$P$703=P624)*($C$4:$C$703&lt;C624))+SUMPRODUCT(($K$4:$K$703=K624)*($F$4:$F$703=F624)*($Z$4:$Z$703=1)*($P$4:$P$703=P624)*($C$4:$C$703=C624)*($D$4:$D$703&lt;D624)),0)</f>
        <v>0</v>
      </c>
      <c r="AC624" s="11" t="n">
        <f aca="false">IF(AND(Z624=1,AA624&gt;0,AB624&gt;1),P624,0)</f>
        <v>0</v>
      </c>
    </row>
    <row r="625" customFormat="false" ht="15" hidden="false" customHeight="false" outlineLevel="0" collapsed="false">
      <c r="A625" s="4" t="s">
        <v>884</v>
      </c>
      <c r="B625" s="4" t="s">
        <v>104</v>
      </c>
      <c r="C625" s="4" t="n">
        <v>22</v>
      </c>
      <c r="D625" s="4" t="n">
        <v>622</v>
      </c>
      <c r="E625" s="4" t="s">
        <v>233</v>
      </c>
      <c r="F625" s="4" t="n">
        <v>26</v>
      </c>
      <c r="G625" s="4" t="n">
        <v>24</v>
      </c>
      <c r="H625" s="4" t="n">
        <v>866</v>
      </c>
      <c r="I625" s="13" t="b">
        <f aca="false">FALSE()</f>
        <v>0</v>
      </c>
      <c r="K625" s="4" t="s">
        <v>882</v>
      </c>
      <c r="L625" s="4" t="n">
        <v>66.47</v>
      </c>
      <c r="M625" s="11" t="n">
        <f aca="false">IFERROR(MATCH(Controls!$B$3&amp;"|"&amp;B625,'Scenario inputs'!$A$4:$A$213,0),0)</f>
        <v>153</v>
      </c>
      <c r="N625" s="8" t="b">
        <f aca="false">IF(M625=0,FALSE(),F625&lt;Controls!$B$12)</f>
        <v>1</v>
      </c>
      <c r="O625" s="11" t="n">
        <f aca="false">IF(N625,IF(INDEX('Scenario inputs'!$E$4:$E$213,M625)=0,1,INDEX('Scenario inputs'!$F$4:$M$213,M625,MIN(MAX(F625-G625,0),INDEX('Scenario inputs'!$E$4:$E$213,M625)-1)+1)),0)</f>
        <v>0.4</v>
      </c>
      <c r="P625" s="11" t="n">
        <f aca="false">H625*O625</f>
        <v>346.4</v>
      </c>
      <c r="Q625" s="0" t="str">
        <f aca="false">IF(M625=0,"",IF(ISNUMBER(INDEX('Scenario inputs'!$N$4:$N$213,M625)),INDEX('Scenario inputs'!$N$4:$N$213,M625),""))</f>
        <v/>
      </c>
      <c r="R625" s="0" t="str">
        <f aca="false">IF(NOT(N625),"",IF(OR(E625="cash",E625="revenue"),E625,IF(E625="avoided_cost",IF(AND(I625,LEN(TRIM(J625))&gt;0),"avoided_cost_realised","avoided_cost_beside"),IF(ISNUMBER(Q625),"capacity_converted","capacity_hours"))))</f>
        <v>capacity_hours</v>
      </c>
      <c r="S625" s="11" t="n">
        <f aca="false">IF(OR(R625="",R625="capacity_hours"),0,IF(R625="capacity_converted",P625*Q625,P625))</f>
        <v>0</v>
      </c>
      <c r="T625" s="11" t="n">
        <f aca="false">IF(OR(R625="cash",R625="revenue",R625="avoided_cost_realised",R625="capacity_converted"),1,0)</f>
        <v>0</v>
      </c>
      <c r="U625" s="11" t="n">
        <f aca="false">IF(AND(N625,R625&lt;&gt;"capacity_hours",LEN(K625)&gt;0),1,0)</f>
        <v>0</v>
      </c>
      <c r="V625" s="11" t="n">
        <f aca="false">IF(U625=1,SUMPRODUCT(($K$4:$K$703=K625)*($F$4:$F$703=F625)*($U$4:$U$703=1)*($B$4:$B$703&lt;&gt;B625)),0)</f>
        <v>0</v>
      </c>
      <c r="W625" s="11" t="n">
        <f aca="false">IF(AND(U625=1,V625&gt;0),1+SUMPRODUCT(($K$4:$K$703=K625)*($F$4:$F$703=F625)*($U$4:$U$703=1)*($S$4:$S$703&gt;S625))+SUMPRODUCT(($K$4:$K$703=K625)*($F$4:$F$703=F625)*($U$4:$U$703=1)*($S$4:$S$703=S625)*($T$4:$T$703&gt;T625))+SUMPRODUCT(($K$4:$K$703=K625)*($F$4:$F$703=F625)*($U$4:$U$703=1)*($S$4:$S$703=S625)*($T$4:$T$703=T625)*($C$4:$C$703&lt;C625))+SUMPRODUCT(($K$4:$K$703=K625)*($F$4:$F$703=F625)*($U$4:$U$703=1)*($S$4:$S$703=S625)*($T$4:$T$703=T625)*($C$4:$C$703=C625)*($D$4:$D$703&lt;D625)),0)</f>
        <v>0</v>
      </c>
      <c r="X625" s="11" t="n">
        <f aca="false">IF(AND(U625=1,V625&gt;0,W625&gt;1),S625,0)</f>
        <v>0</v>
      </c>
      <c r="Y625" s="11" t="n">
        <f aca="false">IF(T625=1,X625/(1+Controls!$B$11)^F625,0)</f>
        <v>0</v>
      </c>
      <c r="Z625" s="11" t="n">
        <f aca="false">IF(AND(N625,E625="capacity",LEN(K625)&gt;0),1,0)</f>
        <v>1</v>
      </c>
      <c r="AA625" s="11" t="n">
        <f aca="false">IF(Z625=1,SUMPRODUCT(($K$4:$K$703=K625)*($F$4:$F$703=F625)*($Z$4:$Z$703=1)*($B$4:$B$703&lt;&gt;B625)),0)</f>
        <v>0</v>
      </c>
      <c r="AB625" s="11" t="n">
        <f aca="false">IF(AND(Z625=1,AA625&gt;0),1+SUMPRODUCT(($K$4:$K$703=K625)*($F$4:$F$703=F625)*($Z$4:$Z$703=1)*($P$4:$P$703&gt;P625))+SUMPRODUCT(($K$4:$K$703=K625)*($F$4:$F$703=F625)*($Z$4:$Z$703=1)*($P$4:$P$703=P625)*($C$4:$C$703&lt;C625))+SUMPRODUCT(($K$4:$K$703=K625)*($F$4:$F$703=F625)*($Z$4:$Z$703=1)*($P$4:$P$703=P625)*($C$4:$C$703=C625)*($D$4:$D$703&lt;D625)),0)</f>
        <v>0</v>
      </c>
      <c r="AC625" s="11" t="n">
        <f aca="false">IF(AND(Z625=1,AA625&gt;0,AB625&gt;1),P625,0)</f>
        <v>0</v>
      </c>
    </row>
    <row r="626" customFormat="false" ht="15" hidden="false" customHeight="false" outlineLevel="0" collapsed="false">
      <c r="A626" s="4" t="s">
        <v>885</v>
      </c>
      <c r="B626" s="4" t="s">
        <v>104</v>
      </c>
      <c r="C626" s="4" t="n">
        <v>22</v>
      </c>
      <c r="D626" s="4" t="n">
        <v>623</v>
      </c>
      <c r="E626" s="4" t="s">
        <v>233</v>
      </c>
      <c r="F626" s="4" t="n">
        <v>27</v>
      </c>
      <c r="G626" s="4" t="n">
        <v>24</v>
      </c>
      <c r="H626" s="4" t="n">
        <v>866</v>
      </c>
      <c r="I626" s="13" t="b">
        <f aca="false">FALSE()</f>
        <v>0</v>
      </c>
      <c r="K626" s="4" t="s">
        <v>882</v>
      </c>
      <c r="L626" s="4" t="n">
        <v>110.79</v>
      </c>
      <c r="M626" s="11" t="n">
        <f aca="false">IFERROR(MATCH(Controls!$B$3&amp;"|"&amp;B626,'Scenario inputs'!$A$4:$A$213,0),0)</f>
        <v>153</v>
      </c>
      <c r="N626" s="8" t="b">
        <f aca="false">IF(M626=0,FALSE(),F626&lt;Controls!$B$12)</f>
        <v>1</v>
      </c>
      <c r="O626" s="11" t="n">
        <f aca="false">IF(N626,IF(INDEX('Scenario inputs'!$E$4:$E$213,M626)=0,1,INDEX('Scenario inputs'!$F$4:$M$213,M626,MIN(MAX(F626-G626,0),INDEX('Scenario inputs'!$E$4:$E$213,M626)-1)+1)),0)</f>
        <v>0.666667</v>
      </c>
      <c r="P626" s="11" t="n">
        <f aca="false">H626*O626</f>
        <v>577.333622</v>
      </c>
      <c r="Q626" s="0" t="str">
        <f aca="false">IF(M626=0,"",IF(ISNUMBER(INDEX('Scenario inputs'!$N$4:$N$213,M626)),INDEX('Scenario inputs'!$N$4:$N$213,M626),""))</f>
        <v/>
      </c>
      <c r="R626" s="0" t="str">
        <f aca="false">IF(NOT(N626),"",IF(OR(E626="cash",E626="revenue"),E626,IF(E626="avoided_cost",IF(AND(I626,LEN(TRIM(J626))&gt;0),"avoided_cost_realised","avoided_cost_beside"),IF(ISNUMBER(Q626),"capacity_converted","capacity_hours"))))</f>
        <v>capacity_hours</v>
      </c>
      <c r="S626" s="11" t="n">
        <f aca="false">IF(OR(R626="",R626="capacity_hours"),0,IF(R626="capacity_converted",P626*Q626,P626))</f>
        <v>0</v>
      </c>
      <c r="T626" s="11" t="n">
        <f aca="false">IF(OR(R626="cash",R626="revenue",R626="avoided_cost_realised",R626="capacity_converted"),1,0)</f>
        <v>0</v>
      </c>
      <c r="U626" s="11" t="n">
        <f aca="false">IF(AND(N626,R626&lt;&gt;"capacity_hours",LEN(K626)&gt;0),1,0)</f>
        <v>0</v>
      </c>
      <c r="V626" s="11" t="n">
        <f aca="false">IF(U626=1,SUMPRODUCT(($K$4:$K$703=K626)*($F$4:$F$703=F626)*($U$4:$U$703=1)*($B$4:$B$703&lt;&gt;B626)),0)</f>
        <v>0</v>
      </c>
      <c r="W626" s="11" t="n">
        <f aca="false">IF(AND(U626=1,V626&gt;0),1+SUMPRODUCT(($K$4:$K$703=K626)*($F$4:$F$703=F626)*($U$4:$U$703=1)*($S$4:$S$703&gt;S626))+SUMPRODUCT(($K$4:$K$703=K626)*($F$4:$F$703=F626)*($U$4:$U$703=1)*($S$4:$S$703=S626)*($T$4:$T$703&gt;T626))+SUMPRODUCT(($K$4:$K$703=K626)*($F$4:$F$703=F626)*($U$4:$U$703=1)*($S$4:$S$703=S626)*($T$4:$T$703=T626)*($C$4:$C$703&lt;C626))+SUMPRODUCT(($K$4:$K$703=K626)*($F$4:$F$703=F626)*($U$4:$U$703=1)*($S$4:$S$703=S626)*($T$4:$T$703=T626)*($C$4:$C$703=C626)*($D$4:$D$703&lt;D626)),0)</f>
        <v>0</v>
      </c>
      <c r="X626" s="11" t="n">
        <f aca="false">IF(AND(U626=1,V626&gt;0,W626&gt;1),S626,0)</f>
        <v>0</v>
      </c>
      <c r="Y626" s="11" t="n">
        <f aca="false">IF(T626=1,X626/(1+Controls!$B$11)^F626,0)</f>
        <v>0</v>
      </c>
      <c r="Z626" s="11" t="n">
        <f aca="false">IF(AND(N626,E626="capacity",LEN(K626)&gt;0),1,0)</f>
        <v>1</v>
      </c>
      <c r="AA626" s="11" t="n">
        <f aca="false">IF(Z626=1,SUMPRODUCT(($K$4:$K$703=K626)*($F$4:$F$703=F626)*($Z$4:$Z$703=1)*($B$4:$B$703&lt;&gt;B626)),0)</f>
        <v>0</v>
      </c>
      <c r="AB626" s="11" t="n">
        <f aca="false">IF(AND(Z626=1,AA626&gt;0),1+SUMPRODUCT(($K$4:$K$703=K626)*($F$4:$F$703=F626)*($Z$4:$Z$703=1)*($P$4:$P$703&gt;P626))+SUMPRODUCT(($K$4:$K$703=K626)*($F$4:$F$703=F626)*($Z$4:$Z$703=1)*($P$4:$P$703=P626)*($C$4:$C$703&lt;C626))+SUMPRODUCT(($K$4:$K$703=K626)*($F$4:$F$703=F626)*($Z$4:$Z$703=1)*($P$4:$P$703=P626)*($C$4:$C$703=C626)*($D$4:$D$703&lt;D626)),0)</f>
        <v>0</v>
      </c>
      <c r="AC626" s="11" t="n">
        <f aca="false">IF(AND(Z626=1,AA626&gt;0,AB626&gt;1),P626,0)</f>
        <v>0</v>
      </c>
    </row>
    <row r="627" customFormat="false" ht="15" hidden="false" customHeight="false" outlineLevel="0" collapsed="false">
      <c r="A627" s="4" t="s">
        <v>886</v>
      </c>
      <c r="B627" s="4" t="s">
        <v>104</v>
      </c>
      <c r="C627" s="4" t="n">
        <v>22</v>
      </c>
      <c r="D627" s="4" t="n">
        <v>624</v>
      </c>
      <c r="E627" s="4" t="s">
        <v>233</v>
      </c>
      <c r="F627" s="4" t="n">
        <v>28</v>
      </c>
      <c r="G627" s="4" t="n">
        <v>24</v>
      </c>
      <c r="H627" s="4" t="n">
        <v>866</v>
      </c>
      <c r="I627" s="13" t="b">
        <f aca="false">FALSE()</f>
        <v>0</v>
      </c>
      <c r="K627" s="4" t="s">
        <v>882</v>
      </c>
      <c r="L627" s="4" t="n">
        <v>166.19</v>
      </c>
      <c r="M627" s="11" t="n">
        <f aca="false">IFERROR(MATCH(Controls!$B$3&amp;"|"&amp;B627,'Scenario inputs'!$A$4:$A$213,0),0)</f>
        <v>153</v>
      </c>
      <c r="N627" s="8" t="b">
        <f aca="false">IF(M627=0,FALSE(),F627&lt;Controls!$B$12)</f>
        <v>1</v>
      </c>
      <c r="O627" s="11" t="n">
        <f aca="false">IF(N627,IF(INDEX('Scenario inputs'!$E$4:$E$213,M627)=0,1,INDEX('Scenario inputs'!$F$4:$M$213,M627,MIN(MAX(F627-G627,0),INDEX('Scenario inputs'!$E$4:$E$213,M627)-1)+1)),0)</f>
        <v>1</v>
      </c>
      <c r="P627" s="11" t="n">
        <f aca="false">H627*O627</f>
        <v>866</v>
      </c>
      <c r="Q627" s="0" t="str">
        <f aca="false">IF(M627=0,"",IF(ISNUMBER(INDEX('Scenario inputs'!$N$4:$N$213,M627)),INDEX('Scenario inputs'!$N$4:$N$213,M627),""))</f>
        <v/>
      </c>
      <c r="R627" s="0" t="str">
        <f aca="false">IF(NOT(N627),"",IF(OR(E627="cash",E627="revenue"),E627,IF(E627="avoided_cost",IF(AND(I627,LEN(TRIM(J627))&gt;0),"avoided_cost_realised","avoided_cost_beside"),IF(ISNUMBER(Q627),"capacity_converted","capacity_hours"))))</f>
        <v>capacity_hours</v>
      </c>
      <c r="S627" s="11" t="n">
        <f aca="false">IF(OR(R627="",R627="capacity_hours"),0,IF(R627="capacity_converted",P627*Q627,P627))</f>
        <v>0</v>
      </c>
      <c r="T627" s="11" t="n">
        <f aca="false">IF(OR(R627="cash",R627="revenue",R627="avoided_cost_realised",R627="capacity_converted"),1,0)</f>
        <v>0</v>
      </c>
      <c r="U627" s="11" t="n">
        <f aca="false">IF(AND(N627,R627&lt;&gt;"capacity_hours",LEN(K627)&gt;0),1,0)</f>
        <v>0</v>
      </c>
      <c r="V627" s="11" t="n">
        <f aca="false">IF(U627=1,SUMPRODUCT(($K$4:$K$703=K627)*($F$4:$F$703=F627)*($U$4:$U$703=1)*($B$4:$B$703&lt;&gt;B627)),0)</f>
        <v>0</v>
      </c>
      <c r="W627" s="11" t="n">
        <f aca="false">IF(AND(U627=1,V627&gt;0),1+SUMPRODUCT(($K$4:$K$703=K627)*($F$4:$F$703=F627)*($U$4:$U$703=1)*($S$4:$S$703&gt;S627))+SUMPRODUCT(($K$4:$K$703=K627)*($F$4:$F$703=F627)*($U$4:$U$703=1)*($S$4:$S$703=S627)*($T$4:$T$703&gt;T627))+SUMPRODUCT(($K$4:$K$703=K627)*($F$4:$F$703=F627)*($U$4:$U$703=1)*($S$4:$S$703=S627)*($T$4:$T$703=T627)*($C$4:$C$703&lt;C627))+SUMPRODUCT(($K$4:$K$703=K627)*($F$4:$F$703=F627)*($U$4:$U$703=1)*($S$4:$S$703=S627)*($T$4:$T$703=T627)*($C$4:$C$703=C627)*($D$4:$D$703&lt;D627)),0)</f>
        <v>0</v>
      </c>
      <c r="X627" s="11" t="n">
        <f aca="false">IF(AND(U627=1,V627&gt;0,W627&gt;1),S627,0)</f>
        <v>0</v>
      </c>
      <c r="Y627" s="11" t="n">
        <f aca="false">IF(T627=1,X627/(1+Controls!$B$11)^F627,0)</f>
        <v>0</v>
      </c>
      <c r="Z627" s="11" t="n">
        <f aca="false">IF(AND(N627,E627="capacity",LEN(K627)&gt;0),1,0)</f>
        <v>1</v>
      </c>
      <c r="AA627" s="11" t="n">
        <f aca="false">IF(Z627=1,SUMPRODUCT(($K$4:$K$703=K627)*($F$4:$F$703=F627)*($Z$4:$Z$703=1)*($B$4:$B$703&lt;&gt;B627)),0)</f>
        <v>0</v>
      </c>
      <c r="AB627" s="11" t="n">
        <f aca="false">IF(AND(Z627=1,AA627&gt;0),1+SUMPRODUCT(($K$4:$K$703=K627)*($F$4:$F$703=F627)*($Z$4:$Z$703=1)*($P$4:$P$703&gt;P627))+SUMPRODUCT(($K$4:$K$703=K627)*($F$4:$F$703=F627)*($Z$4:$Z$703=1)*($P$4:$P$703=P627)*($C$4:$C$703&lt;C627))+SUMPRODUCT(($K$4:$K$703=K627)*($F$4:$F$703=F627)*($Z$4:$Z$703=1)*($P$4:$P$703=P627)*($C$4:$C$703=C627)*($D$4:$D$703&lt;D627)),0)</f>
        <v>0</v>
      </c>
      <c r="AC627" s="11" t="n">
        <f aca="false">IF(AND(Z627=1,AA627&gt;0,AB627&gt;1),P627,0)</f>
        <v>0</v>
      </c>
    </row>
    <row r="628" customFormat="false" ht="15" hidden="false" customHeight="false" outlineLevel="0" collapsed="false">
      <c r="A628" s="4" t="s">
        <v>887</v>
      </c>
      <c r="B628" s="4" t="s">
        <v>104</v>
      </c>
      <c r="C628" s="4" t="n">
        <v>22</v>
      </c>
      <c r="D628" s="4" t="n">
        <v>625</v>
      </c>
      <c r="E628" s="4" t="s">
        <v>233</v>
      </c>
      <c r="F628" s="4" t="n">
        <v>29</v>
      </c>
      <c r="G628" s="4" t="n">
        <v>24</v>
      </c>
      <c r="H628" s="4" t="n">
        <v>866</v>
      </c>
      <c r="I628" s="13" t="b">
        <f aca="false">FALSE()</f>
        <v>0</v>
      </c>
      <c r="K628" s="4" t="s">
        <v>882</v>
      </c>
      <c r="L628" s="4" t="n">
        <v>166.19</v>
      </c>
      <c r="M628" s="11" t="n">
        <f aca="false">IFERROR(MATCH(Controls!$B$3&amp;"|"&amp;B628,'Scenario inputs'!$A$4:$A$213,0),0)</f>
        <v>153</v>
      </c>
      <c r="N628" s="8" t="b">
        <f aca="false">IF(M628=0,FALSE(),F628&lt;Controls!$B$12)</f>
        <v>1</v>
      </c>
      <c r="O628" s="11" t="n">
        <f aca="false">IF(N628,IF(INDEX('Scenario inputs'!$E$4:$E$213,M628)=0,1,INDEX('Scenario inputs'!$F$4:$M$213,M628,MIN(MAX(F628-G628,0),INDEX('Scenario inputs'!$E$4:$E$213,M628)-1)+1)),0)</f>
        <v>1</v>
      </c>
      <c r="P628" s="11" t="n">
        <f aca="false">H628*O628</f>
        <v>866</v>
      </c>
      <c r="Q628" s="0" t="str">
        <f aca="false">IF(M628=0,"",IF(ISNUMBER(INDEX('Scenario inputs'!$N$4:$N$213,M628)),INDEX('Scenario inputs'!$N$4:$N$213,M628),""))</f>
        <v/>
      </c>
      <c r="R628" s="0" t="str">
        <f aca="false">IF(NOT(N628),"",IF(OR(E628="cash",E628="revenue"),E628,IF(E628="avoided_cost",IF(AND(I628,LEN(TRIM(J628))&gt;0),"avoided_cost_realised","avoided_cost_beside"),IF(ISNUMBER(Q628),"capacity_converted","capacity_hours"))))</f>
        <v>capacity_hours</v>
      </c>
      <c r="S628" s="11" t="n">
        <f aca="false">IF(OR(R628="",R628="capacity_hours"),0,IF(R628="capacity_converted",P628*Q628,P628))</f>
        <v>0</v>
      </c>
      <c r="T628" s="11" t="n">
        <f aca="false">IF(OR(R628="cash",R628="revenue",R628="avoided_cost_realised",R628="capacity_converted"),1,0)</f>
        <v>0</v>
      </c>
      <c r="U628" s="11" t="n">
        <f aca="false">IF(AND(N628,R628&lt;&gt;"capacity_hours",LEN(K628)&gt;0),1,0)</f>
        <v>0</v>
      </c>
      <c r="V628" s="11" t="n">
        <f aca="false">IF(U628=1,SUMPRODUCT(($K$4:$K$703=K628)*($F$4:$F$703=F628)*($U$4:$U$703=1)*($B$4:$B$703&lt;&gt;B628)),0)</f>
        <v>0</v>
      </c>
      <c r="W628" s="11" t="n">
        <f aca="false">IF(AND(U628=1,V628&gt;0),1+SUMPRODUCT(($K$4:$K$703=K628)*($F$4:$F$703=F628)*($U$4:$U$703=1)*($S$4:$S$703&gt;S628))+SUMPRODUCT(($K$4:$K$703=K628)*($F$4:$F$703=F628)*($U$4:$U$703=1)*($S$4:$S$703=S628)*($T$4:$T$703&gt;T628))+SUMPRODUCT(($K$4:$K$703=K628)*($F$4:$F$703=F628)*($U$4:$U$703=1)*($S$4:$S$703=S628)*($T$4:$T$703=T628)*($C$4:$C$703&lt;C628))+SUMPRODUCT(($K$4:$K$703=K628)*($F$4:$F$703=F628)*($U$4:$U$703=1)*($S$4:$S$703=S628)*($T$4:$T$703=T628)*($C$4:$C$703=C628)*($D$4:$D$703&lt;D628)),0)</f>
        <v>0</v>
      </c>
      <c r="X628" s="11" t="n">
        <f aca="false">IF(AND(U628=1,V628&gt;0,W628&gt;1),S628,0)</f>
        <v>0</v>
      </c>
      <c r="Y628" s="11" t="n">
        <f aca="false">IF(T628=1,X628/(1+Controls!$B$11)^F628,0)</f>
        <v>0</v>
      </c>
      <c r="Z628" s="11" t="n">
        <f aca="false">IF(AND(N628,E628="capacity",LEN(K628)&gt;0),1,0)</f>
        <v>1</v>
      </c>
      <c r="AA628" s="11" t="n">
        <f aca="false">IF(Z628=1,SUMPRODUCT(($K$4:$K$703=K628)*($F$4:$F$703=F628)*($Z$4:$Z$703=1)*($B$4:$B$703&lt;&gt;B628)),0)</f>
        <v>0</v>
      </c>
      <c r="AB628" s="11" t="n">
        <f aca="false">IF(AND(Z628=1,AA628&gt;0),1+SUMPRODUCT(($K$4:$K$703=K628)*($F$4:$F$703=F628)*($Z$4:$Z$703=1)*($P$4:$P$703&gt;P628))+SUMPRODUCT(($K$4:$K$703=K628)*($F$4:$F$703=F628)*($Z$4:$Z$703=1)*($P$4:$P$703=P628)*($C$4:$C$703&lt;C628))+SUMPRODUCT(($K$4:$K$703=K628)*($F$4:$F$703=F628)*($Z$4:$Z$703=1)*($P$4:$P$703=P628)*($C$4:$C$703=C628)*($D$4:$D$703&lt;D628)),0)</f>
        <v>0</v>
      </c>
      <c r="AC628" s="11" t="n">
        <f aca="false">IF(AND(Z628=1,AA628&gt;0,AB628&gt;1),P628,0)</f>
        <v>0</v>
      </c>
    </row>
    <row r="629" customFormat="false" ht="15" hidden="false" customHeight="false" outlineLevel="0" collapsed="false">
      <c r="A629" s="4" t="s">
        <v>888</v>
      </c>
      <c r="B629" s="4" t="s">
        <v>104</v>
      </c>
      <c r="C629" s="4" t="n">
        <v>22</v>
      </c>
      <c r="D629" s="4" t="n">
        <v>626</v>
      </c>
      <c r="E629" s="4" t="s">
        <v>233</v>
      </c>
      <c r="F629" s="4" t="n">
        <v>30</v>
      </c>
      <c r="G629" s="4" t="n">
        <v>24</v>
      </c>
      <c r="H629" s="4" t="n">
        <v>866</v>
      </c>
      <c r="I629" s="13" t="b">
        <f aca="false">FALSE()</f>
        <v>0</v>
      </c>
      <c r="K629" s="4" t="s">
        <v>882</v>
      </c>
      <c r="L629" s="4" t="n">
        <v>166.19</v>
      </c>
      <c r="M629" s="11" t="n">
        <f aca="false">IFERROR(MATCH(Controls!$B$3&amp;"|"&amp;B629,'Scenario inputs'!$A$4:$A$213,0),0)</f>
        <v>153</v>
      </c>
      <c r="N629" s="8" t="b">
        <f aca="false">IF(M629=0,FALSE(),F629&lt;Controls!$B$12)</f>
        <v>1</v>
      </c>
      <c r="O629" s="11" t="n">
        <f aca="false">IF(N629,IF(INDEX('Scenario inputs'!$E$4:$E$213,M629)=0,1,INDEX('Scenario inputs'!$F$4:$M$213,M629,MIN(MAX(F629-G629,0),INDEX('Scenario inputs'!$E$4:$E$213,M629)-1)+1)),0)</f>
        <v>1</v>
      </c>
      <c r="P629" s="11" t="n">
        <f aca="false">H629*O629</f>
        <v>866</v>
      </c>
      <c r="Q629" s="0" t="str">
        <f aca="false">IF(M629=0,"",IF(ISNUMBER(INDEX('Scenario inputs'!$N$4:$N$213,M629)),INDEX('Scenario inputs'!$N$4:$N$213,M629),""))</f>
        <v/>
      </c>
      <c r="R629" s="0" t="str">
        <f aca="false">IF(NOT(N629),"",IF(OR(E629="cash",E629="revenue"),E629,IF(E629="avoided_cost",IF(AND(I629,LEN(TRIM(J629))&gt;0),"avoided_cost_realised","avoided_cost_beside"),IF(ISNUMBER(Q629),"capacity_converted","capacity_hours"))))</f>
        <v>capacity_hours</v>
      </c>
      <c r="S629" s="11" t="n">
        <f aca="false">IF(OR(R629="",R629="capacity_hours"),0,IF(R629="capacity_converted",P629*Q629,P629))</f>
        <v>0</v>
      </c>
      <c r="T629" s="11" t="n">
        <f aca="false">IF(OR(R629="cash",R629="revenue",R629="avoided_cost_realised",R629="capacity_converted"),1,0)</f>
        <v>0</v>
      </c>
      <c r="U629" s="11" t="n">
        <f aca="false">IF(AND(N629,R629&lt;&gt;"capacity_hours",LEN(K629)&gt;0),1,0)</f>
        <v>0</v>
      </c>
      <c r="V629" s="11" t="n">
        <f aca="false">IF(U629=1,SUMPRODUCT(($K$4:$K$703=K629)*($F$4:$F$703=F629)*($U$4:$U$703=1)*($B$4:$B$703&lt;&gt;B629)),0)</f>
        <v>0</v>
      </c>
      <c r="W629" s="11" t="n">
        <f aca="false">IF(AND(U629=1,V629&gt;0),1+SUMPRODUCT(($K$4:$K$703=K629)*($F$4:$F$703=F629)*($U$4:$U$703=1)*($S$4:$S$703&gt;S629))+SUMPRODUCT(($K$4:$K$703=K629)*($F$4:$F$703=F629)*($U$4:$U$703=1)*($S$4:$S$703=S629)*($T$4:$T$703&gt;T629))+SUMPRODUCT(($K$4:$K$703=K629)*($F$4:$F$703=F629)*($U$4:$U$703=1)*($S$4:$S$703=S629)*($T$4:$T$703=T629)*($C$4:$C$703&lt;C629))+SUMPRODUCT(($K$4:$K$703=K629)*($F$4:$F$703=F629)*($U$4:$U$703=1)*($S$4:$S$703=S629)*($T$4:$T$703=T629)*($C$4:$C$703=C629)*($D$4:$D$703&lt;D629)),0)</f>
        <v>0</v>
      </c>
      <c r="X629" s="11" t="n">
        <f aca="false">IF(AND(U629=1,V629&gt;0,W629&gt;1),S629,0)</f>
        <v>0</v>
      </c>
      <c r="Y629" s="11" t="n">
        <f aca="false">IF(T629=1,X629/(1+Controls!$B$11)^F629,0)</f>
        <v>0</v>
      </c>
      <c r="Z629" s="11" t="n">
        <f aca="false">IF(AND(N629,E629="capacity",LEN(K629)&gt;0),1,0)</f>
        <v>1</v>
      </c>
      <c r="AA629" s="11" t="n">
        <f aca="false">IF(Z629=1,SUMPRODUCT(($K$4:$K$703=K629)*($F$4:$F$703=F629)*($Z$4:$Z$703=1)*($B$4:$B$703&lt;&gt;B629)),0)</f>
        <v>0</v>
      </c>
      <c r="AB629" s="11" t="n">
        <f aca="false">IF(AND(Z629=1,AA629&gt;0),1+SUMPRODUCT(($K$4:$K$703=K629)*($F$4:$F$703=F629)*($Z$4:$Z$703=1)*($P$4:$P$703&gt;P629))+SUMPRODUCT(($K$4:$K$703=K629)*($F$4:$F$703=F629)*($Z$4:$Z$703=1)*($P$4:$P$703=P629)*($C$4:$C$703&lt;C629))+SUMPRODUCT(($K$4:$K$703=K629)*($F$4:$F$703=F629)*($Z$4:$Z$703=1)*($P$4:$P$703=P629)*($C$4:$C$703=C629)*($D$4:$D$703&lt;D629)),0)</f>
        <v>0</v>
      </c>
      <c r="AC629" s="11" t="n">
        <f aca="false">IF(AND(Z629=1,AA629&gt;0,AB629&gt;1),P629,0)</f>
        <v>0</v>
      </c>
    </row>
    <row r="630" customFormat="false" ht="15" hidden="false" customHeight="false" outlineLevel="0" collapsed="false">
      <c r="A630" s="4" t="s">
        <v>889</v>
      </c>
      <c r="B630" s="4" t="s">
        <v>104</v>
      </c>
      <c r="C630" s="4" t="n">
        <v>22</v>
      </c>
      <c r="D630" s="4" t="n">
        <v>627</v>
      </c>
      <c r="E630" s="4" t="s">
        <v>233</v>
      </c>
      <c r="F630" s="4" t="n">
        <v>31</v>
      </c>
      <c r="G630" s="4" t="n">
        <v>24</v>
      </c>
      <c r="H630" s="4" t="n">
        <v>866</v>
      </c>
      <c r="I630" s="13" t="b">
        <f aca="false">FALSE()</f>
        <v>0</v>
      </c>
      <c r="K630" s="4" t="s">
        <v>882</v>
      </c>
      <c r="L630" s="4" t="n">
        <v>166.19</v>
      </c>
      <c r="M630" s="11" t="n">
        <f aca="false">IFERROR(MATCH(Controls!$B$3&amp;"|"&amp;B630,'Scenario inputs'!$A$4:$A$213,0),0)</f>
        <v>153</v>
      </c>
      <c r="N630" s="8" t="b">
        <f aca="false">IF(M630=0,FALSE(),F630&lt;Controls!$B$12)</f>
        <v>1</v>
      </c>
      <c r="O630" s="11" t="n">
        <f aca="false">IF(N630,IF(INDEX('Scenario inputs'!$E$4:$E$213,M630)=0,1,INDEX('Scenario inputs'!$F$4:$M$213,M630,MIN(MAX(F630-G630,0),INDEX('Scenario inputs'!$E$4:$E$213,M630)-1)+1)),0)</f>
        <v>1</v>
      </c>
      <c r="P630" s="11" t="n">
        <f aca="false">H630*O630</f>
        <v>866</v>
      </c>
      <c r="Q630" s="0" t="str">
        <f aca="false">IF(M630=0,"",IF(ISNUMBER(INDEX('Scenario inputs'!$N$4:$N$213,M630)),INDEX('Scenario inputs'!$N$4:$N$213,M630),""))</f>
        <v/>
      </c>
      <c r="R630" s="0" t="str">
        <f aca="false">IF(NOT(N630),"",IF(OR(E630="cash",E630="revenue"),E630,IF(E630="avoided_cost",IF(AND(I630,LEN(TRIM(J630))&gt;0),"avoided_cost_realised","avoided_cost_beside"),IF(ISNUMBER(Q630),"capacity_converted","capacity_hours"))))</f>
        <v>capacity_hours</v>
      </c>
      <c r="S630" s="11" t="n">
        <f aca="false">IF(OR(R630="",R630="capacity_hours"),0,IF(R630="capacity_converted",P630*Q630,P630))</f>
        <v>0</v>
      </c>
      <c r="T630" s="11" t="n">
        <f aca="false">IF(OR(R630="cash",R630="revenue",R630="avoided_cost_realised",R630="capacity_converted"),1,0)</f>
        <v>0</v>
      </c>
      <c r="U630" s="11" t="n">
        <f aca="false">IF(AND(N630,R630&lt;&gt;"capacity_hours",LEN(K630)&gt;0),1,0)</f>
        <v>0</v>
      </c>
      <c r="V630" s="11" t="n">
        <f aca="false">IF(U630=1,SUMPRODUCT(($K$4:$K$703=K630)*($F$4:$F$703=F630)*($U$4:$U$703=1)*($B$4:$B$703&lt;&gt;B630)),0)</f>
        <v>0</v>
      </c>
      <c r="W630" s="11" t="n">
        <f aca="false">IF(AND(U630=1,V630&gt;0),1+SUMPRODUCT(($K$4:$K$703=K630)*($F$4:$F$703=F630)*($U$4:$U$703=1)*($S$4:$S$703&gt;S630))+SUMPRODUCT(($K$4:$K$703=K630)*($F$4:$F$703=F630)*($U$4:$U$703=1)*($S$4:$S$703=S630)*($T$4:$T$703&gt;T630))+SUMPRODUCT(($K$4:$K$703=K630)*($F$4:$F$703=F630)*($U$4:$U$703=1)*($S$4:$S$703=S630)*($T$4:$T$703=T630)*($C$4:$C$703&lt;C630))+SUMPRODUCT(($K$4:$K$703=K630)*($F$4:$F$703=F630)*($U$4:$U$703=1)*($S$4:$S$703=S630)*($T$4:$T$703=T630)*($C$4:$C$703=C630)*($D$4:$D$703&lt;D630)),0)</f>
        <v>0</v>
      </c>
      <c r="X630" s="11" t="n">
        <f aca="false">IF(AND(U630=1,V630&gt;0,W630&gt;1),S630,0)</f>
        <v>0</v>
      </c>
      <c r="Y630" s="11" t="n">
        <f aca="false">IF(T630=1,X630/(1+Controls!$B$11)^F630,0)</f>
        <v>0</v>
      </c>
      <c r="Z630" s="11" t="n">
        <f aca="false">IF(AND(N630,E630="capacity",LEN(K630)&gt;0),1,0)</f>
        <v>1</v>
      </c>
      <c r="AA630" s="11" t="n">
        <f aca="false">IF(Z630=1,SUMPRODUCT(($K$4:$K$703=K630)*($F$4:$F$703=F630)*($Z$4:$Z$703=1)*($B$4:$B$703&lt;&gt;B630)),0)</f>
        <v>0</v>
      </c>
      <c r="AB630" s="11" t="n">
        <f aca="false">IF(AND(Z630=1,AA630&gt;0),1+SUMPRODUCT(($K$4:$K$703=K630)*($F$4:$F$703=F630)*($Z$4:$Z$703=1)*($P$4:$P$703&gt;P630))+SUMPRODUCT(($K$4:$K$703=K630)*($F$4:$F$703=F630)*($Z$4:$Z$703=1)*($P$4:$P$703=P630)*($C$4:$C$703&lt;C630))+SUMPRODUCT(($K$4:$K$703=K630)*($F$4:$F$703=F630)*($Z$4:$Z$703=1)*($P$4:$P$703=P630)*($C$4:$C$703=C630)*($D$4:$D$703&lt;D630)),0)</f>
        <v>0</v>
      </c>
      <c r="AC630" s="11" t="n">
        <f aca="false">IF(AND(Z630=1,AA630&gt;0,AB630&gt;1),P630,0)</f>
        <v>0</v>
      </c>
    </row>
    <row r="631" customFormat="false" ht="15" hidden="false" customHeight="false" outlineLevel="0" collapsed="false">
      <c r="A631" s="4" t="s">
        <v>890</v>
      </c>
      <c r="B631" s="4" t="s">
        <v>104</v>
      </c>
      <c r="C631" s="4" t="n">
        <v>22</v>
      </c>
      <c r="D631" s="4" t="n">
        <v>628</v>
      </c>
      <c r="E631" s="4" t="s">
        <v>233</v>
      </c>
      <c r="F631" s="4" t="n">
        <v>32</v>
      </c>
      <c r="G631" s="4" t="n">
        <v>24</v>
      </c>
      <c r="H631" s="4" t="n">
        <v>866</v>
      </c>
      <c r="I631" s="13" t="b">
        <f aca="false">FALSE()</f>
        <v>0</v>
      </c>
      <c r="K631" s="4" t="s">
        <v>882</v>
      </c>
      <c r="L631" s="4" t="n">
        <v>166.19</v>
      </c>
      <c r="M631" s="11" t="n">
        <f aca="false">IFERROR(MATCH(Controls!$B$3&amp;"|"&amp;B631,'Scenario inputs'!$A$4:$A$213,0),0)</f>
        <v>153</v>
      </c>
      <c r="N631" s="8" t="b">
        <f aca="false">IF(M631=0,FALSE(),F631&lt;Controls!$B$12)</f>
        <v>1</v>
      </c>
      <c r="O631" s="11" t="n">
        <f aca="false">IF(N631,IF(INDEX('Scenario inputs'!$E$4:$E$213,M631)=0,1,INDEX('Scenario inputs'!$F$4:$M$213,M631,MIN(MAX(F631-G631,0),INDEX('Scenario inputs'!$E$4:$E$213,M631)-1)+1)),0)</f>
        <v>1</v>
      </c>
      <c r="P631" s="11" t="n">
        <f aca="false">H631*O631</f>
        <v>866</v>
      </c>
      <c r="Q631" s="0" t="str">
        <f aca="false">IF(M631=0,"",IF(ISNUMBER(INDEX('Scenario inputs'!$N$4:$N$213,M631)),INDEX('Scenario inputs'!$N$4:$N$213,M631),""))</f>
        <v/>
      </c>
      <c r="R631" s="0" t="str">
        <f aca="false">IF(NOT(N631),"",IF(OR(E631="cash",E631="revenue"),E631,IF(E631="avoided_cost",IF(AND(I631,LEN(TRIM(J631))&gt;0),"avoided_cost_realised","avoided_cost_beside"),IF(ISNUMBER(Q631),"capacity_converted","capacity_hours"))))</f>
        <v>capacity_hours</v>
      </c>
      <c r="S631" s="11" t="n">
        <f aca="false">IF(OR(R631="",R631="capacity_hours"),0,IF(R631="capacity_converted",P631*Q631,P631))</f>
        <v>0</v>
      </c>
      <c r="T631" s="11" t="n">
        <f aca="false">IF(OR(R631="cash",R631="revenue",R631="avoided_cost_realised",R631="capacity_converted"),1,0)</f>
        <v>0</v>
      </c>
      <c r="U631" s="11" t="n">
        <f aca="false">IF(AND(N631,R631&lt;&gt;"capacity_hours",LEN(K631)&gt;0),1,0)</f>
        <v>0</v>
      </c>
      <c r="V631" s="11" t="n">
        <f aca="false">IF(U631=1,SUMPRODUCT(($K$4:$K$703=K631)*($F$4:$F$703=F631)*($U$4:$U$703=1)*($B$4:$B$703&lt;&gt;B631)),0)</f>
        <v>0</v>
      </c>
      <c r="W631" s="11" t="n">
        <f aca="false">IF(AND(U631=1,V631&gt;0),1+SUMPRODUCT(($K$4:$K$703=K631)*($F$4:$F$703=F631)*($U$4:$U$703=1)*($S$4:$S$703&gt;S631))+SUMPRODUCT(($K$4:$K$703=K631)*($F$4:$F$703=F631)*($U$4:$U$703=1)*($S$4:$S$703=S631)*($T$4:$T$703&gt;T631))+SUMPRODUCT(($K$4:$K$703=K631)*($F$4:$F$703=F631)*($U$4:$U$703=1)*($S$4:$S$703=S631)*($T$4:$T$703=T631)*($C$4:$C$703&lt;C631))+SUMPRODUCT(($K$4:$K$703=K631)*($F$4:$F$703=F631)*($U$4:$U$703=1)*($S$4:$S$703=S631)*($T$4:$T$703=T631)*($C$4:$C$703=C631)*($D$4:$D$703&lt;D631)),0)</f>
        <v>0</v>
      </c>
      <c r="X631" s="11" t="n">
        <f aca="false">IF(AND(U631=1,V631&gt;0,W631&gt;1),S631,0)</f>
        <v>0</v>
      </c>
      <c r="Y631" s="11" t="n">
        <f aca="false">IF(T631=1,X631/(1+Controls!$B$11)^F631,0)</f>
        <v>0</v>
      </c>
      <c r="Z631" s="11" t="n">
        <f aca="false">IF(AND(N631,E631="capacity",LEN(K631)&gt;0),1,0)</f>
        <v>1</v>
      </c>
      <c r="AA631" s="11" t="n">
        <f aca="false">IF(Z631=1,SUMPRODUCT(($K$4:$K$703=K631)*($F$4:$F$703=F631)*($Z$4:$Z$703=1)*($B$4:$B$703&lt;&gt;B631)),0)</f>
        <v>0</v>
      </c>
      <c r="AB631" s="11" t="n">
        <f aca="false">IF(AND(Z631=1,AA631&gt;0),1+SUMPRODUCT(($K$4:$K$703=K631)*($F$4:$F$703=F631)*($Z$4:$Z$703=1)*($P$4:$P$703&gt;P631))+SUMPRODUCT(($K$4:$K$703=K631)*($F$4:$F$703=F631)*($Z$4:$Z$703=1)*($P$4:$P$703=P631)*($C$4:$C$703&lt;C631))+SUMPRODUCT(($K$4:$K$703=K631)*($F$4:$F$703=F631)*($Z$4:$Z$703=1)*($P$4:$P$703=P631)*($C$4:$C$703=C631)*($D$4:$D$703&lt;D631)),0)</f>
        <v>0</v>
      </c>
      <c r="AC631" s="11" t="n">
        <f aca="false">IF(AND(Z631=1,AA631&gt;0,AB631&gt;1),P631,0)</f>
        <v>0</v>
      </c>
    </row>
    <row r="632" customFormat="false" ht="15" hidden="false" customHeight="false" outlineLevel="0" collapsed="false">
      <c r="A632" s="4" t="s">
        <v>891</v>
      </c>
      <c r="B632" s="4" t="s">
        <v>104</v>
      </c>
      <c r="C632" s="4" t="n">
        <v>22</v>
      </c>
      <c r="D632" s="4" t="n">
        <v>629</v>
      </c>
      <c r="E632" s="4" t="s">
        <v>233</v>
      </c>
      <c r="F632" s="4" t="n">
        <v>33</v>
      </c>
      <c r="G632" s="4" t="n">
        <v>24</v>
      </c>
      <c r="H632" s="4" t="n">
        <v>866</v>
      </c>
      <c r="I632" s="13" t="b">
        <f aca="false">FALSE()</f>
        <v>0</v>
      </c>
      <c r="K632" s="4" t="s">
        <v>882</v>
      </c>
      <c r="L632" s="4" t="n">
        <v>166.19</v>
      </c>
      <c r="M632" s="11" t="n">
        <f aca="false">IFERROR(MATCH(Controls!$B$3&amp;"|"&amp;B632,'Scenario inputs'!$A$4:$A$213,0),0)</f>
        <v>153</v>
      </c>
      <c r="N632" s="8" t="b">
        <f aca="false">IF(M632=0,FALSE(),F632&lt;Controls!$B$12)</f>
        <v>1</v>
      </c>
      <c r="O632" s="11" t="n">
        <f aca="false">IF(N632,IF(INDEX('Scenario inputs'!$E$4:$E$213,M632)=0,1,INDEX('Scenario inputs'!$F$4:$M$213,M632,MIN(MAX(F632-G632,0),INDEX('Scenario inputs'!$E$4:$E$213,M632)-1)+1)),0)</f>
        <v>1</v>
      </c>
      <c r="P632" s="11" t="n">
        <f aca="false">H632*O632</f>
        <v>866</v>
      </c>
      <c r="Q632" s="0" t="str">
        <f aca="false">IF(M632=0,"",IF(ISNUMBER(INDEX('Scenario inputs'!$N$4:$N$213,M632)),INDEX('Scenario inputs'!$N$4:$N$213,M632),""))</f>
        <v/>
      </c>
      <c r="R632" s="0" t="str">
        <f aca="false">IF(NOT(N632),"",IF(OR(E632="cash",E632="revenue"),E632,IF(E632="avoided_cost",IF(AND(I632,LEN(TRIM(J632))&gt;0),"avoided_cost_realised","avoided_cost_beside"),IF(ISNUMBER(Q632),"capacity_converted","capacity_hours"))))</f>
        <v>capacity_hours</v>
      </c>
      <c r="S632" s="11" t="n">
        <f aca="false">IF(OR(R632="",R632="capacity_hours"),0,IF(R632="capacity_converted",P632*Q632,P632))</f>
        <v>0</v>
      </c>
      <c r="T632" s="11" t="n">
        <f aca="false">IF(OR(R632="cash",R632="revenue",R632="avoided_cost_realised",R632="capacity_converted"),1,0)</f>
        <v>0</v>
      </c>
      <c r="U632" s="11" t="n">
        <f aca="false">IF(AND(N632,R632&lt;&gt;"capacity_hours",LEN(K632)&gt;0),1,0)</f>
        <v>0</v>
      </c>
      <c r="V632" s="11" t="n">
        <f aca="false">IF(U632=1,SUMPRODUCT(($K$4:$K$703=K632)*($F$4:$F$703=F632)*($U$4:$U$703=1)*($B$4:$B$703&lt;&gt;B632)),0)</f>
        <v>0</v>
      </c>
      <c r="W632" s="11" t="n">
        <f aca="false">IF(AND(U632=1,V632&gt;0),1+SUMPRODUCT(($K$4:$K$703=K632)*($F$4:$F$703=F632)*($U$4:$U$703=1)*($S$4:$S$703&gt;S632))+SUMPRODUCT(($K$4:$K$703=K632)*($F$4:$F$703=F632)*($U$4:$U$703=1)*($S$4:$S$703=S632)*($T$4:$T$703&gt;T632))+SUMPRODUCT(($K$4:$K$703=K632)*($F$4:$F$703=F632)*($U$4:$U$703=1)*($S$4:$S$703=S632)*($T$4:$T$703=T632)*($C$4:$C$703&lt;C632))+SUMPRODUCT(($K$4:$K$703=K632)*($F$4:$F$703=F632)*($U$4:$U$703=1)*($S$4:$S$703=S632)*($T$4:$T$703=T632)*($C$4:$C$703=C632)*($D$4:$D$703&lt;D632)),0)</f>
        <v>0</v>
      </c>
      <c r="X632" s="11" t="n">
        <f aca="false">IF(AND(U632=1,V632&gt;0,W632&gt;1),S632,0)</f>
        <v>0</v>
      </c>
      <c r="Y632" s="11" t="n">
        <f aca="false">IF(T632=1,X632/(1+Controls!$B$11)^F632,0)</f>
        <v>0</v>
      </c>
      <c r="Z632" s="11" t="n">
        <f aca="false">IF(AND(N632,E632="capacity",LEN(K632)&gt;0),1,0)</f>
        <v>1</v>
      </c>
      <c r="AA632" s="11" t="n">
        <f aca="false">IF(Z632=1,SUMPRODUCT(($K$4:$K$703=K632)*($F$4:$F$703=F632)*($Z$4:$Z$703=1)*($B$4:$B$703&lt;&gt;B632)),0)</f>
        <v>0</v>
      </c>
      <c r="AB632" s="11" t="n">
        <f aca="false">IF(AND(Z632=1,AA632&gt;0),1+SUMPRODUCT(($K$4:$K$703=K632)*($F$4:$F$703=F632)*($Z$4:$Z$703=1)*($P$4:$P$703&gt;P632))+SUMPRODUCT(($K$4:$K$703=K632)*($F$4:$F$703=F632)*($Z$4:$Z$703=1)*($P$4:$P$703=P632)*($C$4:$C$703&lt;C632))+SUMPRODUCT(($K$4:$K$703=K632)*($F$4:$F$703=F632)*($Z$4:$Z$703=1)*($P$4:$P$703=P632)*($C$4:$C$703=C632)*($D$4:$D$703&lt;D632)),0)</f>
        <v>0</v>
      </c>
      <c r="AC632" s="11" t="n">
        <f aca="false">IF(AND(Z632=1,AA632&gt;0,AB632&gt;1),P632,0)</f>
        <v>0</v>
      </c>
    </row>
    <row r="633" customFormat="false" ht="15" hidden="false" customHeight="false" outlineLevel="0" collapsed="false">
      <c r="A633" s="4" t="s">
        <v>892</v>
      </c>
      <c r="B633" s="4" t="s">
        <v>104</v>
      </c>
      <c r="C633" s="4" t="n">
        <v>22</v>
      </c>
      <c r="D633" s="4" t="n">
        <v>630</v>
      </c>
      <c r="E633" s="4" t="s">
        <v>233</v>
      </c>
      <c r="F633" s="4" t="n">
        <v>34</v>
      </c>
      <c r="G633" s="4" t="n">
        <v>24</v>
      </c>
      <c r="H633" s="4" t="n">
        <v>866</v>
      </c>
      <c r="I633" s="13" t="b">
        <f aca="false">FALSE()</f>
        <v>0</v>
      </c>
      <c r="K633" s="4" t="s">
        <v>882</v>
      </c>
      <c r="L633" s="4" t="n">
        <v>166.19</v>
      </c>
      <c r="M633" s="11" t="n">
        <f aca="false">IFERROR(MATCH(Controls!$B$3&amp;"|"&amp;B633,'Scenario inputs'!$A$4:$A$213,0),0)</f>
        <v>153</v>
      </c>
      <c r="N633" s="8" t="b">
        <f aca="false">IF(M633=0,FALSE(),F633&lt;Controls!$B$12)</f>
        <v>1</v>
      </c>
      <c r="O633" s="11" t="n">
        <f aca="false">IF(N633,IF(INDEX('Scenario inputs'!$E$4:$E$213,M633)=0,1,INDEX('Scenario inputs'!$F$4:$M$213,M633,MIN(MAX(F633-G633,0),INDEX('Scenario inputs'!$E$4:$E$213,M633)-1)+1)),0)</f>
        <v>1</v>
      </c>
      <c r="P633" s="11" t="n">
        <f aca="false">H633*O633</f>
        <v>866</v>
      </c>
      <c r="Q633" s="0" t="str">
        <f aca="false">IF(M633=0,"",IF(ISNUMBER(INDEX('Scenario inputs'!$N$4:$N$213,M633)),INDEX('Scenario inputs'!$N$4:$N$213,M633),""))</f>
        <v/>
      </c>
      <c r="R633" s="0" t="str">
        <f aca="false">IF(NOT(N633),"",IF(OR(E633="cash",E633="revenue"),E633,IF(E633="avoided_cost",IF(AND(I633,LEN(TRIM(J633))&gt;0),"avoided_cost_realised","avoided_cost_beside"),IF(ISNUMBER(Q633),"capacity_converted","capacity_hours"))))</f>
        <v>capacity_hours</v>
      </c>
      <c r="S633" s="11" t="n">
        <f aca="false">IF(OR(R633="",R633="capacity_hours"),0,IF(R633="capacity_converted",P633*Q633,P633))</f>
        <v>0</v>
      </c>
      <c r="T633" s="11" t="n">
        <f aca="false">IF(OR(R633="cash",R633="revenue",R633="avoided_cost_realised",R633="capacity_converted"),1,0)</f>
        <v>0</v>
      </c>
      <c r="U633" s="11" t="n">
        <f aca="false">IF(AND(N633,R633&lt;&gt;"capacity_hours",LEN(K633)&gt;0),1,0)</f>
        <v>0</v>
      </c>
      <c r="V633" s="11" t="n">
        <f aca="false">IF(U633=1,SUMPRODUCT(($K$4:$K$703=K633)*($F$4:$F$703=F633)*($U$4:$U$703=1)*($B$4:$B$703&lt;&gt;B633)),0)</f>
        <v>0</v>
      </c>
      <c r="W633" s="11" t="n">
        <f aca="false">IF(AND(U633=1,V633&gt;0),1+SUMPRODUCT(($K$4:$K$703=K633)*($F$4:$F$703=F633)*($U$4:$U$703=1)*($S$4:$S$703&gt;S633))+SUMPRODUCT(($K$4:$K$703=K633)*($F$4:$F$703=F633)*($U$4:$U$703=1)*($S$4:$S$703=S633)*($T$4:$T$703&gt;T633))+SUMPRODUCT(($K$4:$K$703=K633)*($F$4:$F$703=F633)*($U$4:$U$703=1)*($S$4:$S$703=S633)*($T$4:$T$703=T633)*($C$4:$C$703&lt;C633))+SUMPRODUCT(($K$4:$K$703=K633)*($F$4:$F$703=F633)*($U$4:$U$703=1)*($S$4:$S$703=S633)*($T$4:$T$703=T633)*($C$4:$C$703=C633)*($D$4:$D$703&lt;D633)),0)</f>
        <v>0</v>
      </c>
      <c r="X633" s="11" t="n">
        <f aca="false">IF(AND(U633=1,V633&gt;0,W633&gt;1),S633,0)</f>
        <v>0</v>
      </c>
      <c r="Y633" s="11" t="n">
        <f aca="false">IF(T633=1,X633/(1+Controls!$B$11)^F633,0)</f>
        <v>0</v>
      </c>
      <c r="Z633" s="11" t="n">
        <f aca="false">IF(AND(N633,E633="capacity",LEN(K633)&gt;0),1,0)</f>
        <v>1</v>
      </c>
      <c r="AA633" s="11" t="n">
        <f aca="false">IF(Z633=1,SUMPRODUCT(($K$4:$K$703=K633)*($F$4:$F$703=F633)*($Z$4:$Z$703=1)*($B$4:$B$703&lt;&gt;B633)),0)</f>
        <v>0</v>
      </c>
      <c r="AB633" s="11" t="n">
        <f aca="false">IF(AND(Z633=1,AA633&gt;0),1+SUMPRODUCT(($K$4:$K$703=K633)*($F$4:$F$703=F633)*($Z$4:$Z$703=1)*($P$4:$P$703&gt;P633))+SUMPRODUCT(($K$4:$K$703=K633)*($F$4:$F$703=F633)*($Z$4:$Z$703=1)*($P$4:$P$703=P633)*($C$4:$C$703&lt;C633))+SUMPRODUCT(($K$4:$K$703=K633)*($F$4:$F$703=F633)*($Z$4:$Z$703=1)*($P$4:$P$703=P633)*($C$4:$C$703=C633)*($D$4:$D$703&lt;D633)),0)</f>
        <v>0</v>
      </c>
      <c r="AC633" s="11" t="n">
        <f aca="false">IF(AND(Z633=1,AA633&gt;0,AB633&gt;1),P633,0)</f>
        <v>0</v>
      </c>
    </row>
    <row r="634" customFormat="false" ht="15" hidden="false" customHeight="false" outlineLevel="0" collapsed="false">
      <c r="A634" s="4" t="s">
        <v>893</v>
      </c>
      <c r="B634" s="4" t="s">
        <v>104</v>
      </c>
      <c r="C634" s="4" t="n">
        <v>22</v>
      </c>
      <c r="D634" s="4" t="n">
        <v>631</v>
      </c>
      <c r="E634" s="4" t="s">
        <v>112</v>
      </c>
      <c r="F634" s="4" t="n">
        <v>25</v>
      </c>
      <c r="G634" s="4" t="n">
        <v>25</v>
      </c>
      <c r="H634" s="4" t="n">
        <v>87950</v>
      </c>
      <c r="I634" s="13" t="b">
        <f aca="false">FALSE()</f>
        <v>0</v>
      </c>
      <c r="K634" s="4" t="s">
        <v>894</v>
      </c>
      <c r="L634" s="4" t="n">
        <v>1212.54</v>
      </c>
      <c r="M634" s="11" t="n">
        <f aca="false">IFERROR(MATCH(Controls!$B$3&amp;"|"&amp;B634,'Scenario inputs'!$A$4:$A$213,0),0)</f>
        <v>153</v>
      </c>
      <c r="N634" s="8" t="b">
        <f aca="false">IF(M634=0,FALSE(),F634&lt;Controls!$B$12)</f>
        <v>1</v>
      </c>
      <c r="O634" s="11" t="n">
        <f aca="false">IF(N634,IF(INDEX('Scenario inputs'!$E$4:$E$213,M634)=0,1,INDEX('Scenario inputs'!$F$4:$M$213,M634,MIN(MAX(F634-G634,0),INDEX('Scenario inputs'!$E$4:$E$213,M634)-1)+1)),0)</f>
        <v>0.066667</v>
      </c>
      <c r="P634" s="11" t="n">
        <f aca="false">H634*O634</f>
        <v>5863.36265</v>
      </c>
      <c r="Q634" s="0" t="str">
        <f aca="false">IF(M634=0,"",IF(ISNUMBER(INDEX('Scenario inputs'!$N$4:$N$213,M634)),INDEX('Scenario inputs'!$N$4:$N$213,M634),""))</f>
        <v/>
      </c>
      <c r="R634" s="0" t="str">
        <f aca="false">IF(NOT(N634),"",IF(OR(E634="cash",E634="revenue"),E634,IF(E634="avoided_cost",IF(AND(I634,LEN(TRIM(J634))&gt;0),"avoided_cost_realised","avoided_cost_beside"),IF(ISNUMBER(Q634),"capacity_converted","capacity_hours"))))</f>
        <v>cash</v>
      </c>
      <c r="S634" s="11" t="n">
        <f aca="false">IF(OR(R634="",R634="capacity_hours"),0,IF(R634="capacity_converted",P634*Q634,P634))</f>
        <v>5863.36265</v>
      </c>
      <c r="T634" s="11" t="n">
        <f aca="false">IF(OR(R634="cash",R634="revenue",R634="avoided_cost_realised",R634="capacity_converted"),1,0)</f>
        <v>1</v>
      </c>
      <c r="U634" s="11" t="n">
        <f aca="false">IF(AND(N634,R634&lt;&gt;"capacity_hours",LEN(K634)&gt;0),1,0)</f>
        <v>1</v>
      </c>
      <c r="V634" s="11" t="n">
        <f aca="false">IF(U634=1,SUMPRODUCT(($K$4:$K$703=K634)*($F$4:$F$703=F634)*($U$4:$U$703=1)*($B$4:$B$703&lt;&gt;B634)),0)</f>
        <v>0</v>
      </c>
      <c r="W634" s="11" t="n">
        <f aca="false">IF(AND(U634=1,V634&gt;0),1+SUMPRODUCT(($K$4:$K$703=K634)*($F$4:$F$703=F634)*($U$4:$U$703=1)*($S$4:$S$703&gt;S634))+SUMPRODUCT(($K$4:$K$703=K634)*($F$4:$F$703=F634)*($U$4:$U$703=1)*($S$4:$S$703=S634)*($T$4:$T$703&gt;T634))+SUMPRODUCT(($K$4:$K$703=K634)*($F$4:$F$703=F634)*($U$4:$U$703=1)*($S$4:$S$703=S634)*($T$4:$T$703=T634)*($C$4:$C$703&lt;C634))+SUMPRODUCT(($K$4:$K$703=K634)*($F$4:$F$703=F634)*($U$4:$U$703=1)*($S$4:$S$703=S634)*($T$4:$T$703=T634)*($C$4:$C$703=C634)*($D$4:$D$703&lt;D634)),0)</f>
        <v>0</v>
      </c>
      <c r="X634" s="11" t="n">
        <f aca="false">IF(AND(U634=1,V634&gt;0,W634&gt;1),S634,0)</f>
        <v>0</v>
      </c>
      <c r="Y634" s="11" t="n">
        <f aca="false">IF(T634=1,X634/(1+Controls!$B$11)^F634,0)</f>
        <v>0</v>
      </c>
      <c r="Z634" s="11" t="n">
        <f aca="false">IF(AND(N634,E634="capacity",LEN(K634)&gt;0),1,0)</f>
        <v>0</v>
      </c>
      <c r="AA634" s="11" t="n">
        <f aca="false">IF(Z634=1,SUMPRODUCT(($K$4:$K$703=K634)*($F$4:$F$703=F634)*($Z$4:$Z$703=1)*($B$4:$B$703&lt;&gt;B634)),0)</f>
        <v>0</v>
      </c>
      <c r="AB634" s="11" t="n">
        <f aca="false">IF(AND(Z634=1,AA634&gt;0),1+SUMPRODUCT(($K$4:$K$703=K634)*($F$4:$F$703=F634)*($Z$4:$Z$703=1)*($P$4:$P$703&gt;P634))+SUMPRODUCT(($K$4:$K$703=K634)*($F$4:$F$703=F634)*($Z$4:$Z$703=1)*($P$4:$P$703=P634)*($C$4:$C$703&lt;C634))+SUMPRODUCT(($K$4:$K$703=K634)*($F$4:$F$703=F634)*($Z$4:$Z$703=1)*($P$4:$P$703=P634)*($C$4:$C$703=C634)*($D$4:$D$703&lt;D634)),0)</f>
        <v>0</v>
      </c>
      <c r="AC634" s="11" t="n">
        <f aca="false">IF(AND(Z634=1,AA634&gt;0,AB634&gt;1),P634,0)</f>
        <v>0</v>
      </c>
    </row>
    <row r="635" customFormat="false" ht="15" hidden="false" customHeight="false" outlineLevel="0" collapsed="false">
      <c r="A635" s="4" t="s">
        <v>895</v>
      </c>
      <c r="B635" s="4" t="s">
        <v>104</v>
      </c>
      <c r="C635" s="4" t="n">
        <v>22</v>
      </c>
      <c r="D635" s="4" t="n">
        <v>632</v>
      </c>
      <c r="E635" s="4" t="s">
        <v>112</v>
      </c>
      <c r="F635" s="4" t="n">
        <v>26</v>
      </c>
      <c r="G635" s="4" t="n">
        <v>25</v>
      </c>
      <c r="H635" s="4" t="n">
        <v>87950</v>
      </c>
      <c r="I635" s="13" t="b">
        <f aca="false">FALSE()</f>
        <v>0</v>
      </c>
      <c r="K635" s="4" t="s">
        <v>894</v>
      </c>
      <c r="L635" s="4" t="n">
        <v>3637.61</v>
      </c>
      <c r="M635" s="11" t="n">
        <f aca="false">IFERROR(MATCH(Controls!$B$3&amp;"|"&amp;B635,'Scenario inputs'!$A$4:$A$213,0),0)</f>
        <v>153</v>
      </c>
      <c r="N635" s="8" t="b">
        <f aca="false">IF(M635=0,FALSE(),F635&lt;Controls!$B$12)</f>
        <v>1</v>
      </c>
      <c r="O635" s="11" t="n">
        <f aca="false">IF(N635,IF(INDEX('Scenario inputs'!$E$4:$E$213,M635)=0,1,INDEX('Scenario inputs'!$F$4:$M$213,M635,MIN(MAX(F635-G635,0),INDEX('Scenario inputs'!$E$4:$E$213,M635)-1)+1)),0)</f>
        <v>0.2</v>
      </c>
      <c r="P635" s="11" t="n">
        <f aca="false">H635*O635</f>
        <v>17590</v>
      </c>
      <c r="Q635" s="0" t="str">
        <f aca="false">IF(M635=0,"",IF(ISNUMBER(INDEX('Scenario inputs'!$N$4:$N$213,M635)),INDEX('Scenario inputs'!$N$4:$N$213,M635),""))</f>
        <v/>
      </c>
      <c r="R635" s="0" t="str">
        <f aca="false">IF(NOT(N635),"",IF(OR(E635="cash",E635="revenue"),E635,IF(E635="avoided_cost",IF(AND(I635,LEN(TRIM(J635))&gt;0),"avoided_cost_realised","avoided_cost_beside"),IF(ISNUMBER(Q635),"capacity_converted","capacity_hours"))))</f>
        <v>cash</v>
      </c>
      <c r="S635" s="11" t="n">
        <f aca="false">IF(OR(R635="",R635="capacity_hours"),0,IF(R635="capacity_converted",P635*Q635,P635))</f>
        <v>17590</v>
      </c>
      <c r="T635" s="11" t="n">
        <f aca="false">IF(OR(R635="cash",R635="revenue",R635="avoided_cost_realised",R635="capacity_converted"),1,0)</f>
        <v>1</v>
      </c>
      <c r="U635" s="11" t="n">
        <f aca="false">IF(AND(N635,R635&lt;&gt;"capacity_hours",LEN(K635)&gt;0),1,0)</f>
        <v>1</v>
      </c>
      <c r="V635" s="11" t="n">
        <f aca="false">IF(U635=1,SUMPRODUCT(($K$4:$K$703=K635)*($F$4:$F$703=F635)*($U$4:$U$703=1)*($B$4:$B$703&lt;&gt;B635)),0)</f>
        <v>0</v>
      </c>
      <c r="W635" s="11" t="n">
        <f aca="false">IF(AND(U635=1,V635&gt;0),1+SUMPRODUCT(($K$4:$K$703=K635)*($F$4:$F$703=F635)*($U$4:$U$703=1)*($S$4:$S$703&gt;S635))+SUMPRODUCT(($K$4:$K$703=K635)*($F$4:$F$703=F635)*($U$4:$U$703=1)*($S$4:$S$703=S635)*($T$4:$T$703&gt;T635))+SUMPRODUCT(($K$4:$K$703=K635)*($F$4:$F$703=F635)*($U$4:$U$703=1)*($S$4:$S$703=S635)*($T$4:$T$703=T635)*($C$4:$C$703&lt;C635))+SUMPRODUCT(($K$4:$K$703=K635)*($F$4:$F$703=F635)*($U$4:$U$703=1)*($S$4:$S$703=S635)*($T$4:$T$703=T635)*($C$4:$C$703=C635)*($D$4:$D$703&lt;D635)),0)</f>
        <v>0</v>
      </c>
      <c r="X635" s="11" t="n">
        <f aca="false">IF(AND(U635=1,V635&gt;0,W635&gt;1),S635,0)</f>
        <v>0</v>
      </c>
      <c r="Y635" s="11" t="n">
        <f aca="false">IF(T635=1,X635/(1+Controls!$B$11)^F635,0)</f>
        <v>0</v>
      </c>
      <c r="Z635" s="11" t="n">
        <f aca="false">IF(AND(N635,E635="capacity",LEN(K635)&gt;0),1,0)</f>
        <v>0</v>
      </c>
      <c r="AA635" s="11" t="n">
        <f aca="false">IF(Z635=1,SUMPRODUCT(($K$4:$K$703=K635)*($F$4:$F$703=F635)*($Z$4:$Z$703=1)*($B$4:$B$703&lt;&gt;B635)),0)</f>
        <v>0</v>
      </c>
      <c r="AB635" s="11" t="n">
        <f aca="false">IF(AND(Z635=1,AA635&gt;0),1+SUMPRODUCT(($K$4:$K$703=K635)*($F$4:$F$703=F635)*($Z$4:$Z$703=1)*($P$4:$P$703&gt;P635))+SUMPRODUCT(($K$4:$K$703=K635)*($F$4:$F$703=F635)*($Z$4:$Z$703=1)*($P$4:$P$703=P635)*($C$4:$C$703&lt;C635))+SUMPRODUCT(($K$4:$K$703=K635)*($F$4:$F$703=F635)*($Z$4:$Z$703=1)*($P$4:$P$703=P635)*($C$4:$C$703=C635)*($D$4:$D$703&lt;D635)),0)</f>
        <v>0</v>
      </c>
      <c r="AC635" s="11" t="n">
        <f aca="false">IF(AND(Z635=1,AA635&gt;0,AB635&gt;1),P635,0)</f>
        <v>0</v>
      </c>
    </row>
    <row r="636" customFormat="false" ht="15" hidden="false" customHeight="false" outlineLevel="0" collapsed="false">
      <c r="A636" s="4" t="s">
        <v>896</v>
      </c>
      <c r="B636" s="4" t="s">
        <v>104</v>
      </c>
      <c r="C636" s="4" t="n">
        <v>22</v>
      </c>
      <c r="D636" s="4" t="n">
        <v>633</v>
      </c>
      <c r="E636" s="4" t="s">
        <v>112</v>
      </c>
      <c r="F636" s="4" t="n">
        <v>27</v>
      </c>
      <c r="G636" s="4" t="n">
        <v>25</v>
      </c>
      <c r="H636" s="4" t="n">
        <v>87950</v>
      </c>
      <c r="I636" s="13" t="b">
        <f aca="false">FALSE()</f>
        <v>0</v>
      </c>
      <c r="K636" s="4" t="s">
        <v>894</v>
      </c>
      <c r="L636" s="4" t="n">
        <v>7275.22</v>
      </c>
      <c r="M636" s="11" t="n">
        <f aca="false">IFERROR(MATCH(Controls!$B$3&amp;"|"&amp;B636,'Scenario inputs'!$A$4:$A$213,0),0)</f>
        <v>153</v>
      </c>
      <c r="N636" s="8" t="b">
        <f aca="false">IF(M636=0,FALSE(),F636&lt;Controls!$B$12)</f>
        <v>1</v>
      </c>
      <c r="O636" s="11" t="n">
        <f aca="false">IF(N636,IF(INDEX('Scenario inputs'!$E$4:$E$213,M636)=0,1,INDEX('Scenario inputs'!$F$4:$M$213,M636,MIN(MAX(F636-G636,0),INDEX('Scenario inputs'!$E$4:$E$213,M636)-1)+1)),0)</f>
        <v>0.4</v>
      </c>
      <c r="P636" s="11" t="n">
        <f aca="false">H636*O636</f>
        <v>35180</v>
      </c>
      <c r="Q636" s="0" t="str">
        <f aca="false">IF(M636=0,"",IF(ISNUMBER(INDEX('Scenario inputs'!$N$4:$N$213,M636)),INDEX('Scenario inputs'!$N$4:$N$213,M636),""))</f>
        <v/>
      </c>
      <c r="R636" s="0" t="str">
        <f aca="false">IF(NOT(N636),"",IF(OR(E636="cash",E636="revenue"),E636,IF(E636="avoided_cost",IF(AND(I636,LEN(TRIM(J636))&gt;0),"avoided_cost_realised","avoided_cost_beside"),IF(ISNUMBER(Q636),"capacity_converted","capacity_hours"))))</f>
        <v>cash</v>
      </c>
      <c r="S636" s="11" t="n">
        <f aca="false">IF(OR(R636="",R636="capacity_hours"),0,IF(R636="capacity_converted",P636*Q636,P636))</f>
        <v>35180</v>
      </c>
      <c r="T636" s="11" t="n">
        <f aca="false">IF(OR(R636="cash",R636="revenue",R636="avoided_cost_realised",R636="capacity_converted"),1,0)</f>
        <v>1</v>
      </c>
      <c r="U636" s="11" t="n">
        <f aca="false">IF(AND(N636,R636&lt;&gt;"capacity_hours",LEN(K636)&gt;0),1,0)</f>
        <v>1</v>
      </c>
      <c r="V636" s="11" t="n">
        <f aca="false">IF(U636=1,SUMPRODUCT(($K$4:$K$703=K636)*($F$4:$F$703=F636)*($U$4:$U$703=1)*($B$4:$B$703&lt;&gt;B636)),0)</f>
        <v>0</v>
      </c>
      <c r="W636" s="11" t="n">
        <f aca="false">IF(AND(U636=1,V636&gt;0),1+SUMPRODUCT(($K$4:$K$703=K636)*($F$4:$F$703=F636)*($U$4:$U$703=1)*($S$4:$S$703&gt;S636))+SUMPRODUCT(($K$4:$K$703=K636)*($F$4:$F$703=F636)*($U$4:$U$703=1)*($S$4:$S$703=S636)*($T$4:$T$703&gt;T636))+SUMPRODUCT(($K$4:$K$703=K636)*($F$4:$F$703=F636)*($U$4:$U$703=1)*($S$4:$S$703=S636)*($T$4:$T$703=T636)*($C$4:$C$703&lt;C636))+SUMPRODUCT(($K$4:$K$703=K636)*($F$4:$F$703=F636)*($U$4:$U$703=1)*($S$4:$S$703=S636)*($T$4:$T$703=T636)*($C$4:$C$703=C636)*($D$4:$D$703&lt;D636)),0)</f>
        <v>0</v>
      </c>
      <c r="X636" s="11" t="n">
        <f aca="false">IF(AND(U636=1,V636&gt;0,W636&gt;1),S636,0)</f>
        <v>0</v>
      </c>
      <c r="Y636" s="11" t="n">
        <f aca="false">IF(T636=1,X636/(1+Controls!$B$11)^F636,0)</f>
        <v>0</v>
      </c>
      <c r="Z636" s="11" t="n">
        <f aca="false">IF(AND(N636,E636="capacity",LEN(K636)&gt;0),1,0)</f>
        <v>0</v>
      </c>
      <c r="AA636" s="11" t="n">
        <f aca="false">IF(Z636=1,SUMPRODUCT(($K$4:$K$703=K636)*($F$4:$F$703=F636)*($Z$4:$Z$703=1)*($B$4:$B$703&lt;&gt;B636)),0)</f>
        <v>0</v>
      </c>
      <c r="AB636" s="11" t="n">
        <f aca="false">IF(AND(Z636=1,AA636&gt;0),1+SUMPRODUCT(($K$4:$K$703=K636)*($F$4:$F$703=F636)*($Z$4:$Z$703=1)*($P$4:$P$703&gt;P636))+SUMPRODUCT(($K$4:$K$703=K636)*($F$4:$F$703=F636)*($Z$4:$Z$703=1)*($P$4:$P$703=P636)*($C$4:$C$703&lt;C636))+SUMPRODUCT(($K$4:$K$703=K636)*($F$4:$F$703=F636)*($Z$4:$Z$703=1)*($P$4:$P$703=P636)*($C$4:$C$703=C636)*($D$4:$D$703&lt;D636)),0)</f>
        <v>0</v>
      </c>
      <c r="AC636" s="11" t="n">
        <f aca="false">IF(AND(Z636=1,AA636&gt;0,AB636&gt;1),P636,0)</f>
        <v>0</v>
      </c>
    </row>
    <row r="637" customFormat="false" ht="15" hidden="false" customHeight="false" outlineLevel="0" collapsed="false">
      <c r="A637" s="4" t="s">
        <v>897</v>
      </c>
      <c r="B637" s="4" t="s">
        <v>104</v>
      </c>
      <c r="C637" s="4" t="n">
        <v>22</v>
      </c>
      <c r="D637" s="4" t="n">
        <v>634</v>
      </c>
      <c r="E637" s="4" t="s">
        <v>112</v>
      </c>
      <c r="F637" s="4" t="n">
        <v>28</v>
      </c>
      <c r="G637" s="4" t="n">
        <v>25</v>
      </c>
      <c r="H637" s="4" t="n">
        <v>87950</v>
      </c>
      <c r="I637" s="13" t="b">
        <f aca="false">FALSE()</f>
        <v>0</v>
      </c>
      <c r="K637" s="4" t="s">
        <v>894</v>
      </c>
      <c r="L637" s="4" t="n">
        <v>12125.38</v>
      </c>
      <c r="M637" s="11" t="n">
        <f aca="false">IFERROR(MATCH(Controls!$B$3&amp;"|"&amp;B637,'Scenario inputs'!$A$4:$A$213,0),0)</f>
        <v>153</v>
      </c>
      <c r="N637" s="8" t="b">
        <f aca="false">IF(M637=0,FALSE(),F637&lt;Controls!$B$12)</f>
        <v>1</v>
      </c>
      <c r="O637" s="11" t="n">
        <f aca="false">IF(N637,IF(INDEX('Scenario inputs'!$E$4:$E$213,M637)=0,1,INDEX('Scenario inputs'!$F$4:$M$213,M637,MIN(MAX(F637-G637,0),INDEX('Scenario inputs'!$E$4:$E$213,M637)-1)+1)),0)</f>
        <v>0.666667</v>
      </c>
      <c r="P637" s="11" t="n">
        <f aca="false">H637*O637</f>
        <v>58633.36265</v>
      </c>
      <c r="Q637" s="0" t="str">
        <f aca="false">IF(M637=0,"",IF(ISNUMBER(INDEX('Scenario inputs'!$N$4:$N$213,M637)),INDEX('Scenario inputs'!$N$4:$N$213,M637),""))</f>
        <v/>
      </c>
      <c r="R637" s="0" t="str">
        <f aca="false">IF(NOT(N637),"",IF(OR(E637="cash",E637="revenue"),E637,IF(E637="avoided_cost",IF(AND(I637,LEN(TRIM(J637))&gt;0),"avoided_cost_realised","avoided_cost_beside"),IF(ISNUMBER(Q637),"capacity_converted","capacity_hours"))))</f>
        <v>cash</v>
      </c>
      <c r="S637" s="11" t="n">
        <f aca="false">IF(OR(R637="",R637="capacity_hours"),0,IF(R637="capacity_converted",P637*Q637,P637))</f>
        <v>58633.36265</v>
      </c>
      <c r="T637" s="11" t="n">
        <f aca="false">IF(OR(R637="cash",R637="revenue",R637="avoided_cost_realised",R637="capacity_converted"),1,0)</f>
        <v>1</v>
      </c>
      <c r="U637" s="11" t="n">
        <f aca="false">IF(AND(N637,R637&lt;&gt;"capacity_hours",LEN(K637)&gt;0),1,0)</f>
        <v>1</v>
      </c>
      <c r="V637" s="11" t="n">
        <f aca="false">IF(U637=1,SUMPRODUCT(($K$4:$K$703=K637)*($F$4:$F$703=F637)*($U$4:$U$703=1)*($B$4:$B$703&lt;&gt;B637)),0)</f>
        <v>0</v>
      </c>
      <c r="W637" s="11" t="n">
        <f aca="false">IF(AND(U637=1,V637&gt;0),1+SUMPRODUCT(($K$4:$K$703=K637)*($F$4:$F$703=F637)*($U$4:$U$703=1)*($S$4:$S$703&gt;S637))+SUMPRODUCT(($K$4:$K$703=K637)*($F$4:$F$703=F637)*($U$4:$U$703=1)*($S$4:$S$703=S637)*($T$4:$T$703&gt;T637))+SUMPRODUCT(($K$4:$K$703=K637)*($F$4:$F$703=F637)*($U$4:$U$703=1)*($S$4:$S$703=S637)*($T$4:$T$703=T637)*($C$4:$C$703&lt;C637))+SUMPRODUCT(($K$4:$K$703=K637)*($F$4:$F$703=F637)*($U$4:$U$703=1)*($S$4:$S$703=S637)*($T$4:$T$703=T637)*($C$4:$C$703=C637)*($D$4:$D$703&lt;D637)),0)</f>
        <v>0</v>
      </c>
      <c r="X637" s="11" t="n">
        <f aca="false">IF(AND(U637=1,V637&gt;0,W637&gt;1),S637,0)</f>
        <v>0</v>
      </c>
      <c r="Y637" s="11" t="n">
        <f aca="false">IF(T637=1,X637/(1+Controls!$B$11)^F637,0)</f>
        <v>0</v>
      </c>
      <c r="Z637" s="11" t="n">
        <f aca="false">IF(AND(N637,E637="capacity",LEN(K637)&gt;0),1,0)</f>
        <v>0</v>
      </c>
      <c r="AA637" s="11" t="n">
        <f aca="false">IF(Z637=1,SUMPRODUCT(($K$4:$K$703=K637)*($F$4:$F$703=F637)*($Z$4:$Z$703=1)*($B$4:$B$703&lt;&gt;B637)),0)</f>
        <v>0</v>
      </c>
      <c r="AB637" s="11" t="n">
        <f aca="false">IF(AND(Z637=1,AA637&gt;0),1+SUMPRODUCT(($K$4:$K$703=K637)*($F$4:$F$703=F637)*($Z$4:$Z$703=1)*($P$4:$P$703&gt;P637))+SUMPRODUCT(($K$4:$K$703=K637)*($F$4:$F$703=F637)*($Z$4:$Z$703=1)*($P$4:$P$703=P637)*($C$4:$C$703&lt;C637))+SUMPRODUCT(($K$4:$K$703=K637)*($F$4:$F$703=F637)*($Z$4:$Z$703=1)*($P$4:$P$703=P637)*($C$4:$C$703=C637)*($D$4:$D$703&lt;D637)),0)</f>
        <v>0</v>
      </c>
      <c r="AC637" s="11" t="n">
        <f aca="false">IF(AND(Z637=1,AA637&gt;0,AB637&gt;1),P637,0)</f>
        <v>0</v>
      </c>
    </row>
    <row r="638" customFormat="false" ht="15" hidden="false" customHeight="false" outlineLevel="0" collapsed="false">
      <c r="A638" s="4" t="s">
        <v>898</v>
      </c>
      <c r="B638" s="4" t="s">
        <v>104</v>
      </c>
      <c r="C638" s="4" t="n">
        <v>22</v>
      </c>
      <c r="D638" s="4" t="n">
        <v>635</v>
      </c>
      <c r="E638" s="4" t="s">
        <v>112</v>
      </c>
      <c r="F638" s="4" t="n">
        <v>29</v>
      </c>
      <c r="G638" s="4" t="n">
        <v>25</v>
      </c>
      <c r="H638" s="4" t="n">
        <v>87950</v>
      </c>
      <c r="I638" s="13" t="b">
        <f aca="false">FALSE()</f>
        <v>0</v>
      </c>
      <c r="K638" s="4" t="s">
        <v>894</v>
      </c>
      <c r="L638" s="4" t="n">
        <v>18188.06</v>
      </c>
      <c r="M638" s="11" t="n">
        <f aca="false">IFERROR(MATCH(Controls!$B$3&amp;"|"&amp;B638,'Scenario inputs'!$A$4:$A$213,0),0)</f>
        <v>153</v>
      </c>
      <c r="N638" s="8" t="b">
        <f aca="false">IF(M638=0,FALSE(),F638&lt;Controls!$B$12)</f>
        <v>1</v>
      </c>
      <c r="O638" s="11" t="n">
        <f aca="false">IF(N638,IF(INDEX('Scenario inputs'!$E$4:$E$213,M638)=0,1,INDEX('Scenario inputs'!$F$4:$M$213,M638,MIN(MAX(F638-G638,0),INDEX('Scenario inputs'!$E$4:$E$213,M638)-1)+1)),0)</f>
        <v>1</v>
      </c>
      <c r="P638" s="11" t="n">
        <f aca="false">H638*O638</f>
        <v>87950</v>
      </c>
      <c r="Q638" s="0" t="str">
        <f aca="false">IF(M638=0,"",IF(ISNUMBER(INDEX('Scenario inputs'!$N$4:$N$213,M638)),INDEX('Scenario inputs'!$N$4:$N$213,M638),""))</f>
        <v/>
      </c>
      <c r="R638" s="0" t="str">
        <f aca="false">IF(NOT(N638),"",IF(OR(E638="cash",E638="revenue"),E638,IF(E638="avoided_cost",IF(AND(I638,LEN(TRIM(J638))&gt;0),"avoided_cost_realised","avoided_cost_beside"),IF(ISNUMBER(Q638),"capacity_converted","capacity_hours"))))</f>
        <v>cash</v>
      </c>
      <c r="S638" s="11" t="n">
        <f aca="false">IF(OR(R638="",R638="capacity_hours"),0,IF(R638="capacity_converted",P638*Q638,P638))</f>
        <v>87950</v>
      </c>
      <c r="T638" s="11" t="n">
        <f aca="false">IF(OR(R638="cash",R638="revenue",R638="avoided_cost_realised",R638="capacity_converted"),1,0)</f>
        <v>1</v>
      </c>
      <c r="U638" s="11" t="n">
        <f aca="false">IF(AND(N638,R638&lt;&gt;"capacity_hours",LEN(K638)&gt;0),1,0)</f>
        <v>1</v>
      </c>
      <c r="V638" s="11" t="n">
        <f aca="false">IF(U638=1,SUMPRODUCT(($K$4:$K$703=K638)*($F$4:$F$703=F638)*($U$4:$U$703=1)*($B$4:$B$703&lt;&gt;B638)),0)</f>
        <v>0</v>
      </c>
      <c r="W638" s="11" t="n">
        <f aca="false">IF(AND(U638=1,V638&gt;0),1+SUMPRODUCT(($K$4:$K$703=K638)*($F$4:$F$703=F638)*($U$4:$U$703=1)*($S$4:$S$703&gt;S638))+SUMPRODUCT(($K$4:$K$703=K638)*($F$4:$F$703=F638)*($U$4:$U$703=1)*($S$4:$S$703=S638)*($T$4:$T$703&gt;T638))+SUMPRODUCT(($K$4:$K$703=K638)*($F$4:$F$703=F638)*($U$4:$U$703=1)*($S$4:$S$703=S638)*($T$4:$T$703=T638)*($C$4:$C$703&lt;C638))+SUMPRODUCT(($K$4:$K$703=K638)*($F$4:$F$703=F638)*($U$4:$U$703=1)*($S$4:$S$703=S638)*($T$4:$T$703=T638)*($C$4:$C$703=C638)*($D$4:$D$703&lt;D638)),0)</f>
        <v>0</v>
      </c>
      <c r="X638" s="11" t="n">
        <f aca="false">IF(AND(U638=1,V638&gt;0,W638&gt;1),S638,0)</f>
        <v>0</v>
      </c>
      <c r="Y638" s="11" t="n">
        <f aca="false">IF(T638=1,X638/(1+Controls!$B$11)^F638,0)</f>
        <v>0</v>
      </c>
      <c r="Z638" s="11" t="n">
        <f aca="false">IF(AND(N638,E638="capacity",LEN(K638)&gt;0),1,0)</f>
        <v>0</v>
      </c>
      <c r="AA638" s="11" t="n">
        <f aca="false">IF(Z638=1,SUMPRODUCT(($K$4:$K$703=K638)*($F$4:$F$703=F638)*($Z$4:$Z$703=1)*($B$4:$B$703&lt;&gt;B638)),0)</f>
        <v>0</v>
      </c>
      <c r="AB638" s="11" t="n">
        <f aca="false">IF(AND(Z638=1,AA638&gt;0),1+SUMPRODUCT(($K$4:$K$703=K638)*($F$4:$F$703=F638)*($Z$4:$Z$703=1)*($P$4:$P$703&gt;P638))+SUMPRODUCT(($K$4:$K$703=K638)*($F$4:$F$703=F638)*($Z$4:$Z$703=1)*($P$4:$P$703=P638)*($C$4:$C$703&lt;C638))+SUMPRODUCT(($K$4:$K$703=K638)*($F$4:$F$703=F638)*($Z$4:$Z$703=1)*($P$4:$P$703=P638)*($C$4:$C$703=C638)*($D$4:$D$703&lt;D638)),0)</f>
        <v>0</v>
      </c>
      <c r="AC638" s="11" t="n">
        <f aca="false">IF(AND(Z638=1,AA638&gt;0,AB638&gt;1),P638,0)</f>
        <v>0</v>
      </c>
    </row>
    <row r="639" customFormat="false" ht="15" hidden="false" customHeight="false" outlineLevel="0" collapsed="false">
      <c r="A639" s="4" t="s">
        <v>899</v>
      </c>
      <c r="B639" s="4" t="s">
        <v>104</v>
      </c>
      <c r="C639" s="4" t="n">
        <v>22</v>
      </c>
      <c r="D639" s="4" t="n">
        <v>636</v>
      </c>
      <c r="E639" s="4" t="s">
        <v>112</v>
      </c>
      <c r="F639" s="4" t="n">
        <v>30</v>
      </c>
      <c r="G639" s="4" t="n">
        <v>25</v>
      </c>
      <c r="H639" s="4" t="n">
        <v>87950</v>
      </c>
      <c r="I639" s="13" t="b">
        <f aca="false">FALSE()</f>
        <v>0</v>
      </c>
      <c r="K639" s="4" t="s">
        <v>894</v>
      </c>
      <c r="L639" s="4" t="n">
        <v>18188.06</v>
      </c>
      <c r="M639" s="11" t="n">
        <f aca="false">IFERROR(MATCH(Controls!$B$3&amp;"|"&amp;B639,'Scenario inputs'!$A$4:$A$213,0),0)</f>
        <v>153</v>
      </c>
      <c r="N639" s="8" t="b">
        <f aca="false">IF(M639=0,FALSE(),F639&lt;Controls!$B$12)</f>
        <v>1</v>
      </c>
      <c r="O639" s="11" t="n">
        <f aca="false">IF(N639,IF(INDEX('Scenario inputs'!$E$4:$E$213,M639)=0,1,INDEX('Scenario inputs'!$F$4:$M$213,M639,MIN(MAX(F639-G639,0),INDEX('Scenario inputs'!$E$4:$E$213,M639)-1)+1)),0)</f>
        <v>1</v>
      </c>
      <c r="P639" s="11" t="n">
        <f aca="false">H639*O639</f>
        <v>87950</v>
      </c>
      <c r="Q639" s="0" t="str">
        <f aca="false">IF(M639=0,"",IF(ISNUMBER(INDEX('Scenario inputs'!$N$4:$N$213,M639)),INDEX('Scenario inputs'!$N$4:$N$213,M639),""))</f>
        <v/>
      </c>
      <c r="R639" s="0" t="str">
        <f aca="false">IF(NOT(N639),"",IF(OR(E639="cash",E639="revenue"),E639,IF(E639="avoided_cost",IF(AND(I639,LEN(TRIM(J639))&gt;0),"avoided_cost_realised","avoided_cost_beside"),IF(ISNUMBER(Q639),"capacity_converted","capacity_hours"))))</f>
        <v>cash</v>
      </c>
      <c r="S639" s="11" t="n">
        <f aca="false">IF(OR(R639="",R639="capacity_hours"),0,IF(R639="capacity_converted",P639*Q639,P639))</f>
        <v>87950</v>
      </c>
      <c r="T639" s="11" t="n">
        <f aca="false">IF(OR(R639="cash",R639="revenue",R639="avoided_cost_realised",R639="capacity_converted"),1,0)</f>
        <v>1</v>
      </c>
      <c r="U639" s="11" t="n">
        <f aca="false">IF(AND(N639,R639&lt;&gt;"capacity_hours",LEN(K639)&gt;0),1,0)</f>
        <v>1</v>
      </c>
      <c r="V639" s="11" t="n">
        <f aca="false">IF(U639=1,SUMPRODUCT(($K$4:$K$703=K639)*($F$4:$F$703=F639)*($U$4:$U$703=1)*($B$4:$B$703&lt;&gt;B639)),0)</f>
        <v>0</v>
      </c>
      <c r="W639" s="11" t="n">
        <f aca="false">IF(AND(U639=1,V639&gt;0),1+SUMPRODUCT(($K$4:$K$703=K639)*($F$4:$F$703=F639)*($U$4:$U$703=1)*($S$4:$S$703&gt;S639))+SUMPRODUCT(($K$4:$K$703=K639)*($F$4:$F$703=F639)*($U$4:$U$703=1)*($S$4:$S$703=S639)*($T$4:$T$703&gt;T639))+SUMPRODUCT(($K$4:$K$703=K639)*($F$4:$F$703=F639)*($U$4:$U$703=1)*($S$4:$S$703=S639)*($T$4:$T$703=T639)*($C$4:$C$703&lt;C639))+SUMPRODUCT(($K$4:$K$703=K639)*($F$4:$F$703=F639)*($U$4:$U$703=1)*($S$4:$S$703=S639)*($T$4:$T$703=T639)*($C$4:$C$703=C639)*($D$4:$D$703&lt;D639)),0)</f>
        <v>0</v>
      </c>
      <c r="X639" s="11" t="n">
        <f aca="false">IF(AND(U639=1,V639&gt;0,W639&gt;1),S639,0)</f>
        <v>0</v>
      </c>
      <c r="Y639" s="11" t="n">
        <f aca="false">IF(T639=1,X639/(1+Controls!$B$11)^F639,0)</f>
        <v>0</v>
      </c>
      <c r="Z639" s="11" t="n">
        <f aca="false">IF(AND(N639,E639="capacity",LEN(K639)&gt;0),1,0)</f>
        <v>0</v>
      </c>
      <c r="AA639" s="11" t="n">
        <f aca="false">IF(Z639=1,SUMPRODUCT(($K$4:$K$703=K639)*($F$4:$F$703=F639)*($Z$4:$Z$703=1)*($B$4:$B$703&lt;&gt;B639)),0)</f>
        <v>0</v>
      </c>
      <c r="AB639" s="11" t="n">
        <f aca="false">IF(AND(Z639=1,AA639&gt;0),1+SUMPRODUCT(($K$4:$K$703=K639)*($F$4:$F$703=F639)*($Z$4:$Z$703=1)*($P$4:$P$703&gt;P639))+SUMPRODUCT(($K$4:$K$703=K639)*($F$4:$F$703=F639)*($Z$4:$Z$703=1)*($P$4:$P$703=P639)*($C$4:$C$703&lt;C639))+SUMPRODUCT(($K$4:$K$703=K639)*($F$4:$F$703=F639)*($Z$4:$Z$703=1)*($P$4:$P$703=P639)*($C$4:$C$703=C639)*($D$4:$D$703&lt;D639)),0)</f>
        <v>0</v>
      </c>
      <c r="AC639" s="11" t="n">
        <f aca="false">IF(AND(Z639=1,AA639&gt;0,AB639&gt;1),P639,0)</f>
        <v>0</v>
      </c>
    </row>
    <row r="640" customFormat="false" ht="15" hidden="false" customHeight="false" outlineLevel="0" collapsed="false">
      <c r="A640" s="4" t="s">
        <v>900</v>
      </c>
      <c r="B640" s="4" t="s">
        <v>104</v>
      </c>
      <c r="C640" s="4" t="n">
        <v>22</v>
      </c>
      <c r="D640" s="4" t="n">
        <v>637</v>
      </c>
      <c r="E640" s="4" t="s">
        <v>112</v>
      </c>
      <c r="F640" s="4" t="n">
        <v>31</v>
      </c>
      <c r="G640" s="4" t="n">
        <v>25</v>
      </c>
      <c r="H640" s="4" t="n">
        <v>87950</v>
      </c>
      <c r="I640" s="13" t="b">
        <f aca="false">FALSE()</f>
        <v>0</v>
      </c>
      <c r="K640" s="4" t="s">
        <v>894</v>
      </c>
      <c r="L640" s="4" t="n">
        <v>18188.06</v>
      </c>
      <c r="M640" s="11" t="n">
        <f aca="false">IFERROR(MATCH(Controls!$B$3&amp;"|"&amp;B640,'Scenario inputs'!$A$4:$A$213,0),0)</f>
        <v>153</v>
      </c>
      <c r="N640" s="8" t="b">
        <f aca="false">IF(M640=0,FALSE(),F640&lt;Controls!$B$12)</f>
        <v>1</v>
      </c>
      <c r="O640" s="11" t="n">
        <f aca="false">IF(N640,IF(INDEX('Scenario inputs'!$E$4:$E$213,M640)=0,1,INDEX('Scenario inputs'!$F$4:$M$213,M640,MIN(MAX(F640-G640,0),INDEX('Scenario inputs'!$E$4:$E$213,M640)-1)+1)),0)</f>
        <v>1</v>
      </c>
      <c r="P640" s="11" t="n">
        <f aca="false">H640*O640</f>
        <v>87950</v>
      </c>
      <c r="Q640" s="0" t="str">
        <f aca="false">IF(M640=0,"",IF(ISNUMBER(INDEX('Scenario inputs'!$N$4:$N$213,M640)),INDEX('Scenario inputs'!$N$4:$N$213,M640),""))</f>
        <v/>
      </c>
      <c r="R640" s="0" t="str">
        <f aca="false">IF(NOT(N640),"",IF(OR(E640="cash",E640="revenue"),E640,IF(E640="avoided_cost",IF(AND(I640,LEN(TRIM(J640))&gt;0),"avoided_cost_realised","avoided_cost_beside"),IF(ISNUMBER(Q640),"capacity_converted","capacity_hours"))))</f>
        <v>cash</v>
      </c>
      <c r="S640" s="11" t="n">
        <f aca="false">IF(OR(R640="",R640="capacity_hours"),0,IF(R640="capacity_converted",P640*Q640,P640))</f>
        <v>87950</v>
      </c>
      <c r="T640" s="11" t="n">
        <f aca="false">IF(OR(R640="cash",R640="revenue",R640="avoided_cost_realised",R640="capacity_converted"),1,0)</f>
        <v>1</v>
      </c>
      <c r="U640" s="11" t="n">
        <f aca="false">IF(AND(N640,R640&lt;&gt;"capacity_hours",LEN(K640)&gt;0),1,0)</f>
        <v>1</v>
      </c>
      <c r="V640" s="11" t="n">
        <f aca="false">IF(U640=1,SUMPRODUCT(($K$4:$K$703=K640)*($F$4:$F$703=F640)*($U$4:$U$703=1)*($B$4:$B$703&lt;&gt;B640)),0)</f>
        <v>0</v>
      </c>
      <c r="W640" s="11" t="n">
        <f aca="false">IF(AND(U640=1,V640&gt;0),1+SUMPRODUCT(($K$4:$K$703=K640)*($F$4:$F$703=F640)*($U$4:$U$703=1)*($S$4:$S$703&gt;S640))+SUMPRODUCT(($K$4:$K$703=K640)*($F$4:$F$703=F640)*($U$4:$U$703=1)*($S$4:$S$703=S640)*($T$4:$T$703&gt;T640))+SUMPRODUCT(($K$4:$K$703=K640)*($F$4:$F$703=F640)*($U$4:$U$703=1)*($S$4:$S$703=S640)*($T$4:$T$703=T640)*($C$4:$C$703&lt;C640))+SUMPRODUCT(($K$4:$K$703=K640)*($F$4:$F$703=F640)*($U$4:$U$703=1)*($S$4:$S$703=S640)*($T$4:$T$703=T640)*($C$4:$C$703=C640)*($D$4:$D$703&lt;D640)),0)</f>
        <v>0</v>
      </c>
      <c r="X640" s="11" t="n">
        <f aca="false">IF(AND(U640=1,V640&gt;0,W640&gt;1),S640,0)</f>
        <v>0</v>
      </c>
      <c r="Y640" s="11" t="n">
        <f aca="false">IF(T640=1,X640/(1+Controls!$B$11)^F640,0)</f>
        <v>0</v>
      </c>
      <c r="Z640" s="11" t="n">
        <f aca="false">IF(AND(N640,E640="capacity",LEN(K640)&gt;0),1,0)</f>
        <v>0</v>
      </c>
      <c r="AA640" s="11" t="n">
        <f aca="false">IF(Z640=1,SUMPRODUCT(($K$4:$K$703=K640)*($F$4:$F$703=F640)*($Z$4:$Z$703=1)*($B$4:$B$703&lt;&gt;B640)),0)</f>
        <v>0</v>
      </c>
      <c r="AB640" s="11" t="n">
        <f aca="false">IF(AND(Z640=1,AA640&gt;0),1+SUMPRODUCT(($K$4:$K$703=K640)*($F$4:$F$703=F640)*($Z$4:$Z$703=1)*($P$4:$P$703&gt;P640))+SUMPRODUCT(($K$4:$K$703=K640)*($F$4:$F$703=F640)*($Z$4:$Z$703=1)*($P$4:$P$703=P640)*($C$4:$C$703&lt;C640))+SUMPRODUCT(($K$4:$K$703=K640)*($F$4:$F$703=F640)*($Z$4:$Z$703=1)*($P$4:$P$703=P640)*($C$4:$C$703=C640)*($D$4:$D$703&lt;D640)),0)</f>
        <v>0</v>
      </c>
      <c r="AC640" s="11" t="n">
        <f aca="false">IF(AND(Z640=1,AA640&gt;0,AB640&gt;1),P640,0)</f>
        <v>0</v>
      </c>
    </row>
    <row r="641" customFormat="false" ht="15" hidden="false" customHeight="false" outlineLevel="0" collapsed="false">
      <c r="A641" s="4" t="s">
        <v>901</v>
      </c>
      <c r="B641" s="4" t="s">
        <v>104</v>
      </c>
      <c r="C641" s="4" t="n">
        <v>22</v>
      </c>
      <c r="D641" s="4" t="n">
        <v>638</v>
      </c>
      <c r="E641" s="4" t="s">
        <v>112</v>
      </c>
      <c r="F641" s="4" t="n">
        <v>32</v>
      </c>
      <c r="G641" s="4" t="n">
        <v>25</v>
      </c>
      <c r="H641" s="4" t="n">
        <v>87950</v>
      </c>
      <c r="I641" s="13" t="b">
        <f aca="false">FALSE()</f>
        <v>0</v>
      </c>
      <c r="K641" s="4" t="s">
        <v>894</v>
      </c>
      <c r="L641" s="4" t="n">
        <v>18188.06</v>
      </c>
      <c r="M641" s="11" t="n">
        <f aca="false">IFERROR(MATCH(Controls!$B$3&amp;"|"&amp;B641,'Scenario inputs'!$A$4:$A$213,0),0)</f>
        <v>153</v>
      </c>
      <c r="N641" s="8" t="b">
        <f aca="false">IF(M641=0,FALSE(),F641&lt;Controls!$B$12)</f>
        <v>1</v>
      </c>
      <c r="O641" s="11" t="n">
        <f aca="false">IF(N641,IF(INDEX('Scenario inputs'!$E$4:$E$213,M641)=0,1,INDEX('Scenario inputs'!$F$4:$M$213,M641,MIN(MAX(F641-G641,0),INDEX('Scenario inputs'!$E$4:$E$213,M641)-1)+1)),0)</f>
        <v>1</v>
      </c>
      <c r="P641" s="11" t="n">
        <f aca="false">H641*O641</f>
        <v>87950</v>
      </c>
      <c r="Q641" s="0" t="str">
        <f aca="false">IF(M641=0,"",IF(ISNUMBER(INDEX('Scenario inputs'!$N$4:$N$213,M641)),INDEX('Scenario inputs'!$N$4:$N$213,M641),""))</f>
        <v/>
      </c>
      <c r="R641" s="0" t="str">
        <f aca="false">IF(NOT(N641),"",IF(OR(E641="cash",E641="revenue"),E641,IF(E641="avoided_cost",IF(AND(I641,LEN(TRIM(J641))&gt;0),"avoided_cost_realised","avoided_cost_beside"),IF(ISNUMBER(Q641),"capacity_converted","capacity_hours"))))</f>
        <v>cash</v>
      </c>
      <c r="S641" s="11" t="n">
        <f aca="false">IF(OR(R641="",R641="capacity_hours"),0,IF(R641="capacity_converted",P641*Q641,P641))</f>
        <v>87950</v>
      </c>
      <c r="T641" s="11" t="n">
        <f aca="false">IF(OR(R641="cash",R641="revenue",R641="avoided_cost_realised",R641="capacity_converted"),1,0)</f>
        <v>1</v>
      </c>
      <c r="U641" s="11" t="n">
        <f aca="false">IF(AND(N641,R641&lt;&gt;"capacity_hours",LEN(K641)&gt;0),1,0)</f>
        <v>1</v>
      </c>
      <c r="V641" s="11" t="n">
        <f aca="false">IF(U641=1,SUMPRODUCT(($K$4:$K$703=K641)*($F$4:$F$703=F641)*($U$4:$U$703=1)*($B$4:$B$703&lt;&gt;B641)),0)</f>
        <v>0</v>
      </c>
      <c r="W641" s="11" t="n">
        <f aca="false">IF(AND(U641=1,V641&gt;0),1+SUMPRODUCT(($K$4:$K$703=K641)*($F$4:$F$703=F641)*($U$4:$U$703=1)*($S$4:$S$703&gt;S641))+SUMPRODUCT(($K$4:$K$703=K641)*($F$4:$F$703=F641)*($U$4:$U$703=1)*($S$4:$S$703=S641)*($T$4:$T$703&gt;T641))+SUMPRODUCT(($K$4:$K$703=K641)*($F$4:$F$703=F641)*($U$4:$U$703=1)*($S$4:$S$703=S641)*($T$4:$T$703=T641)*($C$4:$C$703&lt;C641))+SUMPRODUCT(($K$4:$K$703=K641)*($F$4:$F$703=F641)*($U$4:$U$703=1)*($S$4:$S$703=S641)*($T$4:$T$703=T641)*($C$4:$C$703=C641)*($D$4:$D$703&lt;D641)),0)</f>
        <v>0</v>
      </c>
      <c r="X641" s="11" t="n">
        <f aca="false">IF(AND(U641=1,V641&gt;0,W641&gt;1),S641,0)</f>
        <v>0</v>
      </c>
      <c r="Y641" s="11" t="n">
        <f aca="false">IF(T641=1,X641/(1+Controls!$B$11)^F641,0)</f>
        <v>0</v>
      </c>
      <c r="Z641" s="11" t="n">
        <f aca="false">IF(AND(N641,E641="capacity",LEN(K641)&gt;0),1,0)</f>
        <v>0</v>
      </c>
      <c r="AA641" s="11" t="n">
        <f aca="false">IF(Z641=1,SUMPRODUCT(($K$4:$K$703=K641)*($F$4:$F$703=F641)*($Z$4:$Z$703=1)*($B$4:$B$703&lt;&gt;B641)),0)</f>
        <v>0</v>
      </c>
      <c r="AB641" s="11" t="n">
        <f aca="false">IF(AND(Z641=1,AA641&gt;0),1+SUMPRODUCT(($K$4:$K$703=K641)*($F$4:$F$703=F641)*($Z$4:$Z$703=1)*($P$4:$P$703&gt;P641))+SUMPRODUCT(($K$4:$K$703=K641)*($F$4:$F$703=F641)*($Z$4:$Z$703=1)*($P$4:$P$703=P641)*($C$4:$C$703&lt;C641))+SUMPRODUCT(($K$4:$K$703=K641)*($F$4:$F$703=F641)*($Z$4:$Z$703=1)*($P$4:$P$703=P641)*($C$4:$C$703=C641)*($D$4:$D$703&lt;D641)),0)</f>
        <v>0</v>
      </c>
      <c r="AC641" s="11" t="n">
        <f aca="false">IF(AND(Z641=1,AA641&gt;0,AB641&gt;1),P641,0)</f>
        <v>0</v>
      </c>
    </row>
    <row r="642" customFormat="false" ht="15" hidden="false" customHeight="false" outlineLevel="0" collapsed="false">
      <c r="A642" s="4" t="s">
        <v>902</v>
      </c>
      <c r="B642" s="4" t="s">
        <v>104</v>
      </c>
      <c r="C642" s="4" t="n">
        <v>22</v>
      </c>
      <c r="D642" s="4" t="n">
        <v>639</v>
      </c>
      <c r="E642" s="4" t="s">
        <v>112</v>
      </c>
      <c r="F642" s="4" t="n">
        <v>33</v>
      </c>
      <c r="G642" s="4" t="n">
        <v>25</v>
      </c>
      <c r="H642" s="4" t="n">
        <v>87950</v>
      </c>
      <c r="I642" s="13" t="b">
        <f aca="false">FALSE()</f>
        <v>0</v>
      </c>
      <c r="K642" s="4" t="s">
        <v>894</v>
      </c>
      <c r="L642" s="4" t="n">
        <v>18188.06</v>
      </c>
      <c r="M642" s="11" t="n">
        <f aca="false">IFERROR(MATCH(Controls!$B$3&amp;"|"&amp;B642,'Scenario inputs'!$A$4:$A$213,0),0)</f>
        <v>153</v>
      </c>
      <c r="N642" s="8" t="b">
        <f aca="false">IF(M642=0,FALSE(),F642&lt;Controls!$B$12)</f>
        <v>1</v>
      </c>
      <c r="O642" s="11" t="n">
        <f aca="false">IF(N642,IF(INDEX('Scenario inputs'!$E$4:$E$213,M642)=0,1,INDEX('Scenario inputs'!$F$4:$M$213,M642,MIN(MAX(F642-G642,0),INDEX('Scenario inputs'!$E$4:$E$213,M642)-1)+1)),0)</f>
        <v>1</v>
      </c>
      <c r="P642" s="11" t="n">
        <f aca="false">H642*O642</f>
        <v>87950</v>
      </c>
      <c r="Q642" s="0" t="str">
        <f aca="false">IF(M642=0,"",IF(ISNUMBER(INDEX('Scenario inputs'!$N$4:$N$213,M642)),INDEX('Scenario inputs'!$N$4:$N$213,M642),""))</f>
        <v/>
      </c>
      <c r="R642" s="0" t="str">
        <f aca="false">IF(NOT(N642),"",IF(OR(E642="cash",E642="revenue"),E642,IF(E642="avoided_cost",IF(AND(I642,LEN(TRIM(J642))&gt;0),"avoided_cost_realised","avoided_cost_beside"),IF(ISNUMBER(Q642),"capacity_converted","capacity_hours"))))</f>
        <v>cash</v>
      </c>
      <c r="S642" s="11" t="n">
        <f aca="false">IF(OR(R642="",R642="capacity_hours"),0,IF(R642="capacity_converted",P642*Q642,P642))</f>
        <v>87950</v>
      </c>
      <c r="T642" s="11" t="n">
        <f aca="false">IF(OR(R642="cash",R642="revenue",R642="avoided_cost_realised",R642="capacity_converted"),1,0)</f>
        <v>1</v>
      </c>
      <c r="U642" s="11" t="n">
        <f aca="false">IF(AND(N642,R642&lt;&gt;"capacity_hours",LEN(K642)&gt;0),1,0)</f>
        <v>1</v>
      </c>
      <c r="V642" s="11" t="n">
        <f aca="false">IF(U642=1,SUMPRODUCT(($K$4:$K$703=K642)*($F$4:$F$703=F642)*($U$4:$U$703=1)*($B$4:$B$703&lt;&gt;B642)),0)</f>
        <v>0</v>
      </c>
      <c r="W642" s="11" t="n">
        <f aca="false">IF(AND(U642=1,V642&gt;0),1+SUMPRODUCT(($K$4:$K$703=K642)*($F$4:$F$703=F642)*($U$4:$U$703=1)*($S$4:$S$703&gt;S642))+SUMPRODUCT(($K$4:$K$703=K642)*($F$4:$F$703=F642)*($U$4:$U$703=1)*($S$4:$S$703=S642)*($T$4:$T$703&gt;T642))+SUMPRODUCT(($K$4:$K$703=K642)*($F$4:$F$703=F642)*($U$4:$U$703=1)*($S$4:$S$703=S642)*($T$4:$T$703=T642)*($C$4:$C$703&lt;C642))+SUMPRODUCT(($K$4:$K$703=K642)*($F$4:$F$703=F642)*($U$4:$U$703=1)*($S$4:$S$703=S642)*($T$4:$T$703=T642)*($C$4:$C$703=C642)*($D$4:$D$703&lt;D642)),0)</f>
        <v>0</v>
      </c>
      <c r="X642" s="11" t="n">
        <f aca="false">IF(AND(U642=1,V642&gt;0,W642&gt;1),S642,0)</f>
        <v>0</v>
      </c>
      <c r="Y642" s="11" t="n">
        <f aca="false">IF(T642=1,X642/(1+Controls!$B$11)^F642,0)</f>
        <v>0</v>
      </c>
      <c r="Z642" s="11" t="n">
        <f aca="false">IF(AND(N642,E642="capacity",LEN(K642)&gt;0),1,0)</f>
        <v>0</v>
      </c>
      <c r="AA642" s="11" t="n">
        <f aca="false">IF(Z642=1,SUMPRODUCT(($K$4:$K$703=K642)*($F$4:$F$703=F642)*($Z$4:$Z$703=1)*($B$4:$B$703&lt;&gt;B642)),0)</f>
        <v>0</v>
      </c>
      <c r="AB642" s="11" t="n">
        <f aca="false">IF(AND(Z642=1,AA642&gt;0),1+SUMPRODUCT(($K$4:$K$703=K642)*($F$4:$F$703=F642)*($Z$4:$Z$703=1)*($P$4:$P$703&gt;P642))+SUMPRODUCT(($K$4:$K$703=K642)*($F$4:$F$703=F642)*($Z$4:$Z$703=1)*($P$4:$P$703=P642)*($C$4:$C$703&lt;C642))+SUMPRODUCT(($K$4:$K$703=K642)*($F$4:$F$703=F642)*($Z$4:$Z$703=1)*($P$4:$P$703=P642)*($C$4:$C$703=C642)*($D$4:$D$703&lt;D642)),0)</f>
        <v>0</v>
      </c>
      <c r="AC642" s="11" t="n">
        <f aca="false">IF(AND(Z642=1,AA642&gt;0,AB642&gt;1),P642,0)</f>
        <v>0</v>
      </c>
    </row>
    <row r="643" customFormat="false" ht="15" hidden="false" customHeight="false" outlineLevel="0" collapsed="false">
      <c r="A643" s="4" t="s">
        <v>903</v>
      </c>
      <c r="B643" s="4" t="s">
        <v>104</v>
      </c>
      <c r="C643" s="4" t="n">
        <v>22</v>
      </c>
      <c r="D643" s="4" t="n">
        <v>640</v>
      </c>
      <c r="E643" s="4" t="s">
        <v>112</v>
      </c>
      <c r="F643" s="4" t="n">
        <v>34</v>
      </c>
      <c r="G643" s="4" t="n">
        <v>25</v>
      </c>
      <c r="H643" s="4" t="n">
        <v>87950</v>
      </c>
      <c r="I643" s="13" t="b">
        <f aca="false">FALSE()</f>
        <v>0</v>
      </c>
      <c r="K643" s="4" t="s">
        <v>894</v>
      </c>
      <c r="L643" s="4" t="n">
        <v>18188.06</v>
      </c>
      <c r="M643" s="11" t="n">
        <f aca="false">IFERROR(MATCH(Controls!$B$3&amp;"|"&amp;B643,'Scenario inputs'!$A$4:$A$213,0),0)</f>
        <v>153</v>
      </c>
      <c r="N643" s="8" t="b">
        <f aca="false">IF(M643=0,FALSE(),F643&lt;Controls!$B$12)</f>
        <v>1</v>
      </c>
      <c r="O643" s="11" t="n">
        <f aca="false">IF(N643,IF(INDEX('Scenario inputs'!$E$4:$E$213,M643)=0,1,INDEX('Scenario inputs'!$F$4:$M$213,M643,MIN(MAX(F643-G643,0),INDEX('Scenario inputs'!$E$4:$E$213,M643)-1)+1)),0)</f>
        <v>1</v>
      </c>
      <c r="P643" s="11" t="n">
        <f aca="false">H643*O643</f>
        <v>87950</v>
      </c>
      <c r="Q643" s="0" t="str">
        <f aca="false">IF(M643=0,"",IF(ISNUMBER(INDEX('Scenario inputs'!$N$4:$N$213,M643)),INDEX('Scenario inputs'!$N$4:$N$213,M643),""))</f>
        <v/>
      </c>
      <c r="R643" s="0" t="str">
        <f aca="false">IF(NOT(N643),"",IF(OR(E643="cash",E643="revenue"),E643,IF(E643="avoided_cost",IF(AND(I643,LEN(TRIM(J643))&gt;0),"avoided_cost_realised","avoided_cost_beside"),IF(ISNUMBER(Q643),"capacity_converted","capacity_hours"))))</f>
        <v>cash</v>
      </c>
      <c r="S643" s="11" t="n">
        <f aca="false">IF(OR(R643="",R643="capacity_hours"),0,IF(R643="capacity_converted",P643*Q643,P643))</f>
        <v>87950</v>
      </c>
      <c r="T643" s="11" t="n">
        <f aca="false">IF(OR(R643="cash",R643="revenue",R643="avoided_cost_realised",R643="capacity_converted"),1,0)</f>
        <v>1</v>
      </c>
      <c r="U643" s="11" t="n">
        <f aca="false">IF(AND(N643,R643&lt;&gt;"capacity_hours",LEN(K643)&gt;0),1,0)</f>
        <v>1</v>
      </c>
      <c r="V643" s="11" t="n">
        <f aca="false">IF(U643=1,SUMPRODUCT(($K$4:$K$703=K643)*($F$4:$F$703=F643)*($U$4:$U$703=1)*($B$4:$B$703&lt;&gt;B643)),0)</f>
        <v>0</v>
      </c>
      <c r="W643" s="11" t="n">
        <f aca="false">IF(AND(U643=1,V643&gt;0),1+SUMPRODUCT(($K$4:$K$703=K643)*($F$4:$F$703=F643)*($U$4:$U$703=1)*($S$4:$S$703&gt;S643))+SUMPRODUCT(($K$4:$K$703=K643)*($F$4:$F$703=F643)*($U$4:$U$703=1)*($S$4:$S$703=S643)*($T$4:$T$703&gt;T643))+SUMPRODUCT(($K$4:$K$703=K643)*($F$4:$F$703=F643)*($U$4:$U$703=1)*($S$4:$S$703=S643)*($T$4:$T$703=T643)*($C$4:$C$703&lt;C643))+SUMPRODUCT(($K$4:$K$703=K643)*($F$4:$F$703=F643)*($U$4:$U$703=1)*($S$4:$S$703=S643)*($T$4:$T$703=T643)*($C$4:$C$703=C643)*($D$4:$D$703&lt;D643)),0)</f>
        <v>0</v>
      </c>
      <c r="X643" s="11" t="n">
        <f aca="false">IF(AND(U643=1,V643&gt;0,W643&gt;1),S643,0)</f>
        <v>0</v>
      </c>
      <c r="Y643" s="11" t="n">
        <f aca="false">IF(T643=1,X643/(1+Controls!$B$11)^F643,0)</f>
        <v>0</v>
      </c>
      <c r="Z643" s="11" t="n">
        <f aca="false">IF(AND(N643,E643="capacity",LEN(K643)&gt;0),1,0)</f>
        <v>0</v>
      </c>
      <c r="AA643" s="11" t="n">
        <f aca="false">IF(Z643=1,SUMPRODUCT(($K$4:$K$703=K643)*($F$4:$F$703=F643)*($Z$4:$Z$703=1)*($B$4:$B$703&lt;&gt;B643)),0)</f>
        <v>0</v>
      </c>
      <c r="AB643" s="11" t="n">
        <f aca="false">IF(AND(Z643=1,AA643&gt;0),1+SUMPRODUCT(($K$4:$K$703=K643)*($F$4:$F$703=F643)*($Z$4:$Z$703=1)*($P$4:$P$703&gt;P643))+SUMPRODUCT(($K$4:$K$703=K643)*($F$4:$F$703=F643)*($Z$4:$Z$703=1)*($P$4:$P$703=P643)*($C$4:$C$703&lt;C643))+SUMPRODUCT(($K$4:$K$703=K643)*($F$4:$F$703=F643)*($Z$4:$Z$703=1)*($P$4:$P$703=P643)*($C$4:$C$703=C643)*($D$4:$D$703&lt;D643)),0)</f>
        <v>0</v>
      </c>
      <c r="AC643" s="11" t="n">
        <f aca="false">IF(AND(Z643=1,AA643&gt;0,AB643&gt;1),P643,0)</f>
        <v>0</v>
      </c>
    </row>
    <row r="644" customFormat="false" ht="15" hidden="false" customHeight="false" outlineLevel="0" collapsed="false">
      <c r="A644" s="4" t="s">
        <v>904</v>
      </c>
      <c r="B644" s="4" t="s">
        <v>105</v>
      </c>
      <c r="C644" s="4" t="n">
        <v>23</v>
      </c>
      <c r="D644" s="4" t="n">
        <v>641</v>
      </c>
      <c r="E644" s="4" t="s">
        <v>205</v>
      </c>
      <c r="F644" s="4" t="n">
        <v>12</v>
      </c>
      <c r="G644" s="4" t="n">
        <v>12</v>
      </c>
      <c r="H644" s="4" t="n">
        <v>263550</v>
      </c>
      <c r="I644" s="13" t="b">
        <f aca="false">TRUE()</f>
        <v>1</v>
      </c>
      <c r="J644" s="4" t="s">
        <v>905</v>
      </c>
      <c r="K644" s="4" t="s">
        <v>906</v>
      </c>
      <c r="L644" s="4" t="n">
        <v>2886.5</v>
      </c>
      <c r="M644" s="11" t="n">
        <f aca="false">IFERROR(MATCH(Controls!$B$3&amp;"|"&amp;B644,'Scenario inputs'!$A$4:$A$213,0),0)</f>
        <v>154</v>
      </c>
      <c r="N644" s="8" t="b">
        <f aca="false">IF(M644=0,FALSE(),F644&lt;Controls!$B$12)</f>
        <v>1</v>
      </c>
      <c r="O644" s="11" t="n">
        <f aca="false">IF(N644,IF(INDEX('Scenario inputs'!$E$4:$E$213,M644)=0,1,INDEX('Scenario inputs'!$F$4:$M$213,M644,MIN(MAX(F644-G644,0),INDEX('Scenario inputs'!$E$4:$E$213,M644)-1)+1)),0)</f>
        <v>0.047619</v>
      </c>
      <c r="P644" s="11" t="n">
        <f aca="false">H644*O644</f>
        <v>12549.98745</v>
      </c>
      <c r="Q644" s="0" t="str">
        <f aca="false">IF(M644=0,"",IF(ISNUMBER(INDEX('Scenario inputs'!$N$4:$N$213,M644)),INDEX('Scenario inputs'!$N$4:$N$213,M644),""))</f>
        <v/>
      </c>
      <c r="R644" s="0" t="str">
        <f aca="false">IF(NOT(N644),"",IF(OR(E644="cash",E644="revenue"),E644,IF(E644="avoided_cost",IF(AND(I644,LEN(TRIM(J644))&gt;0),"avoided_cost_realised","avoided_cost_beside"),IF(ISNUMBER(Q644),"capacity_converted","capacity_hours"))))</f>
        <v>avoided_cost_realised</v>
      </c>
      <c r="S644" s="11" t="n">
        <f aca="false">IF(OR(R644="",R644="capacity_hours"),0,IF(R644="capacity_converted",P644*Q644,P644))</f>
        <v>12549.98745</v>
      </c>
      <c r="T644" s="11" t="n">
        <f aca="false">IF(OR(R644="cash",R644="revenue",R644="avoided_cost_realised",R644="capacity_converted"),1,0)</f>
        <v>1</v>
      </c>
      <c r="U644" s="11" t="n">
        <f aca="false">IF(AND(N644,R644&lt;&gt;"capacity_hours",LEN(K644)&gt;0),1,0)</f>
        <v>1</v>
      </c>
      <c r="V644" s="11" t="n">
        <f aca="false">IF(U644=1,SUMPRODUCT(($K$4:$K$703=K644)*($F$4:$F$703=F644)*($U$4:$U$703=1)*($B$4:$B$703&lt;&gt;B644)),0)</f>
        <v>0</v>
      </c>
      <c r="W644" s="11" t="n">
        <f aca="false">IF(AND(U644=1,V644&gt;0),1+SUMPRODUCT(($K$4:$K$703=K644)*($F$4:$F$703=F644)*($U$4:$U$703=1)*($S$4:$S$703&gt;S644))+SUMPRODUCT(($K$4:$K$703=K644)*($F$4:$F$703=F644)*($U$4:$U$703=1)*($S$4:$S$703=S644)*($T$4:$T$703&gt;T644))+SUMPRODUCT(($K$4:$K$703=K644)*($F$4:$F$703=F644)*($U$4:$U$703=1)*($S$4:$S$703=S644)*($T$4:$T$703=T644)*($C$4:$C$703&lt;C644))+SUMPRODUCT(($K$4:$K$703=K644)*($F$4:$F$703=F644)*($U$4:$U$703=1)*($S$4:$S$703=S644)*($T$4:$T$703=T644)*($C$4:$C$703=C644)*($D$4:$D$703&lt;D644)),0)</f>
        <v>0</v>
      </c>
      <c r="X644" s="11" t="n">
        <f aca="false">IF(AND(U644=1,V644&gt;0,W644&gt;1),S644,0)</f>
        <v>0</v>
      </c>
      <c r="Y644" s="11" t="n">
        <f aca="false">IF(T644=1,X644/(1+Controls!$B$11)^F644,0)</f>
        <v>0</v>
      </c>
      <c r="Z644" s="11" t="n">
        <f aca="false">IF(AND(N644,E644="capacity",LEN(K644)&gt;0),1,0)</f>
        <v>0</v>
      </c>
      <c r="AA644" s="11" t="n">
        <f aca="false">IF(Z644=1,SUMPRODUCT(($K$4:$K$703=K644)*($F$4:$F$703=F644)*($Z$4:$Z$703=1)*($B$4:$B$703&lt;&gt;B644)),0)</f>
        <v>0</v>
      </c>
      <c r="AB644" s="11" t="n">
        <f aca="false">IF(AND(Z644=1,AA644&gt;0),1+SUMPRODUCT(($K$4:$K$703=K644)*($F$4:$F$703=F644)*($Z$4:$Z$703=1)*($P$4:$P$703&gt;P644))+SUMPRODUCT(($K$4:$K$703=K644)*($F$4:$F$703=F644)*($Z$4:$Z$703=1)*($P$4:$P$703=P644)*($C$4:$C$703&lt;C644))+SUMPRODUCT(($K$4:$K$703=K644)*($F$4:$F$703=F644)*($Z$4:$Z$703=1)*($P$4:$P$703=P644)*($C$4:$C$703=C644)*($D$4:$D$703&lt;D644)),0)</f>
        <v>0</v>
      </c>
      <c r="AC644" s="11" t="n">
        <f aca="false">IF(AND(Z644=1,AA644&gt;0,AB644&gt;1),P644,0)</f>
        <v>0</v>
      </c>
    </row>
    <row r="645" customFormat="false" ht="15" hidden="false" customHeight="false" outlineLevel="0" collapsed="false">
      <c r="A645" s="4" t="s">
        <v>907</v>
      </c>
      <c r="B645" s="4" t="s">
        <v>105</v>
      </c>
      <c r="C645" s="4" t="n">
        <v>23</v>
      </c>
      <c r="D645" s="4" t="n">
        <v>642</v>
      </c>
      <c r="E645" s="4" t="s">
        <v>205</v>
      </c>
      <c r="F645" s="4" t="n">
        <v>13</v>
      </c>
      <c r="G645" s="4" t="n">
        <v>12</v>
      </c>
      <c r="H645" s="4" t="n">
        <v>263550</v>
      </c>
      <c r="I645" s="13" t="b">
        <f aca="false">TRUE()</f>
        <v>1</v>
      </c>
      <c r="J645" s="4" t="s">
        <v>905</v>
      </c>
      <c r="K645" s="4" t="s">
        <v>906</v>
      </c>
      <c r="L645" s="4" t="n">
        <v>8659.49</v>
      </c>
      <c r="M645" s="11" t="n">
        <f aca="false">IFERROR(MATCH(Controls!$B$3&amp;"|"&amp;B645,'Scenario inputs'!$A$4:$A$213,0),0)</f>
        <v>154</v>
      </c>
      <c r="N645" s="8" t="b">
        <f aca="false">IF(M645=0,FALSE(),F645&lt;Controls!$B$12)</f>
        <v>1</v>
      </c>
      <c r="O645" s="11" t="n">
        <f aca="false">IF(N645,IF(INDEX('Scenario inputs'!$E$4:$E$213,M645)=0,1,INDEX('Scenario inputs'!$F$4:$M$213,M645,MIN(MAX(F645-G645,0),INDEX('Scenario inputs'!$E$4:$E$213,M645)-1)+1)),0)</f>
        <v>0.142857</v>
      </c>
      <c r="P645" s="11" t="n">
        <f aca="false">H645*O645</f>
        <v>37649.96235</v>
      </c>
      <c r="Q645" s="0" t="str">
        <f aca="false">IF(M645=0,"",IF(ISNUMBER(INDEX('Scenario inputs'!$N$4:$N$213,M645)),INDEX('Scenario inputs'!$N$4:$N$213,M645),""))</f>
        <v/>
      </c>
      <c r="R645" s="0" t="str">
        <f aca="false">IF(NOT(N645),"",IF(OR(E645="cash",E645="revenue"),E645,IF(E645="avoided_cost",IF(AND(I645,LEN(TRIM(J645))&gt;0),"avoided_cost_realised","avoided_cost_beside"),IF(ISNUMBER(Q645),"capacity_converted","capacity_hours"))))</f>
        <v>avoided_cost_realised</v>
      </c>
      <c r="S645" s="11" t="n">
        <f aca="false">IF(OR(R645="",R645="capacity_hours"),0,IF(R645="capacity_converted",P645*Q645,P645))</f>
        <v>37649.96235</v>
      </c>
      <c r="T645" s="11" t="n">
        <f aca="false">IF(OR(R645="cash",R645="revenue",R645="avoided_cost_realised",R645="capacity_converted"),1,0)</f>
        <v>1</v>
      </c>
      <c r="U645" s="11" t="n">
        <f aca="false">IF(AND(N645,R645&lt;&gt;"capacity_hours",LEN(K645)&gt;0),1,0)</f>
        <v>1</v>
      </c>
      <c r="V645" s="11" t="n">
        <f aca="false">IF(U645=1,SUMPRODUCT(($K$4:$K$703=K645)*($F$4:$F$703=F645)*($U$4:$U$703=1)*($B$4:$B$703&lt;&gt;B645)),0)</f>
        <v>0</v>
      </c>
      <c r="W645" s="11" t="n">
        <f aca="false">IF(AND(U645=1,V645&gt;0),1+SUMPRODUCT(($K$4:$K$703=K645)*($F$4:$F$703=F645)*($U$4:$U$703=1)*($S$4:$S$703&gt;S645))+SUMPRODUCT(($K$4:$K$703=K645)*($F$4:$F$703=F645)*($U$4:$U$703=1)*($S$4:$S$703=S645)*($T$4:$T$703&gt;T645))+SUMPRODUCT(($K$4:$K$703=K645)*($F$4:$F$703=F645)*($U$4:$U$703=1)*($S$4:$S$703=S645)*($T$4:$T$703=T645)*($C$4:$C$703&lt;C645))+SUMPRODUCT(($K$4:$K$703=K645)*($F$4:$F$703=F645)*($U$4:$U$703=1)*($S$4:$S$703=S645)*($T$4:$T$703=T645)*($C$4:$C$703=C645)*($D$4:$D$703&lt;D645)),0)</f>
        <v>0</v>
      </c>
      <c r="X645" s="11" t="n">
        <f aca="false">IF(AND(U645=1,V645&gt;0,W645&gt;1),S645,0)</f>
        <v>0</v>
      </c>
      <c r="Y645" s="11" t="n">
        <f aca="false">IF(T645=1,X645/(1+Controls!$B$11)^F645,0)</f>
        <v>0</v>
      </c>
      <c r="Z645" s="11" t="n">
        <f aca="false">IF(AND(N645,E645="capacity",LEN(K645)&gt;0),1,0)</f>
        <v>0</v>
      </c>
      <c r="AA645" s="11" t="n">
        <f aca="false">IF(Z645=1,SUMPRODUCT(($K$4:$K$703=K645)*($F$4:$F$703=F645)*($Z$4:$Z$703=1)*($B$4:$B$703&lt;&gt;B645)),0)</f>
        <v>0</v>
      </c>
      <c r="AB645" s="11" t="n">
        <f aca="false">IF(AND(Z645=1,AA645&gt;0),1+SUMPRODUCT(($K$4:$K$703=K645)*($F$4:$F$703=F645)*($Z$4:$Z$703=1)*($P$4:$P$703&gt;P645))+SUMPRODUCT(($K$4:$K$703=K645)*($F$4:$F$703=F645)*($Z$4:$Z$703=1)*($P$4:$P$703=P645)*($C$4:$C$703&lt;C645))+SUMPRODUCT(($K$4:$K$703=K645)*($F$4:$F$703=F645)*($Z$4:$Z$703=1)*($P$4:$P$703=P645)*($C$4:$C$703=C645)*($D$4:$D$703&lt;D645)),0)</f>
        <v>0</v>
      </c>
      <c r="AC645" s="11" t="n">
        <f aca="false">IF(AND(Z645=1,AA645&gt;0,AB645&gt;1),P645,0)</f>
        <v>0</v>
      </c>
    </row>
    <row r="646" customFormat="false" ht="15" hidden="false" customHeight="false" outlineLevel="0" collapsed="false">
      <c r="A646" s="4" t="s">
        <v>908</v>
      </c>
      <c r="B646" s="4" t="s">
        <v>105</v>
      </c>
      <c r="C646" s="4" t="n">
        <v>23</v>
      </c>
      <c r="D646" s="4" t="n">
        <v>643</v>
      </c>
      <c r="E646" s="4" t="s">
        <v>205</v>
      </c>
      <c r="F646" s="4" t="n">
        <v>14</v>
      </c>
      <c r="G646" s="4" t="n">
        <v>12</v>
      </c>
      <c r="H646" s="4" t="n">
        <v>263550</v>
      </c>
      <c r="I646" s="13" t="b">
        <f aca="false">TRUE()</f>
        <v>1</v>
      </c>
      <c r="J646" s="4" t="s">
        <v>905</v>
      </c>
      <c r="K646" s="4" t="s">
        <v>906</v>
      </c>
      <c r="L646" s="4" t="n">
        <v>17318.98</v>
      </c>
      <c r="M646" s="11" t="n">
        <f aca="false">IFERROR(MATCH(Controls!$B$3&amp;"|"&amp;B646,'Scenario inputs'!$A$4:$A$213,0),0)</f>
        <v>154</v>
      </c>
      <c r="N646" s="8" t="b">
        <f aca="false">IF(M646=0,FALSE(),F646&lt;Controls!$B$12)</f>
        <v>1</v>
      </c>
      <c r="O646" s="11" t="n">
        <f aca="false">IF(N646,IF(INDEX('Scenario inputs'!$E$4:$E$213,M646)=0,1,INDEX('Scenario inputs'!$F$4:$M$213,M646,MIN(MAX(F646-G646,0),INDEX('Scenario inputs'!$E$4:$E$213,M646)-1)+1)),0)</f>
        <v>0.285714</v>
      </c>
      <c r="P646" s="11" t="n">
        <f aca="false">H646*O646</f>
        <v>75299.9247</v>
      </c>
      <c r="Q646" s="0" t="str">
        <f aca="false">IF(M646=0,"",IF(ISNUMBER(INDEX('Scenario inputs'!$N$4:$N$213,M646)),INDEX('Scenario inputs'!$N$4:$N$213,M646),""))</f>
        <v/>
      </c>
      <c r="R646" s="0" t="str">
        <f aca="false">IF(NOT(N646),"",IF(OR(E646="cash",E646="revenue"),E646,IF(E646="avoided_cost",IF(AND(I646,LEN(TRIM(J646))&gt;0),"avoided_cost_realised","avoided_cost_beside"),IF(ISNUMBER(Q646),"capacity_converted","capacity_hours"))))</f>
        <v>avoided_cost_realised</v>
      </c>
      <c r="S646" s="11" t="n">
        <f aca="false">IF(OR(R646="",R646="capacity_hours"),0,IF(R646="capacity_converted",P646*Q646,P646))</f>
        <v>75299.9247</v>
      </c>
      <c r="T646" s="11" t="n">
        <f aca="false">IF(OR(R646="cash",R646="revenue",R646="avoided_cost_realised",R646="capacity_converted"),1,0)</f>
        <v>1</v>
      </c>
      <c r="U646" s="11" t="n">
        <f aca="false">IF(AND(N646,R646&lt;&gt;"capacity_hours",LEN(K646)&gt;0),1,0)</f>
        <v>1</v>
      </c>
      <c r="V646" s="11" t="n">
        <f aca="false">IF(U646=1,SUMPRODUCT(($K$4:$K$703=K646)*($F$4:$F$703=F646)*($U$4:$U$703=1)*($B$4:$B$703&lt;&gt;B646)),0)</f>
        <v>0</v>
      </c>
      <c r="W646" s="11" t="n">
        <f aca="false">IF(AND(U646=1,V646&gt;0),1+SUMPRODUCT(($K$4:$K$703=K646)*($F$4:$F$703=F646)*($U$4:$U$703=1)*($S$4:$S$703&gt;S646))+SUMPRODUCT(($K$4:$K$703=K646)*($F$4:$F$703=F646)*($U$4:$U$703=1)*($S$4:$S$703=S646)*($T$4:$T$703&gt;T646))+SUMPRODUCT(($K$4:$K$703=K646)*($F$4:$F$703=F646)*($U$4:$U$703=1)*($S$4:$S$703=S646)*($T$4:$T$703=T646)*($C$4:$C$703&lt;C646))+SUMPRODUCT(($K$4:$K$703=K646)*($F$4:$F$703=F646)*($U$4:$U$703=1)*($S$4:$S$703=S646)*($T$4:$T$703=T646)*($C$4:$C$703=C646)*($D$4:$D$703&lt;D646)),0)</f>
        <v>0</v>
      </c>
      <c r="X646" s="11" t="n">
        <f aca="false">IF(AND(U646=1,V646&gt;0,W646&gt;1),S646,0)</f>
        <v>0</v>
      </c>
      <c r="Y646" s="11" t="n">
        <f aca="false">IF(T646=1,X646/(1+Controls!$B$11)^F646,0)</f>
        <v>0</v>
      </c>
      <c r="Z646" s="11" t="n">
        <f aca="false">IF(AND(N646,E646="capacity",LEN(K646)&gt;0),1,0)</f>
        <v>0</v>
      </c>
      <c r="AA646" s="11" t="n">
        <f aca="false">IF(Z646=1,SUMPRODUCT(($K$4:$K$703=K646)*($F$4:$F$703=F646)*($Z$4:$Z$703=1)*($B$4:$B$703&lt;&gt;B646)),0)</f>
        <v>0</v>
      </c>
      <c r="AB646" s="11" t="n">
        <f aca="false">IF(AND(Z646=1,AA646&gt;0),1+SUMPRODUCT(($K$4:$K$703=K646)*($F$4:$F$703=F646)*($Z$4:$Z$703=1)*($P$4:$P$703&gt;P646))+SUMPRODUCT(($K$4:$K$703=K646)*($F$4:$F$703=F646)*($Z$4:$Z$703=1)*($P$4:$P$703=P646)*($C$4:$C$703&lt;C646))+SUMPRODUCT(($K$4:$K$703=K646)*($F$4:$F$703=F646)*($Z$4:$Z$703=1)*($P$4:$P$703=P646)*($C$4:$C$703=C646)*($D$4:$D$703&lt;D646)),0)</f>
        <v>0</v>
      </c>
      <c r="AC646" s="11" t="n">
        <f aca="false">IF(AND(Z646=1,AA646&gt;0,AB646&gt;1),P646,0)</f>
        <v>0</v>
      </c>
    </row>
    <row r="647" customFormat="false" ht="15" hidden="false" customHeight="false" outlineLevel="0" collapsed="false">
      <c r="A647" s="4" t="s">
        <v>909</v>
      </c>
      <c r="B647" s="4" t="s">
        <v>105</v>
      </c>
      <c r="C647" s="4" t="n">
        <v>23</v>
      </c>
      <c r="D647" s="4" t="n">
        <v>644</v>
      </c>
      <c r="E647" s="4" t="s">
        <v>205</v>
      </c>
      <c r="F647" s="4" t="n">
        <v>15</v>
      </c>
      <c r="G647" s="4" t="n">
        <v>12</v>
      </c>
      <c r="H647" s="4" t="n">
        <v>263550</v>
      </c>
      <c r="I647" s="13" t="b">
        <f aca="false">TRUE()</f>
        <v>1</v>
      </c>
      <c r="J647" s="4" t="s">
        <v>905</v>
      </c>
      <c r="K647" s="4" t="s">
        <v>906</v>
      </c>
      <c r="L647" s="4" t="n">
        <v>28864.97</v>
      </c>
      <c r="M647" s="11" t="n">
        <f aca="false">IFERROR(MATCH(Controls!$B$3&amp;"|"&amp;B647,'Scenario inputs'!$A$4:$A$213,0),0)</f>
        <v>154</v>
      </c>
      <c r="N647" s="8" t="b">
        <f aca="false">IF(M647=0,FALSE(),F647&lt;Controls!$B$12)</f>
        <v>1</v>
      </c>
      <c r="O647" s="11" t="n">
        <f aca="false">IF(N647,IF(INDEX('Scenario inputs'!$E$4:$E$213,M647)=0,1,INDEX('Scenario inputs'!$F$4:$M$213,M647,MIN(MAX(F647-G647,0),INDEX('Scenario inputs'!$E$4:$E$213,M647)-1)+1)),0)</f>
        <v>0.47619</v>
      </c>
      <c r="P647" s="11" t="n">
        <f aca="false">H647*O647</f>
        <v>125499.8745</v>
      </c>
      <c r="Q647" s="0" t="str">
        <f aca="false">IF(M647=0,"",IF(ISNUMBER(INDEX('Scenario inputs'!$N$4:$N$213,M647)),INDEX('Scenario inputs'!$N$4:$N$213,M647),""))</f>
        <v/>
      </c>
      <c r="R647" s="0" t="str">
        <f aca="false">IF(NOT(N647),"",IF(OR(E647="cash",E647="revenue"),E647,IF(E647="avoided_cost",IF(AND(I647,LEN(TRIM(J647))&gt;0),"avoided_cost_realised","avoided_cost_beside"),IF(ISNUMBER(Q647),"capacity_converted","capacity_hours"))))</f>
        <v>avoided_cost_realised</v>
      </c>
      <c r="S647" s="11" t="n">
        <f aca="false">IF(OR(R647="",R647="capacity_hours"),0,IF(R647="capacity_converted",P647*Q647,P647))</f>
        <v>125499.8745</v>
      </c>
      <c r="T647" s="11" t="n">
        <f aca="false">IF(OR(R647="cash",R647="revenue",R647="avoided_cost_realised",R647="capacity_converted"),1,0)</f>
        <v>1</v>
      </c>
      <c r="U647" s="11" t="n">
        <f aca="false">IF(AND(N647,R647&lt;&gt;"capacity_hours",LEN(K647)&gt;0),1,0)</f>
        <v>1</v>
      </c>
      <c r="V647" s="11" t="n">
        <f aca="false">IF(U647=1,SUMPRODUCT(($K$4:$K$703=K647)*($F$4:$F$703=F647)*($U$4:$U$703=1)*($B$4:$B$703&lt;&gt;B647)),0)</f>
        <v>0</v>
      </c>
      <c r="W647" s="11" t="n">
        <f aca="false">IF(AND(U647=1,V647&gt;0),1+SUMPRODUCT(($K$4:$K$703=K647)*($F$4:$F$703=F647)*($U$4:$U$703=1)*($S$4:$S$703&gt;S647))+SUMPRODUCT(($K$4:$K$703=K647)*($F$4:$F$703=F647)*($U$4:$U$703=1)*($S$4:$S$703=S647)*($T$4:$T$703&gt;T647))+SUMPRODUCT(($K$4:$K$703=K647)*($F$4:$F$703=F647)*($U$4:$U$703=1)*($S$4:$S$703=S647)*($T$4:$T$703=T647)*($C$4:$C$703&lt;C647))+SUMPRODUCT(($K$4:$K$703=K647)*($F$4:$F$703=F647)*($U$4:$U$703=1)*($S$4:$S$703=S647)*($T$4:$T$703=T647)*($C$4:$C$703=C647)*($D$4:$D$703&lt;D647)),0)</f>
        <v>0</v>
      </c>
      <c r="X647" s="11" t="n">
        <f aca="false">IF(AND(U647=1,V647&gt;0,W647&gt;1),S647,0)</f>
        <v>0</v>
      </c>
      <c r="Y647" s="11" t="n">
        <f aca="false">IF(T647=1,X647/(1+Controls!$B$11)^F647,0)</f>
        <v>0</v>
      </c>
      <c r="Z647" s="11" t="n">
        <f aca="false">IF(AND(N647,E647="capacity",LEN(K647)&gt;0),1,0)</f>
        <v>0</v>
      </c>
      <c r="AA647" s="11" t="n">
        <f aca="false">IF(Z647=1,SUMPRODUCT(($K$4:$K$703=K647)*($F$4:$F$703=F647)*($Z$4:$Z$703=1)*($B$4:$B$703&lt;&gt;B647)),0)</f>
        <v>0</v>
      </c>
      <c r="AB647" s="11" t="n">
        <f aca="false">IF(AND(Z647=1,AA647&gt;0),1+SUMPRODUCT(($K$4:$K$703=K647)*($F$4:$F$703=F647)*($Z$4:$Z$703=1)*($P$4:$P$703&gt;P647))+SUMPRODUCT(($K$4:$K$703=K647)*($F$4:$F$703=F647)*($Z$4:$Z$703=1)*($P$4:$P$703=P647)*($C$4:$C$703&lt;C647))+SUMPRODUCT(($K$4:$K$703=K647)*($F$4:$F$703=F647)*($Z$4:$Z$703=1)*($P$4:$P$703=P647)*($C$4:$C$703=C647)*($D$4:$D$703&lt;D647)),0)</f>
        <v>0</v>
      </c>
      <c r="AC647" s="11" t="n">
        <f aca="false">IF(AND(Z647=1,AA647&gt;0,AB647&gt;1),P647,0)</f>
        <v>0</v>
      </c>
    </row>
    <row r="648" customFormat="false" ht="15" hidden="false" customHeight="false" outlineLevel="0" collapsed="false">
      <c r="A648" s="4" t="s">
        <v>910</v>
      </c>
      <c r="B648" s="4" t="s">
        <v>105</v>
      </c>
      <c r="C648" s="4" t="n">
        <v>23</v>
      </c>
      <c r="D648" s="4" t="n">
        <v>645</v>
      </c>
      <c r="E648" s="4" t="s">
        <v>205</v>
      </c>
      <c r="F648" s="4" t="n">
        <v>16</v>
      </c>
      <c r="G648" s="4" t="n">
        <v>12</v>
      </c>
      <c r="H648" s="4" t="n">
        <v>263550</v>
      </c>
      <c r="I648" s="13" t="b">
        <f aca="false">TRUE()</f>
        <v>1</v>
      </c>
      <c r="J648" s="4" t="s">
        <v>905</v>
      </c>
      <c r="K648" s="4" t="s">
        <v>906</v>
      </c>
      <c r="L648" s="4" t="n">
        <v>43297.52</v>
      </c>
      <c r="M648" s="11" t="n">
        <f aca="false">IFERROR(MATCH(Controls!$B$3&amp;"|"&amp;B648,'Scenario inputs'!$A$4:$A$213,0),0)</f>
        <v>154</v>
      </c>
      <c r="N648" s="8" t="b">
        <f aca="false">IF(M648=0,FALSE(),F648&lt;Controls!$B$12)</f>
        <v>1</v>
      </c>
      <c r="O648" s="11" t="n">
        <f aca="false">IF(N648,IF(INDEX('Scenario inputs'!$E$4:$E$213,M648)=0,1,INDEX('Scenario inputs'!$F$4:$M$213,M648,MIN(MAX(F648-G648,0),INDEX('Scenario inputs'!$E$4:$E$213,M648)-1)+1)),0)</f>
        <v>0.714286</v>
      </c>
      <c r="P648" s="11" t="n">
        <f aca="false">H648*O648</f>
        <v>188250.0753</v>
      </c>
      <c r="Q648" s="0" t="str">
        <f aca="false">IF(M648=0,"",IF(ISNUMBER(INDEX('Scenario inputs'!$N$4:$N$213,M648)),INDEX('Scenario inputs'!$N$4:$N$213,M648),""))</f>
        <v/>
      </c>
      <c r="R648" s="0" t="str">
        <f aca="false">IF(NOT(N648),"",IF(OR(E648="cash",E648="revenue"),E648,IF(E648="avoided_cost",IF(AND(I648,LEN(TRIM(J648))&gt;0),"avoided_cost_realised","avoided_cost_beside"),IF(ISNUMBER(Q648),"capacity_converted","capacity_hours"))))</f>
        <v>avoided_cost_realised</v>
      </c>
      <c r="S648" s="11" t="n">
        <f aca="false">IF(OR(R648="",R648="capacity_hours"),0,IF(R648="capacity_converted",P648*Q648,P648))</f>
        <v>188250.0753</v>
      </c>
      <c r="T648" s="11" t="n">
        <f aca="false">IF(OR(R648="cash",R648="revenue",R648="avoided_cost_realised",R648="capacity_converted"),1,0)</f>
        <v>1</v>
      </c>
      <c r="U648" s="11" t="n">
        <f aca="false">IF(AND(N648,R648&lt;&gt;"capacity_hours",LEN(K648)&gt;0),1,0)</f>
        <v>1</v>
      </c>
      <c r="V648" s="11" t="n">
        <f aca="false">IF(U648=1,SUMPRODUCT(($K$4:$K$703=K648)*($F$4:$F$703=F648)*($U$4:$U$703=1)*($B$4:$B$703&lt;&gt;B648)),0)</f>
        <v>0</v>
      </c>
      <c r="W648" s="11" t="n">
        <f aca="false">IF(AND(U648=1,V648&gt;0),1+SUMPRODUCT(($K$4:$K$703=K648)*($F$4:$F$703=F648)*($U$4:$U$703=1)*($S$4:$S$703&gt;S648))+SUMPRODUCT(($K$4:$K$703=K648)*($F$4:$F$703=F648)*($U$4:$U$703=1)*($S$4:$S$703=S648)*($T$4:$T$703&gt;T648))+SUMPRODUCT(($K$4:$K$703=K648)*($F$4:$F$703=F648)*($U$4:$U$703=1)*($S$4:$S$703=S648)*($T$4:$T$703=T648)*($C$4:$C$703&lt;C648))+SUMPRODUCT(($K$4:$K$703=K648)*($F$4:$F$703=F648)*($U$4:$U$703=1)*($S$4:$S$703=S648)*($T$4:$T$703=T648)*($C$4:$C$703=C648)*($D$4:$D$703&lt;D648)),0)</f>
        <v>0</v>
      </c>
      <c r="X648" s="11" t="n">
        <f aca="false">IF(AND(U648=1,V648&gt;0,W648&gt;1),S648,0)</f>
        <v>0</v>
      </c>
      <c r="Y648" s="11" t="n">
        <f aca="false">IF(T648=1,X648/(1+Controls!$B$11)^F648,0)</f>
        <v>0</v>
      </c>
      <c r="Z648" s="11" t="n">
        <f aca="false">IF(AND(N648,E648="capacity",LEN(K648)&gt;0),1,0)</f>
        <v>0</v>
      </c>
      <c r="AA648" s="11" t="n">
        <f aca="false">IF(Z648=1,SUMPRODUCT(($K$4:$K$703=K648)*($F$4:$F$703=F648)*($Z$4:$Z$703=1)*($B$4:$B$703&lt;&gt;B648)),0)</f>
        <v>0</v>
      </c>
      <c r="AB648" s="11" t="n">
        <f aca="false">IF(AND(Z648=1,AA648&gt;0),1+SUMPRODUCT(($K$4:$K$703=K648)*($F$4:$F$703=F648)*($Z$4:$Z$703=1)*($P$4:$P$703&gt;P648))+SUMPRODUCT(($K$4:$K$703=K648)*($F$4:$F$703=F648)*($Z$4:$Z$703=1)*($P$4:$P$703=P648)*($C$4:$C$703&lt;C648))+SUMPRODUCT(($K$4:$K$703=K648)*($F$4:$F$703=F648)*($Z$4:$Z$703=1)*($P$4:$P$703=P648)*($C$4:$C$703=C648)*($D$4:$D$703&lt;D648)),0)</f>
        <v>0</v>
      </c>
      <c r="AC648" s="11" t="n">
        <f aca="false">IF(AND(Z648=1,AA648&gt;0,AB648&gt;1),P648,0)</f>
        <v>0</v>
      </c>
    </row>
    <row r="649" customFormat="false" ht="15" hidden="false" customHeight="false" outlineLevel="0" collapsed="false">
      <c r="A649" s="4" t="s">
        <v>911</v>
      </c>
      <c r="B649" s="4" t="s">
        <v>105</v>
      </c>
      <c r="C649" s="4" t="n">
        <v>23</v>
      </c>
      <c r="D649" s="4" t="n">
        <v>646</v>
      </c>
      <c r="E649" s="4" t="s">
        <v>205</v>
      </c>
      <c r="F649" s="4" t="n">
        <v>17</v>
      </c>
      <c r="G649" s="4" t="n">
        <v>12</v>
      </c>
      <c r="H649" s="4" t="n">
        <v>263550</v>
      </c>
      <c r="I649" s="13" t="b">
        <f aca="false">TRUE()</f>
        <v>1</v>
      </c>
      <c r="J649" s="4" t="s">
        <v>905</v>
      </c>
      <c r="K649" s="4" t="s">
        <v>906</v>
      </c>
      <c r="L649" s="4" t="n">
        <v>60616.5</v>
      </c>
      <c r="M649" s="11" t="n">
        <f aca="false">IFERROR(MATCH(Controls!$B$3&amp;"|"&amp;B649,'Scenario inputs'!$A$4:$A$213,0),0)</f>
        <v>154</v>
      </c>
      <c r="N649" s="8" t="b">
        <f aca="false">IF(M649=0,FALSE(),F649&lt;Controls!$B$12)</f>
        <v>1</v>
      </c>
      <c r="O649" s="11" t="n">
        <f aca="false">IF(N649,IF(INDEX('Scenario inputs'!$E$4:$E$213,M649)=0,1,INDEX('Scenario inputs'!$F$4:$M$213,M649,MIN(MAX(F649-G649,0),INDEX('Scenario inputs'!$E$4:$E$213,M649)-1)+1)),0)</f>
        <v>1</v>
      </c>
      <c r="P649" s="11" t="n">
        <f aca="false">H649*O649</f>
        <v>263550</v>
      </c>
      <c r="Q649" s="0" t="str">
        <f aca="false">IF(M649=0,"",IF(ISNUMBER(INDEX('Scenario inputs'!$N$4:$N$213,M649)),INDEX('Scenario inputs'!$N$4:$N$213,M649),""))</f>
        <v/>
      </c>
      <c r="R649" s="0" t="str">
        <f aca="false">IF(NOT(N649),"",IF(OR(E649="cash",E649="revenue"),E649,IF(E649="avoided_cost",IF(AND(I649,LEN(TRIM(J649))&gt;0),"avoided_cost_realised","avoided_cost_beside"),IF(ISNUMBER(Q649),"capacity_converted","capacity_hours"))))</f>
        <v>avoided_cost_realised</v>
      </c>
      <c r="S649" s="11" t="n">
        <f aca="false">IF(OR(R649="",R649="capacity_hours"),0,IF(R649="capacity_converted",P649*Q649,P649))</f>
        <v>263550</v>
      </c>
      <c r="T649" s="11" t="n">
        <f aca="false">IF(OR(R649="cash",R649="revenue",R649="avoided_cost_realised",R649="capacity_converted"),1,0)</f>
        <v>1</v>
      </c>
      <c r="U649" s="11" t="n">
        <f aca="false">IF(AND(N649,R649&lt;&gt;"capacity_hours",LEN(K649)&gt;0),1,0)</f>
        <v>1</v>
      </c>
      <c r="V649" s="11" t="n">
        <f aca="false">IF(U649=1,SUMPRODUCT(($K$4:$K$703=K649)*($F$4:$F$703=F649)*($U$4:$U$703=1)*($B$4:$B$703&lt;&gt;B649)),0)</f>
        <v>0</v>
      </c>
      <c r="W649" s="11" t="n">
        <f aca="false">IF(AND(U649=1,V649&gt;0),1+SUMPRODUCT(($K$4:$K$703=K649)*($F$4:$F$703=F649)*($U$4:$U$703=1)*($S$4:$S$703&gt;S649))+SUMPRODUCT(($K$4:$K$703=K649)*($F$4:$F$703=F649)*($U$4:$U$703=1)*($S$4:$S$703=S649)*($T$4:$T$703&gt;T649))+SUMPRODUCT(($K$4:$K$703=K649)*($F$4:$F$703=F649)*($U$4:$U$703=1)*($S$4:$S$703=S649)*($T$4:$T$703=T649)*($C$4:$C$703&lt;C649))+SUMPRODUCT(($K$4:$K$703=K649)*($F$4:$F$703=F649)*($U$4:$U$703=1)*($S$4:$S$703=S649)*($T$4:$T$703=T649)*($C$4:$C$703=C649)*($D$4:$D$703&lt;D649)),0)</f>
        <v>0</v>
      </c>
      <c r="X649" s="11" t="n">
        <f aca="false">IF(AND(U649=1,V649&gt;0,W649&gt;1),S649,0)</f>
        <v>0</v>
      </c>
      <c r="Y649" s="11" t="n">
        <f aca="false">IF(T649=1,X649/(1+Controls!$B$11)^F649,0)</f>
        <v>0</v>
      </c>
      <c r="Z649" s="11" t="n">
        <f aca="false">IF(AND(N649,E649="capacity",LEN(K649)&gt;0),1,0)</f>
        <v>0</v>
      </c>
      <c r="AA649" s="11" t="n">
        <f aca="false">IF(Z649=1,SUMPRODUCT(($K$4:$K$703=K649)*($F$4:$F$703=F649)*($Z$4:$Z$703=1)*($B$4:$B$703&lt;&gt;B649)),0)</f>
        <v>0</v>
      </c>
      <c r="AB649" s="11" t="n">
        <f aca="false">IF(AND(Z649=1,AA649&gt;0),1+SUMPRODUCT(($K$4:$K$703=K649)*($F$4:$F$703=F649)*($Z$4:$Z$703=1)*($P$4:$P$703&gt;P649))+SUMPRODUCT(($K$4:$K$703=K649)*($F$4:$F$703=F649)*($Z$4:$Z$703=1)*($P$4:$P$703=P649)*($C$4:$C$703&lt;C649))+SUMPRODUCT(($K$4:$K$703=K649)*($F$4:$F$703=F649)*($Z$4:$Z$703=1)*($P$4:$P$703=P649)*($C$4:$C$703=C649)*($D$4:$D$703&lt;D649)),0)</f>
        <v>0</v>
      </c>
      <c r="AC649" s="11" t="n">
        <f aca="false">IF(AND(Z649=1,AA649&gt;0,AB649&gt;1),P649,0)</f>
        <v>0</v>
      </c>
    </row>
    <row r="650" customFormat="false" ht="15" hidden="false" customHeight="false" outlineLevel="0" collapsed="false">
      <c r="A650" s="4" t="s">
        <v>912</v>
      </c>
      <c r="B650" s="4" t="s">
        <v>105</v>
      </c>
      <c r="C650" s="4" t="n">
        <v>23</v>
      </c>
      <c r="D650" s="4" t="n">
        <v>647</v>
      </c>
      <c r="E650" s="4" t="s">
        <v>205</v>
      </c>
      <c r="F650" s="4" t="n">
        <v>18</v>
      </c>
      <c r="G650" s="4" t="n">
        <v>12</v>
      </c>
      <c r="H650" s="4" t="n">
        <v>263550</v>
      </c>
      <c r="I650" s="13" t="b">
        <f aca="false">TRUE()</f>
        <v>1</v>
      </c>
      <c r="J650" s="4" t="s">
        <v>905</v>
      </c>
      <c r="K650" s="4" t="s">
        <v>906</v>
      </c>
      <c r="L650" s="4" t="n">
        <v>60616.5</v>
      </c>
      <c r="M650" s="11" t="n">
        <f aca="false">IFERROR(MATCH(Controls!$B$3&amp;"|"&amp;B650,'Scenario inputs'!$A$4:$A$213,0),0)</f>
        <v>154</v>
      </c>
      <c r="N650" s="8" t="b">
        <f aca="false">IF(M650=0,FALSE(),F650&lt;Controls!$B$12)</f>
        <v>1</v>
      </c>
      <c r="O650" s="11" t="n">
        <f aca="false">IF(N650,IF(INDEX('Scenario inputs'!$E$4:$E$213,M650)=0,1,INDEX('Scenario inputs'!$F$4:$M$213,M650,MIN(MAX(F650-G650,0),INDEX('Scenario inputs'!$E$4:$E$213,M650)-1)+1)),0)</f>
        <v>1</v>
      </c>
      <c r="P650" s="11" t="n">
        <f aca="false">H650*O650</f>
        <v>263550</v>
      </c>
      <c r="Q650" s="0" t="str">
        <f aca="false">IF(M650=0,"",IF(ISNUMBER(INDEX('Scenario inputs'!$N$4:$N$213,M650)),INDEX('Scenario inputs'!$N$4:$N$213,M650),""))</f>
        <v/>
      </c>
      <c r="R650" s="0" t="str">
        <f aca="false">IF(NOT(N650),"",IF(OR(E650="cash",E650="revenue"),E650,IF(E650="avoided_cost",IF(AND(I650,LEN(TRIM(J650))&gt;0),"avoided_cost_realised","avoided_cost_beside"),IF(ISNUMBER(Q650),"capacity_converted","capacity_hours"))))</f>
        <v>avoided_cost_realised</v>
      </c>
      <c r="S650" s="11" t="n">
        <f aca="false">IF(OR(R650="",R650="capacity_hours"),0,IF(R650="capacity_converted",P650*Q650,P650))</f>
        <v>263550</v>
      </c>
      <c r="T650" s="11" t="n">
        <f aca="false">IF(OR(R650="cash",R650="revenue",R650="avoided_cost_realised",R650="capacity_converted"),1,0)</f>
        <v>1</v>
      </c>
      <c r="U650" s="11" t="n">
        <f aca="false">IF(AND(N650,R650&lt;&gt;"capacity_hours",LEN(K650)&gt;0),1,0)</f>
        <v>1</v>
      </c>
      <c r="V650" s="11" t="n">
        <f aca="false">IF(U650=1,SUMPRODUCT(($K$4:$K$703=K650)*($F$4:$F$703=F650)*($U$4:$U$703=1)*($B$4:$B$703&lt;&gt;B650)),0)</f>
        <v>0</v>
      </c>
      <c r="W650" s="11" t="n">
        <f aca="false">IF(AND(U650=1,V650&gt;0),1+SUMPRODUCT(($K$4:$K$703=K650)*($F$4:$F$703=F650)*($U$4:$U$703=1)*($S$4:$S$703&gt;S650))+SUMPRODUCT(($K$4:$K$703=K650)*($F$4:$F$703=F650)*($U$4:$U$703=1)*($S$4:$S$703=S650)*($T$4:$T$703&gt;T650))+SUMPRODUCT(($K$4:$K$703=K650)*($F$4:$F$703=F650)*($U$4:$U$703=1)*($S$4:$S$703=S650)*($T$4:$T$703=T650)*($C$4:$C$703&lt;C650))+SUMPRODUCT(($K$4:$K$703=K650)*($F$4:$F$703=F650)*($U$4:$U$703=1)*($S$4:$S$703=S650)*($T$4:$T$703=T650)*($C$4:$C$703=C650)*($D$4:$D$703&lt;D650)),0)</f>
        <v>0</v>
      </c>
      <c r="X650" s="11" t="n">
        <f aca="false">IF(AND(U650=1,V650&gt;0,W650&gt;1),S650,0)</f>
        <v>0</v>
      </c>
      <c r="Y650" s="11" t="n">
        <f aca="false">IF(T650=1,X650/(1+Controls!$B$11)^F650,0)</f>
        <v>0</v>
      </c>
      <c r="Z650" s="11" t="n">
        <f aca="false">IF(AND(N650,E650="capacity",LEN(K650)&gt;0),1,0)</f>
        <v>0</v>
      </c>
      <c r="AA650" s="11" t="n">
        <f aca="false">IF(Z650=1,SUMPRODUCT(($K$4:$K$703=K650)*($F$4:$F$703=F650)*($Z$4:$Z$703=1)*($B$4:$B$703&lt;&gt;B650)),0)</f>
        <v>0</v>
      </c>
      <c r="AB650" s="11" t="n">
        <f aca="false">IF(AND(Z650=1,AA650&gt;0),1+SUMPRODUCT(($K$4:$K$703=K650)*($F$4:$F$703=F650)*($Z$4:$Z$703=1)*($P$4:$P$703&gt;P650))+SUMPRODUCT(($K$4:$K$703=K650)*($F$4:$F$703=F650)*($Z$4:$Z$703=1)*($P$4:$P$703=P650)*($C$4:$C$703&lt;C650))+SUMPRODUCT(($K$4:$K$703=K650)*($F$4:$F$703=F650)*($Z$4:$Z$703=1)*($P$4:$P$703=P650)*($C$4:$C$703=C650)*($D$4:$D$703&lt;D650)),0)</f>
        <v>0</v>
      </c>
      <c r="AC650" s="11" t="n">
        <f aca="false">IF(AND(Z650=1,AA650&gt;0,AB650&gt;1),P650,0)</f>
        <v>0</v>
      </c>
    </row>
    <row r="651" customFormat="false" ht="15" hidden="false" customHeight="false" outlineLevel="0" collapsed="false">
      <c r="A651" s="4" t="s">
        <v>913</v>
      </c>
      <c r="B651" s="4" t="s">
        <v>105</v>
      </c>
      <c r="C651" s="4" t="n">
        <v>23</v>
      </c>
      <c r="D651" s="4" t="n">
        <v>648</v>
      </c>
      <c r="E651" s="4" t="s">
        <v>205</v>
      </c>
      <c r="F651" s="4" t="n">
        <v>19</v>
      </c>
      <c r="G651" s="4" t="n">
        <v>12</v>
      </c>
      <c r="H651" s="4" t="n">
        <v>263550</v>
      </c>
      <c r="I651" s="13" t="b">
        <f aca="false">TRUE()</f>
        <v>1</v>
      </c>
      <c r="J651" s="4" t="s">
        <v>905</v>
      </c>
      <c r="K651" s="4" t="s">
        <v>906</v>
      </c>
      <c r="L651" s="4" t="n">
        <v>60616.5</v>
      </c>
      <c r="M651" s="11" t="n">
        <f aca="false">IFERROR(MATCH(Controls!$B$3&amp;"|"&amp;B651,'Scenario inputs'!$A$4:$A$213,0),0)</f>
        <v>154</v>
      </c>
      <c r="N651" s="8" t="b">
        <f aca="false">IF(M651=0,FALSE(),F651&lt;Controls!$B$12)</f>
        <v>1</v>
      </c>
      <c r="O651" s="11" t="n">
        <f aca="false">IF(N651,IF(INDEX('Scenario inputs'!$E$4:$E$213,M651)=0,1,INDEX('Scenario inputs'!$F$4:$M$213,M651,MIN(MAX(F651-G651,0),INDEX('Scenario inputs'!$E$4:$E$213,M651)-1)+1)),0)</f>
        <v>1</v>
      </c>
      <c r="P651" s="11" t="n">
        <f aca="false">H651*O651</f>
        <v>263550</v>
      </c>
      <c r="Q651" s="0" t="str">
        <f aca="false">IF(M651=0,"",IF(ISNUMBER(INDEX('Scenario inputs'!$N$4:$N$213,M651)),INDEX('Scenario inputs'!$N$4:$N$213,M651),""))</f>
        <v/>
      </c>
      <c r="R651" s="0" t="str">
        <f aca="false">IF(NOT(N651),"",IF(OR(E651="cash",E651="revenue"),E651,IF(E651="avoided_cost",IF(AND(I651,LEN(TRIM(J651))&gt;0),"avoided_cost_realised","avoided_cost_beside"),IF(ISNUMBER(Q651),"capacity_converted","capacity_hours"))))</f>
        <v>avoided_cost_realised</v>
      </c>
      <c r="S651" s="11" t="n">
        <f aca="false">IF(OR(R651="",R651="capacity_hours"),0,IF(R651="capacity_converted",P651*Q651,P651))</f>
        <v>263550</v>
      </c>
      <c r="T651" s="11" t="n">
        <f aca="false">IF(OR(R651="cash",R651="revenue",R651="avoided_cost_realised",R651="capacity_converted"),1,0)</f>
        <v>1</v>
      </c>
      <c r="U651" s="11" t="n">
        <f aca="false">IF(AND(N651,R651&lt;&gt;"capacity_hours",LEN(K651)&gt;0),1,0)</f>
        <v>1</v>
      </c>
      <c r="V651" s="11" t="n">
        <f aca="false">IF(U651=1,SUMPRODUCT(($K$4:$K$703=K651)*($F$4:$F$703=F651)*($U$4:$U$703=1)*($B$4:$B$703&lt;&gt;B651)),0)</f>
        <v>0</v>
      </c>
      <c r="W651" s="11" t="n">
        <f aca="false">IF(AND(U651=1,V651&gt;0),1+SUMPRODUCT(($K$4:$K$703=K651)*($F$4:$F$703=F651)*($U$4:$U$703=1)*($S$4:$S$703&gt;S651))+SUMPRODUCT(($K$4:$K$703=K651)*($F$4:$F$703=F651)*($U$4:$U$703=1)*($S$4:$S$703=S651)*($T$4:$T$703&gt;T651))+SUMPRODUCT(($K$4:$K$703=K651)*($F$4:$F$703=F651)*($U$4:$U$703=1)*($S$4:$S$703=S651)*($T$4:$T$703=T651)*($C$4:$C$703&lt;C651))+SUMPRODUCT(($K$4:$K$703=K651)*($F$4:$F$703=F651)*($U$4:$U$703=1)*($S$4:$S$703=S651)*($T$4:$T$703=T651)*($C$4:$C$703=C651)*($D$4:$D$703&lt;D651)),0)</f>
        <v>0</v>
      </c>
      <c r="X651" s="11" t="n">
        <f aca="false">IF(AND(U651=1,V651&gt;0,W651&gt;1),S651,0)</f>
        <v>0</v>
      </c>
      <c r="Y651" s="11" t="n">
        <f aca="false">IF(T651=1,X651/(1+Controls!$B$11)^F651,0)</f>
        <v>0</v>
      </c>
      <c r="Z651" s="11" t="n">
        <f aca="false">IF(AND(N651,E651="capacity",LEN(K651)&gt;0),1,0)</f>
        <v>0</v>
      </c>
      <c r="AA651" s="11" t="n">
        <f aca="false">IF(Z651=1,SUMPRODUCT(($K$4:$K$703=K651)*($F$4:$F$703=F651)*($Z$4:$Z$703=1)*($B$4:$B$703&lt;&gt;B651)),0)</f>
        <v>0</v>
      </c>
      <c r="AB651" s="11" t="n">
        <f aca="false">IF(AND(Z651=1,AA651&gt;0),1+SUMPRODUCT(($K$4:$K$703=K651)*($F$4:$F$703=F651)*($Z$4:$Z$703=1)*($P$4:$P$703&gt;P651))+SUMPRODUCT(($K$4:$K$703=K651)*($F$4:$F$703=F651)*($Z$4:$Z$703=1)*($P$4:$P$703=P651)*($C$4:$C$703&lt;C651))+SUMPRODUCT(($K$4:$K$703=K651)*($F$4:$F$703=F651)*($Z$4:$Z$703=1)*($P$4:$P$703=P651)*($C$4:$C$703=C651)*($D$4:$D$703&lt;D651)),0)</f>
        <v>0</v>
      </c>
      <c r="AC651" s="11" t="n">
        <f aca="false">IF(AND(Z651=1,AA651&gt;0,AB651&gt;1),P651,0)</f>
        <v>0</v>
      </c>
    </row>
    <row r="652" customFormat="false" ht="15" hidden="false" customHeight="false" outlineLevel="0" collapsed="false">
      <c r="A652" s="4" t="s">
        <v>914</v>
      </c>
      <c r="B652" s="4" t="s">
        <v>105</v>
      </c>
      <c r="C652" s="4" t="n">
        <v>23</v>
      </c>
      <c r="D652" s="4" t="n">
        <v>649</v>
      </c>
      <c r="E652" s="4" t="s">
        <v>205</v>
      </c>
      <c r="F652" s="4" t="n">
        <v>20</v>
      </c>
      <c r="G652" s="4" t="n">
        <v>12</v>
      </c>
      <c r="H652" s="4" t="n">
        <v>263550</v>
      </c>
      <c r="I652" s="13" t="b">
        <f aca="false">TRUE()</f>
        <v>1</v>
      </c>
      <c r="J652" s="4" t="s">
        <v>905</v>
      </c>
      <c r="K652" s="4" t="s">
        <v>906</v>
      </c>
      <c r="L652" s="4" t="n">
        <v>60616.5</v>
      </c>
      <c r="M652" s="11" t="n">
        <f aca="false">IFERROR(MATCH(Controls!$B$3&amp;"|"&amp;B652,'Scenario inputs'!$A$4:$A$213,0),0)</f>
        <v>154</v>
      </c>
      <c r="N652" s="8" t="b">
        <f aca="false">IF(M652=0,FALSE(),F652&lt;Controls!$B$12)</f>
        <v>1</v>
      </c>
      <c r="O652" s="11" t="n">
        <f aca="false">IF(N652,IF(INDEX('Scenario inputs'!$E$4:$E$213,M652)=0,1,INDEX('Scenario inputs'!$F$4:$M$213,M652,MIN(MAX(F652-G652,0),INDEX('Scenario inputs'!$E$4:$E$213,M652)-1)+1)),0)</f>
        <v>1</v>
      </c>
      <c r="P652" s="11" t="n">
        <f aca="false">H652*O652</f>
        <v>263550</v>
      </c>
      <c r="Q652" s="0" t="str">
        <f aca="false">IF(M652=0,"",IF(ISNUMBER(INDEX('Scenario inputs'!$N$4:$N$213,M652)),INDEX('Scenario inputs'!$N$4:$N$213,M652),""))</f>
        <v/>
      </c>
      <c r="R652" s="0" t="str">
        <f aca="false">IF(NOT(N652),"",IF(OR(E652="cash",E652="revenue"),E652,IF(E652="avoided_cost",IF(AND(I652,LEN(TRIM(J652))&gt;0),"avoided_cost_realised","avoided_cost_beside"),IF(ISNUMBER(Q652),"capacity_converted","capacity_hours"))))</f>
        <v>avoided_cost_realised</v>
      </c>
      <c r="S652" s="11" t="n">
        <f aca="false">IF(OR(R652="",R652="capacity_hours"),0,IF(R652="capacity_converted",P652*Q652,P652))</f>
        <v>263550</v>
      </c>
      <c r="T652" s="11" t="n">
        <f aca="false">IF(OR(R652="cash",R652="revenue",R652="avoided_cost_realised",R652="capacity_converted"),1,0)</f>
        <v>1</v>
      </c>
      <c r="U652" s="11" t="n">
        <f aca="false">IF(AND(N652,R652&lt;&gt;"capacity_hours",LEN(K652)&gt;0),1,0)</f>
        <v>1</v>
      </c>
      <c r="V652" s="11" t="n">
        <f aca="false">IF(U652=1,SUMPRODUCT(($K$4:$K$703=K652)*($F$4:$F$703=F652)*($U$4:$U$703=1)*($B$4:$B$703&lt;&gt;B652)),0)</f>
        <v>0</v>
      </c>
      <c r="W652" s="11" t="n">
        <f aca="false">IF(AND(U652=1,V652&gt;0),1+SUMPRODUCT(($K$4:$K$703=K652)*($F$4:$F$703=F652)*($U$4:$U$703=1)*($S$4:$S$703&gt;S652))+SUMPRODUCT(($K$4:$K$703=K652)*($F$4:$F$703=F652)*($U$4:$U$703=1)*($S$4:$S$703=S652)*($T$4:$T$703&gt;T652))+SUMPRODUCT(($K$4:$K$703=K652)*($F$4:$F$703=F652)*($U$4:$U$703=1)*($S$4:$S$703=S652)*($T$4:$T$703=T652)*($C$4:$C$703&lt;C652))+SUMPRODUCT(($K$4:$K$703=K652)*($F$4:$F$703=F652)*($U$4:$U$703=1)*($S$4:$S$703=S652)*($T$4:$T$703=T652)*($C$4:$C$703=C652)*($D$4:$D$703&lt;D652)),0)</f>
        <v>0</v>
      </c>
      <c r="X652" s="11" t="n">
        <f aca="false">IF(AND(U652=1,V652&gt;0,W652&gt;1),S652,0)</f>
        <v>0</v>
      </c>
      <c r="Y652" s="11" t="n">
        <f aca="false">IF(T652=1,X652/(1+Controls!$B$11)^F652,0)</f>
        <v>0</v>
      </c>
      <c r="Z652" s="11" t="n">
        <f aca="false">IF(AND(N652,E652="capacity",LEN(K652)&gt;0),1,0)</f>
        <v>0</v>
      </c>
      <c r="AA652" s="11" t="n">
        <f aca="false">IF(Z652=1,SUMPRODUCT(($K$4:$K$703=K652)*($F$4:$F$703=F652)*($Z$4:$Z$703=1)*($B$4:$B$703&lt;&gt;B652)),0)</f>
        <v>0</v>
      </c>
      <c r="AB652" s="11" t="n">
        <f aca="false">IF(AND(Z652=1,AA652&gt;0),1+SUMPRODUCT(($K$4:$K$703=K652)*($F$4:$F$703=F652)*($Z$4:$Z$703=1)*($P$4:$P$703&gt;P652))+SUMPRODUCT(($K$4:$K$703=K652)*($F$4:$F$703=F652)*($Z$4:$Z$703=1)*($P$4:$P$703=P652)*($C$4:$C$703&lt;C652))+SUMPRODUCT(($K$4:$K$703=K652)*($F$4:$F$703=F652)*($Z$4:$Z$703=1)*($P$4:$P$703=P652)*($C$4:$C$703=C652)*($D$4:$D$703&lt;D652)),0)</f>
        <v>0</v>
      </c>
      <c r="AC652" s="11" t="n">
        <f aca="false">IF(AND(Z652=1,AA652&gt;0,AB652&gt;1),P652,0)</f>
        <v>0</v>
      </c>
    </row>
    <row r="653" customFormat="false" ht="15" hidden="false" customHeight="false" outlineLevel="0" collapsed="false">
      <c r="A653" s="4" t="s">
        <v>915</v>
      </c>
      <c r="B653" s="4" t="s">
        <v>105</v>
      </c>
      <c r="C653" s="4" t="n">
        <v>23</v>
      </c>
      <c r="D653" s="4" t="n">
        <v>650</v>
      </c>
      <c r="E653" s="4" t="s">
        <v>205</v>
      </c>
      <c r="F653" s="4" t="n">
        <v>21</v>
      </c>
      <c r="G653" s="4" t="n">
        <v>12</v>
      </c>
      <c r="H653" s="4" t="n">
        <v>263550</v>
      </c>
      <c r="I653" s="13" t="b">
        <f aca="false">TRUE()</f>
        <v>1</v>
      </c>
      <c r="J653" s="4" t="s">
        <v>905</v>
      </c>
      <c r="K653" s="4" t="s">
        <v>906</v>
      </c>
      <c r="L653" s="4" t="n">
        <v>60616.5</v>
      </c>
      <c r="M653" s="11" t="n">
        <f aca="false">IFERROR(MATCH(Controls!$B$3&amp;"|"&amp;B653,'Scenario inputs'!$A$4:$A$213,0),0)</f>
        <v>154</v>
      </c>
      <c r="N653" s="8" t="b">
        <f aca="false">IF(M653=0,FALSE(),F653&lt;Controls!$B$12)</f>
        <v>1</v>
      </c>
      <c r="O653" s="11" t="n">
        <f aca="false">IF(N653,IF(INDEX('Scenario inputs'!$E$4:$E$213,M653)=0,1,INDEX('Scenario inputs'!$F$4:$M$213,M653,MIN(MAX(F653-G653,0),INDEX('Scenario inputs'!$E$4:$E$213,M653)-1)+1)),0)</f>
        <v>1</v>
      </c>
      <c r="P653" s="11" t="n">
        <f aca="false">H653*O653</f>
        <v>263550</v>
      </c>
      <c r="Q653" s="0" t="str">
        <f aca="false">IF(M653=0,"",IF(ISNUMBER(INDEX('Scenario inputs'!$N$4:$N$213,M653)),INDEX('Scenario inputs'!$N$4:$N$213,M653),""))</f>
        <v/>
      </c>
      <c r="R653" s="0" t="str">
        <f aca="false">IF(NOT(N653),"",IF(OR(E653="cash",E653="revenue"),E653,IF(E653="avoided_cost",IF(AND(I653,LEN(TRIM(J653))&gt;0),"avoided_cost_realised","avoided_cost_beside"),IF(ISNUMBER(Q653),"capacity_converted","capacity_hours"))))</f>
        <v>avoided_cost_realised</v>
      </c>
      <c r="S653" s="11" t="n">
        <f aca="false">IF(OR(R653="",R653="capacity_hours"),0,IF(R653="capacity_converted",P653*Q653,P653))</f>
        <v>263550</v>
      </c>
      <c r="T653" s="11" t="n">
        <f aca="false">IF(OR(R653="cash",R653="revenue",R653="avoided_cost_realised",R653="capacity_converted"),1,0)</f>
        <v>1</v>
      </c>
      <c r="U653" s="11" t="n">
        <f aca="false">IF(AND(N653,R653&lt;&gt;"capacity_hours",LEN(K653)&gt;0),1,0)</f>
        <v>1</v>
      </c>
      <c r="V653" s="11" t="n">
        <f aca="false">IF(U653=1,SUMPRODUCT(($K$4:$K$703=K653)*($F$4:$F$703=F653)*($U$4:$U$703=1)*($B$4:$B$703&lt;&gt;B653)),0)</f>
        <v>0</v>
      </c>
      <c r="W653" s="11" t="n">
        <f aca="false">IF(AND(U653=1,V653&gt;0),1+SUMPRODUCT(($K$4:$K$703=K653)*($F$4:$F$703=F653)*($U$4:$U$703=1)*($S$4:$S$703&gt;S653))+SUMPRODUCT(($K$4:$K$703=K653)*($F$4:$F$703=F653)*($U$4:$U$703=1)*($S$4:$S$703=S653)*($T$4:$T$703&gt;T653))+SUMPRODUCT(($K$4:$K$703=K653)*($F$4:$F$703=F653)*($U$4:$U$703=1)*($S$4:$S$703=S653)*($T$4:$T$703=T653)*($C$4:$C$703&lt;C653))+SUMPRODUCT(($K$4:$K$703=K653)*($F$4:$F$703=F653)*($U$4:$U$703=1)*($S$4:$S$703=S653)*($T$4:$T$703=T653)*($C$4:$C$703=C653)*($D$4:$D$703&lt;D653)),0)</f>
        <v>0</v>
      </c>
      <c r="X653" s="11" t="n">
        <f aca="false">IF(AND(U653=1,V653&gt;0,W653&gt;1),S653,0)</f>
        <v>0</v>
      </c>
      <c r="Y653" s="11" t="n">
        <f aca="false">IF(T653=1,X653/(1+Controls!$B$11)^F653,0)</f>
        <v>0</v>
      </c>
      <c r="Z653" s="11" t="n">
        <f aca="false">IF(AND(N653,E653="capacity",LEN(K653)&gt;0),1,0)</f>
        <v>0</v>
      </c>
      <c r="AA653" s="11" t="n">
        <f aca="false">IF(Z653=1,SUMPRODUCT(($K$4:$K$703=K653)*($F$4:$F$703=F653)*($Z$4:$Z$703=1)*($B$4:$B$703&lt;&gt;B653)),0)</f>
        <v>0</v>
      </c>
      <c r="AB653" s="11" t="n">
        <f aca="false">IF(AND(Z653=1,AA653&gt;0),1+SUMPRODUCT(($K$4:$K$703=K653)*($F$4:$F$703=F653)*($Z$4:$Z$703=1)*($P$4:$P$703&gt;P653))+SUMPRODUCT(($K$4:$K$703=K653)*($F$4:$F$703=F653)*($Z$4:$Z$703=1)*($P$4:$P$703=P653)*($C$4:$C$703&lt;C653))+SUMPRODUCT(($K$4:$K$703=K653)*($F$4:$F$703=F653)*($Z$4:$Z$703=1)*($P$4:$P$703=P653)*($C$4:$C$703=C653)*($D$4:$D$703&lt;D653)),0)</f>
        <v>0</v>
      </c>
      <c r="AC653" s="11" t="n">
        <f aca="false">IF(AND(Z653=1,AA653&gt;0,AB653&gt;1),P653,0)</f>
        <v>0</v>
      </c>
    </row>
    <row r="654" customFormat="false" ht="15" hidden="false" customHeight="false" outlineLevel="0" collapsed="false">
      <c r="A654" s="4" t="s">
        <v>916</v>
      </c>
      <c r="B654" s="4" t="s">
        <v>105</v>
      </c>
      <c r="C654" s="4" t="n">
        <v>23</v>
      </c>
      <c r="D654" s="4" t="n">
        <v>651</v>
      </c>
      <c r="E654" s="4" t="s">
        <v>205</v>
      </c>
      <c r="F654" s="4" t="n">
        <v>22</v>
      </c>
      <c r="G654" s="4" t="n">
        <v>12</v>
      </c>
      <c r="H654" s="4" t="n">
        <v>263550</v>
      </c>
      <c r="I654" s="13" t="b">
        <f aca="false">TRUE()</f>
        <v>1</v>
      </c>
      <c r="J654" s="4" t="s">
        <v>905</v>
      </c>
      <c r="K654" s="4" t="s">
        <v>906</v>
      </c>
      <c r="L654" s="4" t="n">
        <v>60616.5</v>
      </c>
      <c r="M654" s="11" t="n">
        <f aca="false">IFERROR(MATCH(Controls!$B$3&amp;"|"&amp;B654,'Scenario inputs'!$A$4:$A$213,0),0)</f>
        <v>154</v>
      </c>
      <c r="N654" s="8" t="b">
        <f aca="false">IF(M654=0,FALSE(),F654&lt;Controls!$B$12)</f>
        <v>1</v>
      </c>
      <c r="O654" s="11" t="n">
        <f aca="false">IF(N654,IF(INDEX('Scenario inputs'!$E$4:$E$213,M654)=0,1,INDEX('Scenario inputs'!$F$4:$M$213,M654,MIN(MAX(F654-G654,0),INDEX('Scenario inputs'!$E$4:$E$213,M654)-1)+1)),0)</f>
        <v>1</v>
      </c>
      <c r="P654" s="11" t="n">
        <f aca="false">H654*O654</f>
        <v>263550</v>
      </c>
      <c r="Q654" s="0" t="str">
        <f aca="false">IF(M654=0,"",IF(ISNUMBER(INDEX('Scenario inputs'!$N$4:$N$213,M654)),INDEX('Scenario inputs'!$N$4:$N$213,M654),""))</f>
        <v/>
      </c>
      <c r="R654" s="0" t="str">
        <f aca="false">IF(NOT(N654),"",IF(OR(E654="cash",E654="revenue"),E654,IF(E654="avoided_cost",IF(AND(I654,LEN(TRIM(J654))&gt;0),"avoided_cost_realised","avoided_cost_beside"),IF(ISNUMBER(Q654),"capacity_converted","capacity_hours"))))</f>
        <v>avoided_cost_realised</v>
      </c>
      <c r="S654" s="11" t="n">
        <f aca="false">IF(OR(R654="",R654="capacity_hours"),0,IF(R654="capacity_converted",P654*Q654,P654))</f>
        <v>263550</v>
      </c>
      <c r="T654" s="11" t="n">
        <f aca="false">IF(OR(R654="cash",R654="revenue",R654="avoided_cost_realised",R654="capacity_converted"),1,0)</f>
        <v>1</v>
      </c>
      <c r="U654" s="11" t="n">
        <f aca="false">IF(AND(N654,R654&lt;&gt;"capacity_hours",LEN(K654)&gt;0),1,0)</f>
        <v>1</v>
      </c>
      <c r="V654" s="11" t="n">
        <f aca="false">IF(U654=1,SUMPRODUCT(($K$4:$K$703=K654)*($F$4:$F$703=F654)*($U$4:$U$703=1)*($B$4:$B$703&lt;&gt;B654)),0)</f>
        <v>0</v>
      </c>
      <c r="W654" s="11" t="n">
        <f aca="false">IF(AND(U654=1,V654&gt;0),1+SUMPRODUCT(($K$4:$K$703=K654)*($F$4:$F$703=F654)*($U$4:$U$703=1)*($S$4:$S$703&gt;S654))+SUMPRODUCT(($K$4:$K$703=K654)*($F$4:$F$703=F654)*($U$4:$U$703=1)*($S$4:$S$703=S654)*($T$4:$T$703&gt;T654))+SUMPRODUCT(($K$4:$K$703=K654)*($F$4:$F$703=F654)*($U$4:$U$703=1)*($S$4:$S$703=S654)*($T$4:$T$703=T654)*($C$4:$C$703&lt;C654))+SUMPRODUCT(($K$4:$K$703=K654)*($F$4:$F$703=F654)*($U$4:$U$703=1)*($S$4:$S$703=S654)*($T$4:$T$703=T654)*($C$4:$C$703=C654)*($D$4:$D$703&lt;D654)),0)</f>
        <v>0</v>
      </c>
      <c r="X654" s="11" t="n">
        <f aca="false">IF(AND(U654=1,V654&gt;0,W654&gt;1),S654,0)</f>
        <v>0</v>
      </c>
      <c r="Y654" s="11" t="n">
        <f aca="false">IF(T654=1,X654/(1+Controls!$B$11)^F654,0)</f>
        <v>0</v>
      </c>
      <c r="Z654" s="11" t="n">
        <f aca="false">IF(AND(N654,E654="capacity",LEN(K654)&gt;0),1,0)</f>
        <v>0</v>
      </c>
      <c r="AA654" s="11" t="n">
        <f aca="false">IF(Z654=1,SUMPRODUCT(($K$4:$K$703=K654)*($F$4:$F$703=F654)*($Z$4:$Z$703=1)*($B$4:$B$703&lt;&gt;B654)),0)</f>
        <v>0</v>
      </c>
      <c r="AB654" s="11" t="n">
        <f aca="false">IF(AND(Z654=1,AA654&gt;0),1+SUMPRODUCT(($K$4:$K$703=K654)*($F$4:$F$703=F654)*($Z$4:$Z$703=1)*($P$4:$P$703&gt;P654))+SUMPRODUCT(($K$4:$K$703=K654)*($F$4:$F$703=F654)*($Z$4:$Z$703=1)*($P$4:$P$703=P654)*($C$4:$C$703&lt;C654))+SUMPRODUCT(($K$4:$K$703=K654)*($F$4:$F$703=F654)*($Z$4:$Z$703=1)*($P$4:$P$703=P654)*($C$4:$C$703=C654)*($D$4:$D$703&lt;D654)),0)</f>
        <v>0</v>
      </c>
      <c r="AC654" s="11" t="n">
        <f aca="false">IF(AND(Z654=1,AA654&gt;0,AB654&gt;1),P654,0)</f>
        <v>0</v>
      </c>
    </row>
    <row r="655" customFormat="false" ht="15" hidden="false" customHeight="false" outlineLevel="0" collapsed="false">
      <c r="A655" s="4" t="s">
        <v>917</v>
      </c>
      <c r="B655" s="4" t="s">
        <v>105</v>
      </c>
      <c r="C655" s="4" t="n">
        <v>23</v>
      </c>
      <c r="D655" s="4" t="n">
        <v>652</v>
      </c>
      <c r="E655" s="4" t="s">
        <v>205</v>
      </c>
      <c r="F655" s="4" t="n">
        <v>23</v>
      </c>
      <c r="G655" s="4" t="n">
        <v>12</v>
      </c>
      <c r="H655" s="4" t="n">
        <v>263550</v>
      </c>
      <c r="I655" s="13" t="b">
        <f aca="false">TRUE()</f>
        <v>1</v>
      </c>
      <c r="J655" s="4" t="s">
        <v>905</v>
      </c>
      <c r="K655" s="4" t="s">
        <v>906</v>
      </c>
      <c r="L655" s="4" t="n">
        <v>60616.5</v>
      </c>
      <c r="M655" s="11" t="n">
        <f aca="false">IFERROR(MATCH(Controls!$B$3&amp;"|"&amp;B655,'Scenario inputs'!$A$4:$A$213,0),0)</f>
        <v>154</v>
      </c>
      <c r="N655" s="8" t="b">
        <f aca="false">IF(M655=0,FALSE(),F655&lt;Controls!$B$12)</f>
        <v>1</v>
      </c>
      <c r="O655" s="11" t="n">
        <f aca="false">IF(N655,IF(INDEX('Scenario inputs'!$E$4:$E$213,M655)=0,1,INDEX('Scenario inputs'!$F$4:$M$213,M655,MIN(MAX(F655-G655,0),INDEX('Scenario inputs'!$E$4:$E$213,M655)-1)+1)),0)</f>
        <v>1</v>
      </c>
      <c r="P655" s="11" t="n">
        <f aca="false">H655*O655</f>
        <v>263550</v>
      </c>
      <c r="Q655" s="0" t="str">
        <f aca="false">IF(M655=0,"",IF(ISNUMBER(INDEX('Scenario inputs'!$N$4:$N$213,M655)),INDEX('Scenario inputs'!$N$4:$N$213,M655),""))</f>
        <v/>
      </c>
      <c r="R655" s="0" t="str">
        <f aca="false">IF(NOT(N655),"",IF(OR(E655="cash",E655="revenue"),E655,IF(E655="avoided_cost",IF(AND(I655,LEN(TRIM(J655))&gt;0),"avoided_cost_realised","avoided_cost_beside"),IF(ISNUMBER(Q655),"capacity_converted","capacity_hours"))))</f>
        <v>avoided_cost_realised</v>
      </c>
      <c r="S655" s="11" t="n">
        <f aca="false">IF(OR(R655="",R655="capacity_hours"),0,IF(R655="capacity_converted",P655*Q655,P655))</f>
        <v>263550</v>
      </c>
      <c r="T655" s="11" t="n">
        <f aca="false">IF(OR(R655="cash",R655="revenue",R655="avoided_cost_realised",R655="capacity_converted"),1,0)</f>
        <v>1</v>
      </c>
      <c r="U655" s="11" t="n">
        <f aca="false">IF(AND(N655,R655&lt;&gt;"capacity_hours",LEN(K655)&gt;0),1,0)</f>
        <v>1</v>
      </c>
      <c r="V655" s="11" t="n">
        <f aca="false">IF(U655=1,SUMPRODUCT(($K$4:$K$703=K655)*($F$4:$F$703=F655)*($U$4:$U$703=1)*($B$4:$B$703&lt;&gt;B655)),0)</f>
        <v>0</v>
      </c>
      <c r="W655" s="11" t="n">
        <f aca="false">IF(AND(U655=1,V655&gt;0),1+SUMPRODUCT(($K$4:$K$703=K655)*($F$4:$F$703=F655)*($U$4:$U$703=1)*($S$4:$S$703&gt;S655))+SUMPRODUCT(($K$4:$K$703=K655)*($F$4:$F$703=F655)*($U$4:$U$703=1)*($S$4:$S$703=S655)*($T$4:$T$703&gt;T655))+SUMPRODUCT(($K$4:$K$703=K655)*($F$4:$F$703=F655)*($U$4:$U$703=1)*($S$4:$S$703=S655)*($T$4:$T$703=T655)*($C$4:$C$703&lt;C655))+SUMPRODUCT(($K$4:$K$703=K655)*($F$4:$F$703=F655)*($U$4:$U$703=1)*($S$4:$S$703=S655)*($T$4:$T$703=T655)*($C$4:$C$703=C655)*($D$4:$D$703&lt;D655)),0)</f>
        <v>0</v>
      </c>
      <c r="X655" s="11" t="n">
        <f aca="false">IF(AND(U655=1,V655&gt;0,W655&gt;1),S655,0)</f>
        <v>0</v>
      </c>
      <c r="Y655" s="11" t="n">
        <f aca="false">IF(T655=1,X655/(1+Controls!$B$11)^F655,0)</f>
        <v>0</v>
      </c>
      <c r="Z655" s="11" t="n">
        <f aca="false">IF(AND(N655,E655="capacity",LEN(K655)&gt;0),1,0)</f>
        <v>0</v>
      </c>
      <c r="AA655" s="11" t="n">
        <f aca="false">IF(Z655=1,SUMPRODUCT(($K$4:$K$703=K655)*($F$4:$F$703=F655)*($Z$4:$Z$703=1)*($B$4:$B$703&lt;&gt;B655)),0)</f>
        <v>0</v>
      </c>
      <c r="AB655" s="11" t="n">
        <f aca="false">IF(AND(Z655=1,AA655&gt;0),1+SUMPRODUCT(($K$4:$K$703=K655)*($F$4:$F$703=F655)*($Z$4:$Z$703=1)*($P$4:$P$703&gt;P655))+SUMPRODUCT(($K$4:$K$703=K655)*($F$4:$F$703=F655)*($Z$4:$Z$703=1)*($P$4:$P$703=P655)*($C$4:$C$703&lt;C655))+SUMPRODUCT(($K$4:$K$703=K655)*($F$4:$F$703=F655)*($Z$4:$Z$703=1)*($P$4:$P$703=P655)*($C$4:$C$703=C655)*($D$4:$D$703&lt;D655)),0)</f>
        <v>0</v>
      </c>
      <c r="AC655" s="11" t="n">
        <f aca="false">IF(AND(Z655=1,AA655&gt;0,AB655&gt;1),P655,0)</f>
        <v>0</v>
      </c>
    </row>
    <row r="656" customFormat="false" ht="15" hidden="false" customHeight="false" outlineLevel="0" collapsed="false">
      <c r="A656" s="4" t="s">
        <v>918</v>
      </c>
      <c r="B656" s="4" t="s">
        <v>105</v>
      </c>
      <c r="C656" s="4" t="n">
        <v>23</v>
      </c>
      <c r="D656" s="4" t="n">
        <v>653</v>
      </c>
      <c r="E656" s="4" t="s">
        <v>112</v>
      </c>
      <c r="F656" s="4" t="n">
        <v>13</v>
      </c>
      <c r="G656" s="4" t="n">
        <v>13</v>
      </c>
      <c r="H656" s="4" t="n">
        <v>175700</v>
      </c>
      <c r="I656" s="13" t="b">
        <f aca="false">FALSE()</f>
        <v>0</v>
      </c>
      <c r="K656" s="4" t="s">
        <v>919</v>
      </c>
      <c r="L656" s="4" t="n">
        <v>635.87</v>
      </c>
      <c r="M656" s="11" t="n">
        <f aca="false">IFERROR(MATCH(Controls!$B$3&amp;"|"&amp;B656,'Scenario inputs'!$A$4:$A$213,0),0)</f>
        <v>154</v>
      </c>
      <c r="N656" s="8" t="b">
        <f aca="false">IF(M656=0,FALSE(),F656&lt;Controls!$B$12)</f>
        <v>1</v>
      </c>
      <c r="O656" s="11" t="n">
        <f aca="false">IF(N656,IF(INDEX('Scenario inputs'!$E$4:$E$213,M656)=0,1,INDEX('Scenario inputs'!$F$4:$M$213,M656,MIN(MAX(F656-G656,0),INDEX('Scenario inputs'!$E$4:$E$213,M656)-1)+1)),0)</f>
        <v>0.047619</v>
      </c>
      <c r="P656" s="11" t="n">
        <f aca="false">H656*O656</f>
        <v>8366.6583</v>
      </c>
      <c r="Q656" s="0" t="str">
        <f aca="false">IF(M656=0,"",IF(ISNUMBER(INDEX('Scenario inputs'!$N$4:$N$213,M656)),INDEX('Scenario inputs'!$N$4:$N$213,M656),""))</f>
        <v/>
      </c>
      <c r="R656" s="0" t="str">
        <f aca="false">IF(NOT(N656),"",IF(OR(E656="cash",E656="revenue"),E656,IF(E656="avoided_cost",IF(AND(I656,LEN(TRIM(J656))&gt;0),"avoided_cost_realised","avoided_cost_beside"),IF(ISNUMBER(Q656),"capacity_converted","capacity_hours"))))</f>
        <v>cash</v>
      </c>
      <c r="S656" s="11" t="n">
        <f aca="false">IF(OR(R656="",R656="capacity_hours"),0,IF(R656="capacity_converted",P656*Q656,P656))</f>
        <v>8366.6583</v>
      </c>
      <c r="T656" s="11" t="n">
        <f aca="false">IF(OR(R656="cash",R656="revenue",R656="avoided_cost_realised",R656="capacity_converted"),1,0)</f>
        <v>1</v>
      </c>
      <c r="U656" s="11" t="n">
        <f aca="false">IF(AND(N656,R656&lt;&gt;"capacity_hours",LEN(K656)&gt;0),1,0)</f>
        <v>1</v>
      </c>
      <c r="V656" s="11" t="n">
        <f aca="false">IF(U656=1,SUMPRODUCT(($K$4:$K$703=K656)*($F$4:$F$703=F656)*($U$4:$U$703=1)*($B$4:$B$703&lt;&gt;B656)),0)</f>
        <v>0</v>
      </c>
      <c r="W656" s="11" t="n">
        <f aca="false">IF(AND(U656=1,V656&gt;0),1+SUMPRODUCT(($K$4:$K$703=K656)*($F$4:$F$703=F656)*($U$4:$U$703=1)*($S$4:$S$703&gt;S656))+SUMPRODUCT(($K$4:$K$703=K656)*($F$4:$F$703=F656)*($U$4:$U$703=1)*($S$4:$S$703=S656)*($T$4:$T$703&gt;T656))+SUMPRODUCT(($K$4:$K$703=K656)*($F$4:$F$703=F656)*($U$4:$U$703=1)*($S$4:$S$703=S656)*($T$4:$T$703=T656)*($C$4:$C$703&lt;C656))+SUMPRODUCT(($K$4:$K$703=K656)*($F$4:$F$703=F656)*($U$4:$U$703=1)*($S$4:$S$703=S656)*($T$4:$T$703=T656)*($C$4:$C$703=C656)*($D$4:$D$703&lt;D656)),0)</f>
        <v>0</v>
      </c>
      <c r="X656" s="11" t="n">
        <f aca="false">IF(AND(U656=1,V656&gt;0,W656&gt;1),S656,0)</f>
        <v>0</v>
      </c>
      <c r="Y656" s="11" t="n">
        <f aca="false">IF(T656=1,X656/(1+Controls!$B$11)^F656,0)</f>
        <v>0</v>
      </c>
      <c r="Z656" s="11" t="n">
        <f aca="false">IF(AND(N656,E656="capacity",LEN(K656)&gt;0),1,0)</f>
        <v>0</v>
      </c>
      <c r="AA656" s="11" t="n">
        <f aca="false">IF(Z656=1,SUMPRODUCT(($K$4:$K$703=K656)*($F$4:$F$703=F656)*($Z$4:$Z$703=1)*($B$4:$B$703&lt;&gt;B656)),0)</f>
        <v>0</v>
      </c>
      <c r="AB656" s="11" t="n">
        <f aca="false">IF(AND(Z656=1,AA656&gt;0),1+SUMPRODUCT(($K$4:$K$703=K656)*($F$4:$F$703=F656)*($Z$4:$Z$703=1)*($P$4:$P$703&gt;P656))+SUMPRODUCT(($K$4:$K$703=K656)*($F$4:$F$703=F656)*($Z$4:$Z$703=1)*($P$4:$P$703=P656)*($C$4:$C$703&lt;C656))+SUMPRODUCT(($K$4:$K$703=K656)*($F$4:$F$703=F656)*($Z$4:$Z$703=1)*($P$4:$P$703=P656)*($C$4:$C$703=C656)*($D$4:$D$703&lt;D656)),0)</f>
        <v>0</v>
      </c>
      <c r="AC656" s="11" t="n">
        <f aca="false">IF(AND(Z656=1,AA656&gt;0,AB656&gt;1),P656,0)</f>
        <v>0</v>
      </c>
    </row>
    <row r="657" customFormat="false" ht="15" hidden="false" customHeight="false" outlineLevel="0" collapsed="false">
      <c r="A657" s="4" t="s">
        <v>920</v>
      </c>
      <c r="B657" s="4" t="s">
        <v>105</v>
      </c>
      <c r="C657" s="4" t="n">
        <v>23</v>
      </c>
      <c r="D657" s="4" t="n">
        <v>654</v>
      </c>
      <c r="E657" s="4" t="s">
        <v>112</v>
      </c>
      <c r="F657" s="4" t="n">
        <v>14</v>
      </c>
      <c r="G657" s="4" t="n">
        <v>13</v>
      </c>
      <c r="H657" s="4" t="n">
        <v>175700</v>
      </c>
      <c r="I657" s="13" t="b">
        <f aca="false">FALSE()</f>
        <v>0</v>
      </c>
      <c r="K657" s="4" t="s">
        <v>919</v>
      </c>
      <c r="L657" s="4" t="n">
        <v>1907.6</v>
      </c>
      <c r="M657" s="11" t="n">
        <f aca="false">IFERROR(MATCH(Controls!$B$3&amp;"|"&amp;B657,'Scenario inputs'!$A$4:$A$213,0),0)</f>
        <v>154</v>
      </c>
      <c r="N657" s="8" t="b">
        <f aca="false">IF(M657=0,FALSE(),F657&lt;Controls!$B$12)</f>
        <v>1</v>
      </c>
      <c r="O657" s="11" t="n">
        <f aca="false">IF(N657,IF(INDEX('Scenario inputs'!$E$4:$E$213,M657)=0,1,INDEX('Scenario inputs'!$F$4:$M$213,M657,MIN(MAX(F657-G657,0),INDEX('Scenario inputs'!$E$4:$E$213,M657)-1)+1)),0)</f>
        <v>0.142857</v>
      </c>
      <c r="P657" s="11" t="n">
        <f aca="false">H657*O657</f>
        <v>25099.9749</v>
      </c>
      <c r="Q657" s="0" t="str">
        <f aca="false">IF(M657=0,"",IF(ISNUMBER(INDEX('Scenario inputs'!$N$4:$N$213,M657)),INDEX('Scenario inputs'!$N$4:$N$213,M657),""))</f>
        <v/>
      </c>
      <c r="R657" s="0" t="str">
        <f aca="false">IF(NOT(N657),"",IF(OR(E657="cash",E657="revenue"),E657,IF(E657="avoided_cost",IF(AND(I657,LEN(TRIM(J657))&gt;0),"avoided_cost_realised","avoided_cost_beside"),IF(ISNUMBER(Q657),"capacity_converted","capacity_hours"))))</f>
        <v>cash</v>
      </c>
      <c r="S657" s="11" t="n">
        <f aca="false">IF(OR(R657="",R657="capacity_hours"),0,IF(R657="capacity_converted",P657*Q657,P657))</f>
        <v>25099.9749</v>
      </c>
      <c r="T657" s="11" t="n">
        <f aca="false">IF(OR(R657="cash",R657="revenue",R657="avoided_cost_realised",R657="capacity_converted"),1,0)</f>
        <v>1</v>
      </c>
      <c r="U657" s="11" t="n">
        <f aca="false">IF(AND(N657,R657&lt;&gt;"capacity_hours",LEN(K657)&gt;0),1,0)</f>
        <v>1</v>
      </c>
      <c r="V657" s="11" t="n">
        <f aca="false">IF(U657=1,SUMPRODUCT(($K$4:$K$703=K657)*($F$4:$F$703=F657)*($U$4:$U$703=1)*($B$4:$B$703&lt;&gt;B657)),0)</f>
        <v>0</v>
      </c>
      <c r="W657" s="11" t="n">
        <f aca="false">IF(AND(U657=1,V657&gt;0),1+SUMPRODUCT(($K$4:$K$703=K657)*($F$4:$F$703=F657)*($U$4:$U$703=1)*($S$4:$S$703&gt;S657))+SUMPRODUCT(($K$4:$K$703=K657)*($F$4:$F$703=F657)*($U$4:$U$703=1)*($S$4:$S$703=S657)*($T$4:$T$703&gt;T657))+SUMPRODUCT(($K$4:$K$703=K657)*($F$4:$F$703=F657)*($U$4:$U$703=1)*($S$4:$S$703=S657)*($T$4:$T$703=T657)*($C$4:$C$703&lt;C657))+SUMPRODUCT(($K$4:$K$703=K657)*($F$4:$F$703=F657)*($U$4:$U$703=1)*($S$4:$S$703=S657)*($T$4:$T$703=T657)*($C$4:$C$703=C657)*($D$4:$D$703&lt;D657)),0)</f>
        <v>0</v>
      </c>
      <c r="X657" s="11" t="n">
        <f aca="false">IF(AND(U657=1,V657&gt;0,W657&gt;1),S657,0)</f>
        <v>0</v>
      </c>
      <c r="Y657" s="11" t="n">
        <f aca="false">IF(T657=1,X657/(1+Controls!$B$11)^F657,0)</f>
        <v>0</v>
      </c>
      <c r="Z657" s="11" t="n">
        <f aca="false">IF(AND(N657,E657="capacity",LEN(K657)&gt;0),1,0)</f>
        <v>0</v>
      </c>
      <c r="AA657" s="11" t="n">
        <f aca="false">IF(Z657=1,SUMPRODUCT(($K$4:$K$703=K657)*($F$4:$F$703=F657)*($Z$4:$Z$703=1)*($B$4:$B$703&lt;&gt;B657)),0)</f>
        <v>0</v>
      </c>
      <c r="AB657" s="11" t="n">
        <f aca="false">IF(AND(Z657=1,AA657&gt;0),1+SUMPRODUCT(($K$4:$K$703=K657)*($F$4:$F$703=F657)*($Z$4:$Z$703=1)*($P$4:$P$703&gt;P657))+SUMPRODUCT(($K$4:$K$703=K657)*($F$4:$F$703=F657)*($Z$4:$Z$703=1)*($P$4:$P$703=P657)*($C$4:$C$703&lt;C657))+SUMPRODUCT(($K$4:$K$703=K657)*($F$4:$F$703=F657)*($Z$4:$Z$703=1)*($P$4:$P$703=P657)*($C$4:$C$703=C657)*($D$4:$D$703&lt;D657)),0)</f>
        <v>0</v>
      </c>
      <c r="AC657" s="11" t="n">
        <f aca="false">IF(AND(Z657=1,AA657&gt;0,AB657&gt;1),P657,0)</f>
        <v>0</v>
      </c>
    </row>
    <row r="658" customFormat="false" ht="15" hidden="false" customHeight="false" outlineLevel="0" collapsed="false">
      <c r="A658" s="4" t="s">
        <v>921</v>
      </c>
      <c r="B658" s="4" t="s">
        <v>105</v>
      </c>
      <c r="C658" s="4" t="n">
        <v>23</v>
      </c>
      <c r="D658" s="4" t="n">
        <v>655</v>
      </c>
      <c r="E658" s="4" t="s">
        <v>112</v>
      </c>
      <c r="F658" s="4" t="n">
        <v>15</v>
      </c>
      <c r="G658" s="4" t="n">
        <v>13</v>
      </c>
      <c r="H658" s="4" t="n">
        <v>175700</v>
      </c>
      <c r="I658" s="13" t="b">
        <f aca="false">FALSE()</f>
        <v>0</v>
      </c>
      <c r="K658" s="4" t="s">
        <v>919</v>
      </c>
      <c r="L658" s="4" t="n">
        <v>3815.2</v>
      </c>
      <c r="M658" s="11" t="n">
        <f aca="false">IFERROR(MATCH(Controls!$B$3&amp;"|"&amp;B658,'Scenario inputs'!$A$4:$A$213,0),0)</f>
        <v>154</v>
      </c>
      <c r="N658" s="8" t="b">
        <f aca="false">IF(M658=0,FALSE(),F658&lt;Controls!$B$12)</f>
        <v>1</v>
      </c>
      <c r="O658" s="11" t="n">
        <f aca="false">IF(N658,IF(INDEX('Scenario inputs'!$E$4:$E$213,M658)=0,1,INDEX('Scenario inputs'!$F$4:$M$213,M658,MIN(MAX(F658-G658,0),INDEX('Scenario inputs'!$E$4:$E$213,M658)-1)+1)),0)</f>
        <v>0.285714</v>
      </c>
      <c r="P658" s="11" t="n">
        <f aca="false">H658*O658</f>
        <v>50199.9498</v>
      </c>
      <c r="Q658" s="0" t="str">
        <f aca="false">IF(M658=0,"",IF(ISNUMBER(INDEX('Scenario inputs'!$N$4:$N$213,M658)),INDEX('Scenario inputs'!$N$4:$N$213,M658),""))</f>
        <v/>
      </c>
      <c r="R658" s="0" t="str">
        <f aca="false">IF(NOT(N658),"",IF(OR(E658="cash",E658="revenue"),E658,IF(E658="avoided_cost",IF(AND(I658,LEN(TRIM(J658))&gt;0),"avoided_cost_realised","avoided_cost_beside"),IF(ISNUMBER(Q658),"capacity_converted","capacity_hours"))))</f>
        <v>cash</v>
      </c>
      <c r="S658" s="11" t="n">
        <f aca="false">IF(OR(R658="",R658="capacity_hours"),0,IF(R658="capacity_converted",P658*Q658,P658))</f>
        <v>50199.9498</v>
      </c>
      <c r="T658" s="11" t="n">
        <f aca="false">IF(OR(R658="cash",R658="revenue",R658="avoided_cost_realised",R658="capacity_converted"),1,0)</f>
        <v>1</v>
      </c>
      <c r="U658" s="11" t="n">
        <f aca="false">IF(AND(N658,R658&lt;&gt;"capacity_hours",LEN(K658)&gt;0),1,0)</f>
        <v>1</v>
      </c>
      <c r="V658" s="11" t="n">
        <f aca="false">IF(U658=1,SUMPRODUCT(($K$4:$K$703=K658)*($F$4:$F$703=F658)*($U$4:$U$703=1)*($B$4:$B$703&lt;&gt;B658)),0)</f>
        <v>0</v>
      </c>
      <c r="W658" s="11" t="n">
        <f aca="false">IF(AND(U658=1,V658&gt;0),1+SUMPRODUCT(($K$4:$K$703=K658)*($F$4:$F$703=F658)*($U$4:$U$703=1)*($S$4:$S$703&gt;S658))+SUMPRODUCT(($K$4:$K$703=K658)*($F$4:$F$703=F658)*($U$4:$U$703=1)*($S$4:$S$703=S658)*($T$4:$T$703&gt;T658))+SUMPRODUCT(($K$4:$K$703=K658)*($F$4:$F$703=F658)*($U$4:$U$703=1)*($S$4:$S$703=S658)*($T$4:$T$703=T658)*($C$4:$C$703&lt;C658))+SUMPRODUCT(($K$4:$K$703=K658)*($F$4:$F$703=F658)*($U$4:$U$703=1)*($S$4:$S$703=S658)*($T$4:$T$703=T658)*($C$4:$C$703=C658)*($D$4:$D$703&lt;D658)),0)</f>
        <v>0</v>
      </c>
      <c r="X658" s="11" t="n">
        <f aca="false">IF(AND(U658=1,V658&gt;0,W658&gt;1),S658,0)</f>
        <v>0</v>
      </c>
      <c r="Y658" s="11" t="n">
        <f aca="false">IF(T658=1,X658/(1+Controls!$B$11)^F658,0)</f>
        <v>0</v>
      </c>
      <c r="Z658" s="11" t="n">
        <f aca="false">IF(AND(N658,E658="capacity",LEN(K658)&gt;0),1,0)</f>
        <v>0</v>
      </c>
      <c r="AA658" s="11" t="n">
        <f aca="false">IF(Z658=1,SUMPRODUCT(($K$4:$K$703=K658)*($F$4:$F$703=F658)*($Z$4:$Z$703=1)*($B$4:$B$703&lt;&gt;B658)),0)</f>
        <v>0</v>
      </c>
      <c r="AB658" s="11" t="n">
        <f aca="false">IF(AND(Z658=1,AA658&gt;0),1+SUMPRODUCT(($K$4:$K$703=K658)*($F$4:$F$703=F658)*($Z$4:$Z$703=1)*($P$4:$P$703&gt;P658))+SUMPRODUCT(($K$4:$K$703=K658)*($F$4:$F$703=F658)*($Z$4:$Z$703=1)*($P$4:$P$703=P658)*($C$4:$C$703&lt;C658))+SUMPRODUCT(($K$4:$K$703=K658)*($F$4:$F$703=F658)*($Z$4:$Z$703=1)*($P$4:$P$703=P658)*($C$4:$C$703=C658)*($D$4:$D$703&lt;D658)),0)</f>
        <v>0</v>
      </c>
      <c r="AC658" s="11" t="n">
        <f aca="false">IF(AND(Z658=1,AA658&gt;0,AB658&gt;1),P658,0)</f>
        <v>0</v>
      </c>
    </row>
    <row r="659" customFormat="false" ht="15" hidden="false" customHeight="false" outlineLevel="0" collapsed="false">
      <c r="A659" s="4" t="s">
        <v>922</v>
      </c>
      <c r="B659" s="4" t="s">
        <v>105</v>
      </c>
      <c r="C659" s="4" t="n">
        <v>23</v>
      </c>
      <c r="D659" s="4" t="n">
        <v>656</v>
      </c>
      <c r="E659" s="4" t="s">
        <v>112</v>
      </c>
      <c r="F659" s="4" t="n">
        <v>16</v>
      </c>
      <c r="G659" s="4" t="n">
        <v>13</v>
      </c>
      <c r="H659" s="4" t="n">
        <v>175700</v>
      </c>
      <c r="I659" s="13" t="b">
        <f aca="false">FALSE()</f>
        <v>0</v>
      </c>
      <c r="K659" s="4" t="s">
        <v>919</v>
      </c>
      <c r="L659" s="4" t="n">
        <v>6358.66</v>
      </c>
      <c r="M659" s="11" t="n">
        <f aca="false">IFERROR(MATCH(Controls!$B$3&amp;"|"&amp;B659,'Scenario inputs'!$A$4:$A$213,0),0)</f>
        <v>154</v>
      </c>
      <c r="N659" s="8" t="b">
        <f aca="false">IF(M659=0,FALSE(),F659&lt;Controls!$B$12)</f>
        <v>1</v>
      </c>
      <c r="O659" s="11" t="n">
        <f aca="false">IF(N659,IF(INDEX('Scenario inputs'!$E$4:$E$213,M659)=0,1,INDEX('Scenario inputs'!$F$4:$M$213,M659,MIN(MAX(F659-G659,0),INDEX('Scenario inputs'!$E$4:$E$213,M659)-1)+1)),0)</f>
        <v>0.47619</v>
      </c>
      <c r="P659" s="11" t="n">
        <f aca="false">H659*O659</f>
        <v>83666.583</v>
      </c>
      <c r="Q659" s="0" t="str">
        <f aca="false">IF(M659=0,"",IF(ISNUMBER(INDEX('Scenario inputs'!$N$4:$N$213,M659)),INDEX('Scenario inputs'!$N$4:$N$213,M659),""))</f>
        <v/>
      </c>
      <c r="R659" s="0" t="str">
        <f aca="false">IF(NOT(N659),"",IF(OR(E659="cash",E659="revenue"),E659,IF(E659="avoided_cost",IF(AND(I659,LEN(TRIM(J659))&gt;0),"avoided_cost_realised","avoided_cost_beside"),IF(ISNUMBER(Q659),"capacity_converted","capacity_hours"))))</f>
        <v>cash</v>
      </c>
      <c r="S659" s="11" t="n">
        <f aca="false">IF(OR(R659="",R659="capacity_hours"),0,IF(R659="capacity_converted",P659*Q659,P659))</f>
        <v>83666.583</v>
      </c>
      <c r="T659" s="11" t="n">
        <f aca="false">IF(OR(R659="cash",R659="revenue",R659="avoided_cost_realised",R659="capacity_converted"),1,0)</f>
        <v>1</v>
      </c>
      <c r="U659" s="11" t="n">
        <f aca="false">IF(AND(N659,R659&lt;&gt;"capacity_hours",LEN(K659)&gt;0),1,0)</f>
        <v>1</v>
      </c>
      <c r="V659" s="11" t="n">
        <f aca="false">IF(U659=1,SUMPRODUCT(($K$4:$K$703=K659)*($F$4:$F$703=F659)*($U$4:$U$703=1)*($B$4:$B$703&lt;&gt;B659)),0)</f>
        <v>0</v>
      </c>
      <c r="W659" s="11" t="n">
        <f aca="false">IF(AND(U659=1,V659&gt;0),1+SUMPRODUCT(($K$4:$K$703=K659)*($F$4:$F$703=F659)*($U$4:$U$703=1)*($S$4:$S$703&gt;S659))+SUMPRODUCT(($K$4:$K$703=K659)*($F$4:$F$703=F659)*($U$4:$U$703=1)*($S$4:$S$703=S659)*($T$4:$T$703&gt;T659))+SUMPRODUCT(($K$4:$K$703=K659)*($F$4:$F$703=F659)*($U$4:$U$703=1)*($S$4:$S$703=S659)*($T$4:$T$703=T659)*($C$4:$C$703&lt;C659))+SUMPRODUCT(($K$4:$K$703=K659)*($F$4:$F$703=F659)*($U$4:$U$703=1)*($S$4:$S$703=S659)*($T$4:$T$703=T659)*($C$4:$C$703=C659)*($D$4:$D$703&lt;D659)),0)</f>
        <v>0</v>
      </c>
      <c r="X659" s="11" t="n">
        <f aca="false">IF(AND(U659=1,V659&gt;0,W659&gt;1),S659,0)</f>
        <v>0</v>
      </c>
      <c r="Y659" s="11" t="n">
        <f aca="false">IF(T659=1,X659/(1+Controls!$B$11)^F659,0)</f>
        <v>0</v>
      </c>
      <c r="Z659" s="11" t="n">
        <f aca="false">IF(AND(N659,E659="capacity",LEN(K659)&gt;0),1,0)</f>
        <v>0</v>
      </c>
      <c r="AA659" s="11" t="n">
        <f aca="false">IF(Z659=1,SUMPRODUCT(($K$4:$K$703=K659)*($F$4:$F$703=F659)*($Z$4:$Z$703=1)*($B$4:$B$703&lt;&gt;B659)),0)</f>
        <v>0</v>
      </c>
      <c r="AB659" s="11" t="n">
        <f aca="false">IF(AND(Z659=1,AA659&gt;0),1+SUMPRODUCT(($K$4:$K$703=K659)*($F$4:$F$703=F659)*($Z$4:$Z$703=1)*($P$4:$P$703&gt;P659))+SUMPRODUCT(($K$4:$K$703=K659)*($F$4:$F$703=F659)*($Z$4:$Z$703=1)*($P$4:$P$703=P659)*($C$4:$C$703&lt;C659))+SUMPRODUCT(($K$4:$K$703=K659)*($F$4:$F$703=F659)*($Z$4:$Z$703=1)*($P$4:$P$703=P659)*($C$4:$C$703=C659)*($D$4:$D$703&lt;D659)),0)</f>
        <v>0</v>
      </c>
      <c r="AC659" s="11" t="n">
        <f aca="false">IF(AND(Z659=1,AA659&gt;0,AB659&gt;1),P659,0)</f>
        <v>0</v>
      </c>
    </row>
    <row r="660" customFormat="false" ht="15" hidden="false" customHeight="false" outlineLevel="0" collapsed="false">
      <c r="A660" s="4" t="s">
        <v>923</v>
      </c>
      <c r="B660" s="4" t="s">
        <v>105</v>
      </c>
      <c r="C660" s="4" t="n">
        <v>23</v>
      </c>
      <c r="D660" s="4" t="n">
        <v>657</v>
      </c>
      <c r="E660" s="4" t="s">
        <v>112</v>
      </c>
      <c r="F660" s="4" t="n">
        <v>17</v>
      </c>
      <c r="G660" s="4" t="n">
        <v>13</v>
      </c>
      <c r="H660" s="4" t="n">
        <v>175700</v>
      </c>
      <c r="I660" s="13" t="b">
        <f aca="false">FALSE()</f>
        <v>0</v>
      </c>
      <c r="K660" s="4" t="s">
        <v>919</v>
      </c>
      <c r="L660" s="4" t="n">
        <v>9538</v>
      </c>
      <c r="M660" s="11" t="n">
        <f aca="false">IFERROR(MATCH(Controls!$B$3&amp;"|"&amp;B660,'Scenario inputs'!$A$4:$A$213,0),0)</f>
        <v>154</v>
      </c>
      <c r="N660" s="8" t="b">
        <f aca="false">IF(M660=0,FALSE(),F660&lt;Controls!$B$12)</f>
        <v>1</v>
      </c>
      <c r="O660" s="11" t="n">
        <f aca="false">IF(N660,IF(INDEX('Scenario inputs'!$E$4:$E$213,M660)=0,1,INDEX('Scenario inputs'!$F$4:$M$213,M660,MIN(MAX(F660-G660,0),INDEX('Scenario inputs'!$E$4:$E$213,M660)-1)+1)),0)</f>
        <v>0.714286</v>
      </c>
      <c r="P660" s="11" t="n">
        <f aca="false">H660*O660</f>
        <v>125500.0502</v>
      </c>
      <c r="Q660" s="0" t="str">
        <f aca="false">IF(M660=0,"",IF(ISNUMBER(INDEX('Scenario inputs'!$N$4:$N$213,M660)),INDEX('Scenario inputs'!$N$4:$N$213,M660),""))</f>
        <v/>
      </c>
      <c r="R660" s="0" t="str">
        <f aca="false">IF(NOT(N660),"",IF(OR(E660="cash",E660="revenue"),E660,IF(E660="avoided_cost",IF(AND(I660,LEN(TRIM(J660))&gt;0),"avoided_cost_realised","avoided_cost_beside"),IF(ISNUMBER(Q660),"capacity_converted","capacity_hours"))))</f>
        <v>cash</v>
      </c>
      <c r="S660" s="11" t="n">
        <f aca="false">IF(OR(R660="",R660="capacity_hours"),0,IF(R660="capacity_converted",P660*Q660,P660))</f>
        <v>125500.0502</v>
      </c>
      <c r="T660" s="11" t="n">
        <f aca="false">IF(OR(R660="cash",R660="revenue",R660="avoided_cost_realised",R660="capacity_converted"),1,0)</f>
        <v>1</v>
      </c>
      <c r="U660" s="11" t="n">
        <f aca="false">IF(AND(N660,R660&lt;&gt;"capacity_hours",LEN(K660)&gt;0),1,0)</f>
        <v>1</v>
      </c>
      <c r="V660" s="11" t="n">
        <f aca="false">IF(U660=1,SUMPRODUCT(($K$4:$K$703=K660)*($F$4:$F$703=F660)*($U$4:$U$703=1)*($B$4:$B$703&lt;&gt;B660)),0)</f>
        <v>0</v>
      </c>
      <c r="W660" s="11" t="n">
        <f aca="false">IF(AND(U660=1,V660&gt;0),1+SUMPRODUCT(($K$4:$K$703=K660)*($F$4:$F$703=F660)*($U$4:$U$703=1)*($S$4:$S$703&gt;S660))+SUMPRODUCT(($K$4:$K$703=K660)*($F$4:$F$703=F660)*($U$4:$U$703=1)*($S$4:$S$703=S660)*($T$4:$T$703&gt;T660))+SUMPRODUCT(($K$4:$K$703=K660)*($F$4:$F$703=F660)*($U$4:$U$703=1)*($S$4:$S$703=S660)*($T$4:$T$703=T660)*($C$4:$C$703&lt;C660))+SUMPRODUCT(($K$4:$K$703=K660)*($F$4:$F$703=F660)*($U$4:$U$703=1)*($S$4:$S$703=S660)*($T$4:$T$703=T660)*($C$4:$C$703=C660)*($D$4:$D$703&lt;D660)),0)</f>
        <v>0</v>
      </c>
      <c r="X660" s="11" t="n">
        <f aca="false">IF(AND(U660=1,V660&gt;0,W660&gt;1),S660,0)</f>
        <v>0</v>
      </c>
      <c r="Y660" s="11" t="n">
        <f aca="false">IF(T660=1,X660/(1+Controls!$B$11)^F660,0)</f>
        <v>0</v>
      </c>
      <c r="Z660" s="11" t="n">
        <f aca="false">IF(AND(N660,E660="capacity",LEN(K660)&gt;0),1,0)</f>
        <v>0</v>
      </c>
      <c r="AA660" s="11" t="n">
        <f aca="false">IF(Z660=1,SUMPRODUCT(($K$4:$K$703=K660)*($F$4:$F$703=F660)*($Z$4:$Z$703=1)*($B$4:$B$703&lt;&gt;B660)),0)</f>
        <v>0</v>
      </c>
      <c r="AB660" s="11" t="n">
        <f aca="false">IF(AND(Z660=1,AA660&gt;0),1+SUMPRODUCT(($K$4:$K$703=K660)*($F$4:$F$703=F660)*($Z$4:$Z$703=1)*($P$4:$P$703&gt;P660))+SUMPRODUCT(($K$4:$K$703=K660)*($F$4:$F$703=F660)*($Z$4:$Z$703=1)*($P$4:$P$703=P660)*($C$4:$C$703&lt;C660))+SUMPRODUCT(($K$4:$K$703=K660)*($F$4:$F$703=F660)*($Z$4:$Z$703=1)*($P$4:$P$703=P660)*($C$4:$C$703=C660)*($D$4:$D$703&lt;D660)),0)</f>
        <v>0</v>
      </c>
      <c r="AC660" s="11" t="n">
        <f aca="false">IF(AND(Z660=1,AA660&gt;0,AB660&gt;1),P660,0)</f>
        <v>0</v>
      </c>
    </row>
    <row r="661" customFormat="false" ht="15" hidden="false" customHeight="false" outlineLevel="0" collapsed="false">
      <c r="A661" s="4" t="s">
        <v>924</v>
      </c>
      <c r="B661" s="4" t="s">
        <v>105</v>
      </c>
      <c r="C661" s="4" t="n">
        <v>23</v>
      </c>
      <c r="D661" s="4" t="n">
        <v>658</v>
      </c>
      <c r="E661" s="4" t="s">
        <v>112</v>
      </c>
      <c r="F661" s="4" t="n">
        <v>18</v>
      </c>
      <c r="G661" s="4" t="n">
        <v>13</v>
      </c>
      <c r="H661" s="4" t="n">
        <v>175700</v>
      </c>
      <c r="I661" s="13" t="b">
        <f aca="false">FALSE()</f>
        <v>0</v>
      </c>
      <c r="K661" s="4" t="s">
        <v>919</v>
      </c>
      <c r="L661" s="4" t="n">
        <v>13353.2</v>
      </c>
      <c r="M661" s="11" t="n">
        <f aca="false">IFERROR(MATCH(Controls!$B$3&amp;"|"&amp;B661,'Scenario inputs'!$A$4:$A$213,0),0)</f>
        <v>154</v>
      </c>
      <c r="N661" s="8" t="b">
        <f aca="false">IF(M661=0,FALSE(),F661&lt;Controls!$B$12)</f>
        <v>1</v>
      </c>
      <c r="O661" s="11" t="n">
        <f aca="false">IF(N661,IF(INDEX('Scenario inputs'!$E$4:$E$213,M661)=0,1,INDEX('Scenario inputs'!$F$4:$M$213,M661,MIN(MAX(F661-G661,0),INDEX('Scenario inputs'!$E$4:$E$213,M661)-1)+1)),0)</f>
        <v>1</v>
      </c>
      <c r="P661" s="11" t="n">
        <f aca="false">H661*O661</f>
        <v>175700</v>
      </c>
      <c r="Q661" s="0" t="str">
        <f aca="false">IF(M661=0,"",IF(ISNUMBER(INDEX('Scenario inputs'!$N$4:$N$213,M661)),INDEX('Scenario inputs'!$N$4:$N$213,M661),""))</f>
        <v/>
      </c>
      <c r="R661" s="0" t="str">
        <f aca="false">IF(NOT(N661),"",IF(OR(E661="cash",E661="revenue"),E661,IF(E661="avoided_cost",IF(AND(I661,LEN(TRIM(J661))&gt;0),"avoided_cost_realised","avoided_cost_beside"),IF(ISNUMBER(Q661),"capacity_converted","capacity_hours"))))</f>
        <v>cash</v>
      </c>
      <c r="S661" s="11" t="n">
        <f aca="false">IF(OR(R661="",R661="capacity_hours"),0,IF(R661="capacity_converted",P661*Q661,P661))</f>
        <v>175700</v>
      </c>
      <c r="T661" s="11" t="n">
        <f aca="false">IF(OR(R661="cash",R661="revenue",R661="avoided_cost_realised",R661="capacity_converted"),1,0)</f>
        <v>1</v>
      </c>
      <c r="U661" s="11" t="n">
        <f aca="false">IF(AND(N661,R661&lt;&gt;"capacity_hours",LEN(K661)&gt;0),1,0)</f>
        <v>1</v>
      </c>
      <c r="V661" s="11" t="n">
        <f aca="false">IF(U661=1,SUMPRODUCT(($K$4:$K$703=K661)*($F$4:$F$703=F661)*($U$4:$U$703=1)*($B$4:$B$703&lt;&gt;B661)),0)</f>
        <v>0</v>
      </c>
      <c r="W661" s="11" t="n">
        <f aca="false">IF(AND(U661=1,V661&gt;0),1+SUMPRODUCT(($K$4:$K$703=K661)*($F$4:$F$703=F661)*($U$4:$U$703=1)*($S$4:$S$703&gt;S661))+SUMPRODUCT(($K$4:$K$703=K661)*($F$4:$F$703=F661)*($U$4:$U$703=1)*($S$4:$S$703=S661)*($T$4:$T$703&gt;T661))+SUMPRODUCT(($K$4:$K$703=K661)*($F$4:$F$703=F661)*($U$4:$U$703=1)*($S$4:$S$703=S661)*($T$4:$T$703=T661)*($C$4:$C$703&lt;C661))+SUMPRODUCT(($K$4:$K$703=K661)*($F$4:$F$703=F661)*($U$4:$U$703=1)*($S$4:$S$703=S661)*($T$4:$T$703=T661)*($C$4:$C$703=C661)*($D$4:$D$703&lt;D661)),0)</f>
        <v>0</v>
      </c>
      <c r="X661" s="11" t="n">
        <f aca="false">IF(AND(U661=1,V661&gt;0,W661&gt;1),S661,0)</f>
        <v>0</v>
      </c>
      <c r="Y661" s="11" t="n">
        <f aca="false">IF(T661=1,X661/(1+Controls!$B$11)^F661,0)</f>
        <v>0</v>
      </c>
      <c r="Z661" s="11" t="n">
        <f aca="false">IF(AND(N661,E661="capacity",LEN(K661)&gt;0),1,0)</f>
        <v>0</v>
      </c>
      <c r="AA661" s="11" t="n">
        <f aca="false">IF(Z661=1,SUMPRODUCT(($K$4:$K$703=K661)*($F$4:$F$703=F661)*($Z$4:$Z$703=1)*($B$4:$B$703&lt;&gt;B661)),0)</f>
        <v>0</v>
      </c>
      <c r="AB661" s="11" t="n">
        <f aca="false">IF(AND(Z661=1,AA661&gt;0),1+SUMPRODUCT(($K$4:$K$703=K661)*($F$4:$F$703=F661)*($Z$4:$Z$703=1)*($P$4:$P$703&gt;P661))+SUMPRODUCT(($K$4:$K$703=K661)*($F$4:$F$703=F661)*($Z$4:$Z$703=1)*($P$4:$P$703=P661)*($C$4:$C$703&lt;C661))+SUMPRODUCT(($K$4:$K$703=K661)*($F$4:$F$703=F661)*($Z$4:$Z$703=1)*($P$4:$P$703=P661)*($C$4:$C$703=C661)*($D$4:$D$703&lt;D661)),0)</f>
        <v>0</v>
      </c>
      <c r="AC661" s="11" t="n">
        <f aca="false">IF(AND(Z661=1,AA661&gt;0,AB661&gt;1),P661,0)</f>
        <v>0</v>
      </c>
    </row>
    <row r="662" customFormat="false" ht="15" hidden="false" customHeight="false" outlineLevel="0" collapsed="false">
      <c r="A662" s="4" t="s">
        <v>925</v>
      </c>
      <c r="B662" s="4" t="s">
        <v>105</v>
      </c>
      <c r="C662" s="4" t="n">
        <v>23</v>
      </c>
      <c r="D662" s="4" t="n">
        <v>659</v>
      </c>
      <c r="E662" s="4" t="s">
        <v>112</v>
      </c>
      <c r="F662" s="4" t="n">
        <v>19</v>
      </c>
      <c r="G662" s="4" t="n">
        <v>13</v>
      </c>
      <c r="H662" s="4" t="n">
        <v>175700</v>
      </c>
      <c r="I662" s="13" t="b">
        <f aca="false">FALSE()</f>
        <v>0</v>
      </c>
      <c r="K662" s="4" t="s">
        <v>919</v>
      </c>
      <c r="L662" s="4" t="n">
        <v>13353.2</v>
      </c>
      <c r="M662" s="11" t="n">
        <f aca="false">IFERROR(MATCH(Controls!$B$3&amp;"|"&amp;B662,'Scenario inputs'!$A$4:$A$213,0),0)</f>
        <v>154</v>
      </c>
      <c r="N662" s="8" t="b">
        <f aca="false">IF(M662=0,FALSE(),F662&lt;Controls!$B$12)</f>
        <v>1</v>
      </c>
      <c r="O662" s="11" t="n">
        <f aca="false">IF(N662,IF(INDEX('Scenario inputs'!$E$4:$E$213,M662)=0,1,INDEX('Scenario inputs'!$F$4:$M$213,M662,MIN(MAX(F662-G662,0),INDEX('Scenario inputs'!$E$4:$E$213,M662)-1)+1)),0)</f>
        <v>1</v>
      </c>
      <c r="P662" s="11" t="n">
        <f aca="false">H662*O662</f>
        <v>175700</v>
      </c>
      <c r="Q662" s="0" t="str">
        <f aca="false">IF(M662=0,"",IF(ISNUMBER(INDEX('Scenario inputs'!$N$4:$N$213,M662)),INDEX('Scenario inputs'!$N$4:$N$213,M662),""))</f>
        <v/>
      </c>
      <c r="R662" s="0" t="str">
        <f aca="false">IF(NOT(N662),"",IF(OR(E662="cash",E662="revenue"),E662,IF(E662="avoided_cost",IF(AND(I662,LEN(TRIM(J662))&gt;0),"avoided_cost_realised","avoided_cost_beside"),IF(ISNUMBER(Q662),"capacity_converted","capacity_hours"))))</f>
        <v>cash</v>
      </c>
      <c r="S662" s="11" t="n">
        <f aca="false">IF(OR(R662="",R662="capacity_hours"),0,IF(R662="capacity_converted",P662*Q662,P662))</f>
        <v>175700</v>
      </c>
      <c r="T662" s="11" t="n">
        <f aca="false">IF(OR(R662="cash",R662="revenue",R662="avoided_cost_realised",R662="capacity_converted"),1,0)</f>
        <v>1</v>
      </c>
      <c r="U662" s="11" t="n">
        <f aca="false">IF(AND(N662,R662&lt;&gt;"capacity_hours",LEN(K662)&gt;0),1,0)</f>
        <v>1</v>
      </c>
      <c r="V662" s="11" t="n">
        <f aca="false">IF(U662=1,SUMPRODUCT(($K$4:$K$703=K662)*($F$4:$F$703=F662)*($U$4:$U$703=1)*($B$4:$B$703&lt;&gt;B662)),0)</f>
        <v>0</v>
      </c>
      <c r="W662" s="11" t="n">
        <f aca="false">IF(AND(U662=1,V662&gt;0),1+SUMPRODUCT(($K$4:$K$703=K662)*($F$4:$F$703=F662)*($U$4:$U$703=1)*($S$4:$S$703&gt;S662))+SUMPRODUCT(($K$4:$K$703=K662)*($F$4:$F$703=F662)*($U$4:$U$703=1)*($S$4:$S$703=S662)*($T$4:$T$703&gt;T662))+SUMPRODUCT(($K$4:$K$703=K662)*($F$4:$F$703=F662)*($U$4:$U$703=1)*($S$4:$S$703=S662)*($T$4:$T$703=T662)*($C$4:$C$703&lt;C662))+SUMPRODUCT(($K$4:$K$703=K662)*($F$4:$F$703=F662)*($U$4:$U$703=1)*($S$4:$S$703=S662)*($T$4:$T$703=T662)*($C$4:$C$703=C662)*($D$4:$D$703&lt;D662)),0)</f>
        <v>0</v>
      </c>
      <c r="X662" s="11" t="n">
        <f aca="false">IF(AND(U662=1,V662&gt;0,W662&gt;1),S662,0)</f>
        <v>0</v>
      </c>
      <c r="Y662" s="11" t="n">
        <f aca="false">IF(T662=1,X662/(1+Controls!$B$11)^F662,0)</f>
        <v>0</v>
      </c>
      <c r="Z662" s="11" t="n">
        <f aca="false">IF(AND(N662,E662="capacity",LEN(K662)&gt;0),1,0)</f>
        <v>0</v>
      </c>
      <c r="AA662" s="11" t="n">
        <f aca="false">IF(Z662=1,SUMPRODUCT(($K$4:$K$703=K662)*($F$4:$F$703=F662)*($Z$4:$Z$703=1)*($B$4:$B$703&lt;&gt;B662)),0)</f>
        <v>0</v>
      </c>
      <c r="AB662" s="11" t="n">
        <f aca="false">IF(AND(Z662=1,AA662&gt;0),1+SUMPRODUCT(($K$4:$K$703=K662)*($F$4:$F$703=F662)*($Z$4:$Z$703=1)*($P$4:$P$703&gt;P662))+SUMPRODUCT(($K$4:$K$703=K662)*($F$4:$F$703=F662)*($Z$4:$Z$703=1)*($P$4:$P$703=P662)*($C$4:$C$703&lt;C662))+SUMPRODUCT(($K$4:$K$703=K662)*($F$4:$F$703=F662)*($Z$4:$Z$703=1)*($P$4:$P$703=P662)*($C$4:$C$703=C662)*($D$4:$D$703&lt;D662)),0)</f>
        <v>0</v>
      </c>
      <c r="AC662" s="11" t="n">
        <f aca="false">IF(AND(Z662=1,AA662&gt;0,AB662&gt;1),P662,0)</f>
        <v>0</v>
      </c>
    </row>
    <row r="663" customFormat="false" ht="15" hidden="false" customHeight="false" outlineLevel="0" collapsed="false">
      <c r="A663" s="4" t="s">
        <v>926</v>
      </c>
      <c r="B663" s="4" t="s">
        <v>105</v>
      </c>
      <c r="C663" s="4" t="n">
        <v>23</v>
      </c>
      <c r="D663" s="4" t="n">
        <v>660</v>
      </c>
      <c r="E663" s="4" t="s">
        <v>112</v>
      </c>
      <c r="F663" s="4" t="n">
        <v>20</v>
      </c>
      <c r="G663" s="4" t="n">
        <v>13</v>
      </c>
      <c r="H663" s="4" t="n">
        <v>175700</v>
      </c>
      <c r="I663" s="13" t="b">
        <f aca="false">FALSE()</f>
        <v>0</v>
      </c>
      <c r="K663" s="4" t="s">
        <v>919</v>
      </c>
      <c r="L663" s="4" t="n">
        <v>13353.2</v>
      </c>
      <c r="M663" s="11" t="n">
        <f aca="false">IFERROR(MATCH(Controls!$B$3&amp;"|"&amp;B663,'Scenario inputs'!$A$4:$A$213,0),0)</f>
        <v>154</v>
      </c>
      <c r="N663" s="8" t="b">
        <f aca="false">IF(M663=0,FALSE(),F663&lt;Controls!$B$12)</f>
        <v>1</v>
      </c>
      <c r="O663" s="11" t="n">
        <f aca="false">IF(N663,IF(INDEX('Scenario inputs'!$E$4:$E$213,M663)=0,1,INDEX('Scenario inputs'!$F$4:$M$213,M663,MIN(MAX(F663-G663,0),INDEX('Scenario inputs'!$E$4:$E$213,M663)-1)+1)),0)</f>
        <v>1</v>
      </c>
      <c r="P663" s="11" t="n">
        <f aca="false">H663*O663</f>
        <v>175700</v>
      </c>
      <c r="Q663" s="0" t="str">
        <f aca="false">IF(M663=0,"",IF(ISNUMBER(INDEX('Scenario inputs'!$N$4:$N$213,M663)),INDEX('Scenario inputs'!$N$4:$N$213,M663),""))</f>
        <v/>
      </c>
      <c r="R663" s="0" t="str">
        <f aca="false">IF(NOT(N663),"",IF(OR(E663="cash",E663="revenue"),E663,IF(E663="avoided_cost",IF(AND(I663,LEN(TRIM(J663))&gt;0),"avoided_cost_realised","avoided_cost_beside"),IF(ISNUMBER(Q663),"capacity_converted","capacity_hours"))))</f>
        <v>cash</v>
      </c>
      <c r="S663" s="11" t="n">
        <f aca="false">IF(OR(R663="",R663="capacity_hours"),0,IF(R663="capacity_converted",P663*Q663,P663))</f>
        <v>175700</v>
      </c>
      <c r="T663" s="11" t="n">
        <f aca="false">IF(OR(R663="cash",R663="revenue",R663="avoided_cost_realised",R663="capacity_converted"),1,0)</f>
        <v>1</v>
      </c>
      <c r="U663" s="11" t="n">
        <f aca="false">IF(AND(N663,R663&lt;&gt;"capacity_hours",LEN(K663)&gt;0),1,0)</f>
        <v>1</v>
      </c>
      <c r="V663" s="11" t="n">
        <f aca="false">IF(U663=1,SUMPRODUCT(($K$4:$K$703=K663)*($F$4:$F$703=F663)*($U$4:$U$703=1)*($B$4:$B$703&lt;&gt;B663)),0)</f>
        <v>0</v>
      </c>
      <c r="W663" s="11" t="n">
        <f aca="false">IF(AND(U663=1,V663&gt;0),1+SUMPRODUCT(($K$4:$K$703=K663)*($F$4:$F$703=F663)*($U$4:$U$703=1)*($S$4:$S$703&gt;S663))+SUMPRODUCT(($K$4:$K$703=K663)*($F$4:$F$703=F663)*($U$4:$U$703=1)*($S$4:$S$703=S663)*($T$4:$T$703&gt;T663))+SUMPRODUCT(($K$4:$K$703=K663)*($F$4:$F$703=F663)*($U$4:$U$703=1)*($S$4:$S$703=S663)*($T$4:$T$703=T663)*($C$4:$C$703&lt;C663))+SUMPRODUCT(($K$4:$K$703=K663)*($F$4:$F$703=F663)*($U$4:$U$703=1)*($S$4:$S$703=S663)*($T$4:$T$703=T663)*($C$4:$C$703=C663)*($D$4:$D$703&lt;D663)),0)</f>
        <v>0</v>
      </c>
      <c r="X663" s="11" t="n">
        <f aca="false">IF(AND(U663=1,V663&gt;0,W663&gt;1),S663,0)</f>
        <v>0</v>
      </c>
      <c r="Y663" s="11" t="n">
        <f aca="false">IF(T663=1,X663/(1+Controls!$B$11)^F663,0)</f>
        <v>0</v>
      </c>
      <c r="Z663" s="11" t="n">
        <f aca="false">IF(AND(N663,E663="capacity",LEN(K663)&gt;0),1,0)</f>
        <v>0</v>
      </c>
      <c r="AA663" s="11" t="n">
        <f aca="false">IF(Z663=1,SUMPRODUCT(($K$4:$K$703=K663)*($F$4:$F$703=F663)*($Z$4:$Z$703=1)*($B$4:$B$703&lt;&gt;B663)),0)</f>
        <v>0</v>
      </c>
      <c r="AB663" s="11" t="n">
        <f aca="false">IF(AND(Z663=1,AA663&gt;0),1+SUMPRODUCT(($K$4:$K$703=K663)*($F$4:$F$703=F663)*($Z$4:$Z$703=1)*($P$4:$P$703&gt;P663))+SUMPRODUCT(($K$4:$K$703=K663)*($F$4:$F$703=F663)*($Z$4:$Z$703=1)*($P$4:$P$703=P663)*($C$4:$C$703&lt;C663))+SUMPRODUCT(($K$4:$K$703=K663)*($F$4:$F$703=F663)*($Z$4:$Z$703=1)*($P$4:$P$703=P663)*($C$4:$C$703=C663)*($D$4:$D$703&lt;D663)),0)</f>
        <v>0</v>
      </c>
      <c r="AC663" s="11" t="n">
        <f aca="false">IF(AND(Z663=1,AA663&gt;0,AB663&gt;1),P663,0)</f>
        <v>0</v>
      </c>
    </row>
    <row r="664" customFormat="false" ht="15" hidden="false" customHeight="false" outlineLevel="0" collapsed="false">
      <c r="A664" s="4" t="s">
        <v>927</v>
      </c>
      <c r="B664" s="4" t="s">
        <v>105</v>
      </c>
      <c r="C664" s="4" t="n">
        <v>23</v>
      </c>
      <c r="D664" s="4" t="n">
        <v>661</v>
      </c>
      <c r="E664" s="4" t="s">
        <v>112</v>
      </c>
      <c r="F664" s="4" t="n">
        <v>21</v>
      </c>
      <c r="G664" s="4" t="n">
        <v>13</v>
      </c>
      <c r="H664" s="4" t="n">
        <v>175700</v>
      </c>
      <c r="I664" s="13" t="b">
        <f aca="false">FALSE()</f>
        <v>0</v>
      </c>
      <c r="K664" s="4" t="s">
        <v>919</v>
      </c>
      <c r="L664" s="4" t="n">
        <v>13353.2</v>
      </c>
      <c r="M664" s="11" t="n">
        <f aca="false">IFERROR(MATCH(Controls!$B$3&amp;"|"&amp;B664,'Scenario inputs'!$A$4:$A$213,0),0)</f>
        <v>154</v>
      </c>
      <c r="N664" s="8" t="b">
        <f aca="false">IF(M664=0,FALSE(),F664&lt;Controls!$B$12)</f>
        <v>1</v>
      </c>
      <c r="O664" s="11" t="n">
        <f aca="false">IF(N664,IF(INDEX('Scenario inputs'!$E$4:$E$213,M664)=0,1,INDEX('Scenario inputs'!$F$4:$M$213,M664,MIN(MAX(F664-G664,0),INDEX('Scenario inputs'!$E$4:$E$213,M664)-1)+1)),0)</f>
        <v>1</v>
      </c>
      <c r="P664" s="11" t="n">
        <f aca="false">H664*O664</f>
        <v>175700</v>
      </c>
      <c r="Q664" s="0" t="str">
        <f aca="false">IF(M664=0,"",IF(ISNUMBER(INDEX('Scenario inputs'!$N$4:$N$213,M664)),INDEX('Scenario inputs'!$N$4:$N$213,M664),""))</f>
        <v/>
      </c>
      <c r="R664" s="0" t="str">
        <f aca="false">IF(NOT(N664),"",IF(OR(E664="cash",E664="revenue"),E664,IF(E664="avoided_cost",IF(AND(I664,LEN(TRIM(J664))&gt;0),"avoided_cost_realised","avoided_cost_beside"),IF(ISNUMBER(Q664),"capacity_converted","capacity_hours"))))</f>
        <v>cash</v>
      </c>
      <c r="S664" s="11" t="n">
        <f aca="false">IF(OR(R664="",R664="capacity_hours"),0,IF(R664="capacity_converted",P664*Q664,P664))</f>
        <v>175700</v>
      </c>
      <c r="T664" s="11" t="n">
        <f aca="false">IF(OR(R664="cash",R664="revenue",R664="avoided_cost_realised",R664="capacity_converted"),1,0)</f>
        <v>1</v>
      </c>
      <c r="U664" s="11" t="n">
        <f aca="false">IF(AND(N664,R664&lt;&gt;"capacity_hours",LEN(K664)&gt;0),1,0)</f>
        <v>1</v>
      </c>
      <c r="V664" s="11" t="n">
        <f aca="false">IF(U664=1,SUMPRODUCT(($K$4:$K$703=K664)*($F$4:$F$703=F664)*($U$4:$U$703=1)*($B$4:$B$703&lt;&gt;B664)),0)</f>
        <v>0</v>
      </c>
      <c r="W664" s="11" t="n">
        <f aca="false">IF(AND(U664=1,V664&gt;0),1+SUMPRODUCT(($K$4:$K$703=K664)*($F$4:$F$703=F664)*($U$4:$U$703=1)*($S$4:$S$703&gt;S664))+SUMPRODUCT(($K$4:$K$703=K664)*($F$4:$F$703=F664)*($U$4:$U$703=1)*($S$4:$S$703=S664)*($T$4:$T$703&gt;T664))+SUMPRODUCT(($K$4:$K$703=K664)*($F$4:$F$703=F664)*($U$4:$U$703=1)*($S$4:$S$703=S664)*($T$4:$T$703=T664)*($C$4:$C$703&lt;C664))+SUMPRODUCT(($K$4:$K$703=K664)*($F$4:$F$703=F664)*($U$4:$U$703=1)*($S$4:$S$703=S664)*($T$4:$T$703=T664)*($C$4:$C$703=C664)*($D$4:$D$703&lt;D664)),0)</f>
        <v>0</v>
      </c>
      <c r="X664" s="11" t="n">
        <f aca="false">IF(AND(U664=1,V664&gt;0,W664&gt;1),S664,0)</f>
        <v>0</v>
      </c>
      <c r="Y664" s="11" t="n">
        <f aca="false">IF(T664=1,X664/(1+Controls!$B$11)^F664,0)</f>
        <v>0</v>
      </c>
      <c r="Z664" s="11" t="n">
        <f aca="false">IF(AND(N664,E664="capacity",LEN(K664)&gt;0),1,0)</f>
        <v>0</v>
      </c>
      <c r="AA664" s="11" t="n">
        <f aca="false">IF(Z664=1,SUMPRODUCT(($K$4:$K$703=K664)*($F$4:$F$703=F664)*($Z$4:$Z$703=1)*($B$4:$B$703&lt;&gt;B664)),0)</f>
        <v>0</v>
      </c>
      <c r="AB664" s="11" t="n">
        <f aca="false">IF(AND(Z664=1,AA664&gt;0),1+SUMPRODUCT(($K$4:$K$703=K664)*($F$4:$F$703=F664)*($Z$4:$Z$703=1)*($P$4:$P$703&gt;P664))+SUMPRODUCT(($K$4:$K$703=K664)*($F$4:$F$703=F664)*($Z$4:$Z$703=1)*($P$4:$P$703=P664)*($C$4:$C$703&lt;C664))+SUMPRODUCT(($K$4:$K$703=K664)*($F$4:$F$703=F664)*($Z$4:$Z$703=1)*($P$4:$P$703=P664)*($C$4:$C$703=C664)*($D$4:$D$703&lt;D664)),0)</f>
        <v>0</v>
      </c>
      <c r="AC664" s="11" t="n">
        <f aca="false">IF(AND(Z664=1,AA664&gt;0,AB664&gt;1),P664,0)</f>
        <v>0</v>
      </c>
    </row>
    <row r="665" customFormat="false" ht="15" hidden="false" customHeight="false" outlineLevel="0" collapsed="false">
      <c r="A665" s="4" t="s">
        <v>928</v>
      </c>
      <c r="B665" s="4" t="s">
        <v>105</v>
      </c>
      <c r="C665" s="4" t="n">
        <v>23</v>
      </c>
      <c r="D665" s="4" t="n">
        <v>662</v>
      </c>
      <c r="E665" s="4" t="s">
        <v>112</v>
      </c>
      <c r="F665" s="4" t="n">
        <v>22</v>
      </c>
      <c r="G665" s="4" t="n">
        <v>13</v>
      </c>
      <c r="H665" s="4" t="n">
        <v>175700</v>
      </c>
      <c r="I665" s="13" t="b">
        <f aca="false">FALSE()</f>
        <v>0</v>
      </c>
      <c r="K665" s="4" t="s">
        <v>919</v>
      </c>
      <c r="L665" s="4" t="n">
        <v>13353.2</v>
      </c>
      <c r="M665" s="11" t="n">
        <f aca="false">IFERROR(MATCH(Controls!$B$3&amp;"|"&amp;B665,'Scenario inputs'!$A$4:$A$213,0),0)</f>
        <v>154</v>
      </c>
      <c r="N665" s="8" t="b">
        <f aca="false">IF(M665=0,FALSE(),F665&lt;Controls!$B$12)</f>
        <v>1</v>
      </c>
      <c r="O665" s="11" t="n">
        <f aca="false">IF(N665,IF(INDEX('Scenario inputs'!$E$4:$E$213,M665)=0,1,INDEX('Scenario inputs'!$F$4:$M$213,M665,MIN(MAX(F665-G665,0),INDEX('Scenario inputs'!$E$4:$E$213,M665)-1)+1)),0)</f>
        <v>1</v>
      </c>
      <c r="P665" s="11" t="n">
        <f aca="false">H665*O665</f>
        <v>175700</v>
      </c>
      <c r="Q665" s="0" t="str">
        <f aca="false">IF(M665=0,"",IF(ISNUMBER(INDEX('Scenario inputs'!$N$4:$N$213,M665)),INDEX('Scenario inputs'!$N$4:$N$213,M665),""))</f>
        <v/>
      </c>
      <c r="R665" s="0" t="str">
        <f aca="false">IF(NOT(N665),"",IF(OR(E665="cash",E665="revenue"),E665,IF(E665="avoided_cost",IF(AND(I665,LEN(TRIM(J665))&gt;0),"avoided_cost_realised","avoided_cost_beside"),IF(ISNUMBER(Q665),"capacity_converted","capacity_hours"))))</f>
        <v>cash</v>
      </c>
      <c r="S665" s="11" t="n">
        <f aca="false">IF(OR(R665="",R665="capacity_hours"),0,IF(R665="capacity_converted",P665*Q665,P665))</f>
        <v>175700</v>
      </c>
      <c r="T665" s="11" t="n">
        <f aca="false">IF(OR(R665="cash",R665="revenue",R665="avoided_cost_realised",R665="capacity_converted"),1,0)</f>
        <v>1</v>
      </c>
      <c r="U665" s="11" t="n">
        <f aca="false">IF(AND(N665,R665&lt;&gt;"capacity_hours",LEN(K665)&gt;0),1,0)</f>
        <v>1</v>
      </c>
      <c r="V665" s="11" t="n">
        <f aca="false">IF(U665=1,SUMPRODUCT(($K$4:$K$703=K665)*($F$4:$F$703=F665)*($U$4:$U$703=1)*($B$4:$B$703&lt;&gt;B665)),0)</f>
        <v>0</v>
      </c>
      <c r="W665" s="11" t="n">
        <f aca="false">IF(AND(U665=1,V665&gt;0),1+SUMPRODUCT(($K$4:$K$703=K665)*($F$4:$F$703=F665)*($U$4:$U$703=1)*($S$4:$S$703&gt;S665))+SUMPRODUCT(($K$4:$K$703=K665)*($F$4:$F$703=F665)*($U$4:$U$703=1)*($S$4:$S$703=S665)*($T$4:$T$703&gt;T665))+SUMPRODUCT(($K$4:$K$703=K665)*($F$4:$F$703=F665)*($U$4:$U$703=1)*($S$4:$S$703=S665)*($T$4:$T$703=T665)*($C$4:$C$703&lt;C665))+SUMPRODUCT(($K$4:$K$703=K665)*($F$4:$F$703=F665)*($U$4:$U$703=1)*($S$4:$S$703=S665)*($T$4:$T$703=T665)*($C$4:$C$703=C665)*($D$4:$D$703&lt;D665)),0)</f>
        <v>0</v>
      </c>
      <c r="X665" s="11" t="n">
        <f aca="false">IF(AND(U665=1,V665&gt;0,W665&gt;1),S665,0)</f>
        <v>0</v>
      </c>
      <c r="Y665" s="11" t="n">
        <f aca="false">IF(T665=1,X665/(1+Controls!$B$11)^F665,0)</f>
        <v>0</v>
      </c>
      <c r="Z665" s="11" t="n">
        <f aca="false">IF(AND(N665,E665="capacity",LEN(K665)&gt;0),1,0)</f>
        <v>0</v>
      </c>
      <c r="AA665" s="11" t="n">
        <f aca="false">IF(Z665=1,SUMPRODUCT(($K$4:$K$703=K665)*($F$4:$F$703=F665)*($Z$4:$Z$703=1)*($B$4:$B$703&lt;&gt;B665)),0)</f>
        <v>0</v>
      </c>
      <c r="AB665" s="11" t="n">
        <f aca="false">IF(AND(Z665=1,AA665&gt;0),1+SUMPRODUCT(($K$4:$K$703=K665)*($F$4:$F$703=F665)*($Z$4:$Z$703=1)*($P$4:$P$703&gt;P665))+SUMPRODUCT(($K$4:$K$703=K665)*($F$4:$F$703=F665)*($Z$4:$Z$703=1)*($P$4:$P$703=P665)*($C$4:$C$703&lt;C665))+SUMPRODUCT(($K$4:$K$703=K665)*($F$4:$F$703=F665)*($Z$4:$Z$703=1)*($P$4:$P$703=P665)*($C$4:$C$703=C665)*($D$4:$D$703&lt;D665)),0)</f>
        <v>0</v>
      </c>
      <c r="AC665" s="11" t="n">
        <f aca="false">IF(AND(Z665=1,AA665&gt;0,AB665&gt;1),P665,0)</f>
        <v>0</v>
      </c>
    </row>
    <row r="666" customFormat="false" ht="15" hidden="false" customHeight="false" outlineLevel="0" collapsed="false">
      <c r="A666" s="4" t="s">
        <v>929</v>
      </c>
      <c r="B666" s="4" t="s">
        <v>105</v>
      </c>
      <c r="C666" s="4" t="n">
        <v>23</v>
      </c>
      <c r="D666" s="4" t="n">
        <v>663</v>
      </c>
      <c r="E666" s="4" t="s">
        <v>112</v>
      </c>
      <c r="F666" s="4" t="n">
        <v>23</v>
      </c>
      <c r="G666" s="4" t="n">
        <v>13</v>
      </c>
      <c r="H666" s="4" t="n">
        <v>175700</v>
      </c>
      <c r="I666" s="13" t="b">
        <f aca="false">FALSE()</f>
        <v>0</v>
      </c>
      <c r="K666" s="4" t="s">
        <v>919</v>
      </c>
      <c r="L666" s="4" t="n">
        <v>13353.2</v>
      </c>
      <c r="M666" s="11" t="n">
        <f aca="false">IFERROR(MATCH(Controls!$B$3&amp;"|"&amp;B666,'Scenario inputs'!$A$4:$A$213,0),0)</f>
        <v>154</v>
      </c>
      <c r="N666" s="8" t="b">
        <f aca="false">IF(M666=0,FALSE(),F666&lt;Controls!$B$12)</f>
        <v>1</v>
      </c>
      <c r="O666" s="11" t="n">
        <f aca="false">IF(N666,IF(INDEX('Scenario inputs'!$E$4:$E$213,M666)=0,1,INDEX('Scenario inputs'!$F$4:$M$213,M666,MIN(MAX(F666-G666,0),INDEX('Scenario inputs'!$E$4:$E$213,M666)-1)+1)),0)</f>
        <v>1</v>
      </c>
      <c r="P666" s="11" t="n">
        <f aca="false">H666*O666</f>
        <v>175700</v>
      </c>
      <c r="Q666" s="0" t="str">
        <f aca="false">IF(M666=0,"",IF(ISNUMBER(INDEX('Scenario inputs'!$N$4:$N$213,M666)),INDEX('Scenario inputs'!$N$4:$N$213,M666),""))</f>
        <v/>
      </c>
      <c r="R666" s="0" t="str">
        <f aca="false">IF(NOT(N666),"",IF(OR(E666="cash",E666="revenue"),E666,IF(E666="avoided_cost",IF(AND(I666,LEN(TRIM(J666))&gt;0),"avoided_cost_realised","avoided_cost_beside"),IF(ISNUMBER(Q666),"capacity_converted","capacity_hours"))))</f>
        <v>cash</v>
      </c>
      <c r="S666" s="11" t="n">
        <f aca="false">IF(OR(R666="",R666="capacity_hours"),0,IF(R666="capacity_converted",P666*Q666,P666))</f>
        <v>175700</v>
      </c>
      <c r="T666" s="11" t="n">
        <f aca="false">IF(OR(R666="cash",R666="revenue",R666="avoided_cost_realised",R666="capacity_converted"),1,0)</f>
        <v>1</v>
      </c>
      <c r="U666" s="11" t="n">
        <f aca="false">IF(AND(N666,R666&lt;&gt;"capacity_hours",LEN(K666)&gt;0),1,0)</f>
        <v>1</v>
      </c>
      <c r="V666" s="11" t="n">
        <f aca="false">IF(U666=1,SUMPRODUCT(($K$4:$K$703=K666)*($F$4:$F$703=F666)*($U$4:$U$703=1)*($B$4:$B$703&lt;&gt;B666)),0)</f>
        <v>0</v>
      </c>
      <c r="W666" s="11" t="n">
        <f aca="false">IF(AND(U666=1,V666&gt;0),1+SUMPRODUCT(($K$4:$K$703=K666)*($F$4:$F$703=F666)*($U$4:$U$703=1)*($S$4:$S$703&gt;S666))+SUMPRODUCT(($K$4:$K$703=K666)*($F$4:$F$703=F666)*($U$4:$U$703=1)*($S$4:$S$703=S666)*($T$4:$T$703&gt;T666))+SUMPRODUCT(($K$4:$K$703=K666)*($F$4:$F$703=F666)*($U$4:$U$703=1)*($S$4:$S$703=S666)*($T$4:$T$703=T666)*($C$4:$C$703&lt;C666))+SUMPRODUCT(($K$4:$K$703=K666)*($F$4:$F$703=F666)*($U$4:$U$703=1)*($S$4:$S$703=S666)*($T$4:$T$703=T666)*($C$4:$C$703=C666)*($D$4:$D$703&lt;D666)),0)</f>
        <v>0</v>
      </c>
      <c r="X666" s="11" t="n">
        <f aca="false">IF(AND(U666=1,V666&gt;0,W666&gt;1),S666,0)</f>
        <v>0</v>
      </c>
      <c r="Y666" s="11" t="n">
        <f aca="false">IF(T666=1,X666/(1+Controls!$B$11)^F666,0)</f>
        <v>0</v>
      </c>
      <c r="Z666" s="11" t="n">
        <f aca="false">IF(AND(N666,E666="capacity",LEN(K666)&gt;0),1,0)</f>
        <v>0</v>
      </c>
      <c r="AA666" s="11" t="n">
        <f aca="false">IF(Z666=1,SUMPRODUCT(($K$4:$K$703=K666)*($F$4:$F$703=F666)*($Z$4:$Z$703=1)*($B$4:$B$703&lt;&gt;B666)),0)</f>
        <v>0</v>
      </c>
      <c r="AB666" s="11" t="n">
        <f aca="false">IF(AND(Z666=1,AA666&gt;0),1+SUMPRODUCT(($K$4:$K$703=K666)*($F$4:$F$703=F666)*($Z$4:$Z$703=1)*($P$4:$P$703&gt;P666))+SUMPRODUCT(($K$4:$K$703=K666)*($F$4:$F$703=F666)*($Z$4:$Z$703=1)*($P$4:$P$703=P666)*($C$4:$C$703&lt;C666))+SUMPRODUCT(($K$4:$K$703=K666)*($F$4:$F$703=F666)*($Z$4:$Z$703=1)*($P$4:$P$703=P666)*($C$4:$C$703=C666)*($D$4:$D$703&lt;D666)),0)</f>
        <v>0</v>
      </c>
      <c r="AC666" s="11" t="n">
        <f aca="false">IF(AND(Z666=1,AA666&gt;0,AB666&gt;1),P666,0)</f>
        <v>0</v>
      </c>
    </row>
    <row r="667" customFormat="false" ht="15" hidden="false" customHeight="false" outlineLevel="0" collapsed="false">
      <c r="A667" s="4" t="s">
        <v>930</v>
      </c>
      <c r="B667" s="4" t="s">
        <v>105</v>
      </c>
      <c r="C667" s="4" t="n">
        <v>23</v>
      </c>
      <c r="D667" s="4" t="n">
        <v>664</v>
      </c>
      <c r="E667" s="4" t="s">
        <v>112</v>
      </c>
      <c r="F667" s="4" t="n">
        <v>24</v>
      </c>
      <c r="G667" s="4" t="n">
        <v>13</v>
      </c>
      <c r="H667" s="4" t="n">
        <v>175700</v>
      </c>
      <c r="I667" s="13" t="b">
        <f aca="false">FALSE()</f>
        <v>0</v>
      </c>
      <c r="K667" s="4" t="s">
        <v>919</v>
      </c>
      <c r="L667" s="4" t="n">
        <v>13353.2</v>
      </c>
      <c r="M667" s="11" t="n">
        <f aca="false">IFERROR(MATCH(Controls!$B$3&amp;"|"&amp;B667,'Scenario inputs'!$A$4:$A$213,0),0)</f>
        <v>154</v>
      </c>
      <c r="N667" s="8" t="b">
        <f aca="false">IF(M667=0,FALSE(),F667&lt;Controls!$B$12)</f>
        <v>1</v>
      </c>
      <c r="O667" s="11" t="n">
        <f aca="false">IF(N667,IF(INDEX('Scenario inputs'!$E$4:$E$213,M667)=0,1,INDEX('Scenario inputs'!$F$4:$M$213,M667,MIN(MAX(F667-G667,0),INDEX('Scenario inputs'!$E$4:$E$213,M667)-1)+1)),0)</f>
        <v>1</v>
      </c>
      <c r="P667" s="11" t="n">
        <f aca="false">H667*O667</f>
        <v>175700</v>
      </c>
      <c r="Q667" s="0" t="str">
        <f aca="false">IF(M667=0,"",IF(ISNUMBER(INDEX('Scenario inputs'!$N$4:$N$213,M667)),INDEX('Scenario inputs'!$N$4:$N$213,M667),""))</f>
        <v/>
      </c>
      <c r="R667" s="0" t="str">
        <f aca="false">IF(NOT(N667),"",IF(OR(E667="cash",E667="revenue"),E667,IF(E667="avoided_cost",IF(AND(I667,LEN(TRIM(J667))&gt;0),"avoided_cost_realised","avoided_cost_beside"),IF(ISNUMBER(Q667),"capacity_converted","capacity_hours"))))</f>
        <v>cash</v>
      </c>
      <c r="S667" s="11" t="n">
        <f aca="false">IF(OR(R667="",R667="capacity_hours"),0,IF(R667="capacity_converted",P667*Q667,P667))</f>
        <v>175700</v>
      </c>
      <c r="T667" s="11" t="n">
        <f aca="false">IF(OR(R667="cash",R667="revenue",R667="avoided_cost_realised",R667="capacity_converted"),1,0)</f>
        <v>1</v>
      </c>
      <c r="U667" s="11" t="n">
        <f aca="false">IF(AND(N667,R667&lt;&gt;"capacity_hours",LEN(K667)&gt;0),1,0)</f>
        <v>1</v>
      </c>
      <c r="V667" s="11" t="n">
        <f aca="false">IF(U667=1,SUMPRODUCT(($K$4:$K$703=K667)*($F$4:$F$703=F667)*($U$4:$U$703=1)*($B$4:$B$703&lt;&gt;B667)),0)</f>
        <v>0</v>
      </c>
      <c r="W667" s="11" t="n">
        <f aca="false">IF(AND(U667=1,V667&gt;0),1+SUMPRODUCT(($K$4:$K$703=K667)*($F$4:$F$703=F667)*($U$4:$U$703=1)*($S$4:$S$703&gt;S667))+SUMPRODUCT(($K$4:$K$703=K667)*($F$4:$F$703=F667)*($U$4:$U$703=1)*($S$4:$S$703=S667)*($T$4:$T$703&gt;T667))+SUMPRODUCT(($K$4:$K$703=K667)*($F$4:$F$703=F667)*($U$4:$U$703=1)*($S$4:$S$703=S667)*($T$4:$T$703=T667)*($C$4:$C$703&lt;C667))+SUMPRODUCT(($K$4:$K$703=K667)*($F$4:$F$703=F667)*($U$4:$U$703=1)*($S$4:$S$703=S667)*($T$4:$T$703=T667)*($C$4:$C$703=C667)*($D$4:$D$703&lt;D667)),0)</f>
        <v>0</v>
      </c>
      <c r="X667" s="11" t="n">
        <f aca="false">IF(AND(U667=1,V667&gt;0,W667&gt;1),S667,0)</f>
        <v>0</v>
      </c>
      <c r="Y667" s="11" t="n">
        <f aca="false">IF(T667=1,X667/(1+Controls!$B$11)^F667,0)</f>
        <v>0</v>
      </c>
      <c r="Z667" s="11" t="n">
        <f aca="false">IF(AND(N667,E667="capacity",LEN(K667)&gt;0),1,0)</f>
        <v>0</v>
      </c>
      <c r="AA667" s="11" t="n">
        <f aca="false">IF(Z667=1,SUMPRODUCT(($K$4:$K$703=K667)*($F$4:$F$703=F667)*($Z$4:$Z$703=1)*($B$4:$B$703&lt;&gt;B667)),0)</f>
        <v>0</v>
      </c>
      <c r="AB667" s="11" t="n">
        <f aca="false">IF(AND(Z667=1,AA667&gt;0),1+SUMPRODUCT(($K$4:$K$703=K667)*($F$4:$F$703=F667)*($Z$4:$Z$703=1)*($P$4:$P$703&gt;P667))+SUMPRODUCT(($K$4:$K$703=K667)*($F$4:$F$703=F667)*($Z$4:$Z$703=1)*($P$4:$P$703=P667)*($C$4:$C$703&lt;C667))+SUMPRODUCT(($K$4:$K$703=K667)*($F$4:$F$703=F667)*($Z$4:$Z$703=1)*($P$4:$P$703=P667)*($C$4:$C$703=C667)*($D$4:$D$703&lt;D667)),0)</f>
        <v>0</v>
      </c>
      <c r="AC667" s="11" t="n">
        <f aca="false">IF(AND(Z667=1,AA667&gt;0,AB667&gt;1),P667,0)</f>
        <v>0</v>
      </c>
    </row>
    <row r="668" customFormat="false" ht="15" hidden="false" customHeight="false" outlineLevel="0" collapsed="false">
      <c r="A668" s="4" t="s">
        <v>931</v>
      </c>
      <c r="B668" s="4" t="s">
        <v>106</v>
      </c>
      <c r="C668" s="4" t="n">
        <v>24</v>
      </c>
      <c r="D668" s="4" t="n">
        <v>665</v>
      </c>
      <c r="E668" s="4" t="s">
        <v>112</v>
      </c>
      <c r="F668" s="4" t="n">
        <v>11</v>
      </c>
      <c r="G668" s="4" t="n">
        <v>11</v>
      </c>
      <c r="H668" s="4" t="n">
        <v>172100</v>
      </c>
      <c r="I668" s="13" t="b">
        <f aca="false">FALSE()</f>
        <v>0</v>
      </c>
      <c r="K668" s="4" t="s">
        <v>932</v>
      </c>
      <c r="L668" s="4" t="n">
        <v>1950.48</v>
      </c>
      <c r="M668" s="11" t="n">
        <f aca="false">IFERROR(MATCH(Controls!$B$3&amp;"|"&amp;B668,'Scenario inputs'!$A$4:$A$213,0),0)</f>
        <v>155</v>
      </c>
      <c r="N668" s="8" t="b">
        <f aca="false">IF(M668=0,FALSE(),F668&lt;Controls!$B$12)</f>
        <v>1</v>
      </c>
      <c r="O668" s="11" t="n">
        <f aca="false">IF(N668,IF(INDEX('Scenario inputs'!$E$4:$E$213,M668)=0,1,INDEX('Scenario inputs'!$F$4:$M$213,M668,MIN(MAX(F668-G668,0),INDEX('Scenario inputs'!$E$4:$E$213,M668)-1)+1)),0)</f>
        <v>0.066667</v>
      </c>
      <c r="P668" s="11" t="n">
        <f aca="false">H668*O668</f>
        <v>11473.3907</v>
      </c>
      <c r="Q668" s="0" t="str">
        <f aca="false">IF(M668=0,"",IF(ISNUMBER(INDEX('Scenario inputs'!$N$4:$N$213,M668)),INDEX('Scenario inputs'!$N$4:$N$213,M668),""))</f>
        <v/>
      </c>
      <c r="R668" s="0" t="str">
        <f aca="false">IF(NOT(N668),"",IF(OR(E668="cash",E668="revenue"),E668,IF(E668="avoided_cost",IF(AND(I668,LEN(TRIM(J668))&gt;0),"avoided_cost_realised","avoided_cost_beside"),IF(ISNUMBER(Q668),"capacity_converted","capacity_hours"))))</f>
        <v>cash</v>
      </c>
      <c r="S668" s="11" t="n">
        <f aca="false">IF(OR(R668="",R668="capacity_hours"),0,IF(R668="capacity_converted",P668*Q668,P668))</f>
        <v>11473.3907</v>
      </c>
      <c r="T668" s="11" t="n">
        <f aca="false">IF(OR(R668="cash",R668="revenue",R668="avoided_cost_realised",R668="capacity_converted"),1,0)</f>
        <v>1</v>
      </c>
      <c r="U668" s="11" t="n">
        <f aca="false">IF(AND(N668,R668&lt;&gt;"capacity_hours",LEN(K668)&gt;0),1,0)</f>
        <v>1</v>
      </c>
      <c r="V668" s="11" t="n">
        <f aca="false">IF(U668=1,SUMPRODUCT(($K$4:$K$703=K668)*($F$4:$F$703=F668)*($U$4:$U$703=1)*($B$4:$B$703&lt;&gt;B668)),0)</f>
        <v>0</v>
      </c>
      <c r="W668" s="11" t="n">
        <f aca="false">IF(AND(U668=1,V668&gt;0),1+SUMPRODUCT(($K$4:$K$703=K668)*($F$4:$F$703=F668)*($U$4:$U$703=1)*($S$4:$S$703&gt;S668))+SUMPRODUCT(($K$4:$K$703=K668)*($F$4:$F$703=F668)*($U$4:$U$703=1)*($S$4:$S$703=S668)*($T$4:$T$703&gt;T668))+SUMPRODUCT(($K$4:$K$703=K668)*($F$4:$F$703=F668)*($U$4:$U$703=1)*($S$4:$S$703=S668)*($T$4:$T$703=T668)*($C$4:$C$703&lt;C668))+SUMPRODUCT(($K$4:$K$703=K668)*($F$4:$F$703=F668)*($U$4:$U$703=1)*($S$4:$S$703=S668)*($T$4:$T$703=T668)*($C$4:$C$703=C668)*($D$4:$D$703&lt;D668)),0)</f>
        <v>0</v>
      </c>
      <c r="X668" s="11" t="n">
        <f aca="false">IF(AND(U668=1,V668&gt;0,W668&gt;1),S668,0)</f>
        <v>0</v>
      </c>
      <c r="Y668" s="11" t="n">
        <f aca="false">IF(T668=1,X668/(1+Controls!$B$11)^F668,0)</f>
        <v>0</v>
      </c>
      <c r="Z668" s="11" t="n">
        <f aca="false">IF(AND(N668,E668="capacity",LEN(K668)&gt;0),1,0)</f>
        <v>0</v>
      </c>
      <c r="AA668" s="11" t="n">
        <f aca="false">IF(Z668=1,SUMPRODUCT(($K$4:$K$703=K668)*($F$4:$F$703=F668)*($Z$4:$Z$703=1)*($B$4:$B$703&lt;&gt;B668)),0)</f>
        <v>0</v>
      </c>
      <c r="AB668" s="11" t="n">
        <f aca="false">IF(AND(Z668=1,AA668&gt;0),1+SUMPRODUCT(($K$4:$K$703=K668)*($F$4:$F$703=F668)*($Z$4:$Z$703=1)*($P$4:$P$703&gt;P668))+SUMPRODUCT(($K$4:$K$703=K668)*($F$4:$F$703=F668)*($Z$4:$Z$703=1)*($P$4:$P$703=P668)*($C$4:$C$703&lt;C668))+SUMPRODUCT(($K$4:$K$703=K668)*($F$4:$F$703=F668)*($Z$4:$Z$703=1)*($P$4:$P$703=P668)*($C$4:$C$703=C668)*($D$4:$D$703&lt;D668)),0)</f>
        <v>0</v>
      </c>
      <c r="AC668" s="11" t="n">
        <f aca="false">IF(AND(Z668=1,AA668&gt;0,AB668&gt;1),P668,0)</f>
        <v>0</v>
      </c>
    </row>
    <row r="669" customFormat="false" ht="15" hidden="false" customHeight="false" outlineLevel="0" collapsed="false">
      <c r="A669" s="4" t="s">
        <v>933</v>
      </c>
      <c r="B669" s="4" t="s">
        <v>106</v>
      </c>
      <c r="C669" s="4" t="n">
        <v>24</v>
      </c>
      <c r="D669" s="4" t="n">
        <v>666</v>
      </c>
      <c r="E669" s="4" t="s">
        <v>112</v>
      </c>
      <c r="F669" s="4" t="n">
        <v>12</v>
      </c>
      <c r="G669" s="4" t="n">
        <v>11</v>
      </c>
      <c r="H669" s="4" t="n">
        <v>172100</v>
      </c>
      <c r="I669" s="13" t="b">
        <f aca="false">FALSE()</f>
        <v>0</v>
      </c>
      <c r="K669" s="4" t="s">
        <v>932</v>
      </c>
      <c r="L669" s="4" t="n">
        <v>5851.4</v>
      </c>
      <c r="M669" s="11" t="n">
        <f aca="false">IFERROR(MATCH(Controls!$B$3&amp;"|"&amp;B669,'Scenario inputs'!$A$4:$A$213,0),0)</f>
        <v>155</v>
      </c>
      <c r="N669" s="8" t="b">
        <f aca="false">IF(M669=0,FALSE(),F669&lt;Controls!$B$12)</f>
        <v>1</v>
      </c>
      <c r="O669" s="11" t="n">
        <f aca="false">IF(N669,IF(INDEX('Scenario inputs'!$E$4:$E$213,M669)=0,1,INDEX('Scenario inputs'!$F$4:$M$213,M669,MIN(MAX(F669-G669,0),INDEX('Scenario inputs'!$E$4:$E$213,M669)-1)+1)),0)</f>
        <v>0.2</v>
      </c>
      <c r="P669" s="11" t="n">
        <f aca="false">H669*O669</f>
        <v>34420</v>
      </c>
      <c r="Q669" s="0" t="str">
        <f aca="false">IF(M669=0,"",IF(ISNUMBER(INDEX('Scenario inputs'!$N$4:$N$213,M669)),INDEX('Scenario inputs'!$N$4:$N$213,M669),""))</f>
        <v/>
      </c>
      <c r="R669" s="0" t="str">
        <f aca="false">IF(NOT(N669),"",IF(OR(E669="cash",E669="revenue"),E669,IF(E669="avoided_cost",IF(AND(I669,LEN(TRIM(J669))&gt;0),"avoided_cost_realised","avoided_cost_beside"),IF(ISNUMBER(Q669),"capacity_converted","capacity_hours"))))</f>
        <v>cash</v>
      </c>
      <c r="S669" s="11" t="n">
        <f aca="false">IF(OR(R669="",R669="capacity_hours"),0,IF(R669="capacity_converted",P669*Q669,P669))</f>
        <v>34420</v>
      </c>
      <c r="T669" s="11" t="n">
        <f aca="false">IF(OR(R669="cash",R669="revenue",R669="avoided_cost_realised",R669="capacity_converted"),1,0)</f>
        <v>1</v>
      </c>
      <c r="U669" s="11" t="n">
        <f aca="false">IF(AND(N669,R669&lt;&gt;"capacity_hours",LEN(K669)&gt;0),1,0)</f>
        <v>1</v>
      </c>
      <c r="V669" s="11" t="n">
        <f aca="false">IF(U669=1,SUMPRODUCT(($K$4:$K$703=K669)*($F$4:$F$703=F669)*($U$4:$U$703=1)*($B$4:$B$703&lt;&gt;B669)),0)</f>
        <v>0</v>
      </c>
      <c r="W669" s="11" t="n">
        <f aca="false">IF(AND(U669=1,V669&gt;0),1+SUMPRODUCT(($K$4:$K$703=K669)*($F$4:$F$703=F669)*($U$4:$U$703=1)*($S$4:$S$703&gt;S669))+SUMPRODUCT(($K$4:$K$703=K669)*($F$4:$F$703=F669)*($U$4:$U$703=1)*($S$4:$S$703=S669)*($T$4:$T$703&gt;T669))+SUMPRODUCT(($K$4:$K$703=K669)*($F$4:$F$703=F669)*($U$4:$U$703=1)*($S$4:$S$703=S669)*($T$4:$T$703=T669)*($C$4:$C$703&lt;C669))+SUMPRODUCT(($K$4:$K$703=K669)*($F$4:$F$703=F669)*($U$4:$U$703=1)*($S$4:$S$703=S669)*($T$4:$T$703=T669)*($C$4:$C$703=C669)*($D$4:$D$703&lt;D669)),0)</f>
        <v>0</v>
      </c>
      <c r="X669" s="11" t="n">
        <f aca="false">IF(AND(U669=1,V669&gt;0,W669&gt;1),S669,0)</f>
        <v>0</v>
      </c>
      <c r="Y669" s="11" t="n">
        <f aca="false">IF(T669=1,X669/(1+Controls!$B$11)^F669,0)</f>
        <v>0</v>
      </c>
      <c r="Z669" s="11" t="n">
        <f aca="false">IF(AND(N669,E669="capacity",LEN(K669)&gt;0),1,0)</f>
        <v>0</v>
      </c>
      <c r="AA669" s="11" t="n">
        <f aca="false">IF(Z669=1,SUMPRODUCT(($K$4:$K$703=K669)*($F$4:$F$703=F669)*($Z$4:$Z$703=1)*($B$4:$B$703&lt;&gt;B669)),0)</f>
        <v>0</v>
      </c>
      <c r="AB669" s="11" t="n">
        <f aca="false">IF(AND(Z669=1,AA669&gt;0),1+SUMPRODUCT(($K$4:$K$703=K669)*($F$4:$F$703=F669)*($Z$4:$Z$703=1)*($P$4:$P$703&gt;P669))+SUMPRODUCT(($K$4:$K$703=K669)*($F$4:$F$703=F669)*($Z$4:$Z$703=1)*($P$4:$P$703=P669)*($C$4:$C$703&lt;C669))+SUMPRODUCT(($K$4:$K$703=K669)*($F$4:$F$703=F669)*($Z$4:$Z$703=1)*($P$4:$P$703=P669)*($C$4:$C$703=C669)*($D$4:$D$703&lt;D669)),0)</f>
        <v>0</v>
      </c>
      <c r="AC669" s="11" t="n">
        <f aca="false">IF(AND(Z669=1,AA669&gt;0,AB669&gt;1),P669,0)</f>
        <v>0</v>
      </c>
    </row>
    <row r="670" customFormat="false" ht="15" hidden="false" customHeight="false" outlineLevel="0" collapsed="false">
      <c r="A670" s="4" t="s">
        <v>934</v>
      </c>
      <c r="B670" s="4" t="s">
        <v>106</v>
      </c>
      <c r="C670" s="4" t="n">
        <v>24</v>
      </c>
      <c r="D670" s="4" t="n">
        <v>667</v>
      </c>
      <c r="E670" s="4" t="s">
        <v>112</v>
      </c>
      <c r="F670" s="4" t="n">
        <v>13</v>
      </c>
      <c r="G670" s="4" t="n">
        <v>11</v>
      </c>
      <c r="H670" s="4" t="n">
        <v>172100</v>
      </c>
      <c r="I670" s="13" t="b">
        <f aca="false">FALSE()</f>
        <v>0</v>
      </c>
      <c r="K670" s="4" t="s">
        <v>932</v>
      </c>
      <c r="L670" s="4" t="n">
        <v>11702.8</v>
      </c>
      <c r="M670" s="11" t="n">
        <f aca="false">IFERROR(MATCH(Controls!$B$3&amp;"|"&amp;B670,'Scenario inputs'!$A$4:$A$213,0),0)</f>
        <v>155</v>
      </c>
      <c r="N670" s="8" t="b">
        <f aca="false">IF(M670=0,FALSE(),F670&lt;Controls!$B$12)</f>
        <v>1</v>
      </c>
      <c r="O670" s="11" t="n">
        <f aca="false">IF(N670,IF(INDEX('Scenario inputs'!$E$4:$E$213,M670)=0,1,INDEX('Scenario inputs'!$F$4:$M$213,M670,MIN(MAX(F670-G670,0),INDEX('Scenario inputs'!$E$4:$E$213,M670)-1)+1)),0)</f>
        <v>0.4</v>
      </c>
      <c r="P670" s="11" t="n">
        <f aca="false">H670*O670</f>
        <v>68840</v>
      </c>
      <c r="Q670" s="0" t="str">
        <f aca="false">IF(M670=0,"",IF(ISNUMBER(INDEX('Scenario inputs'!$N$4:$N$213,M670)),INDEX('Scenario inputs'!$N$4:$N$213,M670),""))</f>
        <v/>
      </c>
      <c r="R670" s="0" t="str">
        <f aca="false">IF(NOT(N670),"",IF(OR(E670="cash",E670="revenue"),E670,IF(E670="avoided_cost",IF(AND(I670,LEN(TRIM(J670))&gt;0),"avoided_cost_realised","avoided_cost_beside"),IF(ISNUMBER(Q670),"capacity_converted","capacity_hours"))))</f>
        <v>cash</v>
      </c>
      <c r="S670" s="11" t="n">
        <f aca="false">IF(OR(R670="",R670="capacity_hours"),0,IF(R670="capacity_converted",P670*Q670,P670))</f>
        <v>68840</v>
      </c>
      <c r="T670" s="11" t="n">
        <f aca="false">IF(OR(R670="cash",R670="revenue",R670="avoided_cost_realised",R670="capacity_converted"),1,0)</f>
        <v>1</v>
      </c>
      <c r="U670" s="11" t="n">
        <f aca="false">IF(AND(N670,R670&lt;&gt;"capacity_hours",LEN(K670)&gt;0),1,0)</f>
        <v>1</v>
      </c>
      <c r="V670" s="11" t="n">
        <f aca="false">IF(U670=1,SUMPRODUCT(($K$4:$K$703=K670)*($F$4:$F$703=F670)*($U$4:$U$703=1)*($B$4:$B$703&lt;&gt;B670)),0)</f>
        <v>0</v>
      </c>
      <c r="W670" s="11" t="n">
        <f aca="false">IF(AND(U670=1,V670&gt;0),1+SUMPRODUCT(($K$4:$K$703=K670)*($F$4:$F$703=F670)*($U$4:$U$703=1)*($S$4:$S$703&gt;S670))+SUMPRODUCT(($K$4:$K$703=K670)*($F$4:$F$703=F670)*($U$4:$U$703=1)*($S$4:$S$703=S670)*($T$4:$T$703&gt;T670))+SUMPRODUCT(($K$4:$K$703=K670)*($F$4:$F$703=F670)*($U$4:$U$703=1)*($S$4:$S$703=S670)*($T$4:$T$703=T670)*($C$4:$C$703&lt;C670))+SUMPRODUCT(($K$4:$K$703=K670)*($F$4:$F$703=F670)*($U$4:$U$703=1)*($S$4:$S$703=S670)*($T$4:$T$703=T670)*($C$4:$C$703=C670)*($D$4:$D$703&lt;D670)),0)</f>
        <v>0</v>
      </c>
      <c r="X670" s="11" t="n">
        <f aca="false">IF(AND(U670=1,V670&gt;0,W670&gt;1),S670,0)</f>
        <v>0</v>
      </c>
      <c r="Y670" s="11" t="n">
        <f aca="false">IF(T670=1,X670/(1+Controls!$B$11)^F670,0)</f>
        <v>0</v>
      </c>
      <c r="Z670" s="11" t="n">
        <f aca="false">IF(AND(N670,E670="capacity",LEN(K670)&gt;0),1,0)</f>
        <v>0</v>
      </c>
      <c r="AA670" s="11" t="n">
        <f aca="false">IF(Z670=1,SUMPRODUCT(($K$4:$K$703=K670)*($F$4:$F$703=F670)*($Z$4:$Z$703=1)*($B$4:$B$703&lt;&gt;B670)),0)</f>
        <v>0</v>
      </c>
      <c r="AB670" s="11" t="n">
        <f aca="false">IF(AND(Z670=1,AA670&gt;0),1+SUMPRODUCT(($K$4:$K$703=K670)*($F$4:$F$703=F670)*($Z$4:$Z$703=1)*($P$4:$P$703&gt;P670))+SUMPRODUCT(($K$4:$K$703=K670)*($F$4:$F$703=F670)*($Z$4:$Z$703=1)*($P$4:$P$703=P670)*($C$4:$C$703&lt;C670))+SUMPRODUCT(($K$4:$K$703=K670)*($F$4:$F$703=F670)*($Z$4:$Z$703=1)*($P$4:$P$703=P670)*($C$4:$C$703=C670)*($D$4:$D$703&lt;D670)),0)</f>
        <v>0</v>
      </c>
      <c r="AC670" s="11" t="n">
        <f aca="false">IF(AND(Z670=1,AA670&gt;0,AB670&gt;1),P670,0)</f>
        <v>0</v>
      </c>
    </row>
    <row r="671" customFormat="false" ht="15" hidden="false" customHeight="false" outlineLevel="0" collapsed="false">
      <c r="A671" s="4" t="s">
        <v>935</v>
      </c>
      <c r="B671" s="4" t="s">
        <v>106</v>
      </c>
      <c r="C671" s="4" t="n">
        <v>24</v>
      </c>
      <c r="D671" s="4" t="n">
        <v>668</v>
      </c>
      <c r="E671" s="4" t="s">
        <v>112</v>
      </c>
      <c r="F671" s="4" t="n">
        <v>14</v>
      </c>
      <c r="G671" s="4" t="n">
        <v>11</v>
      </c>
      <c r="H671" s="4" t="n">
        <v>172100</v>
      </c>
      <c r="I671" s="13" t="b">
        <f aca="false">FALSE()</f>
        <v>0</v>
      </c>
      <c r="K671" s="4" t="s">
        <v>932</v>
      </c>
      <c r="L671" s="4" t="n">
        <v>19504.68</v>
      </c>
      <c r="M671" s="11" t="n">
        <f aca="false">IFERROR(MATCH(Controls!$B$3&amp;"|"&amp;B671,'Scenario inputs'!$A$4:$A$213,0),0)</f>
        <v>155</v>
      </c>
      <c r="N671" s="8" t="b">
        <f aca="false">IF(M671=0,FALSE(),F671&lt;Controls!$B$12)</f>
        <v>1</v>
      </c>
      <c r="O671" s="11" t="n">
        <f aca="false">IF(N671,IF(INDEX('Scenario inputs'!$E$4:$E$213,M671)=0,1,INDEX('Scenario inputs'!$F$4:$M$213,M671,MIN(MAX(F671-G671,0),INDEX('Scenario inputs'!$E$4:$E$213,M671)-1)+1)),0)</f>
        <v>0.666667</v>
      </c>
      <c r="P671" s="11" t="n">
        <f aca="false">H671*O671</f>
        <v>114733.3907</v>
      </c>
      <c r="Q671" s="0" t="str">
        <f aca="false">IF(M671=0,"",IF(ISNUMBER(INDEX('Scenario inputs'!$N$4:$N$213,M671)),INDEX('Scenario inputs'!$N$4:$N$213,M671),""))</f>
        <v/>
      </c>
      <c r="R671" s="0" t="str">
        <f aca="false">IF(NOT(N671),"",IF(OR(E671="cash",E671="revenue"),E671,IF(E671="avoided_cost",IF(AND(I671,LEN(TRIM(J671))&gt;0),"avoided_cost_realised","avoided_cost_beside"),IF(ISNUMBER(Q671),"capacity_converted","capacity_hours"))))</f>
        <v>cash</v>
      </c>
      <c r="S671" s="11" t="n">
        <f aca="false">IF(OR(R671="",R671="capacity_hours"),0,IF(R671="capacity_converted",P671*Q671,P671))</f>
        <v>114733.3907</v>
      </c>
      <c r="T671" s="11" t="n">
        <f aca="false">IF(OR(R671="cash",R671="revenue",R671="avoided_cost_realised",R671="capacity_converted"),1,0)</f>
        <v>1</v>
      </c>
      <c r="U671" s="11" t="n">
        <f aca="false">IF(AND(N671,R671&lt;&gt;"capacity_hours",LEN(K671)&gt;0),1,0)</f>
        <v>1</v>
      </c>
      <c r="V671" s="11" t="n">
        <f aca="false">IF(U671=1,SUMPRODUCT(($K$4:$K$703=K671)*($F$4:$F$703=F671)*($U$4:$U$703=1)*($B$4:$B$703&lt;&gt;B671)),0)</f>
        <v>0</v>
      </c>
      <c r="W671" s="11" t="n">
        <f aca="false">IF(AND(U671=1,V671&gt;0),1+SUMPRODUCT(($K$4:$K$703=K671)*($F$4:$F$703=F671)*($U$4:$U$703=1)*($S$4:$S$703&gt;S671))+SUMPRODUCT(($K$4:$K$703=K671)*($F$4:$F$703=F671)*($U$4:$U$703=1)*($S$4:$S$703=S671)*($T$4:$T$703&gt;T671))+SUMPRODUCT(($K$4:$K$703=K671)*($F$4:$F$703=F671)*($U$4:$U$703=1)*($S$4:$S$703=S671)*($T$4:$T$703=T671)*($C$4:$C$703&lt;C671))+SUMPRODUCT(($K$4:$K$703=K671)*($F$4:$F$703=F671)*($U$4:$U$703=1)*($S$4:$S$703=S671)*($T$4:$T$703=T671)*($C$4:$C$703=C671)*($D$4:$D$703&lt;D671)),0)</f>
        <v>0</v>
      </c>
      <c r="X671" s="11" t="n">
        <f aca="false">IF(AND(U671=1,V671&gt;0,W671&gt;1),S671,0)</f>
        <v>0</v>
      </c>
      <c r="Y671" s="11" t="n">
        <f aca="false">IF(T671=1,X671/(1+Controls!$B$11)^F671,0)</f>
        <v>0</v>
      </c>
      <c r="Z671" s="11" t="n">
        <f aca="false">IF(AND(N671,E671="capacity",LEN(K671)&gt;0),1,0)</f>
        <v>0</v>
      </c>
      <c r="AA671" s="11" t="n">
        <f aca="false">IF(Z671=1,SUMPRODUCT(($K$4:$K$703=K671)*($F$4:$F$703=F671)*($Z$4:$Z$703=1)*($B$4:$B$703&lt;&gt;B671)),0)</f>
        <v>0</v>
      </c>
      <c r="AB671" s="11" t="n">
        <f aca="false">IF(AND(Z671=1,AA671&gt;0),1+SUMPRODUCT(($K$4:$K$703=K671)*($F$4:$F$703=F671)*($Z$4:$Z$703=1)*($P$4:$P$703&gt;P671))+SUMPRODUCT(($K$4:$K$703=K671)*($F$4:$F$703=F671)*($Z$4:$Z$703=1)*($P$4:$P$703=P671)*($C$4:$C$703&lt;C671))+SUMPRODUCT(($K$4:$K$703=K671)*($F$4:$F$703=F671)*($Z$4:$Z$703=1)*($P$4:$P$703=P671)*($C$4:$C$703=C671)*($D$4:$D$703&lt;D671)),0)</f>
        <v>0</v>
      </c>
      <c r="AC671" s="11" t="n">
        <f aca="false">IF(AND(Z671=1,AA671&gt;0,AB671&gt;1),P671,0)</f>
        <v>0</v>
      </c>
    </row>
    <row r="672" customFormat="false" ht="15" hidden="false" customHeight="false" outlineLevel="0" collapsed="false">
      <c r="A672" s="4" t="s">
        <v>936</v>
      </c>
      <c r="B672" s="4" t="s">
        <v>106</v>
      </c>
      <c r="C672" s="4" t="n">
        <v>24</v>
      </c>
      <c r="D672" s="4" t="n">
        <v>669</v>
      </c>
      <c r="E672" s="4" t="s">
        <v>112</v>
      </c>
      <c r="F672" s="4" t="n">
        <v>15</v>
      </c>
      <c r="G672" s="4" t="n">
        <v>11</v>
      </c>
      <c r="H672" s="4" t="n">
        <v>172100</v>
      </c>
      <c r="I672" s="13" t="b">
        <f aca="false">FALSE()</f>
        <v>0</v>
      </c>
      <c r="K672" s="4" t="s">
        <v>932</v>
      </c>
      <c r="L672" s="4" t="n">
        <v>29257</v>
      </c>
      <c r="M672" s="11" t="n">
        <f aca="false">IFERROR(MATCH(Controls!$B$3&amp;"|"&amp;B672,'Scenario inputs'!$A$4:$A$213,0),0)</f>
        <v>155</v>
      </c>
      <c r="N672" s="8" t="b">
        <f aca="false">IF(M672=0,FALSE(),F672&lt;Controls!$B$12)</f>
        <v>1</v>
      </c>
      <c r="O672" s="11" t="n">
        <f aca="false">IF(N672,IF(INDEX('Scenario inputs'!$E$4:$E$213,M672)=0,1,INDEX('Scenario inputs'!$F$4:$M$213,M672,MIN(MAX(F672-G672,0),INDEX('Scenario inputs'!$E$4:$E$213,M672)-1)+1)),0)</f>
        <v>1</v>
      </c>
      <c r="P672" s="11" t="n">
        <f aca="false">H672*O672</f>
        <v>172100</v>
      </c>
      <c r="Q672" s="0" t="str">
        <f aca="false">IF(M672=0,"",IF(ISNUMBER(INDEX('Scenario inputs'!$N$4:$N$213,M672)),INDEX('Scenario inputs'!$N$4:$N$213,M672),""))</f>
        <v/>
      </c>
      <c r="R672" s="0" t="str">
        <f aca="false">IF(NOT(N672),"",IF(OR(E672="cash",E672="revenue"),E672,IF(E672="avoided_cost",IF(AND(I672,LEN(TRIM(J672))&gt;0),"avoided_cost_realised","avoided_cost_beside"),IF(ISNUMBER(Q672),"capacity_converted","capacity_hours"))))</f>
        <v>cash</v>
      </c>
      <c r="S672" s="11" t="n">
        <f aca="false">IF(OR(R672="",R672="capacity_hours"),0,IF(R672="capacity_converted",P672*Q672,P672))</f>
        <v>172100</v>
      </c>
      <c r="T672" s="11" t="n">
        <f aca="false">IF(OR(R672="cash",R672="revenue",R672="avoided_cost_realised",R672="capacity_converted"),1,0)</f>
        <v>1</v>
      </c>
      <c r="U672" s="11" t="n">
        <f aca="false">IF(AND(N672,R672&lt;&gt;"capacity_hours",LEN(K672)&gt;0),1,0)</f>
        <v>1</v>
      </c>
      <c r="V672" s="11" t="n">
        <f aca="false">IF(U672=1,SUMPRODUCT(($K$4:$K$703=K672)*($F$4:$F$703=F672)*($U$4:$U$703=1)*($B$4:$B$703&lt;&gt;B672)),0)</f>
        <v>0</v>
      </c>
      <c r="W672" s="11" t="n">
        <f aca="false">IF(AND(U672=1,V672&gt;0),1+SUMPRODUCT(($K$4:$K$703=K672)*($F$4:$F$703=F672)*($U$4:$U$703=1)*($S$4:$S$703&gt;S672))+SUMPRODUCT(($K$4:$K$703=K672)*($F$4:$F$703=F672)*($U$4:$U$703=1)*($S$4:$S$703=S672)*($T$4:$T$703&gt;T672))+SUMPRODUCT(($K$4:$K$703=K672)*($F$4:$F$703=F672)*($U$4:$U$703=1)*($S$4:$S$703=S672)*($T$4:$T$703=T672)*($C$4:$C$703&lt;C672))+SUMPRODUCT(($K$4:$K$703=K672)*($F$4:$F$703=F672)*($U$4:$U$703=1)*($S$4:$S$703=S672)*($T$4:$T$703=T672)*($C$4:$C$703=C672)*($D$4:$D$703&lt;D672)),0)</f>
        <v>0</v>
      </c>
      <c r="X672" s="11" t="n">
        <f aca="false">IF(AND(U672=1,V672&gt;0,W672&gt;1),S672,0)</f>
        <v>0</v>
      </c>
      <c r="Y672" s="11" t="n">
        <f aca="false">IF(T672=1,X672/(1+Controls!$B$11)^F672,0)</f>
        <v>0</v>
      </c>
      <c r="Z672" s="11" t="n">
        <f aca="false">IF(AND(N672,E672="capacity",LEN(K672)&gt;0),1,0)</f>
        <v>0</v>
      </c>
      <c r="AA672" s="11" t="n">
        <f aca="false">IF(Z672=1,SUMPRODUCT(($K$4:$K$703=K672)*($F$4:$F$703=F672)*($Z$4:$Z$703=1)*($B$4:$B$703&lt;&gt;B672)),0)</f>
        <v>0</v>
      </c>
      <c r="AB672" s="11" t="n">
        <f aca="false">IF(AND(Z672=1,AA672&gt;0),1+SUMPRODUCT(($K$4:$K$703=K672)*($F$4:$F$703=F672)*($Z$4:$Z$703=1)*($P$4:$P$703&gt;P672))+SUMPRODUCT(($K$4:$K$703=K672)*($F$4:$F$703=F672)*($Z$4:$Z$703=1)*($P$4:$P$703=P672)*($C$4:$C$703&lt;C672))+SUMPRODUCT(($K$4:$K$703=K672)*($F$4:$F$703=F672)*($Z$4:$Z$703=1)*($P$4:$P$703=P672)*($C$4:$C$703=C672)*($D$4:$D$703&lt;D672)),0)</f>
        <v>0</v>
      </c>
      <c r="AC672" s="11" t="n">
        <f aca="false">IF(AND(Z672=1,AA672&gt;0,AB672&gt;1),P672,0)</f>
        <v>0</v>
      </c>
    </row>
    <row r="673" customFormat="false" ht="15" hidden="false" customHeight="false" outlineLevel="0" collapsed="false">
      <c r="A673" s="4" t="s">
        <v>937</v>
      </c>
      <c r="B673" s="4" t="s">
        <v>106</v>
      </c>
      <c r="C673" s="4" t="n">
        <v>24</v>
      </c>
      <c r="D673" s="4" t="n">
        <v>670</v>
      </c>
      <c r="E673" s="4" t="s">
        <v>112</v>
      </c>
      <c r="F673" s="4" t="n">
        <v>16</v>
      </c>
      <c r="G673" s="4" t="n">
        <v>11</v>
      </c>
      <c r="H673" s="4" t="n">
        <v>172100</v>
      </c>
      <c r="I673" s="13" t="b">
        <f aca="false">FALSE()</f>
        <v>0</v>
      </c>
      <c r="K673" s="4" t="s">
        <v>932</v>
      </c>
      <c r="L673" s="4" t="n">
        <v>29257</v>
      </c>
      <c r="M673" s="11" t="n">
        <f aca="false">IFERROR(MATCH(Controls!$B$3&amp;"|"&amp;B673,'Scenario inputs'!$A$4:$A$213,0),0)</f>
        <v>155</v>
      </c>
      <c r="N673" s="8" t="b">
        <f aca="false">IF(M673=0,FALSE(),F673&lt;Controls!$B$12)</f>
        <v>1</v>
      </c>
      <c r="O673" s="11" t="n">
        <f aca="false">IF(N673,IF(INDEX('Scenario inputs'!$E$4:$E$213,M673)=0,1,INDEX('Scenario inputs'!$F$4:$M$213,M673,MIN(MAX(F673-G673,0),INDEX('Scenario inputs'!$E$4:$E$213,M673)-1)+1)),0)</f>
        <v>1</v>
      </c>
      <c r="P673" s="11" t="n">
        <f aca="false">H673*O673</f>
        <v>172100</v>
      </c>
      <c r="Q673" s="0" t="str">
        <f aca="false">IF(M673=0,"",IF(ISNUMBER(INDEX('Scenario inputs'!$N$4:$N$213,M673)),INDEX('Scenario inputs'!$N$4:$N$213,M673),""))</f>
        <v/>
      </c>
      <c r="R673" s="0" t="str">
        <f aca="false">IF(NOT(N673),"",IF(OR(E673="cash",E673="revenue"),E673,IF(E673="avoided_cost",IF(AND(I673,LEN(TRIM(J673))&gt;0),"avoided_cost_realised","avoided_cost_beside"),IF(ISNUMBER(Q673),"capacity_converted","capacity_hours"))))</f>
        <v>cash</v>
      </c>
      <c r="S673" s="11" t="n">
        <f aca="false">IF(OR(R673="",R673="capacity_hours"),0,IF(R673="capacity_converted",P673*Q673,P673))</f>
        <v>172100</v>
      </c>
      <c r="T673" s="11" t="n">
        <f aca="false">IF(OR(R673="cash",R673="revenue",R673="avoided_cost_realised",R673="capacity_converted"),1,0)</f>
        <v>1</v>
      </c>
      <c r="U673" s="11" t="n">
        <f aca="false">IF(AND(N673,R673&lt;&gt;"capacity_hours",LEN(K673)&gt;0),1,0)</f>
        <v>1</v>
      </c>
      <c r="V673" s="11" t="n">
        <f aca="false">IF(U673=1,SUMPRODUCT(($K$4:$K$703=K673)*($F$4:$F$703=F673)*($U$4:$U$703=1)*($B$4:$B$703&lt;&gt;B673)),0)</f>
        <v>0</v>
      </c>
      <c r="W673" s="11" t="n">
        <f aca="false">IF(AND(U673=1,V673&gt;0),1+SUMPRODUCT(($K$4:$K$703=K673)*($F$4:$F$703=F673)*($U$4:$U$703=1)*($S$4:$S$703&gt;S673))+SUMPRODUCT(($K$4:$K$703=K673)*($F$4:$F$703=F673)*($U$4:$U$703=1)*($S$4:$S$703=S673)*($T$4:$T$703&gt;T673))+SUMPRODUCT(($K$4:$K$703=K673)*($F$4:$F$703=F673)*($U$4:$U$703=1)*($S$4:$S$703=S673)*($T$4:$T$703=T673)*($C$4:$C$703&lt;C673))+SUMPRODUCT(($K$4:$K$703=K673)*($F$4:$F$703=F673)*($U$4:$U$703=1)*($S$4:$S$703=S673)*($T$4:$T$703=T673)*($C$4:$C$703=C673)*($D$4:$D$703&lt;D673)),0)</f>
        <v>0</v>
      </c>
      <c r="X673" s="11" t="n">
        <f aca="false">IF(AND(U673=1,V673&gt;0,W673&gt;1),S673,0)</f>
        <v>0</v>
      </c>
      <c r="Y673" s="11" t="n">
        <f aca="false">IF(T673=1,X673/(1+Controls!$B$11)^F673,0)</f>
        <v>0</v>
      </c>
      <c r="Z673" s="11" t="n">
        <f aca="false">IF(AND(N673,E673="capacity",LEN(K673)&gt;0),1,0)</f>
        <v>0</v>
      </c>
      <c r="AA673" s="11" t="n">
        <f aca="false">IF(Z673=1,SUMPRODUCT(($K$4:$K$703=K673)*($F$4:$F$703=F673)*($Z$4:$Z$703=1)*($B$4:$B$703&lt;&gt;B673)),0)</f>
        <v>0</v>
      </c>
      <c r="AB673" s="11" t="n">
        <f aca="false">IF(AND(Z673=1,AA673&gt;0),1+SUMPRODUCT(($K$4:$K$703=K673)*($F$4:$F$703=F673)*($Z$4:$Z$703=1)*($P$4:$P$703&gt;P673))+SUMPRODUCT(($K$4:$K$703=K673)*($F$4:$F$703=F673)*($Z$4:$Z$703=1)*($P$4:$P$703=P673)*($C$4:$C$703&lt;C673))+SUMPRODUCT(($K$4:$K$703=K673)*($F$4:$F$703=F673)*($Z$4:$Z$703=1)*($P$4:$P$703=P673)*($C$4:$C$703=C673)*($D$4:$D$703&lt;D673)),0)</f>
        <v>0</v>
      </c>
      <c r="AC673" s="11" t="n">
        <f aca="false">IF(AND(Z673=1,AA673&gt;0,AB673&gt;1),P673,0)</f>
        <v>0</v>
      </c>
    </row>
    <row r="674" customFormat="false" ht="15" hidden="false" customHeight="false" outlineLevel="0" collapsed="false">
      <c r="A674" s="4" t="s">
        <v>938</v>
      </c>
      <c r="B674" s="4" t="s">
        <v>106</v>
      </c>
      <c r="C674" s="4" t="n">
        <v>24</v>
      </c>
      <c r="D674" s="4" t="n">
        <v>671</v>
      </c>
      <c r="E674" s="4" t="s">
        <v>112</v>
      </c>
      <c r="F674" s="4" t="n">
        <v>17</v>
      </c>
      <c r="G674" s="4" t="n">
        <v>11</v>
      </c>
      <c r="H674" s="4" t="n">
        <v>172100</v>
      </c>
      <c r="I674" s="13" t="b">
        <f aca="false">FALSE()</f>
        <v>0</v>
      </c>
      <c r="K674" s="4" t="s">
        <v>932</v>
      </c>
      <c r="L674" s="4" t="n">
        <v>29257</v>
      </c>
      <c r="M674" s="11" t="n">
        <f aca="false">IFERROR(MATCH(Controls!$B$3&amp;"|"&amp;B674,'Scenario inputs'!$A$4:$A$213,0),0)</f>
        <v>155</v>
      </c>
      <c r="N674" s="8" t="b">
        <f aca="false">IF(M674=0,FALSE(),F674&lt;Controls!$B$12)</f>
        <v>1</v>
      </c>
      <c r="O674" s="11" t="n">
        <f aca="false">IF(N674,IF(INDEX('Scenario inputs'!$E$4:$E$213,M674)=0,1,INDEX('Scenario inputs'!$F$4:$M$213,M674,MIN(MAX(F674-G674,0),INDEX('Scenario inputs'!$E$4:$E$213,M674)-1)+1)),0)</f>
        <v>1</v>
      </c>
      <c r="P674" s="11" t="n">
        <f aca="false">H674*O674</f>
        <v>172100</v>
      </c>
      <c r="Q674" s="0" t="str">
        <f aca="false">IF(M674=0,"",IF(ISNUMBER(INDEX('Scenario inputs'!$N$4:$N$213,M674)),INDEX('Scenario inputs'!$N$4:$N$213,M674),""))</f>
        <v/>
      </c>
      <c r="R674" s="0" t="str">
        <f aca="false">IF(NOT(N674),"",IF(OR(E674="cash",E674="revenue"),E674,IF(E674="avoided_cost",IF(AND(I674,LEN(TRIM(J674))&gt;0),"avoided_cost_realised","avoided_cost_beside"),IF(ISNUMBER(Q674),"capacity_converted","capacity_hours"))))</f>
        <v>cash</v>
      </c>
      <c r="S674" s="11" t="n">
        <f aca="false">IF(OR(R674="",R674="capacity_hours"),0,IF(R674="capacity_converted",P674*Q674,P674))</f>
        <v>172100</v>
      </c>
      <c r="T674" s="11" t="n">
        <f aca="false">IF(OR(R674="cash",R674="revenue",R674="avoided_cost_realised",R674="capacity_converted"),1,0)</f>
        <v>1</v>
      </c>
      <c r="U674" s="11" t="n">
        <f aca="false">IF(AND(N674,R674&lt;&gt;"capacity_hours",LEN(K674)&gt;0),1,0)</f>
        <v>1</v>
      </c>
      <c r="V674" s="11" t="n">
        <f aca="false">IF(U674=1,SUMPRODUCT(($K$4:$K$703=K674)*($F$4:$F$703=F674)*($U$4:$U$703=1)*($B$4:$B$703&lt;&gt;B674)),0)</f>
        <v>0</v>
      </c>
      <c r="W674" s="11" t="n">
        <f aca="false">IF(AND(U674=1,V674&gt;0),1+SUMPRODUCT(($K$4:$K$703=K674)*($F$4:$F$703=F674)*($U$4:$U$703=1)*($S$4:$S$703&gt;S674))+SUMPRODUCT(($K$4:$K$703=K674)*($F$4:$F$703=F674)*($U$4:$U$703=1)*($S$4:$S$703=S674)*($T$4:$T$703&gt;T674))+SUMPRODUCT(($K$4:$K$703=K674)*($F$4:$F$703=F674)*($U$4:$U$703=1)*($S$4:$S$703=S674)*($T$4:$T$703=T674)*($C$4:$C$703&lt;C674))+SUMPRODUCT(($K$4:$K$703=K674)*($F$4:$F$703=F674)*($U$4:$U$703=1)*($S$4:$S$703=S674)*($T$4:$T$703=T674)*($C$4:$C$703=C674)*($D$4:$D$703&lt;D674)),0)</f>
        <v>0</v>
      </c>
      <c r="X674" s="11" t="n">
        <f aca="false">IF(AND(U674=1,V674&gt;0,W674&gt;1),S674,0)</f>
        <v>0</v>
      </c>
      <c r="Y674" s="11" t="n">
        <f aca="false">IF(T674=1,X674/(1+Controls!$B$11)^F674,0)</f>
        <v>0</v>
      </c>
      <c r="Z674" s="11" t="n">
        <f aca="false">IF(AND(N674,E674="capacity",LEN(K674)&gt;0),1,0)</f>
        <v>0</v>
      </c>
      <c r="AA674" s="11" t="n">
        <f aca="false">IF(Z674=1,SUMPRODUCT(($K$4:$K$703=K674)*($F$4:$F$703=F674)*($Z$4:$Z$703=1)*($B$4:$B$703&lt;&gt;B674)),0)</f>
        <v>0</v>
      </c>
      <c r="AB674" s="11" t="n">
        <f aca="false">IF(AND(Z674=1,AA674&gt;0),1+SUMPRODUCT(($K$4:$K$703=K674)*($F$4:$F$703=F674)*($Z$4:$Z$703=1)*($P$4:$P$703&gt;P674))+SUMPRODUCT(($K$4:$K$703=K674)*($F$4:$F$703=F674)*($Z$4:$Z$703=1)*($P$4:$P$703=P674)*($C$4:$C$703&lt;C674))+SUMPRODUCT(($K$4:$K$703=K674)*($F$4:$F$703=F674)*($Z$4:$Z$703=1)*($P$4:$P$703=P674)*($C$4:$C$703=C674)*($D$4:$D$703&lt;D674)),0)</f>
        <v>0</v>
      </c>
      <c r="AC674" s="11" t="n">
        <f aca="false">IF(AND(Z674=1,AA674&gt;0,AB674&gt;1),P674,0)</f>
        <v>0</v>
      </c>
    </row>
    <row r="675" customFormat="false" ht="15" hidden="false" customHeight="false" outlineLevel="0" collapsed="false">
      <c r="A675" s="4" t="s">
        <v>939</v>
      </c>
      <c r="B675" s="4" t="s">
        <v>106</v>
      </c>
      <c r="C675" s="4" t="n">
        <v>24</v>
      </c>
      <c r="D675" s="4" t="n">
        <v>672</v>
      </c>
      <c r="E675" s="4" t="s">
        <v>112</v>
      </c>
      <c r="F675" s="4" t="n">
        <v>18</v>
      </c>
      <c r="G675" s="4" t="n">
        <v>11</v>
      </c>
      <c r="H675" s="4" t="n">
        <v>172100</v>
      </c>
      <c r="I675" s="13" t="b">
        <f aca="false">FALSE()</f>
        <v>0</v>
      </c>
      <c r="K675" s="4" t="s">
        <v>932</v>
      </c>
      <c r="L675" s="4" t="n">
        <v>29257</v>
      </c>
      <c r="M675" s="11" t="n">
        <f aca="false">IFERROR(MATCH(Controls!$B$3&amp;"|"&amp;B675,'Scenario inputs'!$A$4:$A$213,0),0)</f>
        <v>155</v>
      </c>
      <c r="N675" s="8" t="b">
        <f aca="false">IF(M675=0,FALSE(),F675&lt;Controls!$B$12)</f>
        <v>1</v>
      </c>
      <c r="O675" s="11" t="n">
        <f aca="false">IF(N675,IF(INDEX('Scenario inputs'!$E$4:$E$213,M675)=0,1,INDEX('Scenario inputs'!$F$4:$M$213,M675,MIN(MAX(F675-G675,0),INDEX('Scenario inputs'!$E$4:$E$213,M675)-1)+1)),0)</f>
        <v>1</v>
      </c>
      <c r="P675" s="11" t="n">
        <f aca="false">H675*O675</f>
        <v>172100</v>
      </c>
      <c r="Q675" s="0" t="str">
        <f aca="false">IF(M675=0,"",IF(ISNUMBER(INDEX('Scenario inputs'!$N$4:$N$213,M675)),INDEX('Scenario inputs'!$N$4:$N$213,M675),""))</f>
        <v/>
      </c>
      <c r="R675" s="0" t="str">
        <f aca="false">IF(NOT(N675),"",IF(OR(E675="cash",E675="revenue"),E675,IF(E675="avoided_cost",IF(AND(I675,LEN(TRIM(J675))&gt;0),"avoided_cost_realised","avoided_cost_beside"),IF(ISNUMBER(Q675),"capacity_converted","capacity_hours"))))</f>
        <v>cash</v>
      </c>
      <c r="S675" s="11" t="n">
        <f aca="false">IF(OR(R675="",R675="capacity_hours"),0,IF(R675="capacity_converted",P675*Q675,P675))</f>
        <v>172100</v>
      </c>
      <c r="T675" s="11" t="n">
        <f aca="false">IF(OR(R675="cash",R675="revenue",R675="avoided_cost_realised",R675="capacity_converted"),1,0)</f>
        <v>1</v>
      </c>
      <c r="U675" s="11" t="n">
        <f aca="false">IF(AND(N675,R675&lt;&gt;"capacity_hours",LEN(K675)&gt;0),1,0)</f>
        <v>1</v>
      </c>
      <c r="V675" s="11" t="n">
        <f aca="false">IF(U675=1,SUMPRODUCT(($K$4:$K$703=K675)*($F$4:$F$703=F675)*($U$4:$U$703=1)*($B$4:$B$703&lt;&gt;B675)),0)</f>
        <v>0</v>
      </c>
      <c r="W675" s="11" t="n">
        <f aca="false">IF(AND(U675=1,V675&gt;0),1+SUMPRODUCT(($K$4:$K$703=K675)*($F$4:$F$703=F675)*($U$4:$U$703=1)*($S$4:$S$703&gt;S675))+SUMPRODUCT(($K$4:$K$703=K675)*($F$4:$F$703=F675)*($U$4:$U$703=1)*($S$4:$S$703=S675)*($T$4:$T$703&gt;T675))+SUMPRODUCT(($K$4:$K$703=K675)*($F$4:$F$703=F675)*($U$4:$U$703=1)*($S$4:$S$703=S675)*($T$4:$T$703=T675)*($C$4:$C$703&lt;C675))+SUMPRODUCT(($K$4:$K$703=K675)*($F$4:$F$703=F675)*($U$4:$U$703=1)*($S$4:$S$703=S675)*($T$4:$T$703=T675)*($C$4:$C$703=C675)*($D$4:$D$703&lt;D675)),0)</f>
        <v>0</v>
      </c>
      <c r="X675" s="11" t="n">
        <f aca="false">IF(AND(U675=1,V675&gt;0,W675&gt;1),S675,0)</f>
        <v>0</v>
      </c>
      <c r="Y675" s="11" t="n">
        <f aca="false">IF(T675=1,X675/(1+Controls!$B$11)^F675,0)</f>
        <v>0</v>
      </c>
      <c r="Z675" s="11" t="n">
        <f aca="false">IF(AND(N675,E675="capacity",LEN(K675)&gt;0),1,0)</f>
        <v>0</v>
      </c>
      <c r="AA675" s="11" t="n">
        <f aca="false">IF(Z675=1,SUMPRODUCT(($K$4:$K$703=K675)*($F$4:$F$703=F675)*($Z$4:$Z$703=1)*($B$4:$B$703&lt;&gt;B675)),0)</f>
        <v>0</v>
      </c>
      <c r="AB675" s="11" t="n">
        <f aca="false">IF(AND(Z675=1,AA675&gt;0),1+SUMPRODUCT(($K$4:$K$703=K675)*($F$4:$F$703=F675)*($Z$4:$Z$703=1)*($P$4:$P$703&gt;P675))+SUMPRODUCT(($K$4:$K$703=K675)*($F$4:$F$703=F675)*($Z$4:$Z$703=1)*($P$4:$P$703=P675)*($C$4:$C$703&lt;C675))+SUMPRODUCT(($K$4:$K$703=K675)*($F$4:$F$703=F675)*($Z$4:$Z$703=1)*($P$4:$P$703=P675)*($C$4:$C$703=C675)*($D$4:$D$703&lt;D675)),0)</f>
        <v>0</v>
      </c>
      <c r="AC675" s="11" t="n">
        <f aca="false">IF(AND(Z675=1,AA675&gt;0,AB675&gt;1),P675,0)</f>
        <v>0</v>
      </c>
    </row>
    <row r="676" customFormat="false" ht="15" hidden="false" customHeight="false" outlineLevel="0" collapsed="false">
      <c r="A676" s="4" t="s">
        <v>940</v>
      </c>
      <c r="B676" s="4" t="s">
        <v>106</v>
      </c>
      <c r="C676" s="4" t="n">
        <v>24</v>
      </c>
      <c r="D676" s="4" t="n">
        <v>673</v>
      </c>
      <c r="E676" s="4" t="s">
        <v>112</v>
      </c>
      <c r="F676" s="4" t="n">
        <v>19</v>
      </c>
      <c r="G676" s="4" t="n">
        <v>11</v>
      </c>
      <c r="H676" s="4" t="n">
        <v>172100</v>
      </c>
      <c r="I676" s="13" t="b">
        <f aca="false">FALSE()</f>
        <v>0</v>
      </c>
      <c r="K676" s="4" t="s">
        <v>932</v>
      </c>
      <c r="L676" s="4" t="n">
        <v>29257</v>
      </c>
      <c r="M676" s="11" t="n">
        <f aca="false">IFERROR(MATCH(Controls!$B$3&amp;"|"&amp;B676,'Scenario inputs'!$A$4:$A$213,0),0)</f>
        <v>155</v>
      </c>
      <c r="N676" s="8" t="b">
        <f aca="false">IF(M676=0,FALSE(),F676&lt;Controls!$B$12)</f>
        <v>1</v>
      </c>
      <c r="O676" s="11" t="n">
        <f aca="false">IF(N676,IF(INDEX('Scenario inputs'!$E$4:$E$213,M676)=0,1,INDEX('Scenario inputs'!$F$4:$M$213,M676,MIN(MAX(F676-G676,0),INDEX('Scenario inputs'!$E$4:$E$213,M676)-1)+1)),0)</f>
        <v>1</v>
      </c>
      <c r="P676" s="11" t="n">
        <f aca="false">H676*O676</f>
        <v>172100</v>
      </c>
      <c r="Q676" s="0" t="str">
        <f aca="false">IF(M676=0,"",IF(ISNUMBER(INDEX('Scenario inputs'!$N$4:$N$213,M676)),INDEX('Scenario inputs'!$N$4:$N$213,M676),""))</f>
        <v/>
      </c>
      <c r="R676" s="0" t="str">
        <f aca="false">IF(NOT(N676),"",IF(OR(E676="cash",E676="revenue"),E676,IF(E676="avoided_cost",IF(AND(I676,LEN(TRIM(J676))&gt;0),"avoided_cost_realised","avoided_cost_beside"),IF(ISNUMBER(Q676),"capacity_converted","capacity_hours"))))</f>
        <v>cash</v>
      </c>
      <c r="S676" s="11" t="n">
        <f aca="false">IF(OR(R676="",R676="capacity_hours"),0,IF(R676="capacity_converted",P676*Q676,P676))</f>
        <v>172100</v>
      </c>
      <c r="T676" s="11" t="n">
        <f aca="false">IF(OR(R676="cash",R676="revenue",R676="avoided_cost_realised",R676="capacity_converted"),1,0)</f>
        <v>1</v>
      </c>
      <c r="U676" s="11" t="n">
        <f aca="false">IF(AND(N676,R676&lt;&gt;"capacity_hours",LEN(K676)&gt;0),1,0)</f>
        <v>1</v>
      </c>
      <c r="V676" s="11" t="n">
        <f aca="false">IF(U676=1,SUMPRODUCT(($K$4:$K$703=K676)*($F$4:$F$703=F676)*($U$4:$U$703=1)*($B$4:$B$703&lt;&gt;B676)),0)</f>
        <v>0</v>
      </c>
      <c r="W676" s="11" t="n">
        <f aca="false">IF(AND(U676=1,V676&gt;0),1+SUMPRODUCT(($K$4:$K$703=K676)*($F$4:$F$703=F676)*($U$4:$U$703=1)*($S$4:$S$703&gt;S676))+SUMPRODUCT(($K$4:$K$703=K676)*($F$4:$F$703=F676)*($U$4:$U$703=1)*($S$4:$S$703=S676)*($T$4:$T$703&gt;T676))+SUMPRODUCT(($K$4:$K$703=K676)*($F$4:$F$703=F676)*($U$4:$U$703=1)*($S$4:$S$703=S676)*($T$4:$T$703=T676)*($C$4:$C$703&lt;C676))+SUMPRODUCT(($K$4:$K$703=K676)*($F$4:$F$703=F676)*($U$4:$U$703=1)*($S$4:$S$703=S676)*($T$4:$T$703=T676)*($C$4:$C$703=C676)*($D$4:$D$703&lt;D676)),0)</f>
        <v>0</v>
      </c>
      <c r="X676" s="11" t="n">
        <f aca="false">IF(AND(U676=1,V676&gt;0,W676&gt;1),S676,0)</f>
        <v>0</v>
      </c>
      <c r="Y676" s="11" t="n">
        <f aca="false">IF(T676=1,X676/(1+Controls!$B$11)^F676,0)</f>
        <v>0</v>
      </c>
      <c r="Z676" s="11" t="n">
        <f aca="false">IF(AND(N676,E676="capacity",LEN(K676)&gt;0),1,0)</f>
        <v>0</v>
      </c>
      <c r="AA676" s="11" t="n">
        <f aca="false">IF(Z676=1,SUMPRODUCT(($K$4:$K$703=K676)*($F$4:$F$703=F676)*($Z$4:$Z$703=1)*($B$4:$B$703&lt;&gt;B676)),0)</f>
        <v>0</v>
      </c>
      <c r="AB676" s="11" t="n">
        <f aca="false">IF(AND(Z676=1,AA676&gt;0),1+SUMPRODUCT(($K$4:$K$703=K676)*($F$4:$F$703=F676)*($Z$4:$Z$703=1)*($P$4:$P$703&gt;P676))+SUMPRODUCT(($K$4:$K$703=K676)*($F$4:$F$703=F676)*($Z$4:$Z$703=1)*($P$4:$P$703=P676)*($C$4:$C$703&lt;C676))+SUMPRODUCT(($K$4:$K$703=K676)*($F$4:$F$703=F676)*($Z$4:$Z$703=1)*($P$4:$P$703=P676)*($C$4:$C$703=C676)*($D$4:$D$703&lt;D676)),0)</f>
        <v>0</v>
      </c>
      <c r="AC676" s="11" t="n">
        <f aca="false">IF(AND(Z676=1,AA676&gt;0,AB676&gt;1),P676,0)</f>
        <v>0</v>
      </c>
    </row>
    <row r="677" customFormat="false" ht="15" hidden="false" customHeight="false" outlineLevel="0" collapsed="false">
      <c r="A677" s="4" t="s">
        <v>941</v>
      </c>
      <c r="B677" s="4" t="s">
        <v>106</v>
      </c>
      <c r="C677" s="4" t="n">
        <v>24</v>
      </c>
      <c r="D677" s="4" t="n">
        <v>674</v>
      </c>
      <c r="E677" s="4" t="s">
        <v>112</v>
      </c>
      <c r="F677" s="4" t="n">
        <v>20</v>
      </c>
      <c r="G677" s="4" t="n">
        <v>11</v>
      </c>
      <c r="H677" s="4" t="n">
        <v>172100</v>
      </c>
      <c r="I677" s="13" t="b">
        <f aca="false">FALSE()</f>
        <v>0</v>
      </c>
      <c r="K677" s="4" t="s">
        <v>932</v>
      </c>
      <c r="L677" s="4" t="n">
        <v>29257</v>
      </c>
      <c r="M677" s="11" t="n">
        <f aca="false">IFERROR(MATCH(Controls!$B$3&amp;"|"&amp;B677,'Scenario inputs'!$A$4:$A$213,0),0)</f>
        <v>155</v>
      </c>
      <c r="N677" s="8" t="b">
        <f aca="false">IF(M677=0,FALSE(),F677&lt;Controls!$B$12)</f>
        <v>1</v>
      </c>
      <c r="O677" s="11" t="n">
        <f aca="false">IF(N677,IF(INDEX('Scenario inputs'!$E$4:$E$213,M677)=0,1,INDEX('Scenario inputs'!$F$4:$M$213,M677,MIN(MAX(F677-G677,0),INDEX('Scenario inputs'!$E$4:$E$213,M677)-1)+1)),0)</f>
        <v>1</v>
      </c>
      <c r="P677" s="11" t="n">
        <f aca="false">H677*O677</f>
        <v>172100</v>
      </c>
      <c r="Q677" s="0" t="str">
        <f aca="false">IF(M677=0,"",IF(ISNUMBER(INDEX('Scenario inputs'!$N$4:$N$213,M677)),INDEX('Scenario inputs'!$N$4:$N$213,M677),""))</f>
        <v/>
      </c>
      <c r="R677" s="0" t="str">
        <f aca="false">IF(NOT(N677),"",IF(OR(E677="cash",E677="revenue"),E677,IF(E677="avoided_cost",IF(AND(I677,LEN(TRIM(J677))&gt;0),"avoided_cost_realised","avoided_cost_beside"),IF(ISNUMBER(Q677),"capacity_converted","capacity_hours"))))</f>
        <v>cash</v>
      </c>
      <c r="S677" s="11" t="n">
        <f aca="false">IF(OR(R677="",R677="capacity_hours"),0,IF(R677="capacity_converted",P677*Q677,P677))</f>
        <v>172100</v>
      </c>
      <c r="T677" s="11" t="n">
        <f aca="false">IF(OR(R677="cash",R677="revenue",R677="avoided_cost_realised",R677="capacity_converted"),1,0)</f>
        <v>1</v>
      </c>
      <c r="U677" s="11" t="n">
        <f aca="false">IF(AND(N677,R677&lt;&gt;"capacity_hours",LEN(K677)&gt;0),1,0)</f>
        <v>1</v>
      </c>
      <c r="V677" s="11" t="n">
        <f aca="false">IF(U677=1,SUMPRODUCT(($K$4:$K$703=K677)*($F$4:$F$703=F677)*($U$4:$U$703=1)*($B$4:$B$703&lt;&gt;B677)),0)</f>
        <v>0</v>
      </c>
      <c r="W677" s="11" t="n">
        <f aca="false">IF(AND(U677=1,V677&gt;0),1+SUMPRODUCT(($K$4:$K$703=K677)*($F$4:$F$703=F677)*($U$4:$U$703=1)*($S$4:$S$703&gt;S677))+SUMPRODUCT(($K$4:$K$703=K677)*($F$4:$F$703=F677)*($U$4:$U$703=1)*($S$4:$S$703=S677)*($T$4:$T$703&gt;T677))+SUMPRODUCT(($K$4:$K$703=K677)*($F$4:$F$703=F677)*($U$4:$U$703=1)*($S$4:$S$703=S677)*($T$4:$T$703=T677)*($C$4:$C$703&lt;C677))+SUMPRODUCT(($K$4:$K$703=K677)*($F$4:$F$703=F677)*($U$4:$U$703=1)*($S$4:$S$703=S677)*($T$4:$T$703=T677)*($C$4:$C$703=C677)*($D$4:$D$703&lt;D677)),0)</f>
        <v>0</v>
      </c>
      <c r="X677" s="11" t="n">
        <f aca="false">IF(AND(U677=1,V677&gt;0,W677&gt;1),S677,0)</f>
        <v>0</v>
      </c>
      <c r="Y677" s="11" t="n">
        <f aca="false">IF(T677=1,X677/(1+Controls!$B$11)^F677,0)</f>
        <v>0</v>
      </c>
      <c r="Z677" s="11" t="n">
        <f aca="false">IF(AND(N677,E677="capacity",LEN(K677)&gt;0),1,0)</f>
        <v>0</v>
      </c>
      <c r="AA677" s="11" t="n">
        <f aca="false">IF(Z677=1,SUMPRODUCT(($K$4:$K$703=K677)*($F$4:$F$703=F677)*($Z$4:$Z$703=1)*($B$4:$B$703&lt;&gt;B677)),0)</f>
        <v>0</v>
      </c>
      <c r="AB677" s="11" t="n">
        <f aca="false">IF(AND(Z677=1,AA677&gt;0),1+SUMPRODUCT(($K$4:$K$703=K677)*($F$4:$F$703=F677)*($Z$4:$Z$703=1)*($P$4:$P$703&gt;P677))+SUMPRODUCT(($K$4:$K$703=K677)*($F$4:$F$703=F677)*($Z$4:$Z$703=1)*($P$4:$P$703=P677)*($C$4:$C$703&lt;C677))+SUMPRODUCT(($K$4:$K$703=K677)*($F$4:$F$703=F677)*($Z$4:$Z$703=1)*($P$4:$P$703=P677)*($C$4:$C$703=C677)*($D$4:$D$703&lt;D677)),0)</f>
        <v>0</v>
      </c>
      <c r="AC677" s="11" t="n">
        <f aca="false">IF(AND(Z677=1,AA677&gt;0,AB677&gt;1),P677,0)</f>
        <v>0</v>
      </c>
    </row>
    <row r="678" customFormat="false" ht="15" hidden="false" customHeight="false" outlineLevel="0" collapsed="false">
      <c r="A678" s="4" t="s">
        <v>942</v>
      </c>
      <c r="B678" s="4" t="s">
        <v>106</v>
      </c>
      <c r="C678" s="4" t="n">
        <v>24</v>
      </c>
      <c r="D678" s="4" t="n">
        <v>675</v>
      </c>
      <c r="E678" s="4" t="s">
        <v>112</v>
      </c>
      <c r="F678" s="4" t="n">
        <v>21</v>
      </c>
      <c r="G678" s="4" t="n">
        <v>11</v>
      </c>
      <c r="H678" s="4" t="n">
        <v>172100</v>
      </c>
      <c r="I678" s="13" t="b">
        <f aca="false">FALSE()</f>
        <v>0</v>
      </c>
      <c r="K678" s="4" t="s">
        <v>932</v>
      </c>
      <c r="L678" s="4" t="n">
        <v>29257</v>
      </c>
      <c r="M678" s="11" t="n">
        <f aca="false">IFERROR(MATCH(Controls!$B$3&amp;"|"&amp;B678,'Scenario inputs'!$A$4:$A$213,0),0)</f>
        <v>155</v>
      </c>
      <c r="N678" s="8" t="b">
        <f aca="false">IF(M678=0,FALSE(),F678&lt;Controls!$B$12)</f>
        <v>1</v>
      </c>
      <c r="O678" s="11" t="n">
        <f aca="false">IF(N678,IF(INDEX('Scenario inputs'!$E$4:$E$213,M678)=0,1,INDEX('Scenario inputs'!$F$4:$M$213,M678,MIN(MAX(F678-G678,0),INDEX('Scenario inputs'!$E$4:$E$213,M678)-1)+1)),0)</f>
        <v>1</v>
      </c>
      <c r="P678" s="11" t="n">
        <f aca="false">H678*O678</f>
        <v>172100</v>
      </c>
      <c r="Q678" s="0" t="str">
        <f aca="false">IF(M678=0,"",IF(ISNUMBER(INDEX('Scenario inputs'!$N$4:$N$213,M678)),INDEX('Scenario inputs'!$N$4:$N$213,M678),""))</f>
        <v/>
      </c>
      <c r="R678" s="0" t="str">
        <f aca="false">IF(NOT(N678),"",IF(OR(E678="cash",E678="revenue"),E678,IF(E678="avoided_cost",IF(AND(I678,LEN(TRIM(J678))&gt;0),"avoided_cost_realised","avoided_cost_beside"),IF(ISNUMBER(Q678),"capacity_converted","capacity_hours"))))</f>
        <v>cash</v>
      </c>
      <c r="S678" s="11" t="n">
        <f aca="false">IF(OR(R678="",R678="capacity_hours"),0,IF(R678="capacity_converted",P678*Q678,P678))</f>
        <v>172100</v>
      </c>
      <c r="T678" s="11" t="n">
        <f aca="false">IF(OR(R678="cash",R678="revenue",R678="avoided_cost_realised",R678="capacity_converted"),1,0)</f>
        <v>1</v>
      </c>
      <c r="U678" s="11" t="n">
        <f aca="false">IF(AND(N678,R678&lt;&gt;"capacity_hours",LEN(K678)&gt;0),1,0)</f>
        <v>1</v>
      </c>
      <c r="V678" s="11" t="n">
        <f aca="false">IF(U678=1,SUMPRODUCT(($K$4:$K$703=K678)*($F$4:$F$703=F678)*($U$4:$U$703=1)*($B$4:$B$703&lt;&gt;B678)),0)</f>
        <v>0</v>
      </c>
      <c r="W678" s="11" t="n">
        <f aca="false">IF(AND(U678=1,V678&gt;0),1+SUMPRODUCT(($K$4:$K$703=K678)*($F$4:$F$703=F678)*($U$4:$U$703=1)*($S$4:$S$703&gt;S678))+SUMPRODUCT(($K$4:$K$703=K678)*($F$4:$F$703=F678)*($U$4:$U$703=1)*($S$4:$S$703=S678)*($T$4:$T$703&gt;T678))+SUMPRODUCT(($K$4:$K$703=K678)*($F$4:$F$703=F678)*($U$4:$U$703=1)*($S$4:$S$703=S678)*($T$4:$T$703=T678)*($C$4:$C$703&lt;C678))+SUMPRODUCT(($K$4:$K$703=K678)*($F$4:$F$703=F678)*($U$4:$U$703=1)*($S$4:$S$703=S678)*($T$4:$T$703=T678)*($C$4:$C$703=C678)*($D$4:$D$703&lt;D678)),0)</f>
        <v>0</v>
      </c>
      <c r="X678" s="11" t="n">
        <f aca="false">IF(AND(U678=1,V678&gt;0,W678&gt;1),S678,0)</f>
        <v>0</v>
      </c>
      <c r="Y678" s="11" t="n">
        <f aca="false">IF(T678=1,X678/(1+Controls!$B$11)^F678,0)</f>
        <v>0</v>
      </c>
      <c r="Z678" s="11" t="n">
        <f aca="false">IF(AND(N678,E678="capacity",LEN(K678)&gt;0),1,0)</f>
        <v>0</v>
      </c>
      <c r="AA678" s="11" t="n">
        <f aca="false">IF(Z678=1,SUMPRODUCT(($K$4:$K$703=K678)*($F$4:$F$703=F678)*($Z$4:$Z$703=1)*($B$4:$B$703&lt;&gt;B678)),0)</f>
        <v>0</v>
      </c>
      <c r="AB678" s="11" t="n">
        <f aca="false">IF(AND(Z678=1,AA678&gt;0),1+SUMPRODUCT(($K$4:$K$703=K678)*($F$4:$F$703=F678)*($Z$4:$Z$703=1)*($P$4:$P$703&gt;P678))+SUMPRODUCT(($K$4:$K$703=K678)*($F$4:$F$703=F678)*($Z$4:$Z$703=1)*($P$4:$P$703=P678)*($C$4:$C$703&lt;C678))+SUMPRODUCT(($K$4:$K$703=K678)*($F$4:$F$703=F678)*($Z$4:$Z$703=1)*($P$4:$P$703=P678)*($C$4:$C$703=C678)*($D$4:$D$703&lt;D678)),0)</f>
        <v>0</v>
      </c>
      <c r="AC678" s="11" t="n">
        <f aca="false">IF(AND(Z678=1,AA678&gt;0,AB678&gt;1),P678,0)</f>
        <v>0</v>
      </c>
    </row>
    <row r="679" customFormat="false" ht="15" hidden="false" customHeight="false" outlineLevel="0" collapsed="false">
      <c r="A679" s="4" t="s">
        <v>943</v>
      </c>
      <c r="B679" s="4" t="s">
        <v>106</v>
      </c>
      <c r="C679" s="4" t="n">
        <v>24</v>
      </c>
      <c r="D679" s="4" t="n">
        <v>676</v>
      </c>
      <c r="E679" s="4" t="s">
        <v>112</v>
      </c>
      <c r="F679" s="4" t="n">
        <v>22</v>
      </c>
      <c r="G679" s="4" t="n">
        <v>11</v>
      </c>
      <c r="H679" s="4" t="n">
        <v>172100</v>
      </c>
      <c r="I679" s="13" t="b">
        <f aca="false">FALSE()</f>
        <v>0</v>
      </c>
      <c r="K679" s="4" t="s">
        <v>932</v>
      </c>
      <c r="L679" s="4" t="n">
        <v>29257</v>
      </c>
      <c r="M679" s="11" t="n">
        <f aca="false">IFERROR(MATCH(Controls!$B$3&amp;"|"&amp;B679,'Scenario inputs'!$A$4:$A$213,0),0)</f>
        <v>155</v>
      </c>
      <c r="N679" s="8" t="b">
        <f aca="false">IF(M679=0,FALSE(),F679&lt;Controls!$B$12)</f>
        <v>1</v>
      </c>
      <c r="O679" s="11" t="n">
        <f aca="false">IF(N679,IF(INDEX('Scenario inputs'!$E$4:$E$213,M679)=0,1,INDEX('Scenario inputs'!$F$4:$M$213,M679,MIN(MAX(F679-G679,0),INDEX('Scenario inputs'!$E$4:$E$213,M679)-1)+1)),0)</f>
        <v>1</v>
      </c>
      <c r="P679" s="11" t="n">
        <f aca="false">H679*O679</f>
        <v>172100</v>
      </c>
      <c r="Q679" s="0" t="str">
        <f aca="false">IF(M679=0,"",IF(ISNUMBER(INDEX('Scenario inputs'!$N$4:$N$213,M679)),INDEX('Scenario inputs'!$N$4:$N$213,M679),""))</f>
        <v/>
      </c>
      <c r="R679" s="0" t="str">
        <f aca="false">IF(NOT(N679),"",IF(OR(E679="cash",E679="revenue"),E679,IF(E679="avoided_cost",IF(AND(I679,LEN(TRIM(J679))&gt;0),"avoided_cost_realised","avoided_cost_beside"),IF(ISNUMBER(Q679),"capacity_converted","capacity_hours"))))</f>
        <v>cash</v>
      </c>
      <c r="S679" s="11" t="n">
        <f aca="false">IF(OR(R679="",R679="capacity_hours"),0,IF(R679="capacity_converted",P679*Q679,P679))</f>
        <v>172100</v>
      </c>
      <c r="T679" s="11" t="n">
        <f aca="false">IF(OR(R679="cash",R679="revenue",R679="avoided_cost_realised",R679="capacity_converted"),1,0)</f>
        <v>1</v>
      </c>
      <c r="U679" s="11" t="n">
        <f aca="false">IF(AND(N679,R679&lt;&gt;"capacity_hours",LEN(K679)&gt;0),1,0)</f>
        <v>1</v>
      </c>
      <c r="V679" s="11" t="n">
        <f aca="false">IF(U679=1,SUMPRODUCT(($K$4:$K$703=K679)*($F$4:$F$703=F679)*($U$4:$U$703=1)*($B$4:$B$703&lt;&gt;B679)),0)</f>
        <v>0</v>
      </c>
      <c r="W679" s="11" t="n">
        <f aca="false">IF(AND(U679=1,V679&gt;0),1+SUMPRODUCT(($K$4:$K$703=K679)*($F$4:$F$703=F679)*($U$4:$U$703=1)*($S$4:$S$703&gt;S679))+SUMPRODUCT(($K$4:$K$703=K679)*($F$4:$F$703=F679)*($U$4:$U$703=1)*($S$4:$S$703=S679)*($T$4:$T$703&gt;T679))+SUMPRODUCT(($K$4:$K$703=K679)*($F$4:$F$703=F679)*($U$4:$U$703=1)*($S$4:$S$703=S679)*($T$4:$T$703=T679)*($C$4:$C$703&lt;C679))+SUMPRODUCT(($K$4:$K$703=K679)*($F$4:$F$703=F679)*($U$4:$U$703=1)*($S$4:$S$703=S679)*($T$4:$T$703=T679)*($C$4:$C$703=C679)*($D$4:$D$703&lt;D679)),0)</f>
        <v>0</v>
      </c>
      <c r="X679" s="11" t="n">
        <f aca="false">IF(AND(U679=1,V679&gt;0,W679&gt;1),S679,0)</f>
        <v>0</v>
      </c>
      <c r="Y679" s="11" t="n">
        <f aca="false">IF(T679=1,X679/(1+Controls!$B$11)^F679,0)</f>
        <v>0</v>
      </c>
      <c r="Z679" s="11" t="n">
        <f aca="false">IF(AND(N679,E679="capacity",LEN(K679)&gt;0),1,0)</f>
        <v>0</v>
      </c>
      <c r="AA679" s="11" t="n">
        <f aca="false">IF(Z679=1,SUMPRODUCT(($K$4:$K$703=K679)*($F$4:$F$703=F679)*($Z$4:$Z$703=1)*($B$4:$B$703&lt;&gt;B679)),0)</f>
        <v>0</v>
      </c>
      <c r="AB679" s="11" t="n">
        <f aca="false">IF(AND(Z679=1,AA679&gt;0),1+SUMPRODUCT(($K$4:$K$703=K679)*($F$4:$F$703=F679)*($Z$4:$Z$703=1)*($P$4:$P$703&gt;P679))+SUMPRODUCT(($K$4:$K$703=K679)*($F$4:$F$703=F679)*($Z$4:$Z$703=1)*($P$4:$P$703=P679)*($C$4:$C$703&lt;C679))+SUMPRODUCT(($K$4:$K$703=K679)*($F$4:$F$703=F679)*($Z$4:$Z$703=1)*($P$4:$P$703=P679)*($C$4:$C$703=C679)*($D$4:$D$703&lt;D679)),0)</f>
        <v>0</v>
      </c>
      <c r="AC679" s="11" t="n">
        <f aca="false">IF(AND(Z679=1,AA679&gt;0,AB679&gt;1),P679,0)</f>
        <v>0</v>
      </c>
    </row>
    <row r="680" customFormat="false" ht="15" hidden="false" customHeight="false" outlineLevel="0" collapsed="false">
      <c r="A680" s="4" t="s">
        <v>944</v>
      </c>
      <c r="B680" s="4" t="s">
        <v>106</v>
      </c>
      <c r="C680" s="4" t="n">
        <v>24</v>
      </c>
      <c r="D680" s="4" t="n">
        <v>677</v>
      </c>
      <c r="E680" s="4" t="s">
        <v>205</v>
      </c>
      <c r="F680" s="4" t="n">
        <v>12</v>
      </c>
      <c r="G680" s="4" t="n">
        <v>12</v>
      </c>
      <c r="H680" s="4" t="n">
        <v>51650</v>
      </c>
      <c r="I680" s="13" t="b">
        <f aca="false">TRUE()</f>
        <v>1</v>
      </c>
      <c r="K680" s="4" t="s">
        <v>945</v>
      </c>
      <c r="L680" s="4" t="n">
        <v>538.54</v>
      </c>
      <c r="M680" s="11" t="n">
        <f aca="false">IFERROR(MATCH(Controls!$B$3&amp;"|"&amp;B680,'Scenario inputs'!$A$4:$A$213,0),0)</f>
        <v>155</v>
      </c>
      <c r="N680" s="8" t="b">
        <f aca="false">IF(M680=0,FALSE(),F680&lt;Controls!$B$12)</f>
        <v>1</v>
      </c>
      <c r="O680" s="11" t="n">
        <f aca="false">IF(N680,IF(INDEX('Scenario inputs'!$E$4:$E$213,M680)=0,1,INDEX('Scenario inputs'!$F$4:$M$213,M680,MIN(MAX(F680-G680,0),INDEX('Scenario inputs'!$E$4:$E$213,M680)-1)+1)),0)</f>
        <v>0.066667</v>
      </c>
      <c r="P680" s="11" t="n">
        <f aca="false">H680*O680</f>
        <v>3443.35055</v>
      </c>
      <c r="Q680" s="0" t="str">
        <f aca="false">IF(M680=0,"",IF(ISNUMBER(INDEX('Scenario inputs'!$N$4:$N$213,M680)),INDEX('Scenario inputs'!$N$4:$N$213,M680),""))</f>
        <v/>
      </c>
      <c r="R680" s="0" t="str">
        <f aca="false">IF(NOT(N680),"",IF(OR(E680="cash",E680="revenue"),E680,IF(E680="avoided_cost",IF(AND(I680,LEN(TRIM(J680))&gt;0),"avoided_cost_realised","avoided_cost_beside"),IF(ISNUMBER(Q680),"capacity_converted","capacity_hours"))))</f>
        <v>avoided_cost_beside</v>
      </c>
      <c r="S680" s="11" t="n">
        <f aca="false">IF(OR(R680="",R680="capacity_hours"),0,IF(R680="capacity_converted",P680*Q680,P680))</f>
        <v>3443.35055</v>
      </c>
      <c r="T680" s="11" t="n">
        <f aca="false">IF(OR(R680="cash",R680="revenue",R680="avoided_cost_realised",R680="capacity_converted"),1,0)</f>
        <v>0</v>
      </c>
      <c r="U680" s="11" t="n">
        <f aca="false">IF(AND(N680,R680&lt;&gt;"capacity_hours",LEN(K680)&gt;0),1,0)</f>
        <v>1</v>
      </c>
      <c r="V680" s="11" t="n">
        <f aca="false">IF(U680=1,SUMPRODUCT(($K$4:$K$703=K680)*($F$4:$F$703=F680)*($U$4:$U$703=1)*($B$4:$B$703&lt;&gt;B680)),0)</f>
        <v>0</v>
      </c>
      <c r="W680" s="11" t="n">
        <f aca="false">IF(AND(U680=1,V680&gt;0),1+SUMPRODUCT(($K$4:$K$703=K680)*($F$4:$F$703=F680)*($U$4:$U$703=1)*($S$4:$S$703&gt;S680))+SUMPRODUCT(($K$4:$K$703=K680)*($F$4:$F$703=F680)*($U$4:$U$703=1)*($S$4:$S$703=S680)*($T$4:$T$703&gt;T680))+SUMPRODUCT(($K$4:$K$703=K680)*($F$4:$F$703=F680)*($U$4:$U$703=1)*($S$4:$S$703=S680)*($T$4:$T$703=T680)*($C$4:$C$703&lt;C680))+SUMPRODUCT(($K$4:$K$703=K680)*($F$4:$F$703=F680)*($U$4:$U$703=1)*($S$4:$S$703=S680)*($T$4:$T$703=T680)*($C$4:$C$703=C680)*($D$4:$D$703&lt;D680)),0)</f>
        <v>0</v>
      </c>
      <c r="X680" s="11" t="n">
        <f aca="false">IF(AND(U680=1,V680&gt;0,W680&gt;1),S680,0)</f>
        <v>0</v>
      </c>
      <c r="Y680" s="11" t="n">
        <f aca="false">IF(T680=1,X680/(1+Controls!$B$11)^F680,0)</f>
        <v>0</v>
      </c>
      <c r="Z680" s="11" t="n">
        <f aca="false">IF(AND(N680,E680="capacity",LEN(K680)&gt;0),1,0)</f>
        <v>0</v>
      </c>
      <c r="AA680" s="11" t="n">
        <f aca="false">IF(Z680=1,SUMPRODUCT(($K$4:$K$703=K680)*($F$4:$F$703=F680)*($Z$4:$Z$703=1)*($B$4:$B$703&lt;&gt;B680)),0)</f>
        <v>0</v>
      </c>
      <c r="AB680" s="11" t="n">
        <f aca="false">IF(AND(Z680=1,AA680&gt;0),1+SUMPRODUCT(($K$4:$K$703=K680)*($F$4:$F$703=F680)*($Z$4:$Z$703=1)*($P$4:$P$703&gt;P680))+SUMPRODUCT(($K$4:$K$703=K680)*($F$4:$F$703=F680)*($Z$4:$Z$703=1)*($P$4:$P$703=P680)*($C$4:$C$703&lt;C680))+SUMPRODUCT(($K$4:$K$703=K680)*($F$4:$F$703=F680)*($Z$4:$Z$703=1)*($P$4:$P$703=P680)*($C$4:$C$703=C680)*($D$4:$D$703&lt;D680)),0)</f>
        <v>0</v>
      </c>
      <c r="AC680" s="11" t="n">
        <f aca="false">IF(AND(Z680=1,AA680&gt;0,AB680&gt;1),P680,0)</f>
        <v>0</v>
      </c>
    </row>
    <row r="681" customFormat="false" ht="15" hidden="false" customHeight="false" outlineLevel="0" collapsed="false">
      <c r="A681" s="4" t="s">
        <v>946</v>
      </c>
      <c r="B681" s="4" t="s">
        <v>106</v>
      </c>
      <c r="C681" s="4" t="n">
        <v>24</v>
      </c>
      <c r="D681" s="4" t="n">
        <v>678</v>
      </c>
      <c r="E681" s="4" t="s">
        <v>205</v>
      </c>
      <c r="F681" s="4" t="n">
        <v>13</v>
      </c>
      <c r="G681" s="4" t="n">
        <v>12</v>
      </c>
      <c r="H681" s="4" t="n">
        <v>51650</v>
      </c>
      <c r="I681" s="13" t="b">
        <f aca="false">TRUE()</f>
        <v>1</v>
      </c>
      <c r="K681" s="4" t="s">
        <v>945</v>
      </c>
      <c r="L681" s="4" t="n">
        <v>1615.61</v>
      </c>
      <c r="M681" s="11" t="n">
        <f aca="false">IFERROR(MATCH(Controls!$B$3&amp;"|"&amp;B681,'Scenario inputs'!$A$4:$A$213,0),0)</f>
        <v>155</v>
      </c>
      <c r="N681" s="8" t="b">
        <f aca="false">IF(M681=0,FALSE(),F681&lt;Controls!$B$12)</f>
        <v>1</v>
      </c>
      <c r="O681" s="11" t="n">
        <f aca="false">IF(N681,IF(INDEX('Scenario inputs'!$E$4:$E$213,M681)=0,1,INDEX('Scenario inputs'!$F$4:$M$213,M681,MIN(MAX(F681-G681,0),INDEX('Scenario inputs'!$E$4:$E$213,M681)-1)+1)),0)</f>
        <v>0.2</v>
      </c>
      <c r="P681" s="11" t="n">
        <f aca="false">H681*O681</f>
        <v>10330</v>
      </c>
      <c r="Q681" s="0" t="str">
        <f aca="false">IF(M681=0,"",IF(ISNUMBER(INDEX('Scenario inputs'!$N$4:$N$213,M681)),INDEX('Scenario inputs'!$N$4:$N$213,M681),""))</f>
        <v/>
      </c>
      <c r="R681" s="0" t="str">
        <f aca="false">IF(NOT(N681),"",IF(OR(E681="cash",E681="revenue"),E681,IF(E681="avoided_cost",IF(AND(I681,LEN(TRIM(J681))&gt;0),"avoided_cost_realised","avoided_cost_beside"),IF(ISNUMBER(Q681),"capacity_converted","capacity_hours"))))</f>
        <v>avoided_cost_beside</v>
      </c>
      <c r="S681" s="11" t="n">
        <f aca="false">IF(OR(R681="",R681="capacity_hours"),0,IF(R681="capacity_converted",P681*Q681,P681))</f>
        <v>10330</v>
      </c>
      <c r="T681" s="11" t="n">
        <f aca="false">IF(OR(R681="cash",R681="revenue",R681="avoided_cost_realised",R681="capacity_converted"),1,0)</f>
        <v>0</v>
      </c>
      <c r="U681" s="11" t="n">
        <f aca="false">IF(AND(N681,R681&lt;&gt;"capacity_hours",LEN(K681)&gt;0),1,0)</f>
        <v>1</v>
      </c>
      <c r="V681" s="11" t="n">
        <f aca="false">IF(U681=1,SUMPRODUCT(($K$4:$K$703=K681)*($F$4:$F$703=F681)*($U$4:$U$703=1)*($B$4:$B$703&lt;&gt;B681)),0)</f>
        <v>0</v>
      </c>
      <c r="W681" s="11" t="n">
        <f aca="false">IF(AND(U681=1,V681&gt;0),1+SUMPRODUCT(($K$4:$K$703=K681)*($F$4:$F$703=F681)*($U$4:$U$703=1)*($S$4:$S$703&gt;S681))+SUMPRODUCT(($K$4:$K$703=K681)*($F$4:$F$703=F681)*($U$4:$U$703=1)*($S$4:$S$703=S681)*($T$4:$T$703&gt;T681))+SUMPRODUCT(($K$4:$K$703=K681)*($F$4:$F$703=F681)*($U$4:$U$703=1)*($S$4:$S$703=S681)*($T$4:$T$703=T681)*($C$4:$C$703&lt;C681))+SUMPRODUCT(($K$4:$K$703=K681)*($F$4:$F$703=F681)*($U$4:$U$703=1)*($S$4:$S$703=S681)*($T$4:$T$703=T681)*($C$4:$C$703=C681)*($D$4:$D$703&lt;D681)),0)</f>
        <v>0</v>
      </c>
      <c r="X681" s="11" t="n">
        <f aca="false">IF(AND(U681=1,V681&gt;0,W681&gt;1),S681,0)</f>
        <v>0</v>
      </c>
      <c r="Y681" s="11" t="n">
        <f aca="false">IF(T681=1,X681/(1+Controls!$B$11)^F681,0)</f>
        <v>0</v>
      </c>
      <c r="Z681" s="11" t="n">
        <f aca="false">IF(AND(N681,E681="capacity",LEN(K681)&gt;0),1,0)</f>
        <v>0</v>
      </c>
      <c r="AA681" s="11" t="n">
        <f aca="false">IF(Z681=1,SUMPRODUCT(($K$4:$K$703=K681)*($F$4:$F$703=F681)*($Z$4:$Z$703=1)*($B$4:$B$703&lt;&gt;B681)),0)</f>
        <v>0</v>
      </c>
      <c r="AB681" s="11" t="n">
        <f aca="false">IF(AND(Z681=1,AA681&gt;0),1+SUMPRODUCT(($K$4:$K$703=K681)*($F$4:$F$703=F681)*($Z$4:$Z$703=1)*($P$4:$P$703&gt;P681))+SUMPRODUCT(($K$4:$K$703=K681)*($F$4:$F$703=F681)*($Z$4:$Z$703=1)*($P$4:$P$703=P681)*($C$4:$C$703&lt;C681))+SUMPRODUCT(($K$4:$K$703=K681)*($F$4:$F$703=F681)*($Z$4:$Z$703=1)*($P$4:$P$703=P681)*($C$4:$C$703=C681)*($D$4:$D$703&lt;D681)),0)</f>
        <v>0</v>
      </c>
      <c r="AC681" s="11" t="n">
        <f aca="false">IF(AND(Z681=1,AA681&gt;0,AB681&gt;1),P681,0)</f>
        <v>0</v>
      </c>
    </row>
    <row r="682" customFormat="false" ht="15" hidden="false" customHeight="false" outlineLevel="0" collapsed="false">
      <c r="A682" s="4" t="s">
        <v>947</v>
      </c>
      <c r="B682" s="4" t="s">
        <v>106</v>
      </c>
      <c r="C682" s="4" t="n">
        <v>24</v>
      </c>
      <c r="D682" s="4" t="n">
        <v>679</v>
      </c>
      <c r="E682" s="4" t="s">
        <v>205</v>
      </c>
      <c r="F682" s="4" t="n">
        <v>14</v>
      </c>
      <c r="G682" s="4" t="n">
        <v>12</v>
      </c>
      <c r="H682" s="4" t="n">
        <v>51650</v>
      </c>
      <c r="I682" s="13" t="b">
        <f aca="false">TRUE()</f>
        <v>1</v>
      </c>
      <c r="K682" s="4" t="s">
        <v>945</v>
      </c>
      <c r="L682" s="4" t="n">
        <v>3231.22</v>
      </c>
      <c r="M682" s="11" t="n">
        <f aca="false">IFERROR(MATCH(Controls!$B$3&amp;"|"&amp;B682,'Scenario inputs'!$A$4:$A$213,0),0)</f>
        <v>155</v>
      </c>
      <c r="N682" s="8" t="b">
        <f aca="false">IF(M682=0,FALSE(),F682&lt;Controls!$B$12)</f>
        <v>1</v>
      </c>
      <c r="O682" s="11" t="n">
        <f aca="false">IF(N682,IF(INDEX('Scenario inputs'!$E$4:$E$213,M682)=0,1,INDEX('Scenario inputs'!$F$4:$M$213,M682,MIN(MAX(F682-G682,0),INDEX('Scenario inputs'!$E$4:$E$213,M682)-1)+1)),0)</f>
        <v>0.4</v>
      </c>
      <c r="P682" s="11" t="n">
        <f aca="false">H682*O682</f>
        <v>20660</v>
      </c>
      <c r="Q682" s="0" t="str">
        <f aca="false">IF(M682=0,"",IF(ISNUMBER(INDEX('Scenario inputs'!$N$4:$N$213,M682)),INDEX('Scenario inputs'!$N$4:$N$213,M682),""))</f>
        <v/>
      </c>
      <c r="R682" s="0" t="str">
        <f aca="false">IF(NOT(N682),"",IF(OR(E682="cash",E682="revenue"),E682,IF(E682="avoided_cost",IF(AND(I682,LEN(TRIM(J682))&gt;0),"avoided_cost_realised","avoided_cost_beside"),IF(ISNUMBER(Q682),"capacity_converted","capacity_hours"))))</f>
        <v>avoided_cost_beside</v>
      </c>
      <c r="S682" s="11" t="n">
        <f aca="false">IF(OR(R682="",R682="capacity_hours"),0,IF(R682="capacity_converted",P682*Q682,P682))</f>
        <v>20660</v>
      </c>
      <c r="T682" s="11" t="n">
        <f aca="false">IF(OR(R682="cash",R682="revenue",R682="avoided_cost_realised",R682="capacity_converted"),1,0)</f>
        <v>0</v>
      </c>
      <c r="U682" s="11" t="n">
        <f aca="false">IF(AND(N682,R682&lt;&gt;"capacity_hours",LEN(K682)&gt;0),1,0)</f>
        <v>1</v>
      </c>
      <c r="V682" s="11" t="n">
        <f aca="false">IF(U682=1,SUMPRODUCT(($K$4:$K$703=K682)*($F$4:$F$703=F682)*($U$4:$U$703=1)*($B$4:$B$703&lt;&gt;B682)),0)</f>
        <v>0</v>
      </c>
      <c r="W682" s="11" t="n">
        <f aca="false">IF(AND(U682=1,V682&gt;0),1+SUMPRODUCT(($K$4:$K$703=K682)*($F$4:$F$703=F682)*($U$4:$U$703=1)*($S$4:$S$703&gt;S682))+SUMPRODUCT(($K$4:$K$703=K682)*($F$4:$F$703=F682)*($U$4:$U$703=1)*($S$4:$S$703=S682)*($T$4:$T$703&gt;T682))+SUMPRODUCT(($K$4:$K$703=K682)*($F$4:$F$703=F682)*($U$4:$U$703=1)*($S$4:$S$703=S682)*($T$4:$T$703=T682)*($C$4:$C$703&lt;C682))+SUMPRODUCT(($K$4:$K$703=K682)*($F$4:$F$703=F682)*($U$4:$U$703=1)*($S$4:$S$703=S682)*($T$4:$T$703=T682)*($C$4:$C$703=C682)*($D$4:$D$703&lt;D682)),0)</f>
        <v>0</v>
      </c>
      <c r="X682" s="11" t="n">
        <f aca="false">IF(AND(U682=1,V682&gt;0,W682&gt;1),S682,0)</f>
        <v>0</v>
      </c>
      <c r="Y682" s="11" t="n">
        <f aca="false">IF(T682=1,X682/(1+Controls!$B$11)^F682,0)</f>
        <v>0</v>
      </c>
      <c r="Z682" s="11" t="n">
        <f aca="false">IF(AND(N682,E682="capacity",LEN(K682)&gt;0),1,0)</f>
        <v>0</v>
      </c>
      <c r="AA682" s="11" t="n">
        <f aca="false">IF(Z682=1,SUMPRODUCT(($K$4:$K$703=K682)*($F$4:$F$703=F682)*($Z$4:$Z$703=1)*($B$4:$B$703&lt;&gt;B682)),0)</f>
        <v>0</v>
      </c>
      <c r="AB682" s="11" t="n">
        <f aca="false">IF(AND(Z682=1,AA682&gt;0),1+SUMPRODUCT(($K$4:$K$703=K682)*($F$4:$F$703=F682)*($Z$4:$Z$703=1)*($P$4:$P$703&gt;P682))+SUMPRODUCT(($K$4:$K$703=K682)*($F$4:$F$703=F682)*($Z$4:$Z$703=1)*($P$4:$P$703=P682)*($C$4:$C$703&lt;C682))+SUMPRODUCT(($K$4:$K$703=K682)*($F$4:$F$703=F682)*($Z$4:$Z$703=1)*($P$4:$P$703=P682)*($C$4:$C$703=C682)*($D$4:$D$703&lt;D682)),0)</f>
        <v>0</v>
      </c>
      <c r="AC682" s="11" t="n">
        <f aca="false">IF(AND(Z682=1,AA682&gt;0,AB682&gt;1),P682,0)</f>
        <v>0</v>
      </c>
    </row>
    <row r="683" customFormat="false" ht="15" hidden="false" customHeight="false" outlineLevel="0" collapsed="false">
      <c r="A683" s="4" t="s">
        <v>948</v>
      </c>
      <c r="B683" s="4" t="s">
        <v>106</v>
      </c>
      <c r="C683" s="4" t="n">
        <v>24</v>
      </c>
      <c r="D683" s="4" t="n">
        <v>680</v>
      </c>
      <c r="E683" s="4" t="s">
        <v>205</v>
      </c>
      <c r="F683" s="4" t="n">
        <v>15</v>
      </c>
      <c r="G683" s="4" t="n">
        <v>12</v>
      </c>
      <c r="H683" s="4" t="n">
        <v>51650</v>
      </c>
      <c r="I683" s="13" t="b">
        <f aca="false">TRUE()</f>
        <v>1</v>
      </c>
      <c r="K683" s="4" t="s">
        <v>945</v>
      </c>
      <c r="L683" s="4" t="n">
        <v>5385.38</v>
      </c>
      <c r="M683" s="11" t="n">
        <f aca="false">IFERROR(MATCH(Controls!$B$3&amp;"|"&amp;B683,'Scenario inputs'!$A$4:$A$213,0),0)</f>
        <v>155</v>
      </c>
      <c r="N683" s="8" t="b">
        <f aca="false">IF(M683=0,FALSE(),F683&lt;Controls!$B$12)</f>
        <v>1</v>
      </c>
      <c r="O683" s="11" t="n">
        <f aca="false">IF(N683,IF(INDEX('Scenario inputs'!$E$4:$E$213,M683)=0,1,INDEX('Scenario inputs'!$F$4:$M$213,M683,MIN(MAX(F683-G683,0),INDEX('Scenario inputs'!$E$4:$E$213,M683)-1)+1)),0)</f>
        <v>0.666667</v>
      </c>
      <c r="P683" s="11" t="n">
        <f aca="false">H683*O683</f>
        <v>34433.35055</v>
      </c>
      <c r="Q683" s="0" t="str">
        <f aca="false">IF(M683=0,"",IF(ISNUMBER(INDEX('Scenario inputs'!$N$4:$N$213,M683)),INDEX('Scenario inputs'!$N$4:$N$213,M683),""))</f>
        <v/>
      </c>
      <c r="R683" s="0" t="str">
        <f aca="false">IF(NOT(N683),"",IF(OR(E683="cash",E683="revenue"),E683,IF(E683="avoided_cost",IF(AND(I683,LEN(TRIM(J683))&gt;0),"avoided_cost_realised","avoided_cost_beside"),IF(ISNUMBER(Q683),"capacity_converted","capacity_hours"))))</f>
        <v>avoided_cost_beside</v>
      </c>
      <c r="S683" s="11" t="n">
        <f aca="false">IF(OR(R683="",R683="capacity_hours"),0,IF(R683="capacity_converted",P683*Q683,P683))</f>
        <v>34433.35055</v>
      </c>
      <c r="T683" s="11" t="n">
        <f aca="false">IF(OR(R683="cash",R683="revenue",R683="avoided_cost_realised",R683="capacity_converted"),1,0)</f>
        <v>0</v>
      </c>
      <c r="U683" s="11" t="n">
        <f aca="false">IF(AND(N683,R683&lt;&gt;"capacity_hours",LEN(K683)&gt;0),1,0)</f>
        <v>1</v>
      </c>
      <c r="V683" s="11" t="n">
        <f aca="false">IF(U683=1,SUMPRODUCT(($K$4:$K$703=K683)*($F$4:$F$703=F683)*($U$4:$U$703=1)*($B$4:$B$703&lt;&gt;B683)),0)</f>
        <v>0</v>
      </c>
      <c r="W683" s="11" t="n">
        <f aca="false">IF(AND(U683=1,V683&gt;0),1+SUMPRODUCT(($K$4:$K$703=K683)*($F$4:$F$703=F683)*($U$4:$U$703=1)*($S$4:$S$703&gt;S683))+SUMPRODUCT(($K$4:$K$703=K683)*($F$4:$F$703=F683)*($U$4:$U$703=1)*($S$4:$S$703=S683)*($T$4:$T$703&gt;T683))+SUMPRODUCT(($K$4:$K$703=K683)*($F$4:$F$703=F683)*($U$4:$U$703=1)*($S$4:$S$703=S683)*($T$4:$T$703=T683)*($C$4:$C$703&lt;C683))+SUMPRODUCT(($K$4:$K$703=K683)*($F$4:$F$703=F683)*($U$4:$U$703=1)*($S$4:$S$703=S683)*($T$4:$T$703=T683)*($C$4:$C$703=C683)*($D$4:$D$703&lt;D683)),0)</f>
        <v>0</v>
      </c>
      <c r="X683" s="11" t="n">
        <f aca="false">IF(AND(U683=1,V683&gt;0,W683&gt;1),S683,0)</f>
        <v>0</v>
      </c>
      <c r="Y683" s="11" t="n">
        <f aca="false">IF(T683=1,X683/(1+Controls!$B$11)^F683,0)</f>
        <v>0</v>
      </c>
      <c r="Z683" s="11" t="n">
        <f aca="false">IF(AND(N683,E683="capacity",LEN(K683)&gt;0),1,0)</f>
        <v>0</v>
      </c>
      <c r="AA683" s="11" t="n">
        <f aca="false">IF(Z683=1,SUMPRODUCT(($K$4:$K$703=K683)*($F$4:$F$703=F683)*($Z$4:$Z$703=1)*($B$4:$B$703&lt;&gt;B683)),0)</f>
        <v>0</v>
      </c>
      <c r="AB683" s="11" t="n">
        <f aca="false">IF(AND(Z683=1,AA683&gt;0),1+SUMPRODUCT(($K$4:$K$703=K683)*($F$4:$F$703=F683)*($Z$4:$Z$703=1)*($P$4:$P$703&gt;P683))+SUMPRODUCT(($K$4:$K$703=K683)*($F$4:$F$703=F683)*($Z$4:$Z$703=1)*($P$4:$P$703=P683)*($C$4:$C$703&lt;C683))+SUMPRODUCT(($K$4:$K$703=K683)*($F$4:$F$703=F683)*($Z$4:$Z$703=1)*($P$4:$P$703=P683)*($C$4:$C$703=C683)*($D$4:$D$703&lt;D683)),0)</f>
        <v>0</v>
      </c>
      <c r="AC683" s="11" t="n">
        <f aca="false">IF(AND(Z683=1,AA683&gt;0,AB683&gt;1),P683,0)</f>
        <v>0</v>
      </c>
    </row>
    <row r="684" customFormat="false" ht="15" hidden="false" customHeight="false" outlineLevel="0" collapsed="false">
      <c r="A684" s="4" t="s">
        <v>949</v>
      </c>
      <c r="B684" s="4" t="s">
        <v>106</v>
      </c>
      <c r="C684" s="4" t="n">
        <v>24</v>
      </c>
      <c r="D684" s="4" t="n">
        <v>681</v>
      </c>
      <c r="E684" s="4" t="s">
        <v>205</v>
      </c>
      <c r="F684" s="4" t="n">
        <v>16</v>
      </c>
      <c r="G684" s="4" t="n">
        <v>12</v>
      </c>
      <c r="H684" s="4" t="n">
        <v>51650</v>
      </c>
      <c r="I684" s="13" t="b">
        <f aca="false">TRUE()</f>
        <v>1</v>
      </c>
      <c r="K684" s="4" t="s">
        <v>945</v>
      </c>
      <c r="L684" s="4" t="n">
        <v>8078.06</v>
      </c>
      <c r="M684" s="11" t="n">
        <f aca="false">IFERROR(MATCH(Controls!$B$3&amp;"|"&amp;B684,'Scenario inputs'!$A$4:$A$213,0),0)</f>
        <v>155</v>
      </c>
      <c r="N684" s="8" t="b">
        <f aca="false">IF(M684=0,FALSE(),F684&lt;Controls!$B$12)</f>
        <v>1</v>
      </c>
      <c r="O684" s="11" t="n">
        <f aca="false">IF(N684,IF(INDEX('Scenario inputs'!$E$4:$E$213,M684)=0,1,INDEX('Scenario inputs'!$F$4:$M$213,M684,MIN(MAX(F684-G684,0),INDEX('Scenario inputs'!$E$4:$E$213,M684)-1)+1)),0)</f>
        <v>1</v>
      </c>
      <c r="P684" s="11" t="n">
        <f aca="false">H684*O684</f>
        <v>51650</v>
      </c>
      <c r="Q684" s="0" t="str">
        <f aca="false">IF(M684=0,"",IF(ISNUMBER(INDEX('Scenario inputs'!$N$4:$N$213,M684)),INDEX('Scenario inputs'!$N$4:$N$213,M684),""))</f>
        <v/>
      </c>
      <c r="R684" s="0" t="str">
        <f aca="false">IF(NOT(N684),"",IF(OR(E684="cash",E684="revenue"),E684,IF(E684="avoided_cost",IF(AND(I684,LEN(TRIM(J684))&gt;0),"avoided_cost_realised","avoided_cost_beside"),IF(ISNUMBER(Q684),"capacity_converted","capacity_hours"))))</f>
        <v>avoided_cost_beside</v>
      </c>
      <c r="S684" s="11" t="n">
        <f aca="false">IF(OR(R684="",R684="capacity_hours"),0,IF(R684="capacity_converted",P684*Q684,P684))</f>
        <v>51650</v>
      </c>
      <c r="T684" s="11" t="n">
        <f aca="false">IF(OR(R684="cash",R684="revenue",R684="avoided_cost_realised",R684="capacity_converted"),1,0)</f>
        <v>0</v>
      </c>
      <c r="U684" s="11" t="n">
        <f aca="false">IF(AND(N684,R684&lt;&gt;"capacity_hours",LEN(K684)&gt;0),1,0)</f>
        <v>1</v>
      </c>
      <c r="V684" s="11" t="n">
        <f aca="false">IF(U684=1,SUMPRODUCT(($K$4:$K$703=K684)*($F$4:$F$703=F684)*($U$4:$U$703=1)*($B$4:$B$703&lt;&gt;B684)),0)</f>
        <v>0</v>
      </c>
      <c r="W684" s="11" t="n">
        <f aca="false">IF(AND(U684=1,V684&gt;0),1+SUMPRODUCT(($K$4:$K$703=K684)*($F$4:$F$703=F684)*($U$4:$U$703=1)*($S$4:$S$703&gt;S684))+SUMPRODUCT(($K$4:$K$703=K684)*($F$4:$F$703=F684)*($U$4:$U$703=1)*($S$4:$S$703=S684)*($T$4:$T$703&gt;T684))+SUMPRODUCT(($K$4:$K$703=K684)*($F$4:$F$703=F684)*($U$4:$U$703=1)*($S$4:$S$703=S684)*($T$4:$T$703=T684)*($C$4:$C$703&lt;C684))+SUMPRODUCT(($K$4:$K$703=K684)*($F$4:$F$703=F684)*($U$4:$U$703=1)*($S$4:$S$703=S684)*($T$4:$T$703=T684)*($C$4:$C$703=C684)*($D$4:$D$703&lt;D684)),0)</f>
        <v>0</v>
      </c>
      <c r="X684" s="11" t="n">
        <f aca="false">IF(AND(U684=1,V684&gt;0,W684&gt;1),S684,0)</f>
        <v>0</v>
      </c>
      <c r="Y684" s="11" t="n">
        <f aca="false">IF(T684=1,X684/(1+Controls!$B$11)^F684,0)</f>
        <v>0</v>
      </c>
      <c r="Z684" s="11" t="n">
        <f aca="false">IF(AND(N684,E684="capacity",LEN(K684)&gt;0),1,0)</f>
        <v>0</v>
      </c>
      <c r="AA684" s="11" t="n">
        <f aca="false">IF(Z684=1,SUMPRODUCT(($K$4:$K$703=K684)*($F$4:$F$703=F684)*($Z$4:$Z$703=1)*($B$4:$B$703&lt;&gt;B684)),0)</f>
        <v>0</v>
      </c>
      <c r="AB684" s="11" t="n">
        <f aca="false">IF(AND(Z684=1,AA684&gt;0),1+SUMPRODUCT(($K$4:$K$703=K684)*($F$4:$F$703=F684)*($Z$4:$Z$703=1)*($P$4:$P$703&gt;P684))+SUMPRODUCT(($K$4:$K$703=K684)*($F$4:$F$703=F684)*($Z$4:$Z$703=1)*($P$4:$P$703=P684)*($C$4:$C$703&lt;C684))+SUMPRODUCT(($K$4:$K$703=K684)*($F$4:$F$703=F684)*($Z$4:$Z$703=1)*($P$4:$P$703=P684)*($C$4:$C$703=C684)*($D$4:$D$703&lt;D684)),0)</f>
        <v>0</v>
      </c>
      <c r="AC684" s="11" t="n">
        <f aca="false">IF(AND(Z684=1,AA684&gt;0,AB684&gt;1),P684,0)</f>
        <v>0</v>
      </c>
    </row>
    <row r="685" customFormat="false" ht="15" hidden="false" customHeight="false" outlineLevel="0" collapsed="false">
      <c r="A685" s="4" t="s">
        <v>950</v>
      </c>
      <c r="B685" s="4" t="s">
        <v>106</v>
      </c>
      <c r="C685" s="4" t="n">
        <v>24</v>
      </c>
      <c r="D685" s="4" t="n">
        <v>682</v>
      </c>
      <c r="E685" s="4" t="s">
        <v>205</v>
      </c>
      <c r="F685" s="4" t="n">
        <v>17</v>
      </c>
      <c r="G685" s="4" t="n">
        <v>12</v>
      </c>
      <c r="H685" s="4" t="n">
        <v>51650</v>
      </c>
      <c r="I685" s="13" t="b">
        <f aca="false">TRUE()</f>
        <v>1</v>
      </c>
      <c r="K685" s="4" t="s">
        <v>945</v>
      </c>
      <c r="L685" s="4" t="n">
        <v>8078.06</v>
      </c>
      <c r="M685" s="11" t="n">
        <f aca="false">IFERROR(MATCH(Controls!$B$3&amp;"|"&amp;B685,'Scenario inputs'!$A$4:$A$213,0),0)</f>
        <v>155</v>
      </c>
      <c r="N685" s="8" t="b">
        <f aca="false">IF(M685=0,FALSE(),F685&lt;Controls!$B$12)</f>
        <v>1</v>
      </c>
      <c r="O685" s="11" t="n">
        <f aca="false">IF(N685,IF(INDEX('Scenario inputs'!$E$4:$E$213,M685)=0,1,INDEX('Scenario inputs'!$F$4:$M$213,M685,MIN(MAX(F685-G685,0),INDEX('Scenario inputs'!$E$4:$E$213,M685)-1)+1)),0)</f>
        <v>1</v>
      </c>
      <c r="P685" s="11" t="n">
        <f aca="false">H685*O685</f>
        <v>51650</v>
      </c>
      <c r="Q685" s="0" t="str">
        <f aca="false">IF(M685=0,"",IF(ISNUMBER(INDEX('Scenario inputs'!$N$4:$N$213,M685)),INDEX('Scenario inputs'!$N$4:$N$213,M685),""))</f>
        <v/>
      </c>
      <c r="R685" s="0" t="str">
        <f aca="false">IF(NOT(N685),"",IF(OR(E685="cash",E685="revenue"),E685,IF(E685="avoided_cost",IF(AND(I685,LEN(TRIM(J685))&gt;0),"avoided_cost_realised","avoided_cost_beside"),IF(ISNUMBER(Q685),"capacity_converted","capacity_hours"))))</f>
        <v>avoided_cost_beside</v>
      </c>
      <c r="S685" s="11" t="n">
        <f aca="false">IF(OR(R685="",R685="capacity_hours"),0,IF(R685="capacity_converted",P685*Q685,P685))</f>
        <v>51650</v>
      </c>
      <c r="T685" s="11" t="n">
        <f aca="false">IF(OR(R685="cash",R685="revenue",R685="avoided_cost_realised",R685="capacity_converted"),1,0)</f>
        <v>0</v>
      </c>
      <c r="U685" s="11" t="n">
        <f aca="false">IF(AND(N685,R685&lt;&gt;"capacity_hours",LEN(K685)&gt;0),1,0)</f>
        <v>1</v>
      </c>
      <c r="V685" s="11" t="n">
        <f aca="false">IF(U685=1,SUMPRODUCT(($K$4:$K$703=K685)*($F$4:$F$703=F685)*($U$4:$U$703=1)*($B$4:$B$703&lt;&gt;B685)),0)</f>
        <v>0</v>
      </c>
      <c r="W685" s="11" t="n">
        <f aca="false">IF(AND(U685=1,V685&gt;0),1+SUMPRODUCT(($K$4:$K$703=K685)*($F$4:$F$703=F685)*($U$4:$U$703=1)*($S$4:$S$703&gt;S685))+SUMPRODUCT(($K$4:$K$703=K685)*($F$4:$F$703=F685)*($U$4:$U$703=1)*($S$4:$S$703=S685)*($T$4:$T$703&gt;T685))+SUMPRODUCT(($K$4:$K$703=K685)*($F$4:$F$703=F685)*($U$4:$U$703=1)*($S$4:$S$703=S685)*($T$4:$T$703=T685)*($C$4:$C$703&lt;C685))+SUMPRODUCT(($K$4:$K$703=K685)*($F$4:$F$703=F685)*($U$4:$U$703=1)*($S$4:$S$703=S685)*($T$4:$T$703=T685)*($C$4:$C$703=C685)*($D$4:$D$703&lt;D685)),0)</f>
        <v>0</v>
      </c>
      <c r="X685" s="11" t="n">
        <f aca="false">IF(AND(U685=1,V685&gt;0,W685&gt;1),S685,0)</f>
        <v>0</v>
      </c>
      <c r="Y685" s="11" t="n">
        <f aca="false">IF(T685=1,X685/(1+Controls!$B$11)^F685,0)</f>
        <v>0</v>
      </c>
      <c r="Z685" s="11" t="n">
        <f aca="false">IF(AND(N685,E685="capacity",LEN(K685)&gt;0),1,0)</f>
        <v>0</v>
      </c>
      <c r="AA685" s="11" t="n">
        <f aca="false">IF(Z685=1,SUMPRODUCT(($K$4:$K$703=K685)*($F$4:$F$703=F685)*($Z$4:$Z$703=1)*($B$4:$B$703&lt;&gt;B685)),0)</f>
        <v>0</v>
      </c>
      <c r="AB685" s="11" t="n">
        <f aca="false">IF(AND(Z685=1,AA685&gt;0),1+SUMPRODUCT(($K$4:$K$703=K685)*($F$4:$F$703=F685)*($Z$4:$Z$703=1)*($P$4:$P$703&gt;P685))+SUMPRODUCT(($K$4:$K$703=K685)*($F$4:$F$703=F685)*($Z$4:$Z$703=1)*($P$4:$P$703=P685)*($C$4:$C$703&lt;C685))+SUMPRODUCT(($K$4:$K$703=K685)*($F$4:$F$703=F685)*($Z$4:$Z$703=1)*($P$4:$P$703=P685)*($C$4:$C$703=C685)*($D$4:$D$703&lt;D685)),0)</f>
        <v>0</v>
      </c>
      <c r="AC685" s="11" t="n">
        <f aca="false">IF(AND(Z685=1,AA685&gt;0,AB685&gt;1),P685,0)</f>
        <v>0</v>
      </c>
    </row>
    <row r="686" customFormat="false" ht="15" hidden="false" customHeight="false" outlineLevel="0" collapsed="false">
      <c r="A686" s="4" t="s">
        <v>951</v>
      </c>
      <c r="B686" s="4" t="s">
        <v>106</v>
      </c>
      <c r="C686" s="4" t="n">
        <v>24</v>
      </c>
      <c r="D686" s="4" t="n">
        <v>683</v>
      </c>
      <c r="E686" s="4" t="s">
        <v>205</v>
      </c>
      <c r="F686" s="4" t="n">
        <v>18</v>
      </c>
      <c r="G686" s="4" t="n">
        <v>12</v>
      </c>
      <c r="H686" s="4" t="n">
        <v>51650</v>
      </c>
      <c r="I686" s="13" t="b">
        <f aca="false">TRUE()</f>
        <v>1</v>
      </c>
      <c r="K686" s="4" t="s">
        <v>945</v>
      </c>
      <c r="L686" s="4" t="n">
        <v>8078.06</v>
      </c>
      <c r="M686" s="11" t="n">
        <f aca="false">IFERROR(MATCH(Controls!$B$3&amp;"|"&amp;B686,'Scenario inputs'!$A$4:$A$213,0),0)</f>
        <v>155</v>
      </c>
      <c r="N686" s="8" t="b">
        <f aca="false">IF(M686=0,FALSE(),F686&lt;Controls!$B$12)</f>
        <v>1</v>
      </c>
      <c r="O686" s="11" t="n">
        <f aca="false">IF(N686,IF(INDEX('Scenario inputs'!$E$4:$E$213,M686)=0,1,INDEX('Scenario inputs'!$F$4:$M$213,M686,MIN(MAX(F686-G686,0),INDEX('Scenario inputs'!$E$4:$E$213,M686)-1)+1)),0)</f>
        <v>1</v>
      </c>
      <c r="P686" s="11" t="n">
        <f aca="false">H686*O686</f>
        <v>51650</v>
      </c>
      <c r="Q686" s="0" t="str">
        <f aca="false">IF(M686=0,"",IF(ISNUMBER(INDEX('Scenario inputs'!$N$4:$N$213,M686)),INDEX('Scenario inputs'!$N$4:$N$213,M686),""))</f>
        <v/>
      </c>
      <c r="R686" s="0" t="str">
        <f aca="false">IF(NOT(N686),"",IF(OR(E686="cash",E686="revenue"),E686,IF(E686="avoided_cost",IF(AND(I686,LEN(TRIM(J686))&gt;0),"avoided_cost_realised","avoided_cost_beside"),IF(ISNUMBER(Q686),"capacity_converted","capacity_hours"))))</f>
        <v>avoided_cost_beside</v>
      </c>
      <c r="S686" s="11" t="n">
        <f aca="false">IF(OR(R686="",R686="capacity_hours"),0,IF(R686="capacity_converted",P686*Q686,P686))</f>
        <v>51650</v>
      </c>
      <c r="T686" s="11" t="n">
        <f aca="false">IF(OR(R686="cash",R686="revenue",R686="avoided_cost_realised",R686="capacity_converted"),1,0)</f>
        <v>0</v>
      </c>
      <c r="U686" s="11" t="n">
        <f aca="false">IF(AND(N686,R686&lt;&gt;"capacity_hours",LEN(K686)&gt;0),1,0)</f>
        <v>1</v>
      </c>
      <c r="V686" s="11" t="n">
        <f aca="false">IF(U686=1,SUMPRODUCT(($K$4:$K$703=K686)*($F$4:$F$703=F686)*($U$4:$U$703=1)*($B$4:$B$703&lt;&gt;B686)),0)</f>
        <v>0</v>
      </c>
      <c r="W686" s="11" t="n">
        <f aca="false">IF(AND(U686=1,V686&gt;0),1+SUMPRODUCT(($K$4:$K$703=K686)*($F$4:$F$703=F686)*($U$4:$U$703=1)*($S$4:$S$703&gt;S686))+SUMPRODUCT(($K$4:$K$703=K686)*($F$4:$F$703=F686)*($U$4:$U$703=1)*($S$4:$S$703=S686)*($T$4:$T$703&gt;T686))+SUMPRODUCT(($K$4:$K$703=K686)*($F$4:$F$703=F686)*($U$4:$U$703=1)*($S$4:$S$703=S686)*($T$4:$T$703=T686)*($C$4:$C$703&lt;C686))+SUMPRODUCT(($K$4:$K$703=K686)*($F$4:$F$703=F686)*($U$4:$U$703=1)*($S$4:$S$703=S686)*($T$4:$T$703=T686)*($C$4:$C$703=C686)*($D$4:$D$703&lt;D686)),0)</f>
        <v>0</v>
      </c>
      <c r="X686" s="11" t="n">
        <f aca="false">IF(AND(U686=1,V686&gt;0,W686&gt;1),S686,0)</f>
        <v>0</v>
      </c>
      <c r="Y686" s="11" t="n">
        <f aca="false">IF(T686=1,X686/(1+Controls!$B$11)^F686,0)</f>
        <v>0</v>
      </c>
      <c r="Z686" s="11" t="n">
        <f aca="false">IF(AND(N686,E686="capacity",LEN(K686)&gt;0),1,0)</f>
        <v>0</v>
      </c>
      <c r="AA686" s="11" t="n">
        <f aca="false">IF(Z686=1,SUMPRODUCT(($K$4:$K$703=K686)*($F$4:$F$703=F686)*($Z$4:$Z$703=1)*($B$4:$B$703&lt;&gt;B686)),0)</f>
        <v>0</v>
      </c>
      <c r="AB686" s="11" t="n">
        <f aca="false">IF(AND(Z686=1,AA686&gt;0),1+SUMPRODUCT(($K$4:$K$703=K686)*($F$4:$F$703=F686)*($Z$4:$Z$703=1)*($P$4:$P$703&gt;P686))+SUMPRODUCT(($K$4:$K$703=K686)*($F$4:$F$703=F686)*($Z$4:$Z$703=1)*($P$4:$P$703=P686)*($C$4:$C$703&lt;C686))+SUMPRODUCT(($K$4:$K$703=K686)*($F$4:$F$703=F686)*($Z$4:$Z$703=1)*($P$4:$P$703=P686)*($C$4:$C$703=C686)*($D$4:$D$703&lt;D686)),0)</f>
        <v>0</v>
      </c>
      <c r="AC686" s="11" t="n">
        <f aca="false">IF(AND(Z686=1,AA686&gt;0,AB686&gt;1),P686,0)</f>
        <v>0</v>
      </c>
    </row>
    <row r="687" customFormat="false" ht="15" hidden="false" customHeight="false" outlineLevel="0" collapsed="false">
      <c r="A687" s="4" t="s">
        <v>952</v>
      </c>
      <c r="B687" s="4" t="s">
        <v>106</v>
      </c>
      <c r="C687" s="4" t="n">
        <v>24</v>
      </c>
      <c r="D687" s="4" t="n">
        <v>684</v>
      </c>
      <c r="E687" s="4" t="s">
        <v>205</v>
      </c>
      <c r="F687" s="4" t="n">
        <v>19</v>
      </c>
      <c r="G687" s="4" t="n">
        <v>12</v>
      </c>
      <c r="H687" s="4" t="n">
        <v>51650</v>
      </c>
      <c r="I687" s="13" t="b">
        <f aca="false">TRUE()</f>
        <v>1</v>
      </c>
      <c r="K687" s="4" t="s">
        <v>945</v>
      </c>
      <c r="L687" s="4" t="n">
        <v>8078.06</v>
      </c>
      <c r="M687" s="11" t="n">
        <f aca="false">IFERROR(MATCH(Controls!$B$3&amp;"|"&amp;B687,'Scenario inputs'!$A$4:$A$213,0),0)</f>
        <v>155</v>
      </c>
      <c r="N687" s="8" t="b">
        <f aca="false">IF(M687=0,FALSE(),F687&lt;Controls!$B$12)</f>
        <v>1</v>
      </c>
      <c r="O687" s="11" t="n">
        <f aca="false">IF(N687,IF(INDEX('Scenario inputs'!$E$4:$E$213,M687)=0,1,INDEX('Scenario inputs'!$F$4:$M$213,M687,MIN(MAX(F687-G687,0),INDEX('Scenario inputs'!$E$4:$E$213,M687)-1)+1)),0)</f>
        <v>1</v>
      </c>
      <c r="P687" s="11" t="n">
        <f aca="false">H687*O687</f>
        <v>51650</v>
      </c>
      <c r="Q687" s="0" t="str">
        <f aca="false">IF(M687=0,"",IF(ISNUMBER(INDEX('Scenario inputs'!$N$4:$N$213,M687)),INDEX('Scenario inputs'!$N$4:$N$213,M687),""))</f>
        <v/>
      </c>
      <c r="R687" s="0" t="str">
        <f aca="false">IF(NOT(N687),"",IF(OR(E687="cash",E687="revenue"),E687,IF(E687="avoided_cost",IF(AND(I687,LEN(TRIM(J687))&gt;0),"avoided_cost_realised","avoided_cost_beside"),IF(ISNUMBER(Q687),"capacity_converted","capacity_hours"))))</f>
        <v>avoided_cost_beside</v>
      </c>
      <c r="S687" s="11" t="n">
        <f aca="false">IF(OR(R687="",R687="capacity_hours"),0,IF(R687="capacity_converted",P687*Q687,P687))</f>
        <v>51650</v>
      </c>
      <c r="T687" s="11" t="n">
        <f aca="false">IF(OR(R687="cash",R687="revenue",R687="avoided_cost_realised",R687="capacity_converted"),1,0)</f>
        <v>0</v>
      </c>
      <c r="U687" s="11" t="n">
        <f aca="false">IF(AND(N687,R687&lt;&gt;"capacity_hours",LEN(K687)&gt;0),1,0)</f>
        <v>1</v>
      </c>
      <c r="V687" s="11" t="n">
        <f aca="false">IF(U687=1,SUMPRODUCT(($K$4:$K$703=K687)*($F$4:$F$703=F687)*($U$4:$U$703=1)*($B$4:$B$703&lt;&gt;B687)),0)</f>
        <v>0</v>
      </c>
      <c r="W687" s="11" t="n">
        <f aca="false">IF(AND(U687=1,V687&gt;0),1+SUMPRODUCT(($K$4:$K$703=K687)*($F$4:$F$703=F687)*($U$4:$U$703=1)*($S$4:$S$703&gt;S687))+SUMPRODUCT(($K$4:$K$703=K687)*($F$4:$F$703=F687)*($U$4:$U$703=1)*($S$4:$S$703=S687)*($T$4:$T$703&gt;T687))+SUMPRODUCT(($K$4:$K$703=K687)*($F$4:$F$703=F687)*($U$4:$U$703=1)*($S$4:$S$703=S687)*($T$4:$T$703=T687)*($C$4:$C$703&lt;C687))+SUMPRODUCT(($K$4:$K$703=K687)*($F$4:$F$703=F687)*($U$4:$U$703=1)*($S$4:$S$703=S687)*($T$4:$T$703=T687)*($C$4:$C$703=C687)*($D$4:$D$703&lt;D687)),0)</f>
        <v>0</v>
      </c>
      <c r="X687" s="11" t="n">
        <f aca="false">IF(AND(U687=1,V687&gt;0,W687&gt;1),S687,0)</f>
        <v>0</v>
      </c>
      <c r="Y687" s="11" t="n">
        <f aca="false">IF(T687=1,X687/(1+Controls!$B$11)^F687,0)</f>
        <v>0</v>
      </c>
      <c r="Z687" s="11" t="n">
        <f aca="false">IF(AND(N687,E687="capacity",LEN(K687)&gt;0),1,0)</f>
        <v>0</v>
      </c>
      <c r="AA687" s="11" t="n">
        <f aca="false">IF(Z687=1,SUMPRODUCT(($K$4:$K$703=K687)*($F$4:$F$703=F687)*($Z$4:$Z$703=1)*($B$4:$B$703&lt;&gt;B687)),0)</f>
        <v>0</v>
      </c>
      <c r="AB687" s="11" t="n">
        <f aca="false">IF(AND(Z687=1,AA687&gt;0),1+SUMPRODUCT(($K$4:$K$703=K687)*($F$4:$F$703=F687)*($Z$4:$Z$703=1)*($P$4:$P$703&gt;P687))+SUMPRODUCT(($K$4:$K$703=K687)*($F$4:$F$703=F687)*($Z$4:$Z$703=1)*($P$4:$P$703=P687)*($C$4:$C$703&lt;C687))+SUMPRODUCT(($K$4:$K$703=K687)*($F$4:$F$703=F687)*($Z$4:$Z$703=1)*($P$4:$P$703=P687)*($C$4:$C$703=C687)*($D$4:$D$703&lt;D687)),0)</f>
        <v>0</v>
      </c>
      <c r="AC687" s="11" t="n">
        <f aca="false">IF(AND(Z687=1,AA687&gt;0,AB687&gt;1),P687,0)</f>
        <v>0</v>
      </c>
    </row>
    <row r="688" customFormat="false" ht="15" hidden="false" customHeight="false" outlineLevel="0" collapsed="false">
      <c r="A688" s="4" t="s">
        <v>953</v>
      </c>
      <c r="B688" s="4" t="s">
        <v>106</v>
      </c>
      <c r="C688" s="4" t="n">
        <v>24</v>
      </c>
      <c r="D688" s="4" t="n">
        <v>685</v>
      </c>
      <c r="E688" s="4" t="s">
        <v>205</v>
      </c>
      <c r="F688" s="4" t="n">
        <v>20</v>
      </c>
      <c r="G688" s="4" t="n">
        <v>12</v>
      </c>
      <c r="H688" s="4" t="n">
        <v>51650</v>
      </c>
      <c r="I688" s="13" t="b">
        <f aca="false">TRUE()</f>
        <v>1</v>
      </c>
      <c r="K688" s="4" t="s">
        <v>945</v>
      </c>
      <c r="L688" s="4" t="n">
        <v>8078.06</v>
      </c>
      <c r="M688" s="11" t="n">
        <f aca="false">IFERROR(MATCH(Controls!$B$3&amp;"|"&amp;B688,'Scenario inputs'!$A$4:$A$213,0),0)</f>
        <v>155</v>
      </c>
      <c r="N688" s="8" t="b">
        <f aca="false">IF(M688=0,FALSE(),F688&lt;Controls!$B$12)</f>
        <v>1</v>
      </c>
      <c r="O688" s="11" t="n">
        <f aca="false">IF(N688,IF(INDEX('Scenario inputs'!$E$4:$E$213,M688)=0,1,INDEX('Scenario inputs'!$F$4:$M$213,M688,MIN(MAX(F688-G688,0),INDEX('Scenario inputs'!$E$4:$E$213,M688)-1)+1)),0)</f>
        <v>1</v>
      </c>
      <c r="P688" s="11" t="n">
        <f aca="false">H688*O688</f>
        <v>51650</v>
      </c>
      <c r="Q688" s="0" t="str">
        <f aca="false">IF(M688=0,"",IF(ISNUMBER(INDEX('Scenario inputs'!$N$4:$N$213,M688)),INDEX('Scenario inputs'!$N$4:$N$213,M688),""))</f>
        <v/>
      </c>
      <c r="R688" s="0" t="str">
        <f aca="false">IF(NOT(N688),"",IF(OR(E688="cash",E688="revenue"),E688,IF(E688="avoided_cost",IF(AND(I688,LEN(TRIM(J688))&gt;0),"avoided_cost_realised","avoided_cost_beside"),IF(ISNUMBER(Q688),"capacity_converted","capacity_hours"))))</f>
        <v>avoided_cost_beside</v>
      </c>
      <c r="S688" s="11" t="n">
        <f aca="false">IF(OR(R688="",R688="capacity_hours"),0,IF(R688="capacity_converted",P688*Q688,P688))</f>
        <v>51650</v>
      </c>
      <c r="T688" s="11" t="n">
        <f aca="false">IF(OR(R688="cash",R688="revenue",R688="avoided_cost_realised",R688="capacity_converted"),1,0)</f>
        <v>0</v>
      </c>
      <c r="U688" s="11" t="n">
        <f aca="false">IF(AND(N688,R688&lt;&gt;"capacity_hours",LEN(K688)&gt;0),1,0)</f>
        <v>1</v>
      </c>
      <c r="V688" s="11" t="n">
        <f aca="false">IF(U688=1,SUMPRODUCT(($K$4:$K$703=K688)*($F$4:$F$703=F688)*($U$4:$U$703=1)*($B$4:$B$703&lt;&gt;B688)),0)</f>
        <v>0</v>
      </c>
      <c r="W688" s="11" t="n">
        <f aca="false">IF(AND(U688=1,V688&gt;0),1+SUMPRODUCT(($K$4:$K$703=K688)*($F$4:$F$703=F688)*($U$4:$U$703=1)*($S$4:$S$703&gt;S688))+SUMPRODUCT(($K$4:$K$703=K688)*($F$4:$F$703=F688)*($U$4:$U$703=1)*($S$4:$S$703=S688)*($T$4:$T$703&gt;T688))+SUMPRODUCT(($K$4:$K$703=K688)*($F$4:$F$703=F688)*($U$4:$U$703=1)*($S$4:$S$703=S688)*($T$4:$T$703=T688)*($C$4:$C$703&lt;C688))+SUMPRODUCT(($K$4:$K$703=K688)*($F$4:$F$703=F688)*($U$4:$U$703=1)*($S$4:$S$703=S688)*($T$4:$T$703=T688)*($C$4:$C$703=C688)*($D$4:$D$703&lt;D688)),0)</f>
        <v>0</v>
      </c>
      <c r="X688" s="11" t="n">
        <f aca="false">IF(AND(U688=1,V688&gt;0,W688&gt;1),S688,0)</f>
        <v>0</v>
      </c>
      <c r="Y688" s="11" t="n">
        <f aca="false">IF(T688=1,X688/(1+Controls!$B$11)^F688,0)</f>
        <v>0</v>
      </c>
      <c r="Z688" s="11" t="n">
        <f aca="false">IF(AND(N688,E688="capacity",LEN(K688)&gt;0),1,0)</f>
        <v>0</v>
      </c>
      <c r="AA688" s="11" t="n">
        <f aca="false">IF(Z688=1,SUMPRODUCT(($K$4:$K$703=K688)*($F$4:$F$703=F688)*($Z$4:$Z$703=1)*($B$4:$B$703&lt;&gt;B688)),0)</f>
        <v>0</v>
      </c>
      <c r="AB688" s="11" t="n">
        <f aca="false">IF(AND(Z688=1,AA688&gt;0),1+SUMPRODUCT(($K$4:$K$703=K688)*($F$4:$F$703=F688)*($Z$4:$Z$703=1)*($P$4:$P$703&gt;P688))+SUMPRODUCT(($K$4:$K$703=K688)*($F$4:$F$703=F688)*($Z$4:$Z$703=1)*($P$4:$P$703=P688)*($C$4:$C$703&lt;C688))+SUMPRODUCT(($K$4:$K$703=K688)*($F$4:$F$703=F688)*($Z$4:$Z$703=1)*($P$4:$P$703=P688)*($C$4:$C$703=C688)*($D$4:$D$703&lt;D688)),0)</f>
        <v>0</v>
      </c>
      <c r="AC688" s="11" t="n">
        <f aca="false">IF(AND(Z688=1,AA688&gt;0,AB688&gt;1),P688,0)</f>
        <v>0</v>
      </c>
    </row>
    <row r="689" customFormat="false" ht="15" hidden="false" customHeight="false" outlineLevel="0" collapsed="false">
      <c r="A689" s="4" t="s">
        <v>954</v>
      </c>
      <c r="B689" s="4" t="s">
        <v>106</v>
      </c>
      <c r="C689" s="4" t="n">
        <v>24</v>
      </c>
      <c r="D689" s="4" t="n">
        <v>686</v>
      </c>
      <c r="E689" s="4" t="s">
        <v>205</v>
      </c>
      <c r="F689" s="4" t="n">
        <v>21</v>
      </c>
      <c r="G689" s="4" t="n">
        <v>12</v>
      </c>
      <c r="H689" s="4" t="n">
        <v>51650</v>
      </c>
      <c r="I689" s="13" t="b">
        <f aca="false">TRUE()</f>
        <v>1</v>
      </c>
      <c r="K689" s="4" t="s">
        <v>945</v>
      </c>
      <c r="L689" s="4" t="n">
        <v>8078.06</v>
      </c>
      <c r="M689" s="11" t="n">
        <f aca="false">IFERROR(MATCH(Controls!$B$3&amp;"|"&amp;B689,'Scenario inputs'!$A$4:$A$213,0),0)</f>
        <v>155</v>
      </c>
      <c r="N689" s="8" t="b">
        <f aca="false">IF(M689=0,FALSE(),F689&lt;Controls!$B$12)</f>
        <v>1</v>
      </c>
      <c r="O689" s="11" t="n">
        <f aca="false">IF(N689,IF(INDEX('Scenario inputs'!$E$4:$E$213,M689)=0,1,INDEX('Scenario inputs'!$F$4:$M$213,M689,MIN(MAX(F689-G689,0),INDEX('Scenario inputs'!$E$4:$E$213,M689)-1)+1)),0)</f>
        <v>1</v>
      </c>
      <c r="P689" s="11" t="n">
        <f aca="false">H689*O689</f>
        <v>51650</v>
      </c>
      <c r="Q689" s="0" t="str">
        <f aca="false">IF(M689=0,"",IF(ISNUMBER(INDEX('Scenario inputs'!$N$4:$N$213,M689)),INDEX('Scenario inputs'!$N$4:$N$213,M689),""))</f>
        <v/>
      </c>
      <c r="R689" s="0" t="str">
        <f aca="false">IF(NOT(N689),"",IF(OR(E689="cash",E689="revenue"),E689,IF(E689="avoided_cost",IF(AND(I689,LEN(TRIM(J689))&gt;0),"avoided_cost_realised","avoided_cost_beside"),IF(ISNUMBER(Q689),"capacity_converted","capacity_hours"))))</f>
        <v>avoided_cost_beside</v>
      </c>
      <c r="S689" s="11" t="n">
        <f aca="false">IF(OR(R689="",R689="capacity_hours"),0,IF(R689="capacity_converted",P689*Q689,P689))</f>
        <v>51650</v>
      </c>
      <c r="T689" s="11" t="n">
        <f aca="false">IF(OR(R689="cash",R689="revenue",R689="avoided_cost_realised",R689="capacity_converted"),1,0)</f>
        <v>0</v>
      </c>
      <c r="U689" s="11" t="n">
        <f aca="false">IF(AND(N689,R689&lt;&gt;"capacity_hours",LEN(K689)&gt;0),1,0)</f>
        <v>1</v>
      </c>
      <c r="V689" s="11" t="n">
        <f aca="false">IF(U689=1,SUMPRODUCT(($K$4:$K$703=K689)*($F$4:$F$703=F689)*($U$4:$U$703=1)*($B$4:$B$703&lt;&gt;B689)),0)</f>
        <v>0</v>
      </c>
      <c r="W689" s="11" t="n">
        <f aca="false">IF(AND(U689=1,V689&gt;0),1+SUMPRODUCT(($K$4:$K$703=K689)*($F$4:$F$703=F689)*($U$4:$U$703=1)*($S$4:$S$703&gt;S689))+SUMPRODUCT(($K$4:$K$703=K689)*($F$4:$F$703=F689)*($U$4:$U$703=1)*($S$4:$S$703=S689)*($T$4:$T$703&gt;T689))+SUMPRODUCT(($K$4:$K$703=K689)*($F$4:$F$703=F689)*($U$4:$U$703=1)*($S$4:$S$703=S689)*($T$4:$T$703=T689)*($C$4:$C$703&lt;C689))+SUMPRODUCT(($K$4:$K$703=K689)*($F$4:$F$703=F689)*($U$4:$U$703=1)*($S$4:$S$703=S689)*($T$4:$T$703=T689)*($C$4:$C$703=C689)*($D$4:$D$703&lt;D689)),0)</f>
        <v>0</v>
      </c>
      <c r="X689" s="11" t="n">
        <f aca="false">IF(AND(U689=1,V689&gt;0,W689&gt;1),S689,0)</f>
        <v>0</v>
      </c>
      <c r="Y689" s="11" t="n">
        <f aca="false">IF(T689=1,X689/(1+Controls!$B$11)^F689,0)</f>
        <v>0</v>
      </c>
      <c r="Z689" s="11" t="n">
        <f aca="false">IF(AND(N689,E689="capacity",LEN(K689)&gt;0),1,0)</f>
        <v>0</v>
      </c>
      <c r="AA689" s="11" t="n">
        <f aca="false">IF(Z689=1,SUMPRODUCT(($K$4:$K$703=K689)*($F$4:$F$703=F689)*($Z$4:$Z$703=1)*($B$4:$B$703&lt;&gt;B689)),0)</f>
        <v>0</v>
      </c>
      <c r="AB689" s="11" t="n">
        <f aca="false">IF(AND(Z689=1,AA689&gt;0),1+SUMPRODUCT(($K$4:$K$703=K689)*($F$4:$F$703=F689)*($Z$4:$Z$703=1)*($P$4:$P$703&gt;P689))+SUMPRODUCT(($K$4:$K$703=K689)*($F$4:$F$703=F689)*($Z$4:$Z$703=1)*($P$4:$P$703=P689)*($C$4:$C$703&lt;C689))+SUMPRODUCT(($K$4:$K$703=K689)*($F$4:$F$703=F689)*($Z$4:$Z$703=1)*($P$4:$P$703=P689)*($C$4:$C$703=C689)*($D$4:$D$703&lt;D689)),0)</f>
        <v>0</v>
      </c>
      <c r="AC689" s="11" t="n">
        <f aca="false">IF(AND(Z689=1,AA689&gt;0,AB689&gt;1),P689,0)</f>
        <v>0</v>
      </c>
    </row>
    <row r="690" customFormat="false" ht="15" hidden="false" customHeight="false" outlineLevel="0" collapsed="false">
      <c r="A690" s="4" t="s">
        <v>955</v>
      </c>
      <c r="B690" s="4" t="s">
        <v>106</v>
      </c>
      <c r="C690" s="4" t="n">
        <v>24</v>
      </c>
      <c r="D690" s="4" t="n">
        <v>687</v>
      </c>
      <c r="E690" s="4" t="s">
        <v>205</v>
      </c>
      <c r="F690" s="4" t="n">
        <v>22</v>
      </c>
      <c r="G690" s="4" t="n">
        <v>12</v>
      </c>
      <c r="H690" s="4" t="n">
        <v>51650</v>
      </c>
      <c r="I690" s="13" t="b">
        <f aca="false">TRUE()</f>
        <v>1</v>
      </c>
      <c r="K690" s="4" t="s">
        <v>945</v>
      </c>
      <c r="L690" s="4" t="n">
        <v>8078.06</v>
      </c>
      <c r="M690" s="11" t="n">
        <f aca="false">IFERROR(MATCH(Controls!$B$3&amp;"|"&amp;B690,'Scenario inputs'!$A$4:$A$213,0),0)</f>
        <v>155</v>
      </c>
      <c r="N690" s="8" t="b">
        <f aca="false">IF(M690=0,FALSE(),F690&lt;Controls!$B$12)</f>
        <v>1</v>
      </c>
      <c r="O690" s="11" t="n">
        <f aca="false">IF(N690,IF(INDEX('Scenario inputs'!$E$4:$E$213,M690)=0,1,INDEX('Scenario inputs'!$F$4:$M$213,M690,MIN(MAX(F690-G690,0),INDEX('Scenario inputs'!$E$4:$E$213,M690)-1)+1)),0)</f>
        <v>1</v>
      </c>
      <c r="P690" s="11" t="n">
        <f aca="false">H690*O690</f>
        <v>51650</v>
      </c>
      <c r="Q690" s="0" t="str">
        <f aca="false">IF(M690=0,"",IF(ISNUMBER(INDEX('Scenario inputs'!$N$4:$N$213,M690)),INDEX('Scenario inputs'!$N$4:$N$213,M690),""))</f>
        <v/>
      </c>
      <c r="R690" s="0" t="str">
        <f aca="false">IF(NOT(N690),"",IF(OR(E690="cash",E690="revenue"),E690,IF(E690="avoided_cost",IF(AND(I690,LEN(TRIM(J690))&gt;0),"avoided_cost_realised","avoided_cost_beside"),IF(ISNUMBER(Q690),"capacity_converted","capacity_hours"))))</f>
        <v>avoided_cost_beside</v>
      </c>
      <c r="S690" s="11" t="n">
        <f aca="false">IF(OR(R690="",R690="capacity_hours"),0,IF(R690="capacity_converted",P690*Q690,P690))</f>
        <v>51650</v>
      </c>
      <c r="T690" s="11" t="n">
        <f aca="false">IF(OR(R690="cash",R690="revenue",R690="avoided_cost_realised",R690="capacity_converted"),1,0)</f>
        <v>0</v>
      </c>
      <c r="U690" s="11" t="n">
        <f aca="false">IF(AND(N690,R690&lt;&gt;"capacity_hours",LEN(K690)&gt;0),1,0)</f>
        <v>1</v>
      </c>
      <c r="V690" s="11" t="n">
        <f aca="false">IF(U690=1,SUMPRODUCT(($K$4:$K$703=K690)*($F$4:$F$703=F690)*($U$4:$U$703=1)*($B$4:$B$703&lt;&gt;B690)),0)</f>
        <v>0</v>
      </c>
      <c r="W690" s="11" t="n">
        <f aca="false">IF(AND(U690=1,V690&gt;0),1+SUMPRODUCT(($K$4:$K$703=K690)*($F$4:$F$703=F690)*($U$4:$U$703=1)*($S$4:$S$703&gt;S690))+SUMPRODUCT(($K$4:$K$703=K690)*($F$4:$F$703=F690)*($U$4:$U$703=1)*($S$4:$S$703=S690)*($T$4:$T$703&gt;T690))+SUMPRODUCT(($K$4:$K$703=K690)*($F$4:$F$703=F690)*($U$4:$U$703=1)*($S$4:$S$703=S690)*($T$4:$T$703=T690)*($C$4:$C$703&lt;C690))+SUMPRODUCT(($K$4:$K$703=K690)*($F$4:$F$703=F690)*($U$4:$U$703=1)*($S$4:$S$703=S690)*($T$4:$T$703=T690)*($C$4:$C$703=C690)*($D$4:$D$703&lt;D690)),0)</f>
        <v>0</v>
      </c>
      <c r="X690" s="11" t="n">
        <f aca="false">IF(AND(U690=1,V690&gt;0,W690&gt;1),S690,0)</f>
        <v>0</v>
      </c>
      <c r="Y690" s="11" t="n">
        <f aca="false">IF(T690=1,X690/(1+Controls!$B$11)^F690,0)</f>
        <v>0</v>
      </c>
      <c r="Z690" s="11" t="n">
        <f aca="false">IF(AND(N690,E690="capacity",LEN(K690)&gt;0),1,0)</f>
        <v>0</v>
      </c>
      <c r="AA690" s="11" t="n">
        <f aca="false">IF(Z690=1,SUMPRODUCT(($K$4:$K$703=K690)*($F$4:$F$703=F690)*($Z$4:$Z$703=1)*($B$4:$B$703&lt;&gt;B690)),0)</f>
        <v>0</v>
      </c>
      <c r="AB690" s="11" t="n">
        <f aca="false">IF(AND(Z690=1,AA690&gt;0),1+SUMPRODUCT(($K$4:$K$703=K690)*($F$4:$F$703=F690)*($Z$4:$Z$703=1)*($P$4:$P$703&gt;P690))+SUMPRODUCT(($K$4:$K$703=K690)*($F$4:$F$703=F690)*($Z$4:$Z$703=1)*($P$4:$P$703=P690)*($C$4:$C$703&lt;C690))+SUMPRODUCT(($K$4:$K$703=K690)*($F$4:$F$703=F690)*($Z$4:$Z$703=1)*($P$4:$P$703=P690)*($C$4:$C$703=C690)*($D$4:$D$703&lt;D690)),0)</f>
        <v>0</v>
      </c>
      <c r="AC690" s="11" t="n">
        <f aca="false">IF(AND(Z690=1,AA690&gt;0,AB690&gt;1),P690,0)</f>
        <v>0</v>
      </c>
    </row>
    <row r="691" customFormat="false" ht="15" hidden="false" customHeight="false" outlineLevel="0" collapsed="false">
      <c r="A691" s="4" t="s">
        <v>956</v>
      </c>
      <c r="B691" s="4" t="s">
        <v>106</v>
      </c>
      <c r="C691" s="4" t="n">
        <v>24</v>
      </c>
      <c r="D691" s="4" t="n">
        <v>688</v>
      </c>
      <c r="E691" s="4" t="s">
        <v>205</v>
      </c>
      <c r="F691" s="4" t="n">
        <v>23</v>
      </c>
      <c r="G691" s="4" t="n">
        <v>12</v>
      </c>
      <c r="H691" s="4" t="n">
        <v>51650</v>
      </c>
      <c r="I691" s="13" t="b">
        <f aca="false">TRUE()</f>
        <v>1</v>
      </c>
      <c r="K691" s="4" t="s">
        <v>945</v>
      </c>
      <c r="L691" s="4" t="n">
        <v>8078.06</v>
      </c>
      <c r="M691" s="11" t="n">
        <f aca="false">IFERROR(MATCH(Controls!$B$3&amp;"|"&amp;B691,'Scenario inputs'!$A$4:$A$213,0),0)</f>
        <v>155</v>
      </c>
      <c r="N691" s="8" t="b">
        <f aca="false">IF(M691=0,FALSE(),F691&lt;Controls!$B$12)</f>
        <v>1</v>
      </c>
      <c r="O691" s="11" t="n">
        <f aca="false">IF(N691,IF(INDEX('Scenario inputs'!$E$4:$E$213,M691)=0,1,INDEX('Scenario inputs'!$F$4:$M$213,M691,MIN(MAX(F691-G691,0),INDEX('Scenario inputs'!$E$4:$E$213,M691)-1)+1)),0)</f>
        <v>1</v>
      </c>
      <c r="P691" s="11" t="n">
        <f aca="false">H691*O691</f>
        <v>51650</v>
      </c>
      <c r="Q691" s="0" t="str">
        <f aca="false">IF(M691=0,"",IF(ISNUMBER(INDEX('Scenario inputs'!$N$4:$N$213,M691)),INDEX('Scenario inputs'!$N$4:$N$213,M691),""))</f>
        <v/>
      </c>
      <c r="R691" s="0" t="str">
        <f aca="false">IF(NOT(N691),"",IF(OR(E691="cash",E691="revenue"),E691,IF(E691="avoided_cost",IF(AND(I691,LEN(TRIM(J691))&gt;0),"avoided_cost_realised","avoided_cost_beside"),IF(ISNUMBER(Q691),"capacity_converted","capacity_hours"))))</f>
        <v>avoided_cost_beside</v>
      </c>
      <c r="S691" s="11" t="n">
        <f aca="false">IF(OR(R691="",R691="capacity_hours"),0,IF(R691="capacity_converted",P691*Q691,P691))</f>
        <v>51650</v>
      </c>
      <c r="T691" s="11" t="n">
        <f aca="false">IF(OR(R691="cash",R691="revenue",R691="avoided_cost_realised",R691="capacity_converted"),1,0)</f>
        <v>0</v>
      </c>
      <c r="U691" s="11" t="n">
        <f aca="false">IF(AND(N691,R691&lt;&gt;"capacity_hours",LEN(K691)&gt;0),1,0)</f>
        <v>1</v>
      </c>
      <c r="V691" s="11" t="n">
        <f aca="false">IF(U691=1,SUMPRODUCT(($K$4:$K$703=K691)*($F$4:$F$703=F691)*($U$4:$U$703=1)*($B$4:$B$703&lt;&gt;B691)),0)</f>
        <v>0</v>
      </c>
      <c r="W691" s="11" t="n">
        <f aca="false">IF(AND(U691=1,V691&gt;0),1+SUMPRODUCT(($K$4:$K$703=K691)*($F$4:$F$703=F691)*($U$4:$U$703=1)*($S$4:$S$703&gt;S691))+SUMPRODUCT(($K$4:$K$703=K691)*($F$4:$F$703=F691)*($U$4:$U$703=1)*($S$4:$S$703=S691)*($T$4:$T$703&gt;T691))+SUMPRODUCT(($K$4:$K$703=K691)*($F$4:$F$703=F691)*($U$4:$U$703=1)*($S$4:$S$703=S691)*($T$4:$T$703=T691)*($C$4:$C$703&lt;C691))+SUMPRODUCT(($K$4:$K$703=K691)*($F$4:$F$703=F691)*($U$4:$U$703=1)*($S$4:$S$703=S691)*($T$4:$T$703=T691)*($C$4:$C$703=C691)*($D$4:$D$703&lt;D691)),0)</f>
        <v>0</v>
      </c>
      <c r="X691" s="11" t="n">
        <f aca="false">IF(AND(U691=1,V691&gt;0,W691&gt;1),S691,0)</f>
        <v>0</v>
      </c>
      <c r="Y691" s="11" t="n">
        <f aca="false">IF(T691=1,X691/(1+Controls!$B$11)^F691,0)</f>
        <v>0</v>
      </c>
      <c r="Z691" s="11" t="n">
        <f aca="false">IF(AND(N691,E691="capacity",LEN(K691)&gt;0),1,0)</f>
        <v>0</v>
      </c>
      <c r="AA691" s="11" t="n">
        <f aca="false">IF(Z691=1,SUMPRODUCT(($K$4:$K$703=K691)*($F$4:$F$703=F691)*($Z$4:$Z$703=1)*($B$4:$B$703&lt;&gt;B691)),0)</f>
        <v>0</v>
      </c>
      <c r="AB691" s="11" t="n">
        <f aca="false">IF(AND(Z691=1,AA691&gt;0),1+SUMPRODUCT(($K$4:$K$703=K691)*($F$4:$F$703=F691)*($Z$4:$Z$703=1)*($P$4:$P$703&gt;P691))+SUMPRODUCT(($K$4:$K$703=K691)*($F$4:$F$703=F691)*($Z$4:$Z$703=1)*($P$4:$P$703=P691)*($C$4:$C$703&lt;C691))+SUMPRODUCT(($K$4:$K$703=K691)*($F$4:$F$703=F691)*($Z$4:$Z$703=1)*($P$4:$P$703=P691)*($C$4:$C$703=C691)*($D$4:$D$703&lt;D691)),0)</f>
        <v>0</v>
      </c>
      <c r="AC691" s="11" t="n">
        <f aca="false">IF(AND(Z691=1,AA691&gt;0,AB691&gt;1),P691,0)</f>
        <v>0</v>
      </c>
    </row>
    <row r="692" customFormat="false" ht="15" hidden="false" customHeight="false" outlineLevel="0" collapsed="false">
      <c r="A692" s="4" t="s">
        <v>957</v>
      </c>
      <c r="B692" s="4" t="s">
        <v>106</v>
      </c>
      <c r="C692" s="4" t="n">
        <v>24</v>
      </c>
      <c r="D692" s="4" t="n">
        <v>689</v>
      </c>
      <c r="E692" s="4" t="s">
        <v>233</v>
      </c>
      <c r="F692" s="4" t="n">
        <v>12</v>
      </c>
      <c r="G692" s="4" t="n">
        <v>12</v>
      </c>
      <c r="H692" s="4" t="n">
        <v>837</v>
      </c>
      <c r="I692" s="13" t="b">
        <f aca="false">FALSE()</f>
        <v>0</v>
      </c>
      <c r="K692" s="4" t="s">
        <v>958</v>
      </c>
      <c r="L692" s="4" t="n">
        <v>7.87</v>
      </c>
      <c r="M692" s="11" t="n">
        <f aca="false">IFERROR(MATCH(Controls!$B$3&amp;"|"&amp;B692,'Scenario inputs'!$A$4:$A$213,0),0)</f>
        <v>155</v>
      </c>
      <c r="N692" s="8" t="b">
        <f aca="false">IF(M692=0,FALSE(),F692&lt;Controls!$B$12)</f>
        <v>1</v>
      </c>
      <c r="O692" s="11" t="n">
        <f aca="false">IF(N692,IF(INDEX('Scenario inputs'!$E$4:$E$213,M692)=0,1,INDEX('Scenario inputs'!$F$4:$M$213,M692,MIN(MAX(F692-G692,0),INDEX('Scenario inputs'!$E$4:$E$213,M692)-1)+1)),0)</f>
        <v>0.066667</v>
      </c>
      <c r="P692" s="11" t="n">
        <f aca="false">H692*O692</f>
        <v>55.800279</v>
      </c>
      <c r="Q692" s="0" t="str">
        <f aca="false">IF(M692=0,"",IF(ISNUMBER(INDEX('Scenario inputs'!$N$4:$N$213,M692)),INDEX('Scenario inputs'!$N$4:$N$213,M692),""))</f>
        <v/>
      </c>
      <c r="R692" s="0" t="str">
        <f aca="false">IF(NOT(N692),"",IF(OR(E692="cash",E692="revenue"),E692,IF(E692="avoided_cost",IF(AND(I692,LEN(TRIM(J692))&gt;0),"avoided_cost_realised","avoided_cost_beside"),IF(ISNUMBER(Q692),"capacity_converted","capacity_hours"))))</f>
        <v>capacity_hours</v>
      </c>
      <c r="S692" s="11" t="n">
        <f aca="false">IF(OR(R692="",R692="capacity_hours"),0,IF(R692="capacity_converted",P692*Q692,P692))</f>
        <v>0</v>
      </c>
      <c r="T692" s="11" t="n">
        <f aca="false">IF(OR(R692="cash",R692="revenue",R692="avoided_cost_realised",R692="capacity_converted"),1,0)</f>
        <v>0</v>
      </c>
      <c r="U692" s="11" t="n">
        <f aca="false">IF(AND(N692,R692&lt;&gt;"capacity_hours",LEN(K692)&gt;0),1,0)</f>
        <v>0</v>
      </c>
      <c r="V692" s="11" t="n">
        <f aca="false">IF(U692=1,SUMPRODUCT(($K$4:$K$703=K692)*($F$4:$F$703=F692)*($U$4:$U$703=1)*($B$4:$B$703&lt;&gt;B692)),0)</f>
        <v>0</v>
      </c>
      <c r="W692" s="11" t="n">
        <f aca="false">IF(AND(U692=1,V692&gt;0),1+SUMPRODUCT(($K$4:$K$703=K692)*($F$4:$F$703=F692)*($U$4:$U$703=1)*($S$4:$S$703&gt;S692))+SUMPRODUCT(($K$4:$K$703=K692)*($F$4:$F$703=F692)*($U$4:$U$703=1)*($S$4:$S$703=S692)*($T$4:$T$703&gt;T692))+SUMPRODUCT(($K$4:$K$703=K692)*($F$4:$F$703=F692)*($U$4:$U$703=1)*($S$4:$S$703=S692)*($T$4:$T$703=T692)*($C$4:$C$703&lt;C692))+SUMPRODUCT(($K$4:$K$703=K692)*($F$4:$F$703=F692)*($U$4:$U$703=1)*($S$4:$S$703=S692)*($T$4:$T$703=T692)*($C$4:$C$703=C692)*($D$4:$D$703&lt;D692)),0)</f>
        <v>0</v>
      </c>
      <c r="X692" s="11" t="n">
        <f aca="false">IF(AND(U692=1,V692&gt;0,W692&gt;1),S692,0)</f>
        <v>0</v>
      </c>
      <c r="Y692" s="11" t="n">
        <f aca="false">IF(T692=1,X692/(1+Controls!$B$11)^F692,0)</f>
        <v>0</v>
      </c>
      <c r="Z692" s="11" t="n">
        <f aca="false">IF(AND(N692,E692="capacity",LEN(K692)&gt;0),1,0)</f>
        <v>1</v>
      </c>
      <c r="AA692" s="11" t="n">
        <f aca="false">IF(Z692=1,SUMPRODUCT(($K$4:$K$703=K692)*($F$4:$F$703=F692)*($Z$4:$Z$703=1)*($B$4:$B$703&lt;&gt;B692)),0)</f>
        <v>0</v>
      </c>
      <c r="AB692" s="11" t="n">
        <f aca="false">IF(AND(Z692=1,AA692&gt;0),1+SUMPRODUCT(($K$4:$K$703=K692)*($F$4:$F$703=F692)*($Z$4:$Z$703=1)*($P$4:$P$703&gt;P692))+SUMPRODUCT(($K$4:$K$703=K692)*($F$4:$F$703=F692)*($Z$4:$Z$703=1)*($P$4:$P$703=P692)*($C$4:$C$703&lt;C692))+SUMPRODUCT(($K$4:$K$703=K692)*($F$4:$F$703=F692)*($Z$4:$Z$703=1)*($P$4:$P$703=P692)*($C$4:$C$703=C692)*($D$4:$D$703&lt;D692)),0)</f>
        <v>0</v>
      </c>
      <c r="AC692" s="11" t="n">
        <f aca="false">IF(AND(Z692=1,AA692&gt;0,AB692&gt;1),P692,0)</f>
        <v>0</v>
      </c>
    </row>
    <row r="693" customFormat="false" ht="15" hidden="false" customHeight="false" outlineLevel="0" collapsed="false">
      <c r="A693" s="4" t="s">
        <v>959</v>
      </c>
      <c r="B693" s="4" t="s">
        <v>106</v>
      </c>
      <c r="C693" s="4" t="n">
        <v>24</v>
      </c>
      <c r="D693" s="4" t="n">
        <v>690</v>
      </c>
      <c r="E693" s="4" t="s">
        <v>233</v>
      </c>
      <c r="F693" s="4" t="n">
        <v>13</v>
      </c>
      <c r="G693" s="4" t="n">
        <v>12</v>
      </c>
      <c r="H693" s="4" t="n">
        <v>837</v>
      </c>
      <c r="I693" s="13" t="b">
        <f aca="false">FALSE()</f>
        <v>0</v>
      </c>
      <c r="K693" s="4" t="s">
        <v>958</v>
      </c>
      <c r="L693" s="4" t="n">
        <v>23.6</v>
      </c>
      <c r="M693" s="11" t="n">
        <f aca="false">IFERROR(MATCH(Controls!$B$3&amp;"|"&amp;B693,'Scenario inputs'!$A$4:$A$213,0),0)</f>
        <v>155</v>
      </c>
      <c r="N693" s="8" t="b">
        <f aca="false">IF(M693=0,FALSE(),F693&lt;Controls!$B$12)</f>
        <v>1</v>
      </c>
      <c r="O693" s="11" t="n">
        <f aca="false">IF(N693,IF(INDEX('Scenario inputs'!$E$4:$E$213,M693)=0,1,INDEX('Scenario inputs'!$F$4:$M$213,M693,MIN(MAX(F693-G693,0),INDEX('Scenario inputs'!$E$4:$E$213,M693)-1)+1)),0)</f>
        <v>0.2</v>
      </c>
      <c r="P693" s="11" t="n">
        <f aca="false">H693*O693</f>
        <v>167.4</v>
      </c>
      <c r="Q693" s="0" t="str">
        <f aca="false">IF(M693=0,"",IF(ISNUMBER(INDEX('Scenario inputs'!$N$4:$N$213,M693)),INDEX('Scenario inputs'!$N$4:$N$213,M693),""))</f>
        <v/>
      </c>
      <c r="R693" s="0" t="str">
        <f aca="false">IF(NOT(N693),"",IF(OR(E693="cash",E693="revenue"),E693,IF(E693="avoided_cost",IF(AND(I693,LEN(TRIM(J693))&gt;0),"avoided_cost_realised","avoided_cost_beside"),IF(ISNUMBER(Q693),"capacity_converted","capacity_hours"))))</f>
        <v>capacity_hours</v>
      </c>
      <c r="S693" s="11" t="n">
        <f aca="false">IF(OR(R693="",R693="capacity_hours"),0,IF(R693="capacity_converted",P693*Q693,P693))</f>
        <v>0</v>
      </c>
      <c r="T693" s="11" t="n">
        <f aca="false">IF(OR(R693="cash",R693="revenue",R693="avoided_cost_realised",R693="capacity_converted"),1,0)</f>
        <v>0</v>
      </c>
      <c r="U693" s="11" t="n">
        <f aca="false">IF(AND(N693,R693&lt;&gt;"capacity_hours",LEN(K693)&gt;0),1,0)</f>
        <v>0</v>
      </c>
      <c r="V693" s="11" t="n">
        <f aca="false">IF(U693=1,SUMPRODUCT(($K$4:$K$703=K693)*($F$4:$F$703=F693)*($U$4:$U$703=1)*($B$4:$B$703&lt;&gt;B693)),0)</f>
        <v>0</v>
      </c>
      <c r="W693" s="11" t="n">
        <f aca="false">IF(AND(U693=1,V693&gt;0),1+SUMPRODUCT(($K$4:$K$703=K693)*($F$4:$F$703=F693)*($U$4:$U$703=1)*($S$4:$S$703&gt;S693))+SUMPRODUCT(($K$4:$K$703=K693)*($F$4:$F$703=F693)*($U$4:$U$703=1)*($S$4:$S$703=S693)*($T$4:$T$703&gt;T693))+SUMPRODUCT(($K$4:$K$703=K693)*($F$4:$F$703=F693)*($U$4:$U$703=1)*($S$4:$S$703=S693)*($T$4:$T$703=T693)*($C$4:$C$703&lt;C693))+SUMPRODUCT(($K$4:$K$703=K693)*($F$4:$F$703=F693)*($U$4:$U$703=1)*($S$4:$S$703=S693)*($T$4:$T$703=T693)*($C$4:$C$703=C693)*($D$4:$D$703&lt;D693)),0)</f>
        <v>0</v>
      </c>
      <c r="X693" s="11" t="n">
        <f aca="false">IF(AND(U693=1,V693&gt;0,W693&gt;1),S693,0)</f>
        <v>0</v>
      </c>
      <c r="Y693" s="11" t="n">
        <f aca="false">IF(T693=1,X693/(1+Controls!$B$11)^F693,0)</f>
        <v>0</v>
      </c>
      <c r="Z693" s="11" t="n">
        <f aca="false">IF(AND(N693,E693="capacity",LEN(K693)&gt;0),1,0)</f>
        <v>1</v>
      </c>
      <c r="AA693" s="11" t="n">
        <f aca="false">IF(Z693=1,SUMPRODUCT(($K$4:$K$703=K693)*($F$4:$F$703=F693)*($Z$4:$Z$703=1)*($B$4:$B$703&lt;&gt;B693)),0)</f>
        <v>0</v>
      </c>
      <c r="AB693" s="11" t="n">
        <f aca="false">IF(AND(Z693=1,AA693&gt;0),1+SUMPRODUCT(($K$4:$K$703=K693)*($F$4:$F$703=F693)*($Z$4:$Z$703=1)*($P$4:$P$703&gt;P693))+SUMPRODUCT(($K$4:$K$703=K693)*($F$4:$F$703=F693)*($Z$4:$Z$703=1)*($P$4:$P$703=P693)*($C$4:$C$703&lt;C693))+SUMPRODUCT(($K$4:$K$703=K693)*($F$4:$F$703=F693)*($Z$4:$Z$703=1)*($P$4:$P$703=P693)*($C$4:$C$703=C693)*($D$4:$D$703&lt;D693)),0)</f>
        <v>0</v>
      </c>
      <c r="AC693" s="11" t="n">
        <f aca="false">IF(AND(Z693=1,AA693&gt;0,AB693&gt;1),P693,0)</f>
        <v>0</v>
      </c>
    </row>
    <row r="694" customFormat="false" ht="15" hidden="false" customHeight="false" outlineLevel="0" collapsed="false">
      <c r="A694" s="4" t="s">
        <v>960</v>
      </c>
      <c r="B694" s="4" t="s">
        <v>106</v>
      </c>
      <c r="C694" s="4" t="n">
        <v>24</v>
      </c>
      <c r="D694" s="4" t="n">
        <v>691</v>
      </c>
      <c r="E694" s="4" t="s">
        <v>233</v>
      </c>
      <c r="F694" s="4" t="n">
        <v>14</v>
      </c>
      <c r="G694" s="4" t="n">
        <v>12</v>
      </c>
      <c r="H694" s="4" t="n">
        <v>837</v>
      </c>
      <c r="I694" s="13" t="b">
        <f aca="false">FALSE()</f>
        <v>0</v>
      </c>
      <c r="K694" s="4" t="s">
        <v>958</v>
      </c>
      <c r="L694" s="4" t="n">
        <v>47.21</v>
      </c>
      <c r="M694" s="11" t="n">
        <f aca="false">IFERROR(MATCH(Controls!$B$3&amp;"|"&amp;B694,'Scenario inputs'!$A$4:$A$213,0),0)</f>
        <v>155</v>
      </c>
      <c r="N694" s="8" t="b">
        <f aca="false">IF(M694=0,FALSE(),F694&lt;Controls!$B$12)</f>
        <v>1</v>
      </c>
      <c r="O694" s="11" t="n">
        <f aca="false">IF(N694,IF(INDEX('Scenario inputs'!$E$4:$E$213,M694)=0,1,INDEX('Scenario inputs'!$F$4:$M$213,M694,MIN(MAX(F694-G694,0),INDEX('Scenario inputs'!$E$4:$E$213,M694)-1)+1)),0)</f>
        <v>0.4</v>
      </c>
      <c r="P694" s="11" t="n">
        <f aca="false">H694*O694</f>
        <v>334.8</v>
      </c>
      <c r="Q694" s="0" t="str">
        <f aca="false">IF(M694=0,"",IF(ISNUMBER(INDEX('Scenario inputs'!$N$4:$N$213,M694)),INDEX('Scenario inputs'!$N$4:$N$213,M694),""))</f>
        <v/>
      </c>
      <c r="R694" s="0" t="str">
        <f aca="false">IF(NOT(N694),"",IF(OR(E694="cash",E694="revenue"),E694,IF(E694="avoided_cost",IF(AND(I694,LEN(TRIM(J694))&gt;0),"avoided_cost_realised","avoided_cost_beside"),IF(ISNUMBER(Q694),"capacity_converted","capacity_hours"))))</f>
        <v>capacity_hours</v>
      </c>
      <c r="S694" s="11" t="n">
        <f aca="false">IF(OR(R694="",R694="capacity_hours"),0,IF(R694="capacity_converted",P694*Q694,P694))</f>
        <v>0</v>
      </c>
      <c r="T694" s="11" t="n">
        <f aca="false">IF(OR(R694="cash",R694="revenue",R694="avoided_cost_realised",R694="capacity_converted"),1,0)</f>
        <v>0</v>
      </c>
      <c r="U694" s="11" t="n">
        <f aca="false">IF(AND(N694,R694&lt;&gt;"capacity_hours",LEN(K694)&gt;0),1,0)</f>
        <v>0</v>
      </c>
      <c r="V694" s="11" t="n">
        <f aca="false">IF(U694=1,SUMPRODUCT(($K$4:$K$703=K694)*($F$4:$F$703=F694)*($U$4:$U$703=1)*($B$4:$B$703&lt;&gt;B694)),0)</f>
        <v>0</v>
      </c>
      <c r="W694" s="11" t="n">
        <f aca="false">IF(AND(U694=1,V694&gt;0),1+SUMPRODUCT(($K$4:$K$703=K694)*($F$4:$F$703=F694)*($U$4:$U$703=1)*($S$4:$S$703&gt;S694))+SUMPRODUCT(($K$4:$K$703=K694)*($F$4:$F$703=F694)*($U$4:$U$703=1)*($S$4:$S$703=S694)*($T$4:$T$703&gt;T694))+SUMPRODUCT(($K$4:$K$703=K694)*($F$4:$F$703=F694)*($U$4:$U$703=1)*($S$4:$S$703=S694)*($T$4:$T$703=T694)*($C$4:$C$703&lt;C694))+SUMPRODUCT(($K$4:$K$703=K694)*($F$4:$F$703=F694)*($U$4:$U$703=1)*($S$4:$S$703=S694)*($T$4:$T$703=T694)*($C$4:$C$703=C694)*($D$4:$D$703&lt;D694)),0)</f>
        <v>0</v>
      </c>
      <c r="X694" s="11" t="n">
        <f aca="false">IF(AND(U694=1,V694&gt;0,W694&gt;1),S694,0)</f>
        <v>0</v>
      </c>
      <c r="Y694" s="11" t="n">
        <f aca="false">IF(T694=1,X694/(1+Controls!$B$11)^F694,0)</f>
        <v>0</v>
      </c>
      <c r="Z694" s="11" t="n">
        <f aca="false">IF(AND(N694,E694="capacity",LEN(K694)&gt;0),1,0)</f>
        <v>1</v>
      </c>
      <c r="AA694" s="11" t="n">
        <f aca="false">IF(Z694=1,SUMPRODUCT(($K$4:$K$703=K694)*($F$4:$F$703=F694)*($Z$4:$Z$703=1)*($B$4:$B$703&lt;&gt;B694)),0)</f>
        <v>0</v>
      </c>
      <c r="AB694" s="11" t="n">
        <f aca="false">IF(AND(Z694=1,AA694&gt;0),1+SUMPRODUCT(($K$4:$K$703=K694)*($F$4:$F$703=F694)*($Z$4:$Z$703=1)*($P$4:$P$703&gt;P694))+SUMPRODUCT(($K$4:$K$703=K694)*($F$4:$F$703=F694)*($Z$4:$Z$703=1)*($P$4:$P$703=P694)*($C$4:$C$703&lt;C694))+SUMPRODUCT(($K$4:$K$703=K694)*($F$4:$F$703=F694)*($Z$4:$Z$703=1)*($P$4:$P$703=P694)*($C$4:$C$703=C694)*($D$4:$D$703&lt;D694)),0)</f>
        <v>0</v>
      </c>
      <c r="AC694" s="11" t="n">
        <f aca="false">IF(AND(Z694=1,AA694&gt;0,AB694&gt;1),P694,0)</f>
        <v>0</v>
      </c>
    </row>
    <row r="695" customFormat="false" ht="15" hidden="false" customHeight="false" outlineLevel="0" collapsed="false">
      <c r="A695" s="4" t="s">
        <v>961</v>
      </c>
      <c r="B695" s="4" t="s">
        <v>106</v>
      </c>
      <c r="C695" s="4" t="n">
        <v>24</v>
      </c>
      <c r="D695" s="4" t="n">
        <v>692</v>
      </c>
      <c r="E695" s="4" t="s">
        <v>233</v>
      </c>
      <c r="F695" s="4" t="n">
        <v>15</v>
      </c>
      <c r="G695" s="4" t="n">
        <v>12</v>
      </c>
      <c r="H695" s="4" t="n">
        <v>837</v>
      </c>
      <c r="I695" s="13" t="b">
        <f aca="false">FALSE()</f>
        <v>0</v>
      </c>
      <c r="K695" s="4" t="s">
        <v>958</v>
      </c>
      <c r="L695" s="4" t="n">
        <v>78.68</v>
      </c>
      <c r="M695" s="11" t="n">
        <f aca="false">IFERROR(MATCH(Controls!$B$3&amp;"|"&amp;B695,'Scenario inputs'!$A$4:$A$213,0),0)</f>
        <v>155</v>
      </c>
      <c r="N695" s="8" t="b">
        <f aca="false">IF(M695=0,FALSE(),F695&lt;Controls!$B$12)</f>
        <v>1</v>
      </c>
      <c r="O695" s="11" t="n">
        <f aca="false">IF(N695,IF(INDEX('Scenario inputs'!$E$4:$E$213,M695)=0,1,INDEX('Scenario inputs'!$F$4:$M$213,M695,MIN(MAX(F695-G695,0),INDEX('Scenario inputs'!$E$4:$E$213,M695)-1)+1)),0)</f>
        <v>0.666667</v>
      </c>
      <c r="P695" s="11" t="n">
        <f aca="false">H695*O695</f>
        <v>558.000279</v>
      </c>
      <c r="Q695" s="0" t="str">
        <f aca="false">IF(M695=0,"",IF(ISNUMBER(INDEX('Scenario inputs'!$N$4:$N$213,M695)),INDEX('Scenario inputs'!$N$4:$N$213,M695),""))</f>
        <v/>
      </c>
      <c r="R695" s="0" t="str">
        <f aca="false">IF(NOT(N695),"",IF(OR(E695="cash",E695="revenue"),E695,IF(E695="avoided_cost",IF(AND(I695,LEN(TRIM(J695))&gt;0),"avoided_cost_realised","avoided_cost_beside"),IF(ISNUMBER(Q695),"capacity_converted","capacity_hours"))))</f>
        <v>capacity_hours</v>
      </c>
      <c r="S695" s="11" t="n">
        <f aca="false">IF(OR(R695="",R695="capacity_hours"),0,IF(R695="capacity_converted",P695*Q695,P695))</f>
        <v>0</v>
      </c>
      <c r="T695" s="11" t="n">
        <f aca="false">IF(OR(R695="cash",R695="revenue",R695="avoided_cost_realised",R695="capacity_converted"),1,0)</f>
        <v>0</v>
      </c>
      <c r="U695" s="11" t="n">
        <f aca="false">IF(AND(N695,R695&lt;&gt;"capacity_hours",LEN(K695)&gt;0),1,0)</f>
        <v>0</v>
      </c>
      <c r="V695" s="11" t="n">
        <f aca="false">IF(U695=1,SUMPRODUCT(($K$4:$K$703=K695)*($F$4:$F$703=F695)*($U$4:$U$703=1)*($B$4:$B$703&lt;&gt;B695)),0)</f>
        <v>0</v>
      </c>
      <c r="W695" s="11" t="n">
        <f aca="false">IF(AND(U695=1,V695&gt;0),1+SUMPRODUCT(($K$4:$K$703=K695)*($F$4:$F$703=F695)*($U$4:$U$703=1)*($S$4:$S$703&gt;S695))+SUMPRODUCT(($K$4:$K$703=K695)*($F$4:$F$703=F695)*($U$4:$U$703=1)*($S$4:$S$703=S695)*($T$4:$T$703&gt;T695))+SUMPRODUCT(($K$4:$K$703=K695)*($F$4:$F$703=F695)*($U$4:$U$703=1)*($S$4:$S$703=S695)*($T$4:$T$703=T695)*($C$4:$C$703&lt;C695))+SUMPRODUCT(($K$4:$K$703=K695)*($F$4:$F$703=F695)*($U$4:$U$703=1)*($S$4:$S$703=S695)*($T$4:$T$703=T695)*($C$4:$C$703=C695)*($D$4:$D$703&lt;D695)),0)</f>
        <v>0</v>
      </c>
      <c r="X695" s="11" t="n">
        <f aca="false">IF(AND(U695=1,V695&gt;0,W695&gt;1),S695,0)</f>
        <v>0</v>
      </c>
      <c r="Y695" s="11" t="n">
        <f aca="false">IF(T695=1,X695/(1+Controls!$B$11)^F695,0)</f>
        <v>0</v>
      </c>
      <c r="Z695" s="11" t="n">
        <f aca="false">IF(AND(N695,E695="capacity",LEN(K695)&gt;0),1,0)</f>
        <v>1</v>
      </c>
      <c r="AA695" s="11" t="n">
        <f aca="false">IF(Z695=1,SUMPRODUCT(($K$4:$K$703=K695)*($F$4:$F$703=F695)*($Z$4:$Z$703=1)*($B$4:$B$703&lt;&gt;B695)),0)</f>
        <v>0</v>
      </c>
      <c r="AB695" s="11" t="n">
        <f aca="false">IF(AND(Z695=1,AA695&gt;0),1+SUMPRODUCT(($K$4:$K$703=K695)*($F$4:$F$703=F695)*($Z$4:$Z$703=1)*($P$4:$P$703&gt;P695))+SUMPRODUCT(($K$4:$K$703=K695)*($F$4:$F$703=F695)*($Z$4:$Z$703=1)*($P$4:$P$703=P695)*($C$4:$C$703&lt;C695))+SUMPRODUCT(($K$4:$K$703=K695)*($F$4:$F$703=F695)*($Z$4:$Z$703=1)*($P$4:$P$703=P695)*($C$4:$C$703=C695)*($D$4:$D$703&lt;D695)),0)</f>
        <v>0</v>
      </c>
      <c r="AC695" s="11" t="n">
        <f aca="false">IF(AND(Z695=1,AA695&gt;0,AB695&gt;1),P695,0)</f>
        <v>0</v>
      </c>
    </row>
    <row r="696" customFormat="false" ht="15" hidden="false" customHeight="false" outlineLevel="0" collapsed="false">
      <c r="A696" s="4" t="s">
        <v>962</v>
      </c>
      <c r="B696" s="4" t="s">
        <v>106</v>
      </c>
      <c r="C696" s="4" t="n">
        <v>24</v>
      </c>
      <c r="D696" s="4" t="n">
        <v>693</v>
      </c>
      <c r="E696" s="4" t="s">
        <v>233</v>
      </c>
      <c r="F696" s="4" t="n">
        <v>16</v>
      </c>
      <c r="G696" s="4" t="n">
        <v>12</v>
      </c>
      <c r="H696" s="4" t="n">
        <v>837</v>
      </c>
      <c r="I696" s="13" t="b">
        <f aca="false">FALSE()</f>
        <v>0</v>
      </c>
      <c r="K696" s="4" t="s">
        <v>958</v>
      </c>
      <c r="L696" s="4" t="n">
        <v>118.02</v>
      </c>
      <c r="M696" s="11" t="n">
        <f aca="false">IFERROR(MATCH(Controls!$B$3&amp;"|"&amp;B696,'Scenario inputs'!$A$4:$A$213,0),0)</f>
        <v>155</v>
      </c>
      <c r="N696" s="8" t="b">
        <f aca="false">IF(M696=0,FALSE(),F696&lt;Controls!$B$12)</f>
        <v>1</v>
      </c>
      <c r="O696" s="11" t="n">
        <f aca="false">IF(N696,IF(INDEX('Scenario inputs'!$E$4:$E$213,M696)=0,1,INDEX('Scenario inputs'!$F$4:$M$213,M696,MIN(MAX(F696-G696,0),INDEX('Scenario inputs'!$E$4:$E$213,M696)-1)+1)),0)</f>
        <v>1</v>
      </c>
      <c r="P696" s="11" t="n">
        <f aca="false">H696*O696</f>
        <v>837</v>
      </c>
      <c r="Q696" s="0" t="str">
        <f aca="false">IF(M696=0,"",IF(ISNUMBER(INDEX('Scenario inputs'!$N$4:$N$213,M696)),INDEX('Scenario inputs'!$N$4:$N$213,M696),""))</f>
        <v/>
      </c>
      <c r="R696" s="0" t="str">
        <f aca="false">IF(NOT(N696),"",IF(OR(E696="cash",E696="revenue"),E696,IF(E696="avoided_cost",IF(AND(I696,LEN(TRIM(J696))&gt;0),"avoided_cost_realised","avoided_cost_beside"),IF(ISNUMBER(Q696),"capacity_converted","capacity_hours"))))</f>
        <v>capacity_hours</v>
      </c>
      <c r="S696" s="11" t="n">
        <f aca="false">IF(OR(R696="",R696="capacity_hours"),0,IF(R696="capacity_converted",P696*Q696,P696))</f>
        <v>0</v>
      </c>
      <c r="T696" s="11" t="n">
        <f aca="false">IF(OR(R696="cash",R696="revenue",R696="avoided_cost_realised",R696="capacity_converted"),1,0)</f>
        <v>0</v>
      </c>
      <c r="U696" s="11" t="n">
        <f aca="false">IF(AND(N696,R696&lt;&gt;"capacity_hours",LEN(K696)&gt;0),1,0)</f>
        <v>0</v>
      </c>
      <c r="V696" s="11" t="n">
        <f aca="false">IF(U696=1,SUMPRODUCT(($K$4:$K$703=K696)*($F$4:$F$703=F696)*($U$4:$U$703=1)*($B$4:$B$703&lt;&gt;B696)),0)</f>
        <v>0</v>
      </c>
      <c r="W696" s="11" t="n">
        <f aca="false">IF(AND(U696=1,V696&gt;0),1+SUMPRODUCT(($K$4:$K$703=K696)*($F$4:$F$703=F696)*($U$4:$U$703=1)*($S$4:$S$703&gt;S696))+SUMPRODUCT(($K$4:$K$703=K696)*($F$4:$F$703=F696)*($U$4:$U$703=1)*($S$4:$S$703=S696)*($T$4:$T$703&gt;T696))+SUMPRODUCT(($K$4:$K$703=K696)*($F$4:$F$703=F696)*($U$4:$U$703=1)*($S$4:$S$703=S696)*($T$4:$T$703=T696)*($C$4:$C$703&lt;C696))+SUMPRODUCT(($K$4:$K$703=K696)*($F$4:$F$703=F696)*($U$4:$U$703=1)*($S$4:$S$703=S696)*($T$4:$T$703=T696)*($C$4:$C$703=C696)*($D$4:$D$703&lt;D696)),0)</f>
        <v>0</v>
      </c>
      <c r="X696" s="11" t="n">
        <f aca="false">IF(AND(U696=1,V696&gt;0,W696&gt;1),S696,0)</f>
        <v>0</v>
      </c>
      <c r="Y696" s="11" t="n">
        <f aca="false">IF(T696=1,X696/(1+Controls!$B$11)^F696,0)</f>
        <v>0</v>
      </c>
      <c r="Z696" s="11" t="n">
        <f aca="false">IF(AND(N696,E696="capacity",LEN(K696)&gt;0),1,0)</f>
        <v>1</v>
      </c>
      <c r="AA696" s="11" t="n">
        <f aca="false">IF(Z696=1,SUMPRODUCT(($K$4:$K$703=K696)*($F$4:$F$703=F696)*($Z$4:$Z$703=1)*($B$4:$B$703&lt;&gt;B696)),0)</f>
        <v>0</v>
      </c>
      <c r="AB696" s="11" t="n">
        <f aca="false">IF(AND(Z696=1,AA696&gt;0),1+SUMPRODUCT(($K$4:$K$703=K696)*($F$4:$F$703=F696)*($Z$4:$Z$703=1)*($P$4:$P$703&gt;P696))+SUMPRODUCT(($K$4:$K$703=K696)*($F$4:$F$703=F696)*($Z$4:$Z$703=1)*($P$4:$P$703=P696)*($C$4:$C$703&lt;C696))+SUMPRODUCT(($K$4:$K$703=K696)*($F$4:$F$703=F696)*($Z$4:$Z$703=1)*($P$4:$P$703=P696)*($C$4:$C$703=C696)*($D$4:$D$703&lt;D696)),0)</f>
        <v>0</v>
      </c>
      <c r="AC696" s="11" t="n">
        <f aca="false">IF(AND(Z696=1,AA696&gt;0,AB696&gt;1),P696,0)</f>
        <v>0</v>
      </c>
    </row>
    <row r="697" customFormat="false" ht="15" hidden="false" customHeight="false" outlineLevel="0" collapsed="false">
      <c r="A697" s="4" t="s">
        <v>963</v>
      </c>
      <c r="B697" s="4" t="s">
        <v>106</v>
      </c>
      <c r="C697" s="4" t="n">
        <v>24</v>
      </c>
      <c r="D697" s="4" t="n">
        <v>694</v>
      </c>
      <c r="E697" s="4" t="s">
        <v>233</v>
      </c>
      <c r="F697" s="4" t="n">
        <v>17</v>
      </c>
      <c r="G697" s="4" t="n">
        <v>12</v>
      </c>
      <c r="H697" s="4" t="n">
        <v>837</v>
      </c>
      <c r="I697" s="13" t="b">
        <f aca="false">FALSE()</f>
        <v>0</v>
      </c>
      <c r="K697" s="4" t="s">
        <v>958</v>
      </c>
      <c r="L697" s="4" t="n">
        <v>118.02</v>
      </c>
      <c r="M697" s="11" t="n">
        <f aca="false">IFERROR(MATCH(Controls!$B$3&amp;"|"&amp;B697,'Scenario inputs'!$A$4:$A$213,0),0)</f>
        <v>155</v>
      </c>
      <c r="N697" s="8" t="b">
        <f aca="false">IF(M697=0,FALSE(),F697&lt;Controls!$B$12)</f>
        <v>1</v>
      </c>
      <c r="O697" s="11" t="n">
        <f aca="false">IF(N697,IF(INDEX('Scenario inputs'!$E$4:$E$213,M697)=0,1,INDEX('Scenario inputs'!$F$4:$M$213,M697,MIN(MAX(F697-G697,0),INDEX('Scenario inputs'!$E$4:$E$213,M697)-1)+1)),0)</f>
        <v>1</v>
      </c>
      <c r="P697" s="11" t="n">
        <f aca="false">H697*O697</f>
        <v>837</v>
      </c>
      <c r="Q697" s="0" t="str">
        <f aca="false">IF(M697=0,"",IF(ISNUMBER(INDEX('Scenario inputs'!$N$4:$N$213,M697)),INDEX('Scenario inputs'!$N$4:$N$213,M697),""))</f>
        <v/>
      </c>
      <c r="R697" s="0" t="str">
        <f aca="false">IF(NOT(N697),"",IF(OR(E697="cash",E697="revenue"),E697,IF(E697="avoided_cost",IF(AND(I697,LEN(TRIM(J697))&gt;0),"avoided_cost_realised","avoided_cost_beside"),IF(ISNUMBER(Q697),"capacity_converted","capacity_hours"))))</f>
        <v>capacity_hours</v>
      </c>
      <c r="S697" s="11" t="n">
        <f aca="false">IF(OR(R697="",R697="capacity_hours"),0,IF(R697="capacity_converted",P697*Q697,P697))</f>
        <v>0</v>
      </c>
      <c r="T697" s="11" t="n">
        <f aca="false">IF(OR(R697="cash",R697="revenue",R697="avoided_cost_realised",R697="capacity_converted"),1,0)</f>
        <v>0</v>
      </c>
      <c r="U697" s="11" t="n">
        <f aca="false">IF(AND(N697,R697&lt;&gt;"capacity_hours",LEN(K697)&gt;0),1,0)</f>
        <v>0</v>
      </c>
      <c r="V697" s="11" t="n">
        <f aca="false">IF(U697=1,SUMPRODUCT(($K$4:$K$703=K697)*($F$4:$F$703=F697)*($U$4:$U$703=1)*($B$4:$B$703&lt;&gt;B697)),0)</f>
        <v>0</v>
      </c>
      <c r="W697" s="11" t="n">
        <f aca="false">IF(AND(U697=1,V697&gt;0),1+SUMPRODUCT(($K$4:$K$703=K697)*($F$4:$F$703=F697)*($U$4:$U$703=1)*($S$4:$S$703&gt;S697))+SUMPRODUCT(($K$4:$K$703=K697)*($F$4:$F$703=F697)*($U$4:$U$703=1)*($S$4:$S$703=S697)*($T$4:$T$703&gt;T697))+SUMPRODUCT(($K$4:$K$703=K697)*($F$4:$F$703=F697)*($U$4:$U$703=1)*($S$4:$S$703=S697)*($T$4:$T$703=T697)*($C$4:$C$703&lt;C697))+SUMPRODUCT(($K$4:$K$703=K697)*($F$4:$F$703=F697)*($U$4:$U$703=1)*($S$4:$S$703=S697)*($T$4:$T$703=T697)*($C$4:$C$703=C697)*($D$4:$D$703&lt;D697)),0)</f>
        <v>0</v>
      </c>
      <c r="X697" s="11" t="n">
        <f aca="false">IF(AND(U697=1,V697&gt;0,W697&gt;1),S697,0)</f>
        <v>0</v>
      </c>
      <c r="Y697" s="11" t="n">
        <f aca="false">IF(T697=1,X697/(1+Controls!$B$11)^F697,0)</f>
        <v>0</v>
      </c>
      <c r="Z697" s="11" t="n">
        <f aca="false">IF(AND(N697,E697="capacity",LEN(K697)&gt;0),1,0)</f>
        <v>1</v>
      </c>
      <c r="AA697" s="11" t="n">
        <f aca="false">IF(Z697=1,SUMPRODUCT(($K$4:$K$703=K697)*($F$4:$F$703=F697)*($Z$4:$Z$703=1)*($B$4:$B$703&lt;&gt;B697)),0)</f>
        <v>0</v>
      </c>
      <c r="AB697" s="11" t="n">
        <f aca="false">IF(AND(Z697=1,AA697&gt;0),1+SUMPRODUCT(($K$4:$K$703=K697)*($F$4:$F$703=F697)*($Z$4:$Z$703=1)*($P$4:$P$703&gt;P697))+SUMPRODUCT(($K$4:$K$703=K697)*($F$4:$F$703=F697)*($Z$4:$Z$703=1)*($P$4:$P$703=P697)*($C$4:$C$703&lt;C697))+SUMPRODUCT(($K$4:$K$703=K697)*($F$4:$F$703=F697)*($Z$4:$Z$703=1)*($P$4:$P$703=P697)*($C$4:$C$703=C697)*($D$4:$D$703&lt;D697)),0)</f>
        <v>0</v>
      </c>
      <c r="AC697" s="11" t="n">
        <f aca="false">IF(AND(Z697=1,AA697&gt;0,AB697&gt;1),P697,0)</f>
        <v>0</v>
      </c>
    </row>
    <row r="698" customFormat="false" ht="15" hidden="false" customHeight="false" outlineLevel="0" collapsed="false">
      <c r="A698" s="4" t="s">
        <v>964</v>
      </c>
      <c r="B698" s="4" t="s">
        <v>106</v>
      </c>
      <c r="C698" s="4" t="n">
        <v>24</v>
      </c>
      <c r="D698" s="4" t="n">
        <v>695</v>
      </c>
      <c r="E698" s="4" t="s">
        <v>233</v>
      </c>
      <c r="F698" s="4" t="n">
        <v>18</v>
      </c>
      <c r="G698" s="4" t="n">
        <v>12</v>
      </c>
      <c r="H698" s="4" t="n">
        <v>837</v>
      </c>
      <c r="I698" s="13" t="b">
        <f aca="false">FALSE()</f>
        <v>0</v>
      </c>
      <c r="K698" s="4" t="s">
        <v>958</v>
      </c>
      <c r="L698" s="4" t="n">
        <v>118.02</v>
      </c>
      <c r="M698" s="11" t="n">
        <f aca="false">IFERROR(MATCH(Controls!$B$3&amp;"|"&amp;B698,'Scenario inputs'!$A$4:$A$213,0),0)</f>
        <v>155</v>
      </c>
      <c r="N698" s="8" t="b">
        <f aca="false">IF(M698=0,FALSE(),F698&lt;Controls!$B$12)</f>
        <v>1</v>
      </c>
      <c r="O698" s="11" t="n">
        <f aca="false">IF(N698,IF(INDEX('Scenario inputs'!$E$4:$E$213,M698)=0,1,INDEX('Scenario inputs'!$F$4:$M$213,M698,MIN(MAX(F698-G698,0),INDEX('Scenario inputs'!$E$4:$E$213,M698)-1)+1)),0)</f>
        <v>1</v>
      </c>
      <c r="P698" s="11" t="n">
        <f aca="false">H698*O698</f>
        <v>837</v>
      </c>
      <c r="Q698" s="0" t="str">
        <f aca="false">IF(M698=0,"",IF(ISNUMBER(INDEX('Scenario inputs'!$N$4:$N$213,M698)),INDEX('Scenario inputs'!$N$4:$N$213,M698),""))</f>
        <v/>
      </c>
      <c r="R698" s="0" t="str">
        <f aca="false">IF(NOT(N698),"",IF(OR(E698="cash",E698="revenue"),E698,IF(E698="avoided_cost",IF(AND(I698,LEN(TRIM(J698))&gt;0),"avoided_cost_realised","avoided_cost_beside"),IF(ISNUMBER(Q698),"capacity_converted","capacity_hours"))))</f>
        <v>capacity_hours</v>
      </c>
      <c r="S698" s="11" t="n">
        <f aca="false">IF(OR(R698="",R698="capacity_hours"),0,IF(R698="capacity_converted",P698*Q698,P698))</f>
        <v>0</v>
      </c>
      <c r="T698" s="11" t="n">
        <f aca="false">IF(OR(R698="cash",R698="revenue",R698="avoided_cost_realised",R698="capacity_converted"),1,0)</f>
        <v>0</v>
      </c>
      <c r="U698" s="11" t="n">
        <f aca="false">IF(AND(N698,R698&lt;&gt;"capacity_hours",LEN(K698)&gt;0),1,0)</f>
        <v>0</v>
      </c>
      <c r="V698" s="11" t="n">
        <f aca="false">IF(U698=1,SUMPRODUCT(($K$4:$K$703=K698)*($F$4:$F$703=F698)*($U$4:$U$703=1)*($B$4:$B$703&lt;&gt;B698)),0)</f>
        <v>0</v>
      </c>
      <c r="W698" s="11" t="n">
        <f aca="false">IF(AND(U698=1,V698&gt;0),1+SUMPRODUCT(($K$4:$K$703=K698)*($F$4:$F$703=F698)*($U$4:$U$703=1)*($S$4:$S$703&gt;S698))+SUMPRODUCT(($K$4:$K$703=K698)*($F$4:$F$703=F698)*($U$4:$U$703=1)*($S$4:$S$703=S698)*($T$4:$T$703&gt;T698))+SUMPRODUCT(($K$4:$K$703=K698)*($F$4:$F$703=F698)*($U$4:$U$703=1)*($S$4:$S$703=S698)*($T$4:$T$703=T698)*($C$4:$C$703&lt;C698))+SUMPRODUCT(($K$4:$K$703=K698)*($F$4:$F$703=F698)*($U$4:$U$703=1)*($S$4:$S$703=S698)*($T$4:$T$703=T698)*($C$4:$C$703=C698)*($D$4:$D$703&lt;D698)),0)</f>
        <v>0</v>
      </c>
      <c r="X698" s="11" t="n">
        <f aca="false">IF(AND(U698=1,V698&gt;0,W698&gt;1),S698,0)</f>
        <v>0</v>
      </c>
      <c r="Y698" s="11" t="n">
        <f aca="false">IF(T698=1,X698/(1+Controls!$B$11)^F698,0)</f>
        <v>0</v>
      </c>
      <c r="Z698" s="11" t="n">
        <f aca="false">IF(AND(N698,E698="capacity",LEN(K698)&gt;0),1,0)</f>
        <v>1</v>
      </c>
      <c r="AA698" s="11" t="n">
        <f aca="false">IF(Z698=1,SUMPRODUCT(($K$4:$K$703=K698)*($F$4:$F$703=F698)*($Z$4:$Z$703=1)*($B$4:$B$703&lt;&gt;B698)),0)</f>
        <v>0</v>
      </c>
      <c r="AB698" s="11" t="n">
        <f aca="false">IF(AND(Z698=1,AA698&gt;0),1+SUMPRODUCT(($K$4:$K$703=K698)*($F$4:$F$703=F698)*($Z$4:$Z$703=1)*($P$4:$P$703&gt;P698))+SUMPRODUCT(($K$4:$K$703=K698)*($F$4:$F$703=F698)*($Z$4:$Z$703=1)*($P$4:$P$703=P698)*($C$4:$C$703&lt;C698))+SUMPRODUCT(($K$4:$K$703=K698)*($F$4:$F$703=F698)*($Z$4:$Z$703=1)*($P$4:$P$703=P698)*($C$4:$C$703=C698)*($D$4:$D$703&lt;D698)),0)</f>
        <v>0</v>
      </c>
      <c r="AC698" s="11" t="n">
        <f aca="false">IF(AND(Z698=1,AA698&gt;0,AB698&gt;1),P698,0)</f>
        <v>0</v>
      </c>
    </row>
    <row r="699" customFormat="false" ht="15" hidden="false" customHeight="false" outlineLevel="0" collapsed="false">
      <c r="A699" s="4" t="s">
        <v>965</v>
      </c>
      <c r="B699" s="4" t="s">
        <v>106</v>
      </c>
      <c r="C699" s="4" t="n">
        <v>24</v>
      </c>
      <c r="D699" s="4" t="n">
        <v>696</v>
      </c>
      <c r="E699" s="4" t="s">
        <v>233</v>
      </c>
      <c r="F699" s="4" t="n">
        <v>19</v>
      </c>
      <c r="G699" s="4" t="n">
        <v>12</v>
      </c>
      <c r="H699" s="4" t="n">
        <v>837</v>
      </c>
      <c r="I699" s="13" t="b">
        <f aca="false">FALSE()</f>
        <v>0</v>
      </c>
      <c r="K699" s="4" t="s">
        <v>958</v>
      </c>
      <c r="L699" s="4" t="n">
        <v>118.02</v>
      </c>
      <c r="M699" s="11" t="n">
        <f aca="false">IFERROR(MATCH(Controls!$B$3&amp;"|"&amp;B699,'Scenario inputs'!$A$4:$A$213,0),0)</f>
        <v>155</v>
      </c>
      <c r="N699" s="8" t="b">
        <f aca="false">IF(M699=0,FALSE(),F699&lt;Controls!$B$12)</f>
        <v>1</v>
      </c>
      <c r="O699" s="11" t="n">
        <f aca="false">IF(N699,IF(INDEX('Scenario inputs'!$E$4:$E$213,M699)=0,1,INDEX('Scenario inputs'!$F$4:$M$213,M699,MIN(MAX(F699-G699,0),INDEX('Scenario inputs'!$E$4:$E$213,M699)-1)+1)),0)</f>
        <v>1</v>
      </c>
      <c r="P699" s="11" t="n">
        <f aca="false">H699*O699</f>
        <v>837</v>
      </c>
      <c r="Q699" s="0" t="str">
        <f aca="false">IF(M699=0,"",IF(ISNUMBER(INDEX('Scenario inputs'!$N$4:$N$213,M699)),INDEX('Scenario inputs'!$N$4:$N$213,M699),""))</f>
        <v/>
      </c>
      <c r="R699" s="0" t="str">
        <f aca="false">IF(NOT(N699),"",IF(OR(E699="cash",E699="revenue"),E699,IF(E699="avoided_cost",IF(AND(I699,LEN(TRIM(J699))&gt;0),"avoided_cost_realised","avoided_cost_beside"),IF(ISNUMBER(Q699),"capacity_converted","capacity_hours"))))</f>
        <v>capacity_hours</v>
      </c>
      <c r="S699" s="11" t="n">
        <f aca="false">IF(OR(R699="",R699="capacity_hours"),0,IF(R699="capacity_converted",P699*Q699,P699))</f>
        <v>0</v>
      </c>
      <c r="T699" s="11" t="n">
        <f aca="false">IF(OR(R699="cash",R699="revenue",R699="avoided_cost_realised",R699="capacity_converted"),1,0)</f>
        <v>0</v>
      </c>
      <c r="U699" s="11" t="n">
        <f aca="false">IF(AND(N699,R699&lt;&gt;"capacity_hours",LEN(K699)&gt;0),1,0)</f>
        <v>0</v>
      </c>
      <c r="V699" s="11" t="n">
        <f aca="false">IF(U699=1,SUMPRODUCT(($K$4:$K$703=K699)*($F$4:$F$703=F699)*($U$4:$U$703=1)*($B$4:$B$703&lt;&gt;B699)),0)</f>
        <v>0</v>
      </c>
      <c r="W699" s="11" t="n">
        <f aca="false">IF(AND(U699=1,V699&gt;0),1+SUMPRODUCT(($K$4:$K$703=K699)*($F$4:$F$703=F699)*($U$4:$U$703=1)*($S$4:$S$703&gt;S699))+SUMPRODUCT(($K$4:$K$703=K699)*($F$4:$F$703=F699)*($U$4:$U$703=1)*($S$4:$S$703=S699)*($T$4:$T$703&gt;T699))+SUMPRODUCT(($K$4:$K$703=K699)*($F$4:$F$703=F699)*($U$4:$U$703=1)*($S$4:$S$703=S699)*($T$4:$T$703=T699)*($C$4:$C$703&lt;C699))+SUMPRODUCT(($K$4:$K$703=K699)*($F$4:$F$703=F699)*($U$4:$U$703=1)*($S$4:$S$703=S699)*($T$4:$T$703=T699)*($C$4:$C$703=C699)*($D$4:$D$703&lt;D699)),0)</f>
        <v>0</v>
      </c>
      <c r="X699" s="11" t="n">
        <f aca="false">IF(AND(U699=1,V699&gt;0,W699&gt;1),S699,0)</f>
        <v>0</v>
      </c>
      <c r="Y699" s="11" t="n">
        <f aca="false">IF(T699=1,X699/(1+Controls!$B$11)^F699,0)</f>
        <v>0</v>
      </c>
      <c r="Z699" s="11" t="n">
        <f aca="false">IF(AND(N699,E699="capacity",LEN(K699)&gt;0),1,0)</f>
        <v>1</v>
      </c>
      <c r="AA699" s="11" t="n">
        <f aca="false">IF(Z699=1,SUMPRODUCT(($K$4:$K$703=K699)*($F$4:$F$703=F699)*($Z$4:$Z$703=1)*($B$4:$B$703&lt;&gt;B699)),0)</f>
        <v>0</v>
      </c>
      <c r="AB699" s="11" t="n">
        <f aca="false">IF(AND(Z699=1,AA699&gt;0),1+SUMPRODUCT(($K$4:$K$703=K699)*($F$4:$F$703=F699)*($Z$4:$Z$703=1)*($P$4:$P$703&gt;P699))+SUMPRODUCT(($K$4:$K$703=K699)*($F$4:$F$703=F699)*($Z$4:$Z$703=1)*($P$4:$P$703=P699)*($C$4:$C$703&lt;C699))+SUMPRODUCT(($K$4:$K$703=K699)*($F$4:$F$703=F699)*($Z$4:$Z$703=1)*($P$4:$P$703=P699)*($C$4:$C$703=C699)*($D$4:$D$703&lt;D699)),0)</f>
        <v>0</v>
      </c>
      <c r="AC699" s="11" t="n">
        <f aca="false">IF(AND(Z699=1,AA699&gt;0,AB699&gt;1),P699,0)</f>
        <v>0</v>
      </c>
    </row>
    <row r="700" customFormat="false" ht="15" hidden="false" customHeight="false" outlineLevel="0" collapsed="false">
      <c r="A700" s="4" t="s">
        <v>966</v>
      </c>
      <c r="B700" s="4" t="s">
        <v>106</v>
      </c>
      <c r="C700" s="4" t="n">
        <v>24</v>
      </c>
      <c r="D700" s="4" t="n">
        <v>697</v>
      </c>
      <c r="E700" s="4" t="s">
        <v>233</v>
      </c>
      <c r="F700" s="4" t="n">
        <v>20</v>
      </c>
      <c r="G700" s="4" t="n">
        <v>12</v>
      </c>
      <c r="H700" s="4" t="n">
        <v>837</v>
      </c>
      <c r="I700" s="13" t="b">
        <f aca="false">FALSE()</f>
        <v>0</v>
      </c>
      <c r="K700" s="4" t="s">
        <v>958</v>
      </c>
      <c r="L700" s="4" t="n">
        <v>118.02</v>
      </c>
      <c r="M700" s="11" t="n">
        <f aca="false">IFERROR(MATCH(Controls!$B$3&amp;"|"&amp;B700,'Scenario inputs'!$A$4:$A$213,0),0)</f>
        <v>155</v>
      </c>
      <c r="N700" s="8" t="b">
        <f aca="false">IF(M700=0,FALSE(),F700&lt;Controls!$B$12)</f>
        <v>1</v>
      </c>
      <c r="O700" s="11" t="n">
        <f aca="false">IF(N700,IF(INDEX('Scenario inputs'!$E$4:$E$213,M700)=0,1,INDEX('Scenario inputs'!$F$4:$M$213,M700,MIN(MAX(F700-G700,0),INDEX('Scenario inputs'!$E$4:$E$213,M700)-1)+1)),0)</f>
        <v>1</v>
      </c>
      <c r="P700" s="11" t="n">
        <f aca="false">H700*O700</f>
        <v>837</v>
      </c>
      <c r="Q700" s="0" t="str">
        <f aca="false">IF(M700=0,"",IF(ISNUMBER(INDEX('Scenario inputs'!$N$4:$N$213,M700)),INDEX('Scenario inputs'!$N$4:$N$213,M700),""))</f>
        <v/>
      </c>
      <c r="R700" s="0" t="str">
        <f aca="false">IF(NOT(N700),"",IF(OR(E700="cash",E700="revenue"),E700,IF(E700="avoided_cost",IF(AND(I700,LEN(TRIM(J700))&gt;0),"avoided_cost_realised","avoided_cost_beside"),IF(ISNUMBER(Q700),"capacity_converted","capacity_hours"))))</f>
        <v>capacity_hours</v>
      </c>
      <c r="S700" s="11" t="n">
        <f aca="false">IF(OR(R700="",R700="capacity_hours"),0,IF(R700="capacity_converted",P700*Q700,P700))</f>
        <v>0</v>
      </c>
      <c r="T700" s="11" t="n">
        <f aca="false">IF(OR(R700="cash",R700="revenue",R700="avoided_cost_realised",R700="capacity_converted"),1,0)</f>
        <v>0</v>
      </c>
      <c r="U700" s="11" t="n">
        <f aca="false">IF(AND(N700,R700&lt;&gt;"capacity_hours",LEN(K700)&gt;0),1,0)</f>
        <v>0</v>
      </c>
      <c r="V700" s="11" t="n">
        <f aca="false">IF(U700=1,SUMPRODUCT(($K$4:$K$703=K700)*($F$4:$F$703=F700)*($U$4:$U$703=1)*($B$4:$B$703&lt;&gt;B700)),0)</f>
        <v>0</v>
      </c>
      <c r="W700" s="11" t="n">
        <f aca="false">IF(AND(U700=1,V700&gt;0),1+SUMPRODUCT(($K$4:$K$703=K700)*($F$4:$F$703=F700)*($U$4:$U$703=1)*($S$4:$S$703&gt;S700))+SUMPRODUCT(($K$4:$K$703=K700)*($F$4:$F$703=F700)*($U$4:$U$703=1)*($S$4:$S$703=S700)*($T$4:$T$703&gt;T700))+SUMPRODUCT(($K$4:$K$703=K700)*($F$4:$F$703=F700)*($U$4:$U$703=1)*($S$4:$S$703=S700)*($T$4:$T$703=T700)*($C$4:$C$703&lt;C700))+SUMPRODUCT(($K$4:$K$703=K700)*($F$4:$F$703=F700)*($U$4:$U$703=1)*($S$4:$S$703=S700)*($T$4:$T$703=T700)*($C$4:$C$703=C700)*($D$4:$D$703&lt;D700)),0)</f>
        <v>0</v>
      </c>
      <c r="X700" s="11" t="n">
        <f aca="false">IF(AND(U700=1,V700&gt;0,W700&gt;1),S700,0)</f>
        <v>0</v>
      </c>
      <c r="Y700" s="11" t="n">
        <f aca="false">IF(T700=1,X700/(1+Controls!$B$11)^F700,0)</f>
        <v>0</v>
      </c>
      <c r="Z700" s="11" t="n">
        <f aca="false">IF(AND(N700,E700="capacity",LEN(K700)&gt;0),1,0)</f>
        <v>1</v>
      </c>
      <c r="AA700" s="11" t="n">
        <f aca="false">IF(Z700=1,SUMPRODUCT(($K$4:$K$703=K700)*($F$4:$F$703=F700)*($Z$4:$Z$703=1)*($B$4:$B$703&lt;&gt;B700)),0)</f>
        <v>0</v>
      </c>
      <c r="AB700" s="11" t="n">
        <f aca="false">IF(AND(Z700=1,AA700&gt;0),1+SUMPRODUCT(($K$4:$K$703=K700)*($F$4:$F$703=F700)*($Z$4:$Z$703=1)*($P$4:$P$703&gt;P700))+SUMPRODUCT(($K$4:$K$703=K700)*($F$4:$F$703=F700)*($Z$4:$Z$703=1)*($P$4:$P$703=P700)*($C$4:$C$703&lt;C700))+SUMPRODUCT(($K$4:$K$703=K700)*($F$4:$F$703=F700)*($Z$4:$Z$703=1)*($P$4:$P$703=P700)*($C$4:$C$703=C700)*($D$4:$D$703&lt;D700)),0)</f>
        <v>0</v>
      </c>
      <c r="AC700" s="11" t="n">
        <f aca="false">IF(AND(Z700=1,AA700&gt;0,AB700&gt;1),P700,0)</f>
        <v>0</v>
      </c>
    </row>
    <row r="701" customFormat="false" ht="15" hidden="false" customHeight="false" outlineLevel="0" collapsed="false">
      <c r="A701" s="4" t="s">
        <v>967</v>
      </c>
      <c r="B701" s="4" t="s">
        <v>106</v>
      </c>
      <c r="C701" s="4" t="n">
        <v>24</v>
      </c>
      <c r="D701" s="4" t="n">
        <v>698</v>
      </c>
      <c r="E701" s="4" t="s">
        <v>233</v>
      </c>
      <c r="F701" s="4" t="n">
        <v>21</v>
      </c>
      <c r="G701" s="4" t="n">
        <v>12</v>
      </c>
      <c r="H701" s="4" t="n">
        <v>837</v>
      </c>
      <c r="I701" s="13" t="b">
        <f aca="false">FALSE()</f>
        <v>0</v>
      </c>
      <c r="K701" s="4" t="s">
        <v>958</v>
      </c>
      <c r="L701" s="4" t="n">
        <v>118.02</v>
      </c>
      <c r="M701" s="11" t="n">
        <f aca="false">IFERROR(MATCH(Controls!$B$3&amp;"|"&amp;B701,'Scenario inputs'!$A$4:$A$213,0),0)</f>
        <v>155</v>
      </c>
      <c r="N701" s="8" t="b">
        <f aca="false">IF(M701=0,FALSE(),F701&lt;Controls!$B$12)</f>
        <v>1</v>
      </c>
      <c r="O701" s="11" t="n">
        <f aca="false">IF(N701,IF(INDEX('Scenario inputs'!$E$4:$E$213,M701)=0,1,INDEX('Scenario inputs'!$F$4:$M$213,M701,MIN(MAX(F701-G701,0),INDEX('Scenario inputs'!$E$4:$E$213,M701)-1)+1)),0)</f>
        <v>1</v>
      </c>
      <c r="P701" s="11" t="n">
        <f aca="false">H701*O701</f>
        <v>837</v>
      </c>
      <c r="Q701" s="0" t="str">
        <f aca="false">IF(M701=0,"",IF(ISNUMBER(INDEX('Scenario inputs'!$N$4:$N$213,M701)),INDEX('Scenario inputs'!$N$4:$N$213,M701),""))</f>
        <v/>
      </c>
      <c r="R701" s="0" t="str">
        <f aca="false">IF(NOT(N701),"",IF(OR(E701="cash",E701="revenue"),E701,IF(E701="avoided_cost",IF(AND(I701,LEN(TRIM(J701))&gt;0),"avoided_cost_realised","avoided_cost_beside"),IF(ISNUMBER(Q701),"capacity_converted","capacity_hours"))))</f>
        <v>capacity_hours</v>
      </c>
      <c r="S701" s="11" t="n">
        <f aca="false">IF(OR(R701="",R701="capacity_hours"),0,IF(R701="capacity_converted",P701*Q701,P701))</f>
        <v>0</v>
      </c>
      <c r="T701" s="11" t="n">
        <f aca="false">IF(OR(R701="cash",R701="revenue",R701="avoided_cost_realised",R701="capacity_converted"),1,0)</f>
        <v>0</v>
      </c>
      <c r="U701" s="11" t="n">
        <f aca="false">IF(AND(N701,R701&lt;&gt;"capacity_hours",LEN(K701)&gt;0),1,0)</f>
        <v>0</v>
      </c>
      <c r="V701" s="11" t="n">
        <f aca="false">IF(U701=1,SUMPRODUCT(($K$4:$K$703=K701)*($F$4:$F$703=F701)*($U$4:$U$703=1)*($B$4:$B$703&lt;&gt;B701)),0)</f>
        <v>0</v>
      </c>
      <c r="W701" s="11" t="n">
        <f aca="false">IF(AND(U701=1,V701&gt;0),1+SUMPRODUCT(($K$4:$K$703=K701)*($F$4:$F$703=F701)*($U$4:$U$703=1)*($S$4:$S$703&gt;S701))+SUMPRODUCT(($K$4:$K$703=K701)*($F$4:$F$703=F701)*($U$4:$U$703=1)*($S$4:$S$703=S701)*($T$4:$T$703&gt;T701))+SUMPRODUCT(($K$4:$K$703=K701)*($F$4:$F$703=F701)*($U$4:$U$703=1)*($S$4:$S$703=S701)*($T$4:$T$703=T701)*($C$4:$C$703&lt;C701))+SUMPRODUCT(($K$4:$K$703=K701)*($F$4:$F$703=F701)*($U$4:$U$703=1)*($S$4:$S$703=S701)*($T$4:$T$703=T701)*($C$4:$C$703=C701)*($D$4:$D$703&lt;D701)),0)</f>
        <v>0</v>
      </c>
      <c r="X701" s="11" t="n">
        <f aca="false">IF(AND(U701=1,V701&gt;0,W701&gt;1),S701,0)</f>
        <v>0</v>
      </c>
      <c r="Y701" s="11" t="n">
        <f aca="false">IF(T701=1,X701/(1+Controls!$B$11)^F701,0)</f>
        <v>0</v>
      </c>
      <c r="Z701" s="11" t="n">
        <f aca="false">IF(AND(N701,E701="capacity",LEN(K701)&gt;0),1,0)</f>
        <v>1</v>
      </c>
      <c r="AA701" s="11" t="n">
        <f aca="false">IF(Z701=1,SUMPRODUCT(($K$4:$K$703=K701)*($F$4:$F$703=F701)*($Z$4:$Z$703=1)*($B$4:$B$703&lt;&gt;B701)),0)</f>
        <v>0</v>
      </c>
      <c r="AB701" s="11" t="n">
        <f aca="false">IF(AND(Z701=1,AA701&gt;0),1+SUMPRODUCT(($K$4:$K$703=K701)*($F$4:$F$703=F701)*($Z$4:$Z$703=1)*($P$4:$P$703&gt;P701))+SUMPRODUCT(($K$4:$K$703=K701)*($F$4:$F$703=F701)*($Z$4:$Z$703=1)*($P$4:$P$703=P701)*($C$4:$C$703&lt;C701))+SUMPRODUCT(($K$4:$K$703=K701)*($F$4:$F$703=F701)*($Z$4:$Z$703=1)*($P$4:$P$703=P701)*($C$4:$C$703=C701)*($D$4:$D$703&lt;D701)),0)</f>
        <v>0</v>
      </c>
      <c r="AC701" s="11" t="n">
        <f aca="false">IF(AND(Z701=1,AA701&gt;0,AB701&gt;1),P701,0)</f>
        <v>0</v>
      </c>
    </row>
    <row r="702" customFormat="false" ht="15" hidden="false" customHeight="false" outlineLevel="0" collapsed="false">
      <c r="A702" s="4" t="s">
        <v>968</v>
      </c>
      <c r="B702" s="4" t="s">
        <v>106</v>
      </c>
      <c r="C702" s="4" t="n">
        <v>24</v>
      </c>
      <c r="D702" s="4" t="n">
        <v>699</v>
      </c>
      <c r="E702" s="4" t="s">
        <v>233</v>
      </c>
      <c r="F702" s="4" t="n">
        <v>22</v>
      </c>
      <c r="G702" s="4" t="n">
        <v>12</v>
      </c>
      <c r="H702" s="4" t="n">
        <v>837</v>
      </c>
      <c r="I702" s="13" t="b">
        <f aca="false">FALSE()</f>
        <v>0</v>
      </c>
      <c r="K702" s="4" t="s">
        <v>958</v>
      </c>
      <c r="L702" s="4" t="n">
        <v>118.02</v>
      </c>
      <c r="M702" s="11" t="n">
        <f aca="false">IFERROR(MATCH(Controls!$B$3&amp;"|"&amp;B702,'Scenario inputs'!$A$4:$A$213,0),0)</f>
        <v>155</v>
      </c>
      <c r="N702" s="8" t="b">
        <f aca="false">IF(M702=0,FALSE(),F702&lt;Controls!$B$12)</f>
        <v>1</v>
      </c>
      <c r="O702" s="11" t="n">
        <f aca="false">IF(N702,IF(INDEX('Scenario inputs'!$E$4:$E$213,M702)=0,1,INDEX('Scenario inputs'!$F$4:$M$213,M702,MIN(MAX(F702-G702,0),INDEX('Scenario inputs'!$E$4:$E$213,M702)-1)+1)),0)</f>
        <v>1</v>
      </c>
      <c r="P702" s="11" t="n">
        <f aca="false">H702*O702</f>
        <v>837</v>
      </c>
      <c r="Q702" s="0" t="str">
        <f aca="false">IF(M702=0,"",IF(ISNUMBER(INDEX('Scenario inputs'!$N$4:$N$213,M702)),INDEX('Scenario inputs'!$N$4:$N$213,M702),""))</f>
        <v/>
      </c>
      <c r="R702" s="0" t="str">
        <f aca="false">IF(NOT(N702),"",IF(OR(E702="cash",E702="revenue"),E702,IF(E702="avoided_cost",IF(AND(I702,LEN(TRIM(J702))&gt;0),"avoided_cost_realised","avoided_cost_beside"),IF(ISNUMBER(Q702),"capacity_converted","capacity_hours"))))</f>
        <v>capacity_hours</v>
      </c>
      <c r="S702" s="11" t="n">
        <f aca="false">IF(OR(R702="",R702="capacity_hours"),0,IF(R702="capacity_converted",P702*Q702,P702))</f>
        <v>0</v>
      </c>
      <c r="T702" s="11" t="n">
        <f aca="false">IF(OR(R702="cash",R702="revenue",R702="avoided_cost_realised",R702="capacity_converted"),1,0)</f>
        <v>0</v>
      </c>
      <c r="U702" s="11" t="n">
        <f aca="false">IF(AND(N702,R702&lt;&gt;"capacity_hours",LEN(K702)&gt;0),1,0)</f>
        <v>0</v>
      </c>
      <c r="V702" s="11" t="n">
        <f aca="false">IF(U702=1,SUMPRODUCT(($K$4:$K$703=K702)*($F$4:$F$703=F702)*($U$4:$U$703=1)*($B$4:$B$703&lt;&gt;B702)),0)</f>
        <v>0</v>
      </c>
      <c r="W702" s="11" t="n">
        <f aca="false">IF(AND(U702=1,V702&gt;0),1+SUMPRODUCT(($K$4:$K$703=K702)*($F$4:$F$703=F702)*($U$4:$U$703=1)*($S$4:$S$703&gt;S702))+SUMPRODUCT(($K$4:$K$703=K702)*($F$4:$F$703=F702)*($U$4:$U$703=1)*($S$4:$S$703=S702)*($T$4:$T$703&gt;T702))+SUMPRODUCT(($K$4:$K$703=K702)*($F$4:$F$703=F702)*($U$4:$U$703=1)*($S$4:$S$703=S702)*($T$4:$T$703=T702)*($C$4:$C$703&lt;C702))+SUMPRODUCT(($K$4:$K$703=K702)*($F$4:$F$703=F702)*($U$4:$U$703=1)*($S$4:$S$703=S702)*($T$4:$T$703=T702)*($C$4:$C$703=C702)*($D$4:$D$703&lt;D702)),0)</f>
        <v>0</v>
      </c>
      <c r="X702" s="11" t="n">
        <f aca="false">IF(AND(U702=1,V702&gt;0,W702&gt;1),S702,0)</f>
        <v>0</v>
      </c>
      <c r="Y702" s="11" t="n">
        <f aca="false">IF(T702=1,X702/(1+Controls!$B$11)^F702,0)</f>
        <v>0</v>
      </c>
      <c r="Z702" s="11" t="n">
        <f aca="false">IF(AND(N702,E702="capacity",LEN(K702)&gt;0),1,0)</f>
        <v>1</v>
      </c>
      <c r="AA702" s="11" t="n">
        <f aca="false">IF(Z702=1,SUMPRODUCT(($K$4:$K$703=K702)*($F$4:$F$703=F702)*($Z$4:$Z$703=1)*($B$4:$B$703&lt;&gt;B702)),0)</f>
        <v>0</v>
      </c>
      <c r="AB702" s="11" t="n">
        <f aca="false">IF(AND(Z702=1,AA702&gt;0),1+SUMPRODUCT(($K$4:$K$703=K702)*($F$4:$F$703=F702)*($Z$4:$Z$703=1)*($P$4:$P$703&gt;P702))+SUMPRODUCT(($K$4:$K$703=K702)*($F$4:$F$703=F702)*($Z$4:$Z$703=1)*($P$4:$P$703=P702)*($C$4:$C$703&lt;C702))+SUMPRODUCT(($K$4:$K$703=K702)*($F$4:$F$703=F702)*($Z$4:$Z$703=1)*($P$4:$P$703=P702)*($C$4:$C$703=C702)*($D$4:$D$703&lt;D702)),0)</f>
        <v>0</v>
      </c>
      <c r="AC702" s="11" t="n">
        <f aca="false">IF(AND(Z702=1,AA702&gt;0,AB702&gt;1),P702,0)</f>
        <v>0</v>
      </c>
    </row>
    <row r="703" customFormat="false" ht="15" hidden="false" customHeight="false" outlineLevel="0" collapsed="false">
      <c r="A703" s="4" t="s">
        <v>969</v>
      </c>
      <c r="B703" s="4" t="s">
        <v>106</v>
      </c>
      <c r="C703" s="4" t="n">
        <v>24</v>
      </c>
      <c r="D703" s="4" t="n">
        <v>700</v>
      </c>
      <c r="E703" s="4" t="s">
        <v>233</v>
      </c>
      <c r="F703" s="4" t="n">
        <v>23</v>
      </c>
      <c r="G703" s="4" t="n">
        <v>12</v>
      </c>
      <c r="H703" s="4" t="n">
        <v>837</v>
      </c>
      <c r="I703" s="13" t="b">
        <f aca="false">FALSE()</f>
        <v>0</v>
      </c>
      <c r="K703" s="4" t="s">
        <v>958</v>
      </c>
      <c r="L703" s="4" t="n">
        <v>118.02</v>
      </c>
      <c r="M703" s="11" t="n">
        <f aca="false">IFERROR(MATCH(Controls!$B$3&amp;"|"&amp;B703,'Scenario inputs'!$A$4:$A$213,0),0)</f>
        <v>155</v>
      </c>
      <c r="N703" s="8" t="b">
        <f aca="false">IF(M703=0,FALSE(),F703&lt;Controls!$B$12)</f>
        <v>1</v>
      </c>
      <c r="O703" s="11" t="n">
        <f aca="false">IF(N703,IF(INDEX('Scenario inputs'!$E$4:$E$213,M703)=0,1,INDEX('Scenario inputs'!$F$4:$M$213,M703,MIN(MAX(F703-G703,0),INDEX('Scenario inputs'!$E$4:$E$213,M703)-1)+1)),0)</f>
        <v>1</v>
      </c>
      <c r="P703" s="11" t="n">
        <f aca="false">H703*O703</f>
        <v>837</v>
      </c>
      <c r="Q703" s="0" t="str">
        <f aca="false">IF(M703=0,"",IF(ISNUMBER(INDEX('Scenario inputs'!$N$4:$N$213,M703)),INDEX('Scenario inputs'!$N$4:$N$213,M703),""))</f>
        <v/>
      </c>
      <c r="R703" s="0" t="str">
        <f aca="false">IF(NOT(N703),"",IF(OR(E703="cash",E703="revenue"),E703,IF(E703="avoided_cost",IF(AND(I703,LEN(TRIM(J703))&gt;0),"avoided_cost_realised","avoided_cost_beside"),IF(ISNUMBER(Q703),"capacity_converted","capacity_hours"))))</f>
        <v>capacity_hours</v>
      </c>
      <c r="S703" s="11" t="n">
        <f aca="false">IF(OR(R703="",R703="capacity_hours"),0,IF(R703="capacity_converted",P703*Q703,P703))</f>
        <v>0</v>
      </c>
      <c r="T703" s="11" t="n">
        <f aca="false">IF(OR(R703="cash",R703="revenue",R703="avoided_cost_realised",R703="capacity_converted"),1,0)</f>
        <v>0</v>
      </c>
      <c r="U703" s="11" t="n">
        <f aca="false">IF(AND(N703,R703&lt;&gt;"capacity_hours",LEN(K703)&gt;0),1,0)</f>
        <v>0</v>
      </c>
      <c r="V703" s="11" t="n">
        <f aca="false">IF(U703=1,SUMPRODUCT(($K$4:$K$703=K703)*($F$4:$F$703=F703)*($U$4:$U$703=1)*($B$4:$B$703&lt;&gt;B703)),0)</f>
        <v>0</v>
      </c>
      <c r="W703" s="11" t="n">
        <f aca="false">IF(AND(U703=1,V703&gt;0),1+SUMPRODUCT(($K$4:$K$703=K703)*($F$4:$F$703=F703)*($U$4:$U$703=1)*($S$4:$S$703&gt;S703))+SUMPRODUCT(($K$4:$K$703=K703)*($F$4:$F$703=F703)*($U$4:$U$703=1)*($S$4:$S$703=S703)*($T$4:$T$703&gt;T703))+SUMPRODUCT(($K$4:$K$703=K703)*($F$4:$F$703=F703)*($U$4:$U$703=1)*($S$4:$S$703=S703)*($T$4:$T$703=T703)*($C$4:$C$703&lt;C703))+SUMPRODUCT(($K$4:$K$703=K703)*($F$4:$F$703=F703)*($U$4:$U$703=1)*($S$4:$S$703=S703)*($T$4:$T$703=T703)*($C$4:$C$703=C703)*($D$4:$D$703&lt;D703)),0)</f>
        <v>0</v>
      </c>
      <c r="X703" s="11" t="n">
        <f aca="false">IF(AND(U703=1,V703&gt;0,W703&gt;1),S703,0)</f>
        <v>0</v>
      </c>
      <c r="Y703" s="11" t="n">
        <f aca="false">IF(T703=1,X703/(1+Controls!$B$11)^F703,0)</f>
        <v>0</v>
      </c>
      <c r="Z703" s="11" t="n">
        <f aca="false">IF(AND(N703,E703="capacity",LEN(K703)&gt;0),1,0)</f>
        <v>1</v>
      </c>
      <c r="AA703" s="11" t="n">
        <f aca="false">IF(Z703=1,SUMPRODUCT(($K$4:$K$703=K703)*($F$4:$F$703=F703)*($Z$4:$Z$703=1)*($B$4:$B$703&lt;&gt;B703)),0)</f>
        <v>0</v>
      </c>
      <c r="AB703" s="11" t="n">
        <f aca="false">IF(AND(Z703=1,AA703&gt;0),1+SUMPRODUCT(($K$4:$K$703=K703)*($F$4:$F$703=F703)*($Z$4:$Z$703=1)*($P$4:$P$703&gt;P703))+SUMPRODUCT(($K$4:$K$703=K703)*($F$4:$F$703=F703)*($Z$4:$Z$703=1)*($P$4:$P$703=P703)*($C$4:$C$703&lt;C703))+SUMPRODUCT(($K$4:$K$703=K703)*($F$4:$F$703=F703)*($Z$4:$Z$703=1)*($P$4:$P$703=P703)*($C$4:$C$703=C703)*($D$4:$D$703&lt;D703)),0)</f>
        <v>0</v>
      </c>
      <c r="AC703" s="11" t="n">
        <f aca="false">IF(AND(Z703=1,AA703&gt;0,AB703&gt;1),P703,0)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0"/>
  </cols>
  <sheetData>
    <row r="1" customFormat="false" ht="17.35" hidden="false" customHeight="false" outlineLevel="0" collapsed="false">
      <c r="A1" s="1" t="s">
        <v>970</v>
      </c>
    </row>
    <row r="2" customFormat="false" ht="15" hidden="false" customHeight="false" outlineLevel="0" collapsed="false">
      <c r="A2" s="0" t="s">
        <v>971</v>
      </c>
    </row>
    <row r="3" customFormat="false" ht="28.35" hidden="false" customHeight="false" outlineLevel="0" collapsed="false">
      <c r="A3" s="10" t="s">
        <v>972</v>
      </c>
      <c r="B3" s="10" t="s">
        <v>63</v>
      </c>
      <c r="C3" s="10" t="s">
        <v>973</v>
      </c>
      <c r="D3" s="10" t="s">
        <v>974</v>
      </c>
      <c r="E3" s="10" t="s">
        <v>182</v>
      </c>
      <c r="F3" s="10" t="s">
        <v>975</v>
      </c>
      <c r="G3" s="10" t="s">
        <v>109</v>
      </c>
      <c r="H3" s="10" t="s">
        <v>976</v>
      </c>
      <c r="I3" s="10" t="s">
        <v>977</v>
      </c>
      <c r="J3" s="10" t="s">
        <v>978</v>
      </c>
      <c r="K3" s="10" t="s">
        <v>979</v>
      </c>
      <c r="L3" s="10" t="s">
        <v>980</v>
      </c>
    </row>
    <row r="4" customFormat="false" ht="15" hidden="false" customHeight="false" outlineLevel="0" collapsed="false">
      <c r="A4" s="4" t="s">
        <v>981</v>
      </c>
      <c r="B4" s="4" t="s">
        <v>83</v>
      </c>
      <c r="C4" s="4" t="s">
        <v>982</v>
      </c>
      <c r="D4" s="4" t="s">
        <v>983</v>
      </c>
      <c r="E4" s="4" t="n">
        <v>357585.62</v>
      </c>
      <c r="G4" s="4" t="n">
        <v>0</v>
      </c>
      <c r="J4" s="11" t="n">
        <f aca="false">IF(C4="one_time",G4,H4)</f>
        <v>0</v>
      </c>
      <c r="K4" s="11" t="n">
        <f aca="false">IF(C4="one_time",G4+1,I4)</f>
        <v>1</v>
      </c>
      <c r="L4" s="11" t="n">
        <f aca="false">K4-J4</f>
        <v>1</v>
      </c>
    </row>
    <row r="5" customFormat="false" ht="15" hidden="false" customHeight="false" outlineLevel="0" collapsed="false">
      <c r="A5" s="4" t="s">
        <v>984</v>
      </c>
      <c r="B5" s="4" t="s">
        <v>83</v>
      </c>
      <c r="C5" s="4" t="s">
        <v>982</v>
      </c>
      <c r="D5" s="4" t="s">
        <v>983</v>
      </c>
      <c r="E5" s="4" t="n">
        <v>69102.97</v>
      </c>
      <c r="G5" s="4" t="n">
        <v>1</v>
      </c>
      <c r="J5" s="11" t="n">
        <f aca="false">IF(C5="one_time",G5,H5)</f>
        <v>1</v>
      </c>
      <c r="K5" s="11" t="n">
        <f aca="false">IF(C5="one_time",G5+1,I5)</f>
        <v>2</v>
      </c>
      <c r="L5" s="11" t="n">
        <f aca="false">K5-J5</f>
        <v>1</v>
      </c>
    </row>
    <row r="6" customFormat="false" ht="15" hidden="false" customHeight="false" outlineLevel="0" collapsed="false">
      <c r="A6" s="4" t="s">
        <v>985</v>
      </c>
      <c r="B6" s="4" t="s">
        <v>83</v>
      </c>
      <c r="C6" s="4" t="s">
        <v>982</v>
      </c>
      <c r="D6" s="4" t="s">
        <v>983</v>
      </c>
      <c r="E6" s="4" t="n">
        <v>8996.83</v>
      </c>
      <c r="G6" s="4" t="n">
        <v>2</v>
      </c>
      <c r="J6" s="11" t="n">
        <f aca="false">IF(C6="one_time",G6,H6)</f>
        <v>2</v>
      </c>
      <c r="K6" s="11" t="n">
        <f aca="false">IF(C6="one_time",G6+1,I6)</f>
        <v>3</v>
      </c>
      <c r="L6" s="11" t="n">
        <f aca="false">K6-J6</f>
        <v>1</v>
      </c>
    </row>
    <row r="7" customFormat="false" ht="15" hidden="false" customHeight="false" outlineLevel="0" collapsed="false">
      <c r="A7" s="4" t="s">
        <v>986</v>
      </c>
      <c r="B7" s="4" t="s">
        <v>83</v>
      </c>
      <c r="C7" s="4" t="s">
        <v>982</v>
      </c>
      <c r="D7" s="4" t="s">
        <v>983</v>
      </c>
      <c r="E7" s="4" t="n">
        <v>9048.73</v>
      </c>
      <c r="G7" s="4" t="n">
        <v>3</v>
      </c>
      <c r="J7" s="11" t="n">
        <f aca="false">IF(C7="one_time",G7,H7)</f>
        <v>3</v>
      </c>
      <c r="K7" s="11" t="n">
        <f aca="false">IF(C7="one_time",G7+1,I7)</f>
        <v>4</v>
      </c>
      <c r="L7" s="11" t="n">
        <f aca="false">K7-J7</f>
        <v>1</v>
      </c>
    </row>
    <row r="8" customFormat="false" ht="15" hidden="false" customHeight="false" outlineLevel="0" collapsed="false">
      <c r="A8" s="4" t="s">
        <v>987</v>
      </c>
      <c r="B8" s="4" t="s">
        <v>83</v>
      </c>
      <c r="C8" s="4" t="s">
        <v>982</v>
      </c>
      <c r="D8" s="4" t="s">
        <v>983</v>
      </c>
      <c r="E8" s="4" t="n">
        <v>8166.35</v>
      </c>
      <c r="G8" s="4" t="n">
        <v>4</v>
      </c>
      <c r="J8" s="11" t="n">
        <f aca="false">IF(C8="one_time",G8,H8)</f>
        <v>4</v>
      </c>
      <c r="K8" s="11" t="n">
        <f aca="false">IF(C8="one_time",G8+1,I8)</f>
        <v>5</v>
      </c>
      <c r="L8" s="11" t="n">
        <f aca="false">K8-J8</f>
        <v>1</v>
      </c>
    </row>
    <row r="9" customFormat="false" ht="15" hidden="false" customHeight="false" outlineLevel="0" collapsed="false">
      <c r="A9" s="4" t="s">
        <v>988</v>
      </c>
      <c r="B9" s="4" t="s">
        <v>83</v>
      </c>
      <c r="C9" s="4" t="s">
        <v>982</v>
      </c>
      <c r="D9" s="4" t="s">
        <v>983</v>
      </c>
      <c r="E9" s="4" t="n">
        <v>9247.7</v>
      </c>
      <c r="G9" s="4" t="n">
        <v>5</v>
      </c>
      <c r="J9" s="11" t="n">
        <f aca="false">IF(C9="one_time",G9,H9)</f>
        <v>5</v>
      </c>
      <c r="K9" s="11" t="n">
        <f aca="false">IF(C9="one_time",G9+1,I9)</f>
        <v>6</v>
      </c>
      <c r="L9" s="11" t="n">
        <f aca="false">K9-J9</f>
        <v>1</v>
      </c>
    </row>
    <row r="10" customFormat="false" ht="15" hidden="false" customHeight="false" outlineLevel="0" collapsed="false">
      <c r="A10" s="4" t="s">
        <v>989</v>
      </c>
      <c r="B10" s="4" t="s">
        <v>83</v>
      </c>
      <c r="C10" s="4" t="s">
        <v>982</v>
      </c>
      <c r="D10" s="4" t="s">
        <v>983</v>
      </c>
      <c r="E10" s="4" t="n">
        <v>8330.72</v>
      </c>
      <c r="G10" s="4" t="n">
        <v>6</v>
      </c>
      <c r="J10" s="11" t="n">
        <f aca="false">IF(C10="one_time",G10,H10)</f>
        <v>6</v>
      </c>
      <c r="K10" s="11" t="n">
        <f aca="false">IF(C10="one_time",G10+1,I10)</f>
        <v>7</v>
      </c>
      <c r="L10" s="11" t="n">
        <f aca="false">K10-J10</f>
        <v>1</v>
      </c>
    </row>
    <row r="11" customFormat="false" ht="15" hidden="false" customHeight="false" outlineLevel="0" collapsed="false">
      <c r="A11" s="4" t="s">
        <v>990</v>
      </c>
      <c r="B11" s="4" t="s">
        <v>83</v>
      </c>
      <c r="C11" s="4" t="s">
        <v>982</v>
      </c>
      <c r="D11" s="4" t="s">
        <v>983</v>
      </c>
      <c r="E11" s="4" t="n">
        <v>8856.54</v>
      </c>
      <c r="G11" s="4" t="n">
        <v>7</v>
      </c>
      <c r="J11" s="11" t="n">
        <f aca="false">IF(C11="one_time",G11,H11)</f>
        <v>7</v>
      </c>
      <c r="K11" s="11" t="n">
        <f aca="false">IF(C11="one_time",G11+1,I11)</f>
        <v>8</v>
      </c>
      <c r="L11" s="11" t="n">
        <f aca="false">K11-J11</f>
        <v>1</v>
      </c>
    </row>
    <row r="12" customFormat="false" ht="15" hidden="false" customHeight="false" outlineLevel="0" collapsed="false">
      <c r="A12" s="4" t="s">
        <v>991</v>
      </c>
      <c r="B12" s="4" t="s">
        <v>83</v>
      </c>
      <c r="C12" s="4" t="s">
        <v>982</v>
      </c>
      <c r="D12" s="4" t="s">
        <v>983</v>
      </c>
      <c r="E12" s="4" t="n">
        <v>8372.82</v>
      </c>
      <c r="G12" s="4" t="n">
        <v>8</v>
      </c>
      <c r="J12" s="11" t="n">
        <f aca="false">IF(C12="one_time",G12,H12)</f>
        <v>8</v>
      </c>
      <c r="K12" s="11" t="n">
        <f aca="false">IF(C12="one_time",G12+1,I12)</f>
        <v>9</v>
      </c>
      <c r="L12" s="11" t="n">
        <f aca="false">K12-J12</f>
        <v>1</v>
      </c>
    </row>
    <row r="13" customFormat="false" ht="15" hidden="false" customHeight="false" outlineLevel="0" collapsed="false">
      <c r="A13" s="4" t="s">
        <v>992</v>
      </c>
      <c r="B13" s="4" t="s">
        <v>83</v>
      </c>
      <c r="C13" s="4" t="s">
        <v>982</v>
      </c>
      <c r="D13" s="4" t="s">
        <v>983</v>
      </c>
      <c r="E13" s="4" t="n">
        <v>125343.17</v>
      </c>
      <c r="G13" s="4" t="n">
        <v>0</v>
      </c>
      <c r="J13" s="11" t="n">
        <f aca="false">IF(C13="one_time",G13,H13)</f>
        <v>0</v>
      </c>
      <c r="K13" s="11" t="n">
        <f aca="false">IF(C13="one_time",G13+1,I13)</f>
        <v>1</v>
      </c>
      <c r="L13" s="11" t="n">
        <f aca="false">K13-J13</f>
        <v>1</v>
      </c>
    </row>
    <row r="14" customFormat="false" ht="15" hidden="false" customHeight="false" outlineLevel="0" collapsed="false">
      <c r="A14" s="4" t="s">
        <v>993</v>
      </c>
      <c r="B14" s="4" t="s">
        <v>83</v>
      </c>
      <c r="C14" s="4" t="s">
        <v>982</v>
      </c>
      <c r="D14" s="4" t="s">
        <v>983</v>
      </c>
      <c r="E14" s="4" t="n">
        <v>25335.3</v>
      </c>
      <c r="G14" s="4" t="n">
        <v>1</v>
      </c>
      <c r="J14" s="11" t="n">
        <f aca="false">IF(C14="one_time",G14,H14)</f>
        <v>1</v>
      </c>
      <c r="K14" s="11" t="n">
        <f aca="false">IF(C14="one_time",G14+1,I14)</f>
        <v>2</v>
      </c>
      <c r="L14" s="11" t="n">
        <f aca="false">K14-J14</f>
        <v>1</v>
      </c>
    </row>
    <row r="15" customFormat="false" ht="15" hidden="false" customHeight="false" outlineLevel="0" collapsed="false">
      <c r="A15" s="4" t="s">
        <v>994</v>
      </c>
      <c r="B15" s="4" t="s">
        <v>83</v>
      </c>
      <c r="C15" s="4" t="s">
        <v>982</v>
      </c>
      <c r="D15" s="4" t="s">
        <v>983</v>
      </c>
      <c r="E15" s="4" t="n">
        <v>2736.53</v>
      </c>
      <c r="G15" s="4" t="n">
        <v>2</v>
      </c>
      <c r="J15" s="11" t="n">
        <f aca="false">IF(C15="one_time",G15,H15)</f>
        <v>2</v>
      </c>
      <c r="K15" s="11" t="n">
        <f aca="false">IF(C15="one_time",G15+1,I15)</f>
        <v>3</v>
      </c>
      <c r="L15" s="11" t="n">
        <f aca="false">K15-J15</f>
        <v>1</v>
      </c>
    </row>
    <row r="16" customFormat="false" ht="15" hidden="false" customHeight="false" outlineLevel="0" collapsed="false">
      <c r="A16" s="4" t="s">
        <v>995</v>
      </c>
      <c r="B16" s="4" t="s">
        <v>83</v>
      </c>
      <c r="C16" s="4" t="s">
        <v>982</v>
      </c>
      <c r="D16" s="4" t="s">
        <v>983</v>
      </c>
      <c r="E16" s="4" t="n">
        <v>2834.57</v>
      </c>
      <c r="G16" s="4" t="n">
        <v>3</v>
      </c>
      <c r="J16" s="11" t="n">
        <f aca="false">IF(C16="one_time",G16,H16)</f>
        <v>3</v>
      </c>
      <c r="K16" s="11" t="n">
        <f aca="false">IF(C16="one_time",G16+1,I16)</f>
        <v>4</v>
      </c>
      <c r="L16" s="11" t="n">
        <f aca="false">K16-J16</f>
        <v>1</v>
      </c>
    </row>
    <row r="17" customFormat="false" ht="15" hidden="false" customHeight="false" outlineLevel="0" collapsed="false">
      <c r="A17" s="4" t="s">
        <v>996</v>
      </c>
      <c r="B17" s="4" t="s">
        <v>83</v>
      </c>
      <c r="C17" s="4" t="s">
        <v>982</v>
      </c>
      <c r="D17" s="4" t="s">
        <v>983</v>
      </c>
      <c r="E17" s="4" t="n">
        <v>2964.34</v>
      </c>
      <c r="G17" s="4" t="n">
        <v>4</v>
      </c>
      <c r="J17" s="11" t="n">
        <f aca="false">IF(C17="one_time",G17,H17)</f>
        <v>4</v>
      </c>
      <c r="K17" s="11" t="n">
        <f aca="false">IF(C17="one_time",G17+1,I17)</f>
        <v>5</v>
      </c>
      <c r="L17" s="11" t="n">
        <f aca="false">K17-J17</f>
        <v>1</v>
      </c>
    </row>
    <row r="18" customFormat="false" ht="15" hidden="false" customHeight="false" outlineLevel="0" collapsed="false">
      <c r="A18" s="4" t="s">
        <v>997</v>
      </c>
      <c r="B18" s="4" t="s">
        <v>83</v>
      </c>
      <c r="C18" s="4" t="s">
        <v>982</v>
      </c>
      <c r="D18" s="4" t="s">
        <v>983</v>
      </c>
      <c r="E18" s="4" t="n">
        <v>2730.76</v>
      </c>
      <c r="G18" s="4" t="n">
        <v>5</v>
      </c>
      <c r="J18" s="11" t="n">
        <f aca="false">IF(C18="one_time",G18,H18)</f>
        <v>5</v>
      </c>
      <c r="K18" s="11" t="n">
        <f aca="false">IF(C18="one_time",G18+1,I18)</f>
        <v>6</v>
      </c>
      <c r="L18" s="11" t="n">
        <f aca="false">K18-J18</f>
        <v>1</v>
      </c>
    </row>
    <row r="19" customFormat="false" ht="15" hidden="false" customHeight="false" outlineLevel="0" collapsed="false">
      <c r="A19" s="4" t="s">
        <v>998</v>
      </c>
      <c r="B19" s="4" t="s">
        <v>83</v>
      </c>
      <c r="C19" s="4" t="s">
        <v>982</v>
      </c>
      <c r="D19" s="4" t="s">
        <v>983</v>
      </c>
      <c r="E19" s="4" t="n">
        <v>2817.27</v>
      </c>
      <c r="G19" s="4" t="n">
        <v>6</v>
      </c>
      <c r="J19" s="11" t="n">
        <f aca="false">IF(C19="one_time",G19,H19)</f>
        <v>6</v>
      </c>
      <c r="K19" s="11" t="n">
        <f aca="false">IF(C19="one_time",G19+1,I19)</f>
        <v>7</v>
      </c>
      <c r="L19" s="11" t="n">
        <f aca="false">K19-J19</f>
        <v>1</v>
      </c>
    </row>
    <row r="20" customFormat="false" ht="15" hidden="false" customHeight="false" outlineLevel="0" collapsed="false">
      <c r="A20" s="4" t="s">
        <v>999</v>
      </c>
      <c r="B20" s="4" t="s">
        <v>83</v>
      </c>
      <c r="C20" s="4" t="s">
        <v>982</v>
      </c>
      <c r="D20" s="4" t="s">
        <v>983</v>
      </c>
      <c r="E20" s="4" t="n">
        <v>3081.17</v>
      </c>
      <c r="G20" s="4" t="n">
        <v>7</v>
      </c>
      <c r="J20" s="11" t="n">
        <f aca="false">IF(C20="one_time",G20,H20)</f>
        <v>7</v>
      </c>
      <c r="K20" s="11" t="n">
        <f aca="false">IF(C20="one_time",G20+1,I20)</f>
        <v>8</v>
      </c>
      <c r="L20" s="11" t="n">
        <f aca="false">K20-J20</f>
        <v>1</v>
      </c>
    </row>
    <row r="21" customFormat="false" ht="15" hidden="false" customHeight="false" outlineLevel="0" collapsed="false">
      <c r="A21" s="4" t="s">
        <v>1000</v>
      </c>
      <c r="B21" s="4" t="s">
        <v>83</v>
      </c>
      <c r="C21" s="4" t="s">
        <v>982</v>
      </c>
      <c r="D21" s="4" t="s">
        <v>983</v>
      </c>
      <c r="E21" s="4" t="n">
        <v>2858.36</v>
      </c>
      <c r="G21" s="4" t="n">
        <v>8</v>
      </c>
      <c r="J21" s="11" t="n">
        <f aca="false">IF(C21="one_time",G21,H21)</f>
        <v>8</v>
      </c>
      <c r="K21" s="11" t="n">
        <f aca="false">IF(C21="one_time",G21+1,I21)</f>
        <v>9</v>
      </c>
      <c r="L21" s="11" t="n">
        <f aca="false">K21-J21</f>
        <v>1</v>
      </c>
    </row>
    <row r="22" customFormat="false" ht="15" hidden="false" customHeight="false" outlineLevel="0" collapsed="false">
      <c r="A22" s="4" t="s">
        <v>1001</v>
      </c>
      <c r="B22" s="4" t="s">
        <v>83</v>
      </c>
      <c r="C22" s="4" t="s">
        <v>982</v>
      </c>
      <c r="D22" s="4" t="s">
        <v>983</v>
      </c>
      <c r="E22" s="4" t="n">
        <v>327222.21</v>
      </c>
      <c r="G22" s="4" t="n">
        <v>0</v>
      </c>
      <c r="J22" s="11" t="n">
        <f aca="false">IF(C22="one_time",G22,H22)</f>
        <v>0</v>
      </c>
      <c r="K22" s="11" t="n">
        <f aca="false">IF(C22="one_time",G22+1,I22)</f>
        <v>1</v>
      </c>
      <c r="L22" s="11" t="n">
        <f aca="false">K22-J22</f>
        <v>1</v>
      </c>
    </row>
    <row r="23" customFormat="false" ht="15" hidden="false" customHeight="false" outlineLevel="0" collapsed="false">
      <c r="A23" s="4" t="s">
        <v>1002</v>
      </c>
      <c r="B23" s="4" t="s">
        <v>83</v>
      </c>
      <c r="C23" s="4" t="s">
        <v>982</v>
      </c>
      <c r="D23" s="4" t="s">
        <v>983</v>
      </c>
      <c r="E23" s="4" t="n">
        <v>66842.78</v>
      </c>
      <c r="G23" s="4" t="n">
        <v>1</v>
      </c>
      <c r="J23" s="11" t="n">
        <f aca="false">IF(C23="one_time",G23,H23)</f>
        <v>1</v>
      </c>
      <c r="K23" s="11" t="n">
        <f aca="false">IF(C23="one_time",G23+1,I23)</f>
        <v>2</v>
      </c>
      <c r="L23" s="11" t="n">
        <f aca="false">K23-J23</f>
        <v>1</v>
      </c>
    </row>
    <row r="24" customFormat="false" ht="15" hidden="false" customHeight="false" outlineLevel="0" collapsed="false">
      <c r="A24" s="4" t="s">
        <v>1003</v>
      </c>
      <c r="B24" s="4" t="s">
        <v>83</v>
      </c>
      <c r="C24" s="4" t="s">
        <v>982</v>
      </c>
      <c r="D24" s="4" t="s">
        <v>983</v>
      </c>
      <c r="E24" s="4" t="n">
        <v>8135.59</v>
      </c>
      <c r="G24" s="4" t="n">
        <v>2</v>
      </c>
      <c r="J24" s="11" t="n">
        <f aca="false">IF(C24="one_time",G24,H24)</f>
        <v>2</v>
      </c>
      <c r="K24" s="11" t="n">
        <f aca="false">IF(C24="one_time",G24+1,I24)</f>
        <v>3</v>
      </c>
      <c r="L24" s="11" t="n">
        <f aca="false">K24-J24</f>
        <v>1</v>
      </c>
    </row>
    <row r="25" customFormat="false" ht="15" hidden="false" customHeight="false" outlineLevel="0" collapsed="false">
      <c r="A25" s="4" t="s">
        <v>1004</v>
      </c>
      <c r="B25" s="4" t="s">
        <v>83</v>
      </c>
      <c r="C25" s="4" t="s">
        <v>982</v>
      </c>
      <c r="D25" s="4" t="s">
        <v>983</v>
      </c>
      <c r="E25" s="4" t="n">
        <v>8112.52</v>
      </c>
      <c r="G25" s="4" t="n">
        <v>3</v>
      </c>
      <c r="J25" s="11" t="n">
        <f aca="false">IF(C25="one_time",G25,H25)</f>
        <v>3</v>
      </c>
      <c r="K25" s="11" t="n">
        <f aca="false">IF(C25="one_time",G25+1,I25)</f>
        <v>4</v>
      </c>
      <c r="L25" s="11" t="n">
        <f aca="false">K25-J25</f>
        <v>1</v>
      </c>
    </row>
    <row r="26" customFormat="false" ht="15" hidden="false" customHeight="false" outlineLevel="0" collapsed="false">
      <c r="A26" s="4" t="s">
        <v>1005</v>
      </c>
      <c r="B26" s="4" t="s">
        <v>83</v>
      </c>
      <c r="C26" s="4" t="s">
        <v>982</v>
      </c>
      <c r="D26" s="4" t="s">
        <v>983</v>
      </c>
      <c r="E26" s="4" t="n">
        <v>7674.22</v>
      </c>
      <c r="G26" s="4" t="n">
        <v>4</v>
      </c>
      <c r="J26" s="11" t="n">
        <f aca="false">IF(C26="one_time",G26,H26)</f>
        <v>4</v>
      </c>
      <c r="K26" s="11" t="n">
        <f aca="false">IF(C26="one_time",G26+1,I26)</f>
        <v>5</v>
      </c>
      <c r="L26" s="11" t="n">
        <f aca="false">K26-J26</f>
        <v>1</v>
      </c>
    </row>
    <row r="27" customFormat="false" ht="15" hidden="false" customHeight="false" outlineLevel="0" collapsed="false">
      <c r="A27" s="4" t="s">
        <v>1006</v>
      </c>
      <c r="B27" s="4" t="s">
        <v>83</v>
      </c>
      <c r="C27" s="4" t="s">
        <v>982</v>
      </c>
      <c r="D27" s="4" t="s">
        <v>983</v>
      </c>
      <c r="E27" s="4" t="n">
        <v>7389.7</v>
      </c>
      <c r="G27" s="4" t="n">
        <v>5</v>
      </c>
      <c r="J27" s="11" t="n">
        <f aca="false">IF(C27="one_time",G27,H27)</f>
        <v>5</v>
      </c>
      <c r="K27" s="11" t="n">
        <f aca="false">IF(C27="one_time",G27+1,I27)</f>
        <v>6</v>
      </c>
      <c r="L27" s="11" t="n">
        <f aca="false">K27-J27</f>
        <v>1</v>
      </c>
    </row>
    <row r="28" customFormat="false" ht="15" hidden="false" customHeight="false" outlineLevel="0" collapsed="false">
      <c r="A28" s="4" t="s">
        <v>1007</v>
      </c>
      <c r="B28" s="4" t="s">
        <v>83</v>
      </c>
      <c r="C28" s="4" t="s">
        <v>982</v>
      </c>
      <c r="D28" s="4" t="s">
        <v>983</v>
      </c>
      <c r="E28" s="4" t="n">
        <v>7689.6</v>
      </c>
      <c r="G28" s="4" t="n">
        <v>6</v>
      </c>
      <c r="J28" s="11" t="n">
        <f aca="false">IF(C28="one_time",G28,H28)</f>
        <v>6</v>
      </c>
      <c r="K28" s="11" t="n">
        <f aca="false">IF(C28="one_time",G28+1,I28)</f>
        <v>7</v>
      </c>
      <c r="L28" s="11" t="n">
        <f aca="false">K28-J28</f>
        <v>1</v>
      </c>
    </row>
    <row r="29" customFormat="false" ht="15" hidden="false" customHeight="false" outlineLevel="0" collapsed="false">
      <c r="A29" s="4" t="s">
        <v>1008</v>
      </c>
      <c r="B29" s="4" t="s">
        <v>83</v>
      </c>
      <c r="C29" s="4" t="s">
        <v>982</v>
      </c>
      <c r="D29" s="4" t="s">
        <v>983</v>
      </c>
      <c r="E29" s="4" t="n">
        <v>7942.84</v>
      </c>
      <c r="G29" s="4" t="n">
        <v>7</v>
      </c>
      <c r="J29" s="11" t="n">
        <f aca="false">IF(C29="one_time",G29,H29)</f>
        <v>7</v>
      </c>
      <c r="K29" s="11" t="n">
        <f aca="false">IF(C29="one_time",G29+1,I29)</f>
        <v>8</v>
      </c>
      <c r="L29" s="11" t="n">
        <f aca="false">K29-J29</f>
        <v>1</v>
      </c>
    </row>
    <row r="30" customFormat="false" ht="15" hidden="false" customHeight="false" outlineLevel="0" collapsed="false">
      <c r="A30" s="4" t="s">
        <v>1009</v>
      </c>
      <c r="B30" s="4" t="s">
        <v>83</v>
      </c>
      <c r="C30" s="4" t="s">
        <v>982</v>
      </c>
      <c r="D30" s="4" t="s">
        <v>983</v>
      </c>
      <c r="E30" s="4" t="n">
        <v>7442.5</v>
      </c>
      <c r="G30" s="4" t="n">
        <v>8</v>
      </c>
      <c r="J30" s="11" t="n">
        <f aca="false">IF(C30="one_time",G30,H30)</f>
        <v>8</v>
      </c>
      <c r="K30" s="11" t="n">
        <f aca="false">IF(C30="one_time",G30+1,I30)</f>
        <v>9</v>
      </c>
      <c r="L30" s="11" t="n">
        <f aca="false">K30-J30</f>
        <v>1</v>
      </c>
    </row>
    <row r="31" customFormat="false" ht="15" hidden="false" customHeight="false" outlineLevel="0" collapsed="false">
      <c r="A31" s="4" t="s">
        <v>1010</v>
      </c>
      <c r="B31" s="4" t="s">
        <v>83</v>
      </c>
      <c r="C31" s="4" t="s">
        <v>982</v>
      </c>
      <c r="D31" s="4" t="s">
        <v>1011</v>
      </c>
      <c r="E31" s="4" t="n">
        <v>42000</v>
      </c>
      <c r="F31" s="4" t="s">
        <v>1012</v>
      </c>
      <c r="G31" s="4" t="n">
        <v>0</v>
      </c>
      <c r="J31" s="11" t="n">
        <f aca="false">IF(C31="one_time",G31,H31)</f>
        <v>0</v>
      </c>
      <c r="K31" s="11" t="n">
        <f aca="false">IF(C31="one_time",G31+1,I31)</f>
        <v>1</v>
      </c>
      <c r="L31" s="11" t="n">
        <f aca="false">K31-J31</f>
        <v>1</v>
      </c>
    </row>
    <row r="32" customFormat="false" ht="15" hidden="false" customHeight="false" outlineLevel="0" collapsed="false">
      <c r="A32" s="4" t="s">
        <v>1013</v>
      </c>
      <c r="B32" s="4" t="s">
        <v>83</v>
      </c>
      <c r="C32" s="4" t="s">
        <v>982</v>
      </c>
      <c r="D32" s="4" t="s">
        <v>1011</v>
      </c>
      <c r="E32" s="4" t="n">
        <v>48000</v>
      </c>
      <c r="F32" s="4" t="s">
        <v>1012</v>
      </c>
      <c r="G32" s="4" t="n">
        <v>0</v>
      </c>
      <c r="J32" s="11" t="n">
        <f aca="false">IF(C32="one_time",G32,H32)</f>
        <v>0</v>
      </c>
      <c r="K32" s="11" t="n">
        <f aca="false">IF(C32="one_time",G32+1,I32)</f>
        <v>1</v>
      </c>
      <c r="L32" s="11" t="n">
        <f aca="false">K32-J32</f>
        <v>1</v>
      </c>
    </row>
    <row r="33" customFormat="false" ht="15" hidden="false" customHeight="false" outlineLevel="0" collapsed="false">
      <c r="A33" s="4" t="s">
        <v>1014</v>
      </c>
      <c r="B33" s="4" t="s">
        <v>83</v>
      </c>
      <c r="C33" s="4" t="s">
        <v>982</v>
      </c>
      <c r="D33" s="4" t="s">
        <v>1011</v>
      </c>
      <c r="E33" s="4" t="n">
        <v>15450</v>
      </c>
      <c r="F33" s="4" t="s">
        <v>1012</v>
      </c>
      <c r="G33" s="4" t="n">
        <v>0</v>
      </c>
      <c r="J33" s="11" t="n">
        <f aca="false">IF(C33="one_time",G33,H33)</f>
        <v>0</v>
      </c>
      <c r="K33" s="11" t="n">
        <f aca="false">IF(C33="one_time",G33+1,I33)</f>
        <v>1</v>
      </c>
      <c r="L33" s="11" t="n">
        <f aca="false">K33-J33</f>
        <v>1</v>
      </c>
    </row>
    <row r="34" customFormat="false" ht="15" hidden="false" customHeight="false" outlineLevel="0" collapsed="false">
      <c r="A34" s="4" t="s">
        <v>1015</v>
      </c>
      <c r="B34" s="4" t="s">
        <v>83</v>
      </c>
      <c r="C34" s="4" t="s">
        <v>982</v>
      </c>
      <c r="D34" s="4" t="s">
        <v>1011</v>
      </c>
      <c r="E34" s="4" t="n">
        <v>11550</v>
      </c>
      <c r="F34" s="4" t="s">
        <v>1012</v>
      </c>
      <c r="G34" s="4" t="n">
        <v>0</v>
      </c>
      <c r="J34" s="11" t="n">
        <f aca="false">IF(C34="one_time",G34,H34)</f>
        <v>0</v>
      </c>
      <c r="K34" s="11" t="n">
        <f aca="false">IF(C34="one_time",G34+1,I34)</f>
        <v>1</v>
      </c>
      <c r="L34" s="11" t="n">
        <f aca="false">K34-J34</f>
        <v>1</v>
      </c>
    </row>
    <row r="35" customFormat="false" ht="15" hidden="false" customHeight="false" outlineLevel="0" collapsed="false">
      <c r="A35" s="4" t="s">
        <v>1016</v>
      </c>
      <c r="B35" s="4" t="s">
        <v>83</v>
      </c>
      <c r="C35" s="4" t="s">
        <v>982</v>
      </c>
      <c r="D35" s="4" t="s">
        <v>1011</v>
      </c>
      <c r="E35" s="4" t="n">
        <v>18000</v>
      </c>
      <c r="F35" s="4" t="s">
        <v>1012</v>
      </c>
      <c r="G35" s="4" t="n">
        <v>0</v>
      </c>
      <c r="J35" s="11" t="n">
        <f aca="false">IF(C35="one_time",G35,H35)</f>
        <v>0</v>
      </c>
      <c r="K35" s="11" t="n">
        <f aca="false">IF(C35="one_time",G35+1,I35)</f>
        <v>1</v>
      </c>
      <c r="L35" s="11" t="n">
        <f aca="false">K35-J35</f>
        <v>1</v>
      </c>
    </row>
    <row r="36" customFormat="false" ht="15" hidden="false" customHeight="false" outlineLevel="0" collapsed="false">
      <c r="A36" s="4" t="s">
        <v>1017</v>
      </c>
      <c r="B36" s="4" t="s">
        <v>83</v>
      </c>
      <c r="C36" s="4" t="s">
        <v>982</v>
      </c>
      <c r="D36" s="4" t="s">
        <v>1011</v>
      </c>
      <c r="E36" s="4" t="n">
        <v>9000</v>
      </c>
      <c r="F36" s="4" t="s">
        <v>1012</v>
      </c>
      <c r="G36" s="4" t="n">
        <v>1</v>
      </c>
      <c r="J36" s="11" t="n">
        <f aca="false">IF(C36="one_time",G36,H36)</f>
        <v>1</v>
      </c>
      <c r="K36" s="11" t="n">
        <f aca="false">IF(C36="one_time",G36+1,I36)</f>
        <v>2</v>
      </c>
      <c r="L36" s="11" t="n">
        <f aca="false">K36-J36</f>
        <v>1</v>
      </c>
    </row>
    <row r="37" customFormat="false" ht="15" hidden="false" customHeight="false" outlineLevel="0" collapsed="false">
      <c r="A37" s="4" t="s">
        <v>1018</v>
      </c>
      <c r="B37" s="4" t="s">
        <v>83</v>
      </c>
      <c r="C37" s="4" t="s">
        <v>982</v>
      </c>
      <c r="D37" s="4" t="s">
        <v>1011</v>
      </c>
      <c r="E37" s="4" t="n">
        <v>31300</v>
      </c>
      <c r="F37" s="4" t="s">
        <v>1012</v>
      </c>
      <c r="G37" s="4" t="n">
        <v>0</v>
      </c>
      <c r="J37" s="11" t="n">
        <f aca="false">IF(C37="one_time",G37,H37)</f>
        <v>0</v>
      </c>
      <c r="K37" s="11" t="n">
        <f aca="false">IF(C37="one_time",G37+1,I37)</f>
        <v>1</v>
      </c>
      <c r="L37" s="11" t="n">
        <f aca="false">K37-J37</f>
        <v>1</v>
      </c>
    </row>
    <row r="38" customFormat="false" ht="15" hidden="false" customHeight="false" outlineLevel="0" collapsed="false">
      <c r="A38" s="4" t="s">
        <v>1019</v>
      </c>
      <c r="B38" s="4" t="s">
        <v>83</v>
      </c>
      <c r="C38" s="4" t="s">
        <v>982</v>
      </c>
      <c r="D38" s="4" t="s">
        <v>1011</v>
      </c>
      <c r="E38" s="4" t="n">
        <v>31300</v>
      </c>
      <c r="F38" s="4" t="s">
        <v>1012</v>
      </c>
      <c r="G38" s="4" t="n">
        <v>1</v>
      </c>
      <c r="J38" s="11" t="n">
        <f aca="false">IF(C38="one_time",G38,H38)</f>
        <v>1</v>
      </c>
      <c r="K38" s="11" t="n">
        <f aca="false">IF(C38="one_time",G38+1,I38)</f>
        <v>2</v>
      </c>
      <c r="L38" s="11" t="n">
        <f aca="false">K38-J38</f>
        <v>1</v>
      </c>
    </row>
    <row r="39" customFormat="false" ht="15" hidden="false" customHeight="false" outlineLevel="0" collapsed="false">
      <c r="A39" s="4" t="s">
        <v>1020</v>
      </c>
      <c r="B39" s="4" t="s">
        <v>83</v>
      </c>
      <c r="C39" s="4" t="s">
        <v>982</v>
      </c>
      <c r="D39" s="4" t="s">
        <v>1011</v>
      </c>
      <c r="E39" s="4" t="n">
        <v>27400</v>
      </c>
      <c r="F39" s="4" t="s">
        <v>1012</v>
      </c>
      <c r="G39" s="4" t="n">
        <v>0</v>
      </c>
      <c r="J39" s="11" t="n">
        <f aca="false">IF(C39="one_time",G39,H39)</f>
        <v>0</v>
      </c>
      <c r="K39" s="11" t="n">
        <f aca="false">IF(C39="one_time",G39+1,I39)</f>
        <v>1</v>
      </c>
      <c r="L39" s="11" t="n">
        <f aca="false">K39-J39</f>
        <v>1</v>
      </c>
    </row>
    <row r="40" customFormat="false" ht="15" hidden="false" customHeight="false" outlineLevel="0" collapsed="false">
      <c r="A40" s="4" t="s">
        <v>1021</v>
      </c>
      <c r="B40" s="4" t="s">
        <v>83</v>
      </c>
      <c r="C40" s="4" t="s">
        <v>982</v>
      </c>
      <c r="D40" s="4" t="s">
        <v>1011</v>
      </c>
      <c r="E40" s="4" t="n">
        <v>18000</v>
      </c>
      <c r="F40" s="4" t="s">
        <v>1012</v>
      </c>
      <c r="G40" s="4" t="n">
        <v>0</v>
      </c>
      <c r="J40" s="11" t="n">
        <f aca="false">IF(C40="one_time",G40,H40)</f>
        <v>0</v>
      </c>
      <c r="K40" s="11" t="n">
        <f aca="false">IF(C40="one_time",G40+1,I40)</f>
        <v>1</v>
      </c>
      <c r="L40" s="11" t="n">
        <f aca="false">K40-J40</f>
        <v>1</v>
      </c>
    </row>
    <row r="41" customFormat="false" ht="15" hidden="false" customHeight="false" outlineLevel="0" collapsed="false">
      <c r="A41" s="4" t="s">
        <v>1022</v>
      </c>
      <c r="B41" s="4" t="s">
        <v>83</v>
      </c>
      <c r="C41" s="4" t="s">
        <v>982</v>
      </c>
      <c r="D41" s="4" t="s">
        <v>1011</v>
      </c>
      <c r="E41" s="4" t="n">
        <v>136950</v>
      </c>
      <c r="F41" s="4" t="s">
        <v>1012</v>
      </c>
      <c r="G41" s="4" t="n">
        <v>0</v>
      </c>
      <c r="J41" s="11" t="n">
        <f aca="false">IF(C41="one_time",G41,H41)</f>
        <v>0</v>
      </c>
      <c r="K41" s="11" t="n">
        <f aca="false">IF(C41="one_time",G41+1,I41)</f>
        <v>1</v>
      </c>
      <c r="L41" s="11" t="n">
        <f aca="false">K41-J41</f>
        <v>1</v>
      </c>
    </row>
    <row r="42" customFormat="false" ht="15" hidden="false" customHeight="false" outlineLevel="0" collapsed="false">
      <c r="A42" s="4" t="s">
        <v>1023</v>
      </c>
      <c r="B42" s="4" t="s">
        <v>83</v>
      </c>
      <c r="C42" s="4" t="s">
        <v>982</v>
      </c>
      <c r="D42" s="4" t="s">
        <v>1011</v>
      </c>
      <c r="E42" s="4" t="n">
        <v>178050</v>
      </c>
      <c r="F42" s="4" t="s">
        <v>1012</v>
      </c>
      <c r="G42" s="4" t="n">
        <v>0</v>
      </c>
      <c r="J42" s="11" t="n">
        <f aca="false">IF(C42="one_time",G42,H42)</f>
        <v>0</v>
      </c>
      <c r="K42" s="11" t="n">
        <f aca="false">IF(C42="one_time",G42+1,I42)</f>
        <v>1</v>
      </c>
      <c r="L42" s="11" t="n">
        <f aca="false">K42-J42</f>
        <v>1</v>
      </c>
    </row>
    <row r="43" customFormat="false" ht="15" hidden="false" customHeight="false" outlineLevel="0" collapsed="false">
      <c r="A43" s="4" t="s">
        <v>1024</v>
      </c>
      <c r="B43" s="4" t="s">
        <v>83</v>
      </c>
      <c r="C43" s="4" t="s">
        <v>982</v>
      </c>
      <c r="D43" s="4" t="s">
        <v>1011</v>
      </c>
      <c r="E43" s="4" t="n">
        <v>40500</v>
      </c>
      <c r="F43" s="4" t="s">
        <v>1012</v>
      </c>
      <c r="G43" s="4" t="n">
        <v>0</v>
      </c>
      <c r="J43" s="11" t="n">
        <f aca="false">IF(C43="one_time",G43,H43)</f>
        <v>0</v>
      </c>
      <c r="K43" s="11" t="n">
        <f aca="false">IF(C43="one_time",G43+1,I43)</f>
        <v>1</v>
      </c>
      <c r="L43" s="11" t="n">
        <f aca="false">K43-J43</f>
        <v>1</v>
      </c>
    </row>
    <row r="44" customFormat="false" ht="15" hidden="false" customHeight="false" outlineLevel="0" collapsed="false">
      <c r="A44" s="4" t="s">
        <v>1025</v>
      </c>
      <c r="B44" s="4" t="s">
        <v>83</v>
      </c>
      <c r="C44" s="4" t="s">
        <v>982</v>
      </c>
      <c r="D44" s="4" t="s">
        <v>1011</v>
      </c>
      <c r="E44" s="4" t="n">
        <v>94500</v>
      </c>
      <c r="F44" s="4" t="s">
        <v>1012</v>
      </c>
      <c r="G44" s="4" t="n">
        <v>0</v>
      </c>
      <c r="J44" s="11" t="n">
        <f aca="false">IF(C44="one_time",G44,H44)</f>
        <v>0</v>
      </c>
      <c r="K44" s="11" t="n">
        <f aca="false">IF(C44="one_time",G44+1,I44)</f>
        <v>1</v>
      </c>
      <c r="L44" s="11" t="n">
        <f aca="false">K44-J44</f>
        <v>1</v>
      </c>
    </row>
    <row r="45" customFormat="false" ht="15" hidden="false" customHeight="false" outlineLevel="0" collapsed="false">
      <c r="A45" s="4" t="s">
        <v>1026</v>
      </c>
      <c r="B45" s="4" t="s">
        <v>83</v>
      </c>
      <c r="C45" s="4" t="s">
        <v>982</v>
      </c>
      <c r="D45" s="4" t="s">
        <v>1011</v>
      </c>
      <c r="E45" s="4" t="n">
        <v>13500</v>
      </c>
      <c r="F45" s="4" t="s">
        <v>1012</v>
      </c>
      <c r="G45" s="4" t="n">
        <v>1</v>
      </c>
      <c r="J45" s="11" t="n">
        <f aca="false">IF(C45="one_time",G45,H45)</f>
        <v>1</v>
      </c>
      <c r="K45" s="11" t="n">
        <f aca="false">IF(C45="one_time",G45+1,I45)</f>
        <v>2</v>
      </c>
      <c r="L45" s="11" t="n">
        <f aca="false">K45-J45</f>
        <v>1</v>
      </c>
    </row>
    <row r="46" customFormat="false" ht="15" hidden="false" customHeight="false" outlineLevel="0" collapsed="false">
      <c r="A46" s="4" t="s">
        <v>1027</v>
      </c>
      <c r="B46" s="4" t="s">
        <v>83</v>
      </c>
      <c r="C46" s="4" t="s">
        <v>982</v>
      </c>
      <c r="D46" s="4" t="s">
        <v>1011</v>
      </c>
      <c r="E46" s="4" t="n">
        <v>18000</v>
      </c>
      <c r="F46" s="4" t="s">
        <v>1012</v>
      </c>
      <c r="G46" s="4" t="n">
        <v>1</v>
      </c>
      <c r="J46" s="11" t="n">
        <f aca="false">IF(C46="one_time",G46,H46)</f>
        <v>1</v>
      </c>
      <c r="K46" s="11" t="n">
        <f aca="false">IF(C46="one_time",G46+1,I46)</f>
        <v>2</v>
      </c>
      <c r="L46" s="11" t="n">
        <f aca="false">K46-J46</f>
        <v>1</v>
      </c>
    </row>
    <row r="47" customFormat="false" ht="15" hidden="false" customHeight="false" outlineLevel="0" collapsed="false">
      <c r="A47" s="4" t="s">
        <v>1028</v>
      </c>
      <c r="B47" s="4" t="s">
        <v>83</v>
      </c>
      <c r="C47" s="4" t="s">
        <v>982</v>
      </c>
      <c r="D47" s="4" t="s">
        <v>1011</v>
      </c>
      <c r="E47" s="4" t="n">
        <v>31500</v>
      </c>
      <c r="F47" s="4" t="s">
        <v>1012</v>
      </c>
      <c r="G47" s="4" t="n">
        <v>0</v>
      </c>
      <c r="J47" s="11" t="n">
        <f aca="false">IF(C47="one_time",G47,H47)</f>
        <v>0</v>
      </c>
      <c r="K47" s="11" t="n">
        <f aca="false">IF(C47="one_time",G47+1,I47)</f>
        <v>1</v>
      </c>
      <c r="L47" s="11" t="n">
        <f aca="false">K47-J47</f>
        <v>1</v>
      </c>
    </row>
    <row r="48" customFormat="false" ht="15" hidden="false" customHeight="false" outlineLevel="0" collapsed="false">
      <c r="A48" s="4" t="s">
        <v>1029</v>
      </c>
      <c r="B48" s="4" t="s">
        <v>83</v>
      </c>
      <c r="C48" s="4" t="s">
        <v>982</v>
      </c>
      <c r="D48" s="4" t="s">
        <v>1011</v>
      </c>
      <c r="E48" s="4" t="n">
        <v>40350</v>
      </c>
      <c r="F48" s="4" t="s">
        <v>1012</v>
      </c>
      <c r="G48" s="4" t="n">
        <v>0</v>
      </c>
      <c r="J48" s="11" t="n">
        <f aca="false">IF(C48="one_time",G48,H48)</f>
        <v>0</v>
      </c>
      <c r="K48" s="11" t="n">
        <f aca="false">IF(C48="one_time",G48+1,I48)</f>
        <v>1</v>
      </c>
      <c r="L48" s="11" t="n">
        <f aca="false">K48-J48</f>
        <v>1</v>
      </c>
    </row>
    <row r="49" customFormat="false" ht="15" hidden="false" customHeight="false" outlineLevel="0" collapsed="false">
      <c r="A49" s="4" t="s">
        <v>1030</v>
      </c>
      <c r="B49" s="4" t="s">
        <v>83</v>
      </c>
      <c r="C49" s="4" t="s">
        <v>982</v>
      </c>
      <c r="D49" s="4" t="s">
        <v>1011</v>
      </c>
      <c r="E49" s="4" t="n">
        <v>31050</v>
      </c>
      <c r="F49" s="4" t="s">
        <v>1012</v>
      </c>
      <c r="G49" s="4" t="n">
        <v>0</v>
      </c>
      <c r="J49" s="11" t="n">
        <f aca="false">IF(C49="one_time",G49,H49)</f>
        <v>0</v>
      </c>
      <c r="K49" s="11" t="n">
        <f aca="false">IF(C49="one_time",G49+1,I49)</f>
        <v>1</v>
      </c>
      <c r="L49" s="11" t="n">
        <f aca="false">K49-J49</f>
        <v>1</v>
      </c>
    </row>
    <row r="50" customFormat="false" ht="15" hidden="false" customHeight="false" outlineLevel="0" collapsed="false">
      <c r="A50" s="4" t="s">
        <v>1031</v>
      </c>
      <c r="B50" s="4" t="s">
        <v>83</v>
      </c>
      <c r="C50" s="4" t="s">
        <v>982</v>
      </c>
      <c r="D50" s="4" t="s">
        <v>1011</v>
      </c>
      <c r="E50" s="4" t="n">
        <v>18600</v>
      </c>
      <c r="F50" s="4" t="s">
        <v>1012</v>
      </c>
      <c r="G50" s="4" t="n">
        <v>0</v>
      </c>
      <c r="J50" s="11" t="n">
        <f aca="false">IF(C50="one_time",G50,H50)</f>
        <v>0</v>
      </c>
      <c r="K50" s="11" t="n">
        <f aca="false">IF(C50="one_time",G50+1,I50)</f>
        <v>1</v>
      </c>
      <c r="L50" s="11" t="n">
        <f aca="false">K50-J50</f>
        <v>1</v>
      </c>
    </row>
    <row r="51" customFormat="false" ht="15" hidden="false" customHeight="false" outlineLevel="0" collapsed="false">
      <c r="A51" s="4" t="s">
        <v>1032</v>
      </c>
      <c r="B51" s="4" t="s">
        <v>83</v>
      </c>
      <c r="C51" s="4" t="s">
        <v>982</v>
      </c>
      <c r="D51" s="4" t="s">
        <v>1011</v>
      </c>
      <c r="E51" s="4" t="n">
        <v>72000</v>
      </c>
      <c r="F51" s="4" t="s">
        <v>1012</v>
      </c>
      <c r="G51" s="4" t="n">
        <v>1</v>
      </c>
      <c r="J51" s="11" t="n">
        <f aca="false">IF(C51="one_time",G51,H51)</f>
        <v>1</v>
      </c>
      <c r="K51" s="11" t="n">
        <f aca="false">IF(C51="one_time",G51+1,I51)</f>
        <v>2</v>
      </c>
      <c r="L51" s="11" t="n">
        <f aca="false">K51-J51</f>
        <v>1</v>
      </c>
    </row>
    <row r="52" customFormat="false" ht="15" hidden="false" customHeight="false" outlineLevel="0" collapsed="false">
      <c r="A52" s="4" t="s">
        <v>1033</v>
      </c>
      <c r="B52" s="4" t="s">
        <v>83</v>
      </c>
      <c r="C52" s="4" t="s">
        <v>1034</v>
      </c>
      <c r="D52" s="4" t="s">
        <v>1011</v>
      </c>
      <c r="E52" s="4" t="n">
        <v>3600</v>
      </c>
      <c r="F52" s="4" t="s">
        <v>1012</v>
      </c>
      <c r="H52" s="4" t="n">
        <v>1</v>
      </c>
      <c r="I52" s="4" t="n">
        <v>7</v>
      </c>
      <c r="J52" s="11" t="n">
        <f aca="false">IF(C52="one_time",G52,H52)</f>
        <v>1</v>
      </c>
      <c r="K52" s="11" t="n">
        <f aca="false">IF(C52="one_time",G52+1,I52)</f>
        <v>7</v>
      </c>
      <c r="L52" s="11" t="n">
        <f aca="false">K52-J52</f>
        <v>6</v>
      </c>
    </row>
    <row r="53" customFormat="false" ht="15" hidden="false" customHeight="false" outlineLevel="0" collapsed="false">
      <c r="A53" s="4" t="s">
        <v>1035</v>
      </c>
      <c r="B53" s="4" t="s">
        <v>83</v>
      </c>
      <c r="C53" s="4" t="s">
        <v>1034</v>
      </c>
      <c r="D53" s="4" t="s">
        <v>1011</v>
      </c>
      <c r="E53" s="4" t="n">
        <v>3600</v>
      </c>
      <c r="F53" s="4" t="s">
        <v>1012</v>
      </c>
      <c r="H53" s="4" t="n">
        <v>7</v>
      </c>
      <c r="I53" s="4" t="n">
        <v>14</v>
      </c>
      <c r="J53" s="11" t="n">
        <f aca="false">IF(C53="one_time",G53,H53)</f>
        <v>7</v>
      </c>
      <c r="K53" s="11" t="n">
        <f aca="false">IF(C53="one_time",G53+1,I53)</f>
        <v>14</v>
      </c>
      <c r="L53" s="11" t="n">
        <f aca="false">K53-J53</f>
        <v>7</v>
      </c>
    </row>
    <row r="54" customFormat="false" ht="15" hidden="false" customHeight="false" outlineLevel="0" collapsed="false">
      <c r="A54" s="4" t="s">
        <v>1036</v>
      </c>
      <c r="B54" s="4" t="s">
        <v>83</v>
      </c>
      <c r="C54" s="4" t="s">
        <v>1034</v>
      </c>
      <c r="D54" s="4" t="s">
        <v>1011</v>
      </c>
      <c r="E54" s="4" t="n">
        <v>6300</v>
      </c>
      <c r="F54" s="4" t="s">
        <v>1012</v>
      </c>
      <c r="H54" s="4" t="n">
        <v>1</v>
      </c>
      <c r="I54" s="4" t="n">
        <v>7</v>
      </c>
      <c r="J54" s="11" t="n">
        <f aca="false">IF(C54="one_time",G54,H54)</f>
        <v>1</v>
      </c>
      <c r="K54" s="11" t="n">
        <f aca="false">IF(C54="one_time",G54+1,I54)</f>
        <v>7</v>
      </c>
      <c r="L54" s="11" t="n">
        <f aca="false">K54-J54</f>
        <v>6</v>
      </c>
    </row>
    <row r="55" customFormat="false" ht="15" hidden="false" customHeight="false" outlineLevel="0" collapsed="false">
      <c r="A55" s="4" t="s">
        <v>1037</v>
      </c>
      <c r="B55" s="4" t="s">
        <v>83</v>
      </c>
      <c r="C55" s="4" t="s">
        <v>1034</v>
      </c>
      <c r="D55" s="4" t="s">
        <v>1011</v>
      </c>
      <c r="E55" s="4" t="n">
        <v>6350</v>
      </c>
      <c r="F55" s="4" t="s">
        <v>1012</v>
      </c>
      <c r="H55" s="4" t="n">
        <v>7</v>
      </c>
      <c r="I55" s="4" t="n">
        <v>14</v>
      </c>
      <c r="J55" s="11" t="n">
        <f aca="false">IF(C55="one_time",G55,H55)</f>
        <v>7</v>
      </c>
      <c r="K55" s="11" t="n">
        <f aca="false">IF(C55="one_time",G55+1,I55)</f>
        <v>14</v>
      </c>
      <c r="L55" s="11" t="n">
        <f aca="false">K55-J55</f>
        <v>7</v>
      </c>
    </row>
    <row r="56" customFormat="false" ht="15" hidden="false" customHeight="false" outlineLevel="0" collapsed="false">
      <c r="A56" s="4" t="s">
        <v>1038</v>
      </c>
      <c r="B56" s="4" t="s">
        <v>83</v>
      </c>
      <c r="C56" s="4" t="s">
        <v>1034</v>
      </c>
      <c r="D56" s="4" t="s">
        <v>1011</v>
      </c>
      <c r="E56" s="4" t="n">
        <v>8100</v>
      </c>
      <c r="F56" s="4" t="s">
        <v>1012</v>
      </c>
      <c r="H56" s="4" t="n">
        <v>1</v>
      </c>
      <c r="I56" s="4" t="n">
        <v>7</v>
      </c>
      <c r="J56" s="11" t="n">
        <f aca="false">IF(C56="one_time",G56,H56)</f>
        <v>1</v>
      </c>
      <c r="K56" s="11" t="n">
        <f aca="false">IF(C56="one_time",G56+1,I56)</f>
        <v>7</v>
      </c>
      <c r="L56" s="11" t="n">
        <f aca="false">K56-J56</f>
        <v>6</v>
      </c>
    </row>
    <row r="57" customFormat="false" ht="15" hidden="false" customHeight="false" outlineLevel="0" collapsed="false">
      <c r="A57" s="4" t="s">
        <v>1039</v>
      </c>
      <c r="B57" s="4" t="s">
        <v>83</v>
      </c>
      <c r="C57" s="4" t="s">
        <v>1034</v>
      </c>
      <c r="D57" s="4" t="s">
        <v>1011</v>
      </c>
      <c r="E57" s="4" t="n">
        <v>8350</v>
      </c>
      <c r="F57" s="4" t="s">
        <v>1012</v>
      </c>
      <c r="H57" s="4" t="n">
        <v>7</v>
      </c>
      <c r="I57" s="4" t="n">
        <v>14</v>
      </c>
      <c r="J57" s="11" t="n">
        <f aca="false">IF(C57="one_time",G57,H57)</f>
        <v>7</v>
      </c>
      <c r="K57" s="11" t="n">
        <f aca="false">IF(C57="one_time",G57+1,I57)</f>
        <v>14</v>
      </c>
      <c r="L57" s="11" t="n">
        <f aca="false">K57-J57</f>
        <v>7</v>
      </c>
    </row>
    <row r="58" customFormat="false" ht="15" hidden="false" customHeight="false" outlineLevel="0" collapsed="false">
      <c r="A58" s="4" t="s">
        <v>1040</v>
      </c>
      <c r="B58" s="4" t="s">
        <v>84</v>
      </c>
      <c r="C58" s="4" t="s">
        <v>982</v>
      </c>
      <c r="D58" s="4" t="s">
        <v>983</v>
      </c>
      <c r="E58" s="4" t="n">
        <v>97215.72</v>
      </c>
      <c r="G58" s="4" t="n">
        <v>0</v>
      </c>
      <c r="J58" s="11" t="n">
        <f aca="false">IF(C58="one_time",G58,H58)</f>
        <v>0</v>
      </c>
      <c r="K58" s="11" t="n">
        <f aca="false">IF(C58="one_time",G58+1,I58)</f>
        <v>1</v>
      </c>
      <c r="L58" s="11" t="n">
        <f aca="false">K58-J58</f>
        <v>1</v>
      </c>
    </row>
    <row r="59" customFormat="false" ht="15" hidden="false" customHeight="false" outlineLevel="0" collapsed="false">
      <c r="A59" s="4" t="s">
        <v>1041</v>
      </c>
      <c r="B59" s="4" t="s">
        <v>84</v>
      </c>
      <c r="C59" s="4" t="s">
        <v>982</v>
      </c>
      <c r="D59" s="4" t="s">
        <v>983</v>
      </c>
      <c r="E59" s="4" t="n">
        <v>59003.89</v>
      </c>
      <c r="G59" s="4" t="n">
        <v>1</v>
      </c>
      <c r="J59" s="11" t="n">
        <f aca="false">IF(C59="one_time",G59,H59)</f>
        <v>1</v>
      </c>
      <c r="K59" s="11" t="n">
        <f aca="false">IF(C59="one_time",G59+1,I59)</f>
        <v>2</v>
      </c>
      <c r="L59" s="11" t="n">
        <f aca="false">K59-J59</f>
        <v>1</v>
      </c>
    </row>
    <row r="60" customFormat="false" ht="15" hidden="false" customHeight="false" outlineLevel="0" collapsed="false">
      <c r="A60" s="4" t="s">
        <v>1042</v>
      </c>
      <c r="B60" s="4" t="s">
        <v>84</v>
      </c>
      <c r="C60" s="4" t="s">
        <v>982</v>
      </c>
      <c r="D60" s="4" t="s">
        <v>983</v>
      </c>
      <c r="E60" s="4" t="n">
        <v>142320.2</v>
      </c>
      <c r="G60" s="4" t="n">
        <v>2</v>
      </c>
      <c r="J60" s="11" t="n">
        <f aca="false">IF(C60="one_time",G60,H60)</f>
        <v>2</v>
      </c>
      <c r="K60" s="11" t="n">
        <f aca="false">IF(C60="one_time",G60+1,I60)</f>
        <v>3</v>
      </c>
      <c r="L60" s="11" t="n">
        <f aca="false">K60-J60</f>
        <v>1</v>
      </c>
    </row>
    <row r="61" customFormat="false" ht="15" hidden="false" customHeight="false" outlineLevel="0" collapsed="false">
      <c r="A61" s="4" t="s">
        <v>1043</v>
      </c>
      <c r="B61" s="4" t="s">
        <v>84</v>
      </c>
      <c r="C61" s="4" t="s">
        <v>982</v>
      </c>
      <c r="D61" s="4" t="s">
        <v>983</v>
      </c>
      <c r="E61" s="4" t="n">
        <v>4817.22</v>
      </c>
      <c r="G61" s="4" t="n">
        <v>3</v>
      </c>
      <c r="J61" s="11" t="n">
        <f aca="false">IF(C61="one_time",G61,H61)</f>
        <v>3</v>
      </c>
      <c r="K61" s="11" t="n">
        <f aca="false">IF(C61="one_time",G61+1,I61)</f>
        <v>4</v>
      </c>
      <c r="L61" s="11" t="n">
        <f aca="false">K61-J61</f>
        <v>1</v>
      </c>
    </row>
    <row r="62" customFormat="false" ht="15" hidden="false" customHeight="false" outlineLevel="0" collapsed="false">
      <c r="A62" s="4" t="s">
        <v>1044</v>
      </c>
      <c r="B62" s="4" t="s">
        <v>84</v>
      </c>
      <c r="C62" s="4" t="s">
        <v>982</v>
      </c>
      <c r="D62" s="4" t="s">
        <v>983</v>
      </c>
      <c r="E62" s="4" t="n">
        <v>4980.17</v>
      </c>
      <c r="G62" s="4" t="n">
        <v>4</v>
      </c>
      <c r="J62" s="11" t="n">
        <f aca="false">IF(C62="one_time",G62,H62)</f>
        <v>4</v>
      </c>
      <c r="K62" s="11" t="n">
        <f aca="false">IF(C62="one_time",G62+1,I62)</f>
        <v>5</v>
      </c>
      <c r="L62" s="11" t="n">
        <f aca="false">K62-J62</f>
        <v>1</v>
      </c>
    </row>
    <row r="63" customFormat="false" ht="15" hidden="false" customHeight="false" outlineLevel="0" collapsed="false">
      <c r="A63" s="4" t="s">
        <v>1045</v>
      </c>
      <c r="B63" s="4" t="s">
        <v>84</v>
      </c>
      <c r="C63" s="4" t="s">
        <v>982</v>
      </c>
      <c r="D63" s="4" t="s">
        <v>983</v>
      </c>
      <c r="E63" s="4" t="n">
        <v>5311.16</v>
      </c>
      <c r="G63" s="4" t="n">
        <v>5</v>
      </c>
      <c r="J63" s="11" t="n">
        <f aca="false">IF(C63="one_time",G63,H63)</f>
        <v>5</v>
      </c>
      <c r="K63" s="11" t="n">
        <f aca="false">IF(C63="one_time",G63+1,I63)</f>
        <v>6</v>
      </c>
      <c r="L63" s="11" t="n">
        <f aca="false">K63-J63</f>
        <v>1</v>
      </c>
    </row>
    <row r="64" customFormat="false" ht="15" hidden="false" customHeight="false" outlineLevel="0" collapsed="false">
      <c r="A64" s="4" t="s">
        <v>1046</v>
      </c>
      <c r="B64" s="4" t="s">
        <v>84</v>
      </c>
      <c r="C64" s="4" t="s">
        <v>982</v>
      </c>
      <c r="D64" s="4" t="s">
        <v>983</v>
      </c>
      <c r="E64" s="4" t="n">
        <v>5178.76</v>
      </c>
      <c r="G64" s="4" t="n">
        <v>6</v>
      </c>
      <c r="J64" s="11" t="n">
        <f aca="false">IF(C64="one_time",G64,H64)</f>
        <v>6</v>
      </c>
      <c r="K64" s="11" t="n">
        <f aca="false">IF(C64="one_time",G64+1,I64)</f>
        <v>7</v>
      </c>
      <c r="L64" s="11" t="n">
        <f aca="false">K64-J64</f>
        <v>1</v>
      </c>
    </row>
    <row r="65" customFormat="false" ht="15" hidden="false" customHeight="false" outlineLevel="0" collapsed="false">
      <c r="A65" s="4" t="s">
        <v>1047</v>
      </c>
      <c r="B65" s="4" t="s">
        <v>84</v>
      </c>
      <c r="C65" s="4" t="s">
        <v>982</v>
      </c>
      <c r="D65" s="4" t="s">
        <v>983</v>
      </c>
      <c r="E65" s="4" t="n">
        <v>4863.05</v>
      </c>
      <c r="G65" s="4" t="n">
        <v>7</v>
      </c>
      <c r="J65" s="11" t="n">
        <f aca="false">IF(C65="one_time",G65,H65)</f>
        <v>7</v>
      </c>
      <c r="K65" s="11" t="n">
        <f aca="false">IF(C65="one_time",G65+1,I65)</f>
        <v>8</v>
      </c>
      <c r="L65" s="11" t="n">
        <f aca="false">K65-J65</f>
        <v>1</v>
      </c>
    </row>
    <row r="66" customFormat="false" ht="15" hidden="false" customHeight="false" outlineLevel="0" collapsed="false">
      <c r="A66" s="4" t="s">
        <v>1048</v>
      </c>
      <c r="B66" s="4" t="s">
        <v>84</v>
      </c>
      <c r="C66" s="4" t="s">
        <v>982</v>
      </c>
      <c r="D66" s="4" t="s">
        <v>983</v>
      </c>
      <c r="E66" s="4" t="n">
        <v>5091.24</v>
      </c>
      <c r="G66" s="4" t="n">
        <v>8</v>
      </c>
      <c r="J66" s="11" t="n">
        <f aca="false">IF(C66="one_time",G66,H66)</f>
        <v>8</v>
      </c>
      <c r="K66" s="11" t="n">
        <f aca="false">IF(C66="one_time",G66+1,I66)</f>
        <v>9</v>
      </c>
      <c r="L66" s="11" t="n">
        <f aca="false">K66-J66</f>
        <v>1</v>
      </c>
    </row>
    <row r="67" customFormat="false" ht="15" hidden="false" customHeight="false" outlineLevel="0" collapsed="false">
      <c r="A67" s="4" t="s">
        <v>1049</v>
      </c>
      <c r="B67" s="4" t="s">
        <v>84</v>
      </c>
      <c r="C67" s="4" t="s">
        <v>982</v>
      </c>
      <c r="D67" s="4" t="s">
        <v>983</v>
      </c>
      <c r="E67" s="4" t="n">
        <v>29548.66</v>
      </c>
      <c r="G67" s="4" t="n">
        <v>0</v>
      </c>
      <c r="J67" s="11" t="n">
        <f aca="false">IF(C67="one_time",G67,H67)</f>
        <v>0</v>
      </c>
      <c r="K67" s="11" t="n">
        <f aca="false">IF(C67="one_time",G67+1,I67)</f>
        <v>1</v>
      </c>
      <c r="L67" s="11" t="n">
        <f aca="false">K67-J67</f>
        <v>1</v>
      </c>
    </row>
    <row r="68" customFormat="false" ht="15" hidden="false" customHeight="false" outlineLevel="0" collapsed="false">
      <c r="A68" s="4" t="s">
        <v>1050</v>
      </c>
      <c r="B68" s="4" t="s">
        <v>84</v>
      </c>
      <c r="C68" s="4" t="s">
        <v>982</v>
      </c>
      <c r="D68" s="4" t="s">
        <v>983</v>
      </c>
      <c r="E68" s="4" t="n">
        <v>20228.19</v>
      </c>
      <c r="G68" s="4" t="n">
        <v>1</v>
      </c>
      <c r="J68" s="11" t="n">
        <f aca="false">IF(C68="one_time",G68,H68)</f>
        <v>1</v>
      </c>
      <c r="K68" s="11" t="n">
        <f aca="false">IF(C68="one_time",G68+1,I68)</f>
        <v>2</v>
      </c>
      <c r="L68" s="11" t="n">
        <f aca="false">K68-J68</f>
        <v>1</v>
      </c>
    </row>
    <row r="69" customFormat="false" ht="15" hidden="false" customHeight="false" outlineLevel="0" collapsed="false">
      <c r="A69" s="4" t="s">
        <v>1051</v>
      </c>
      <c r="B69" s="4" t="s">
        <v>84</v>
      </c>
      <c r="C69" s="4" t="s">
        <v>982</v>
      </c>
      <c r="D69" s="4" t="s">
        <v>983</v>
      </c>
      <c r="E69" s="4" t="n">
        <v>47216.29</v>
      </c>
      <c r="G69" s="4" t="n">
        <v>2</v>
      </c>
      <c r="J69" s="11" t="n">
        <f aca="false">IF(C69="one_time",G69,H69)</f>
        <v>2</v>
      </c>
      <c r="K69" s="11" t="n">
        <f aca="false">IF(C69="one_time",G69+1,I69)</f>
        <v>3</v>
      </c>
      <c r="L69" s="11" t="n">
        <f aca="false">K69-J69</f>
        <v>1</v>
      </c>
    </row>
    <row r="70" customFormat="false" ht="15" hidden="false" customHeight="false" outlineLevel="0" collapsed="false">
      <c r="A70" s="4" t="s">
        <v>1052</v>
      </c>
      <c r="B70" s="4" t="s">
        <v>84</v>
      </c>
      <c r="C70" s="4" t="s">
        <v>982</v>
      </c>
      <c r="D70" s="4" t="s">
        <v>983</v>
      </c>
      <c r="E70" s="4" t="n">
        <v>1726.25</v>
      </c>
      <c r="G70" s="4" t="n">
        <v>3</v>
      </c>
      <c r="J70" s="11" t="n">
        <f aca="false">IF(C70="one_time",G70,H70)</f>
        <v>3</v>
      </c>
      <c r="K70" s="11" t="n">
        <f aca="false">IF(C70="one_time",G70+1,I70)</f>
        <v>4</v>
      </c>
      <c r="L70" s="11" t="n">
        <f aca="false">K70-J70</f>
        <v>1</v>
      </c>
    </row>
    <row r="71" customFormat="false" ht="15" hidden="false" customHeight="false" outlineLevel="0" collapsed="false">
      <c r="A71" s="4" t="s">
        <v>1053</v>
      </c>
      <c r="B71" s="4" t="s">
        <v>84</v>
      </c>
      <c r="C71" s="4" t="s">
        <v>982</v>
      </c>
      <c r="D71" s="4" t="s">
        <v>983</v>
      </c>
      <c r="E71" s="4" t="n">
        <v>1777.17</v>
      </c>
      <c r="G71" s="4" t="n">
        <v>4</v>
      </c>
      <c r="J71" s="11" t="n">
        <f aca="false">IF(C71="one_time",G71,H71)</f>
        <v>4</v>
      </c>
      <c r="K71" s="11" t="n">
        <f aca="false">IF(C71="one_time",G71+1,I71)</f>
        <v>5</v>
      </c>
      <c r="L71" s="11" t="n">
        <f aca="false">K71-J71</f>
        <v>1</v>
      </c>
    </row>
    <row r="72" customFormat="false" ht="15" hidden="false" customHeight="false" outlineLevel="0" collapsed="false">
      <c r="A72" s="4" t="s">
        <v>1054</v>
      </c>
      <c r="B72" s="4" t="s">
        <v>84</v>
      </c>
      <c r="C72" s="4" t="s">
        <v>982</v>
      </c>
      <c r="D72" s="4" t="s">
        <v>983</v>
      </c>
      <c r="E72" s="4" t="n">
        <v>1804.33</v>
      </c>
      <c r="G72" s="4" t="n">
        <v>5</v>
      </c>
      <c r="J72" s="11" t="n">
        <f aca="false">IF(C72="one_time",G72,H72)</f>
        <v>5</v>
      </c>
      <c r="K72" s="11" t="n">
        <f aca="false">IF(C72="one_time",G72+1,I72)</f>
        <v>6</v>
      </c>
      <c r="L72" s="11" t="n">
        <f aca="false">K72-J72</f>
        <v>1</v>
      </c>
    </row>
    <row r="73" customFormat="false" ht="15" hidden="false" customHeight="false" outlineLevel="0" collapsed="false">
      <c r="A73" s="4" t="s">
        <v>1055</v>
      </c>
      <c r="B73" s="4" t="s">
        <v>84</v>
      </c>
      <c r="C73" s="4" t="s">
        <v>982</v>
      </c>
      <c r="D73" s="4" t="s">
        <v>983</v>
      </c>
      <c r="E73" s="4" t="n">
        <v>1612.53</v>
      </c>
      <c r="G73" s="4" t="n">
        <v>6</v>
      </c>
      <c r="J73" s="11" t="n">
        <f aca="false">IF(C73="one_time",G73,H73)</f>
        <v>6</v>
      </c>
      <c r="K73" s="11" t="n">
        <f aca="false">IF(C73="one_time",G73+1,I73)</f>
        <v>7</v>
      </c>
      <c r="L73" s="11" t="n">
        <f aca="false">K73-J73</f>
        <v>1</v>
      </c>
    </row>
    <row r="74" customFormat="false" ht="15" hidden="false" customHeight="false" outlineLevel="0" collapsed="false">
      <c r="A74" s="4" t="s">
        <v>1056</v>
      </c>
      <c r="B74" s="4" t="s">
        <v>84</v>
      </c>
      <c r="C74" s="4" t="s">
        <v>982</v>
      </c>
      <c r="D74" s="4" t="s">
        <v>983</v>
      </c>
      <c r="E74" s="4" t="n">
        <v>1727.95</v>
      </c>
      <c r="G74" s="4" t="n">
        <v>7</v>
      </c>
      <c r="J74" s="11" t="n">
        <f aca="false">IF(C74="one_time",G74,H74)</f>
        <v>7</v>
      </c>
      <c r="K74" s="11" t="n">
        <f aca="false">IF(C74="one_time",G74+1,I74)</f>
        <v>8</v>
      </c>
      <c r="L74" s="11" t="n">
        <f aca="false">K74-J74</f>
        <v>1</v>
      </c>
    </row>
    <row r="75" customFormat="false" ht="15" hidden="false" customHeight="false" outlineLevel="0" collapsed="false">
      <c r="A75" s="4" t="s">
        <v>1057</v>
      </c>
      <c r="B75" s="4" t="s">
        <v>84</v>
      </c>
      <c r="C75" s="4" t="s">
        <v>982</v>
      </c>
      <c r="D75" s="4" t="s">
        <v>983</v>
      </c>
      <c r="E75" s="4" t="n">
        <v>1801.68</v>
      </c>
      <c r="G75" s="4" t="n">
        <v>8</v>
      </c>
      <c r="J75" s="11" t="n">
        <f aca="false">IF(C75="one_time",G75,H75)</f>
        <v>8</v>
      </c>
      <c r="K75" s="11" t="n">
        <f aca="false">IF(C75="one_time",G75+1,I75)</f>
        <v>9</v>
      </c>
      <c r="L75" s="11" t="n">
        <f aca="false">K75-J75</f>
        <v>1</v>
      </c>
    </row>
    <row r="76" customFormat="false" ht="15" hidden="false" customHeight="false" outlineLevel="0" collapsed="false">
      <c r="A76" s="4" t="s">
        <v>1058</v>
      </c>
      <c r="B76" s="4" t="s">
        <v>84</v>
      </c>
      <c r="C76" s="4" t="s">
        <v>982</v>
      </c>
      <c r="D76" s="4" t="s">
        <v>983</v>
      </c>
      <c r="E76" s="4" t="n">
        <v>86004.42</v>
      </c>
      <c r="G76" s="4" t="n">
        <v>0</v>
      </c>
      <c r="J76" s="11" t="n">
        <f aca="false">IF(C76="one_time",G76,H76)</f>
        <v>0</v>
      </c>
      <c r="K76" s="11" t="n">
        <f aca="false">IF(C76="one_time",G76+1,I76)</f>
        <v>1</v>
      </c>
      <c r="L76" s="11" t="n">
        <f aca="false">K76-J76</f>
        <v>1</v>
      </c>
    </row>
    <row r="77" customFormat="false" ht="15" hidden="false" customHeight="false" outlineLevel="0" collapsed="false">
      <c r="A77" s="4" t="s">
        <v>1059</v>
      </c>
      <c r="B77" s="4" t="s">
        <v>84</v>
      </c>
      <c r="C77" s="4" t="s">
        <v>982</v>
      </c>
      <c r="D77" s="4" t="s">
        <v>983</v>
      </c>
      <c r="E77" s="4" t="n">
        <v>51807.64</v>
      </c>
      <c r="G77" s="4" t="n">
        <v>1</v>
      </c>
      <c r="J77" s="11" t="n">
        <f aca="false">IF(C77="one_time",G77,H77)</f>
        <v>1</v>
      </c>
      <c r="K77" s="11" t="n">
        <f aca="false">IF(C77="one_time",G77+1,I77)</f>
        <v>2</v>
      </c>
      <c r="L77" s="11" t="n">
        <f aca="false">K77-J77</f>
        <v>1</v>
      </c>
    </row>
    <row r="78" customFormat="false" ht="15" hidden="false" customHeight="false" outlineLevel="0" collapsed="false">
      <c r="A78" s="4" t="s">
        <v>1060</v>
      </c>
      <c r="B78" s="4" t="s">
        <v>84</v>
      </c>
      <c r="C78" s="4" t="s">
        <v>982</v>
      </c>
      <c r="D78" s="4" t="s">
        <v>983</v>
      </c>
      <c r="E78" s="4" t="n">
        <v>115765.69</v>
      </c>
      <c r="G78" s="4" t="n">
        <v>2</v>
      </c>
      <c r="J78" s="11" t="n">
        <f aca="false">IF(C78="one_time",G78,H78)</f>
        <v>2</v>
      </c>
      <c r="K78" s="11" t="n">
        <f aca="false">IF(C78="one_time",G78+1,I78)</f>
        <v>3</v>
      </c>
      <c r="L78" s="11" t="n">
        <f aca="false">K78-J78</f>
        <v>1</v>
      </c>
    </row>
    <row r="79" customFormat="false" ht="15" hidden="false" customHeight="false" outlineLevel="0" collapsed="false">
      <c r="A79" s="4" t="s">
        <v>1061</v>
      </c>
      <c r="B79" s="4" t="s">
        <v>84</v>
      </c>
      <c r="C79" s="4" t="s">
        <v>982</v>
      </c>
      <c r="D79" s="4" t="s">
        <v>983</v>
      </c>
      <c r="E79" s="4" t="n">
        <v>4653.13</v>
      </c>
      <c r="G79" s="4" t="n">
        <v>3</v>
      </c>
      <c r="J79" s="11" t="n">
        <f aca="false">IF(C79="one_time",G79,H79)</f>
        <v>3</v>
      </c>
      <c r="K79" s="11" t="n">
        <f aca="false">IF(C79="one_time",G79+1,I79)</f>
        <v>4</v>
      </c>
      <c r="L79" s="11" t="n">
        <f aca="false">K79-J79</f>
        <v>1</v>
      </c>
    </row>
    <row r="80" customFormat="false" ht="15" hidden="false" customHeight="false" outlineLevel="0" collapsed="false">
      <c r="A80" s="4" t="s">
        <v>1062</v>
      </c>
      <c r="B80" s="4" t="s">
        <v>84</v>
      </c>
      <c r="C80" s="4" t="s">
        <v>982</v>
      </c>
      <c r="D80" s="4" t="s">
        <v>983</v>
      </c>
      <c r="E80" s="4" t="n">
        <v>4277.44</v>
      </c>
      <c r="G80" s="4" t="n">
        <v>4</v>
      </c>
      <c r="J80" s="11" t="n">
        <f aca="false">IF(C80="one_time",G80,H80)</f>
        <v>4</v>
      </c>
      <c r="K80" s="11" t="n">
        <f aca="false">IF(C80="one_time",G80+1,I80)</f>
        <v>5</v>
      </c>
      <c r="L80" s="11" t="n">
        <f aca="false">K80-J80</f>
        <v>1</v>
      </c>
    </row>
    <row r="81" customFormat="false" ht="15" hidden="false" customHeight="false" outlineLevel="0" collapsed="false">
      <c r="A81" s="4" t="s">
        <v>1063</v>
      </c>
      <c r="B81" s="4" t="s">
        <v>84</v>
      </c>
      <c r="C81" s="4" t="s">
        <v>982</v>
      </c>
      <c r="D81" s="4" t="s">
        <v>983</v>
      </c>
      <c r="E81" s="4" t="n">
        <v>4558.08</v>
      </c>
      <c r="G81" s="4" t="n">
        <v>5</v>
      </c>
      <c r="J81" s="11" t="n">
        <f aca="false">IF(C81="one_time",G81,H81)</f>
        <v>5</v>
      </c>
      <c r="K81" s="11" t="n">
        <f aca="false">IF(C81="one_time",G81+1,I81)</f>
        <v>6</v>
      </c>
      <c r="L81" s="11" t="n">
        <f aca="false">K81-J81</f>
        <v>1</v>
      </c>
    </row>
    <row r="82" customFormat="false" ht="15" hidden="false" customHeight="false" outlineLevel="0" collapsed="false">
      <c r="A82" s="4" t="s">
        <v>1064</v>
      </c>
      <c r="B82" s="4" t="s">
        <v>84</v>
      </c>
      <c r="C82" s="4" t="s">
        <v>982</v>
      </c>
      <c r="D82" s="4" t="s">
        <v>983</v>
      </c>
      <c r="E82" s="4" t="n">
        <v>4517.34</v>
      </c>
      <c r="G82" s="4" t="n">
        <v>6</v>
      </c>
      <c r="J82" s="11" t="n">
        <f aca="false">IF(C82="one_time",G82,H82)</f>
        <v>6</v>
      </c>
      <c r="K82" s="11" t="n">
        <f aca="false">IF(C82="one_time",G82+1,I82)</f>
        <v>7</v>
      </c>
      <c r="L82" s="11" t="n">
        <f aca="false">K82-J82</f>
        <v>1</v>
      </c>
    </row>
    <row r="83" customFormat="false" ht="15" hidden="false" customHeight="false" outlineLevel="0" collapsed="false">
      <c r="A83" s="4" t="s">
        <v>1065</v>
      </c>
      <c r="B83" s="4" t="s">
        <v>84</v>
      </c>
      <c r="C83" s="4" t="s">
        <v>982</v>
      </c>
      <c r="D83" s="4" t="s">
        <v>983</v>
      </c>
      <c r="E83" s="4" t="n">
        <v>4263.86</v>
      </c>
      <c r="G83" s="4" t="n">
        <v>7</v>
      </c>
      <c r="J83" s="11" t="n">
        <f aca="false">IF(C83="one_time",G83,H83)</f>
        <v>7</v>
      </c>
      <c r="K83" s="11" t="n">
        <f aca="false">IF(C83="one_time",G83+1,I83)</f>
        <v>8</v>
      </c>
      <c r="L83" s="11" t="n">
        <f aca="false">K83-J83</f>
        <v>1</v>
      </c>
    </row>
    <row r="84" customFormat="false" ht="15" hidden="false" customHeight="false" outlineLevel="0" collapsed="false">
      <c r="A84" s="4" t="s">
        <v>1066</v>
      </c>
      <c r="B84" s="4" t="s">
        <v>84</v>
      </c>
      <c r="C84" s="4" t="s">
        <v>982</v>
      </c>
      <c r="D84" s="4" t="s">
        <v>983</v>
      </c>
      <c r="E84" s="4" t="n">
        <v>4732.35</v>
      </c>
      <c r="G84" s="4" t="n">
        <v>8</v>
      </c>
      <c r="J84" s="11" t="n">
        <f aca="false">IF(C84="one_time",G84,H84)</f>
        <v>8</v>
      </c>
      <c r="K84" s="11" t="n">
        <f aca="false">IF(C84="one_time",G84+1,I84)</f>
        <v>9</v>
      </c>
      <c r="L84" s="11" t="n">
        <f aca="false">K84-J84</f>
        <v>1</v>
      </c>
    </row>
    <row r="85" customFormat="false" ht="15" hidden="false" customHeight="false" outlineLevel="0" collapsed="false">
      <c r="A85" s="4" t="s">
        <v>1067</v>
      </c>
      <c r="B85" s="4" t="s">
        <v>84</v>
      </c>
      <c r="C85" s="4" t="s">
        <v>982</v>
      </c>
      <c r="D85" s="4" t="s">
        <v>1011</v>
      </c>
      <c r="E85" s="4" t="n">
        <v>37500</v>
      </c>
      <c r="F85" s="4" t="s">
        <v>1012</v>
      </c>
      <c r="G85" s="4" t="n">
        <v>0</v>
      </c>
      <c r="J85" s="11" t="n">
        <f aca="false">IF(C85="one_time",G85,H85)</f>
        <v>0</v>
      </c>
      <c r="K85" s="11" t="n">
        <f aca="false">IF(C85="one_time",G85+1,I85)</f>
        <v>1</v>
      </c>
      <c r="L85" s="11" t="n">
        <f aca="false">K85-J85</f>
        <v>1</v>
      </c>
    </row>
    <row r="86" customFormat="false" ht="15" hidden="false" customHeight="false" outlineLevel="0" collapsed="false">
      <c r="A86" s="4" t="s">
        <v>1068</v>
      </c>
      <c r="B86" s="4" t="s">
        <v>84</v>
      </c>
      <c r="C86" s="4" t="s">
        <v>982</v>
      </c>
      <c r="D86" s="4" t="s">
        <v>1011</v>
      </c>
      <c r="E86" s="4" t="n">
        <v>27500</v>
      </c>
      <c r="F86" s="4" t="s">
        <v>1012</v>
      </c>
      <c r="G86" s="4" t="n">
        <v>2</v>
      </c>
      <c r="J86" s="11" t="n">
        <f aca="false">IF(C86="one_time",G86,H86)</f>
        <v>2</v>
      </c>
      <c r="K86" s="11" t="n">
        <f aca="false">IF(C86="one_time",G86+1,I86)</f>
        <v>3</v>
      </c>
      <c r="L86" s="11" t="n">
        <f aca="false">K86-J86</f>
        <v>1</v>
      </c>
    </row>
    <row r="87" customFormat="false" ht="15" hidden="false" customHeight="false" outlineLevel="0" collapsed="false">
      <c r="A87" s="4" t="s">
        <v>1069</v>
      </c>
      <c r="B87" s="4" t="s">
        <v>84</v>
      </c>
      <c r="C87" s="4" t="s">
        <v>982</v>
      </c>
      <c r="D87" s="4" t="s">
        <v>1011</v>
      </c>
      <c r="E87" s="4" t="n">
        <v>32500</v>
      </c>
      <c r="F87" s="4" t="s">
        <v>1012</v>
      </c>
      <c r="G87" s="4" t="n">
        <v>1</v>
      </c>
      <c r="J87" s="11" t="n">
        <f aca="false">IF(C87="one_time",G87,H87)</f>
        <v>1</v>
      </c>
      <c r="K87" s="11" t="n">
        <f aca="false">IF(C87="one_time",G87+1,I87)</f>
        <v>2</v>
      </c>
      <c r="L87" s="11" t="n">
        <f aca="false">K87-J87</f>
        <v>1</v>
      </c>
    </row>
    <row r="88" customFormat="false" ht="15" hidden="false" customHeight="false" outlineLevel="0" collapsed="false">
      <c r="A88" s="4" t="s">
        <v>1070</v>
      </c>
      <c r="B88" s="4" t="s">
        <v>84</v>
      </c>
      <c r="C88" s="4" t="s">
        <v>982</v>
      </c>
      <c r="D88" s="4" t="s">
        <v>1011</v>
      </c>
      <c r="E88" s="4" t="n">
        <v>6500</v>
      </c>
      <c r="F88" s="4" t="s">
        <v>1012</v>
      </c>
      <c r="G88" s="4" t="n">
        <v>0</v>
      </c>
      <c r="J88" s="11" t="n">
        <f aca="false">IF(C88="one_time",G88,H88)</f>
        <v>0</v>
      </c>
      <c r="K88" s="11" t="n">
        <f aca="false">IF(C88="one_time",G88+1,I88)</f>
        <v>1</v>
      </c>
      <c r="L88" s="11" t="n">
        <f aca="false">K88-J88</f>
        <v>1</v>
      </c>
    </row>
    <row r="89" customFormat="false" ht="15" hidden="false" customHeight="false" outlineLevel="0" collapsed="false">
      <c r="A89" s="4" t="s">
        <v>1071</v>
      </c>
      <c r="B89" s="4" t="s">
        <v>84</v>
      </c>
      <c r="C89" s="4" t="s">
        <v>982</v>
      </c>
      <c r="D89" s="4" t="s">
        <v>1011</v>
      </c>
      <c r="E89" s="4" t="n">
        <v>33600</v>
      </c>
      <c r="F89" s="4" t="s">
        <v>1012</v>
      </c>
      <c r="G89" s="4" t="n">
        <v>0</v>
      </c>
      <c r="J89" s="11" t="n">
        <f aca="false">IF(C89="one_time",G89,H89)</f>
        <v>0</v>
      </c>
      <c r="K89" s="11" t="n">
        <f aca="false">IF(C89="one_time",G89+1,I89)</f>
        <v>1</v>
      </c>
      <c r="L89" s="11" t="n">
        <f aca="false">K89-J89</f>
        <v>1</v>
      </c>
    </row>
    <row r="90" customFormat="false" ht="15" hidden="false" customHeight="false" outlineLevel="0" collapsed="false">
      <c r="A90" s="4" t="s">
        <v>1072</v>
      </c>
      <c r="B90" s="4" t="s">
        <v>84</v>
      </c>
      <c r="C90" s="4" t="s">
        <v>982</v>
      </c>
      <c r="D90" s="4" t="s">
        <v>1011</v>
      </c>
      <c r="E90" s="4" t="n">
        <v>13450</v>
      </c>
      <c r="F90" s="4" t="s">
        <v>1012</v>
      </c>
      <c r="G90" s="4" t="n">
        <v>2</v>
      </c>
      <c r="J90" s="11" t="n">
        <f aca="false">IF(C90="one_time",G90,H90)</f>
        <v>2</v>
      </c>
      <c r="K90" s="11" t="n">
        <f aca="false">IF(C90="one_time",G90+1,I90)</f>
        <v>3</v>
      </c>
      <c r="L90" s="11" t="n">
        <f aca="false">K90-J90</f>
        <v>1</v>
      </c>
    </row>
    <row r="91" customFormat="false" ht="15" hidden="false" customHeight="false" outlineLevel="0" collapsed="false">
      <c r="A91" s="4" t="s">
        <v>1073</v>
      </c>
      <c r="B91" s="4" t="s">
        <v>84</v>
      </c>
      <c r="C91" s="4" t="s">
        <v>982</v>
      </c>
      <c r="D91" s="4" t="s">
        <v>1011</v>
      </c>
      <c r="E91" s="4" t="n">
        <v>17950</v>
      </c>
      <c r="F91" s="4" t="s">
        <v>1012</v>
      </c>
      <c r="G91" s="4" t="n">
        <v>1</v>
      </c>
      <c r="J91" s="11" t="n">
        <f aca="false">IF(C91="one_time",G91,H91)</f>
        <v>1</v>
      </c>
      <c r="K91" s="11" t="n">
        <f aca="false">IF(C91="one_time",G91+1,I91)</f>
        <v>2</v>
      </c>
      <c r="L91" s="11" t="n">
        <f aca="false">K91-J91</f>
        <v>1</v>
      </c>
    </row>
    <row r="92" customFormat="false" ht="15" hidden="false" customHeight="false" outlineLevel="0" collapsed="false">
      <c r="A92" s="4" t="s">
        <v>1074</v>
      </c>
      <c r="B92" s="4" t="s">
        <v>84</v>
      </c>
      <c r="C92" s="4" t="s">
        <v>982</v>
      </c>
      <c r="D92" s="4" t="s">
        <v>1011</v>
      </c>
      <c r="E92" s="4" t="n">
        <v>13000</v>
      </c>
      <c r="F92" s="4" t="s">
        <v>1012</v>
      </c>
      <c r="G92" s="4" t="n">
        <v>0</v>
      </c>
      <c r="J92" s="11" t="n">
        <f aca="false">IF(C92="one_time",G92,H92)</f>
        <v>0</v>
      </c>
      <c r="K92" s="11" t="n">
        <f aca="false">IF(C92="one_time",G92+1,I92)</f>
        <v>1</v>
      </c>
      <c r="L92" s="11" t="n">
        <f aca="false">K92-J92</f>
        <v>1</v>
      </c>
    </row>
    <row r="93" customFormat="false" ht="15" hidden="false" customHeight="false" outlineLevel="0" collapsed="false">
      <c r="A93" s="4" t="s">
        <v>1075</v>
      </c>
      <c r="B93" s="4" t="s">
        <v>84</v>
      </c>
      <c r="C93" s="4" t="s">
        <v>982</v>
      </c>
      <c r="D93" s="4" t="s">
        <v>1011</v>
      </c>
      <c r="E93" s="4" t="n">
        <v>130000</v>
      </c>
      <c r="F93" s="4" t="s">
        <v>1012</v>
      </c>
      <c r="G93" s="4" t="n">
        <v>2</v>
      </c>
      <c r="J93" s="11" t="n">
        <f aca="false">IF(C93="one_time",G93,H93)</f>
        <v>2</v>
      </c>
      <c r="K93" s="11" t="n">
        <f aca="false">IF(C93="one_time",G93+1,I93)</f>
        <v>3</v>
      </c>
      <c r="L93" s="11" t="n">
        <f aca="false">K93-J93</f>
        <v>1</v>
      </c>
    </row>
    <row r="94" customFormat="false" ht="15" hidden="false" customHeight="false" outlineLevel="0" collapsed="false">
      <c r="A94" s="4" t="s">
        <v>1076</v>
      </c>
      <c r="B94" s="4" t="s">
        <v>84</v>
      </c>
      <c r="C94" s="4" t="s">
        <v>982</v>
      </c>
      <c r="D94" s="4" t="s">
        <v>1011</v>
      </c>
      <c r="E94" s="4" t="n">
        <v>97500</v>
      </c>
      <c r="F94" s="4" t="s">
        <v>1012</v>
      </c>
      <c r="G94" s="4" t="n">
        <v>0</v>
      </c>
      <c r="J94" s="11" t="n">
        <f aca="false">IF(C94="one_time",G94,H94)</f>
        <v>0</v>
      </c>
      <c r="K94" s="11" t="n">
        <f aca="false">IF(C94="one_time",G94+1,I94)</f>
        <v>1</v>
      </c>
      <c r="L94" s="11" t="n">
        <f aca="false">K94-J94</f>
        <v>1</v>
      </c>
    </row>
    <row r="95" customFormat="false" ht="15" hidden="false" customHeight="false" outlineLevel="0" collapsed="false">
      <c r="A95" s="4" t="s">
        <v>1077</v>
      </c>
      <c r="B95" s="4" t="s">
        <v>84</v>
      </c>
      <c r="C95" s="4" t="s">
        <v>982</v>
      </c>
      <c r="D95" s="4" t="s">
        <v>1011</v>
      </c>
      <c r="E95" s="4" t="n">
        <v>39000</v>
      </c>
      <c r="F95" s="4" t="s">
        <v>1012</v>
      </c>
      <c r="G95" s="4" t="n">
        <v>2</v>
      </c>
      <c r="J95" s="11" t="n">
        <f aca="false">IF(C95="one_time",G95,H95)</f>
        <v>2</v>
      </c>
      <c r="K95" s="11" t="n">
        <f aca="false">IF(C95="one_time",G95+1,I95)</f>
        <v>3</v>
      </c>
      <c r="L95" s="11" t="n">
        <f aca="false">K95-J95</f>
        <v>1</v>
      </c>
    </row>
    <row r="96" customFormat="false" ht="15" hidden="false" customHeight="false" outlineLevel="0" collapsed="false">
      <c r="A96" s="4" t="s">
        <v>1078</v>
      </c>
      <c r="B96" s="4" t="s">
        <v>84</v>
      </c>
      <c r="C96" s="4" t="s">
        <v>982</v>
      </c>
      <c r="D96" s="4" t="s">
        <v>1011</v>
      </c>
      <c r="E96" s="4" t="n">
        <v>39000</v>
      </c>
      <c r="F96" s="4" t="s">
        <v>1012</v>
      </c>
      <c r="G96" s="4" t="n">
        <v>1</v>
      </c>
      <c r="J96" s="11" t="n">
        <f aca="false">IF(C96="one_time",G96,H96)</f>
        <v>1</v>
      </c>
      <c r="K96" s="11" t="n">
        <f aca="false">IF(C96="one_time",G96+1,I96)</f>
        <v>2</v>
      </c>
      <c r="L96" s="11" t="n">
        <f aca="false">K96-J96</f>
        <v>1</v>
      </c>
    </row>
    <row r="97" customFormat="false" ht="15" hidden="false" customHeight="false" outlineLevel="0" collapsed="false">
      <c r="A97" s="4" t="s">
        <v>1079</v>
      </c>
      <c r="B97" s="4" t="s">
        <v>84</v>
      </c>
      <c r="C97" s="4" t="s">
        <v>982</v>
      </c>
      <c r="D97" s="4" t="s">
        <v>1011</v>
      </c>
      <c r="E97" s="4" t="n">
        <v>19500</v>
      </c>
      <c r="F97" s="4" t="s">
        <v>1012</v>
      </c>
      <c r="G97" s="4" t="n">
        <v>0</v>
      </c>
      <c r="J97" s="11" t="n">
        <f aca="false">IF(C97="one_time",G97,H97)</f>
        <v>0</v>
      </c>
      <c r="K97" s="11" t="n">
        <f aca="false">IF(C97="one_time",G97+1,I97)</f>
        <v>1</v>
      </c>
      <c r="L97" s="11" t="n">
        <f aca="false">K97-J97</f>
        <v>1</v>
      </c>
    </row>
    <row r="98" customFormat="false" ht="15" hidden="false" customHeight="false" outlineLevel="0" collapsed="false">
      <c r="A98" s="4" t="s">
        <v>1080</v>
      </c>
      <c r="B98" s="4" t="s">
        <v>84</v>
      </c>
      <c r="C98" s="4" t="s">
        <v>982</v>
      </c>
      <c r="D98" s="4" t="s">
        <v>1011</v>
      </c>
      <c r="E98" s="4" t="n">
        <v>12050</v>
      </c>
      <c r="F98" s="4" t="s">
        <v>1012</v>
      </c>
      <c r="G98" s="4" t="n">
        <v>2</v>
      </c>
      <c r="J98" s="11" t="n">
        <f aca="false">IF(C98="one_time",G98,H98)</f>
        <v>2</v>
      </c>
      <c r="K98" s="11" t="n">
        <f aca="false">IF(C98="one_time",G98+1,I98)</f>
        <v>3</v>
      </c>
      <c r="L98" s="11" t="n">
        <f aca="false">K98-J98</f>
        <v>1</v>
      </c>
    </row>
    <row r="99" customFormat="false" ht="15" hidden="false" customHeight="false" outlineLevel="0" collapsed="false">
      <c r="A99" s="4" t="s">
        <v>1081</v>
      </c>
      <c r="B99" s="4" t="s">
        <v>84</v>
      </c>
      <c r="C99" s="4" t="s">
        <v>982</v>
      </c>
      <c r="D99" s="4" t="s">
        <v>1011</v>
      </c>
      <c r="E99" s="4" t="n">
        <v>16050</v>
      </c>
      <c r="F99" s="4" t="s">
        <v>1012</v>
      </c>
      <c r="G99" s="4" t="n">
        <v>0</v>
      </c>
      <c r="J99" s="11" t="n">
        <f aca="false">IF(C99="one_time",G99,H99)</f>
        <v>0</v>
      </c>
      <c r="K99" s="11" t="n">
        <f aca="false">IF(C99="one_time",G99+1,I99)</f>
        <v>1</v>
      </c>
      <c r="L99" s="11" t="n">
        <f aca="false">K99-J99</f>
        <v>1</v>
      </c>
    </row>
    <row r="100" customFormat="false" ht="15" hidden="false" customHeight="false" outlineLevel="0" collapsed="false">
      <c r="A100" s="4" t="s">
        <v>1082</v>
      </c>
      <c r="B100" s="4" t="s">
        <v>84</v>
      </c>
      <c r="C100" s="4" t="s">
        <v>982</v>
      </c>
      <c r="D100" s="4" t="s">
        <v>1011</v>
      </c>
      <c r="E100" s="4" t="n">
        <v>17400</v>
      </c>
      <c r="F100" s="4" t="s">
        <v>1012</v>
      </c>
      <c r="G100" s="4" t="n">
        <v>2</v>
      </c>
      <c r="J100" s="11" t="n">
        <f aca="false">IF(C100="one_time",G100,H100)</f>
        <v>2</v>
      </c>
      <c r="K100" s="11" t="n">
        <f aca="false">IF(C100="one_time",G100+1,I100)</f>
        <v>3</v>
      </c>
      <c r="L100" s="11" t="n">
        <f aca="false">K100-J100</f>
        <v>1</v>
      </c>
    </row>
    <row r="101" customFormat="false" ht="15" hidden="false" customHeight="false" outlineLevel="0" collapsed="false">
      <c r="A101" s="4" t="s">
        <v>1083</v>
      </c>
      <c r="B101" s="4" t="s">
        <v>84</v>
      </c>
      <c r="C101" s="4" t="s">
        <v>982</v>
      </c>
      <c r="D101" s="4" t="s">
        <v>1011</v>
      </c>
      <c r="E101" s="4" t="n">
        <v>65000</v>
      </c>
      <c r="F101" s="4" t="s">
        <v>1012</v>
      </c>
      <c r="G101" s="4" t="n">
        <v>2</v>
      </c>
      <c r="J101" s="11" t="n">
        <f aca="false">IF(C101="one_time",G101,H101)</f>
        <v>2</v>
      </c>
      <c r="K101" s="11" t="n">
        <f aca="false">IF(C101="one_time",G101+1,I101)</f>
        <v>3</v>
      </c>
      <c r="L101" s="11" t="n">
        <f aca="false">K101-J101</f>
        <v>1</v>
      </c>
    </row>
    <row r="102" customFormat="false" ht="15" hidden="false" customHeight="false" outlineLevel="0" collapsed="false">
      <c r="A102" s="4" t="s">
        <v>1084</v>
      </c>
      <c r="B102" s="4" t="s">
        <v>84</v>
      </c>
      <c r="C102" s="4" t="s">
        <v>982</v>
      </c>
      <c r="D102" s="4" t="s">
        <v>1011</v>
      </c>
      <c r="E102" s="4" t="n">
        <v>52000</v>
      </c>
      <c r="F102" s="4" t="s">
        <v>1012</v>
      </c>
      <c r="G102" s="4" t="n">
        <v>1</v>
      </c>
      <c r="J102" s="11" t="n">
        <f aca="false">IF(C102="one_time",G102,H102)</f>
        <v>1</v>
      </c>
      <c r="K102" s="11" t="n">
        <f aca="false">IF(C102="one_time",G102+1,I102)</f>
        <v>2</v>
      </c>
      <c r="L102" s="11" t="n">
        <f aca="false">K102-J102</f>
        <v>1</v>
      </c>
    </row>
    <row r="103" customFormat="false" ht="15" hidden="false" customHeight="false" outlineLevel="0" collapsed="false">
      <c r="A103" s="4" t="s">
        <v>1085</v>
      </c>
      <c r="B103" s="4" t="s">
        <v>84</v>
      </c>
      <c r="C103" s="4" t="s">
        <v>1034</v>
      </c>
      <c r="D103" s="4" t="s">
        <v>1011</v>
      </c>
      <c r="E103" s="4" t="n">
        <v>2400</v>
      </c>
      <c r="F103" s="4" t="s">
        <v>1012</v>
      </c>
      <c r="H103" s="4" t="n">
        <v>2</v>
      </c>
      <c r="I103" s="4" t="n">
        <v>8</v>
      </c>
      <c r="J103" s="11" t="n">
        <f aca="false">IF(C103="one_time",G103,H103)</f>
        <v>2</v>
      </c>
      <c r="K103" s="11" t="n">
        <f aca="false">IF(C103="one_time",G103+1,I103)</f>
        <v>8</v>
      </c>
      <c r="L103" s="11" t="n">
        <f aca="false">K103-J103</f>
        <v>6</v>
      </c>
    </row>
    <row r="104" customFormat="false" ht="15" hidden="false" customHeight="false" outlineLevel="0" collapsed="false">
      <c r="A104" s="4" t="s">
        <v>1086</v>
      </c>
      <c r="B104" s="4" t="s">
        <v>84</v>
      </c>
      <c r="C104" s="4" t="s">
        <v>1034</v>
      </c>
      <c r="D104" s="4" t="s">
        <v>1011</v>
      </c>
      <c r="E104" s="4" t="n">
        <v>2600</v>
      </c>
      <c r="F104" s="4" t="s">
        <v>1012</v>
      </c>
      <c r="H104" s="4" t="n">
        <v>8</v>
      </c>
      <c r="I104" s="4" t="n">
        <v>15</v>
      </c>
      <c r="J104" s="11" t="n">
        <f aca="false">IF(C104="one_time",G104,H104)</f>
        <v>8</v>
      </c>
      <c r="K104" s="11" t="n">
        <f aca="false">IF(C104="one_time",G104+1,I104)</f>
        <v>15</v>
      </c>
      <c r="L104" s="11" t="n">
        <f aca="false">K104-J104</f>
        <v>7</v>
      </c>
    </row>
    <row r="105" customFormat="false" ht="15" hidden="false" customHeight="false" outlineLevel="0" collapsed="false">
      <c r="A105" s="4" t="s">
        <v>1087</v>
      </c>
      <c r="B105" s="4" t="s">
        <v>84</v>
      </c>
      <c r="C105" s="4" t="s">
        <v>1034</v>
      </c>
      <c r="D105" s="4" t="s">
        <v>1011</v>
      </c>
      <c r="E105" s="4" t="n">
        <v>4200</v>
      </c>
      <c r="F105" s="4" t="s">
        <v>1012</v>
      </c>
      <c r="H105" s="4" t="n">
        <v>2</v>
      </c>
      <c r="I105" s="4" t="n">
        <v>8</v>
      </c>
      <c r="J105" s="11" t="n">
        <f aca="false">IF(C105="one_time",G105,H105)</f>
        <v>2</v>
      </c>
      <c r="K105" s="11" t="n">
        <f aca="false">IF(C105="one_time",G105+1,I105)</f>
        <v>8</v>
      </c>
      <c r="L105" s="11" t="n">
        <f aca="false">K105-J105</f>
        <v>6</v>
      </c>
    </row>
    <row r="106" customFormat="false" ht="15" hidden="false" customHeight="false" outlineLevel="0" collapsed="false">
      <c r="A106" s="4" t="s">
        <v>1088</v>
      </c>
      <c r="B106" s="4" t="s">
        <v>84</v>
      </c>
      <c r="C106" s="4" t="s">
        <v>1034</v>
      </c>
      <c r="D106" s="4" t="s">
        <v>1011</v>
      </c>
      <c r="E106" s="4" t="n">
        <v>4300</v>
      </c>
      <c r="F106" s="4" t="s">
        <v>1012</v>
      </c>
      <c r="H106" s="4" t="n">
        <v>8</v>
      </c>
      <c r="I106" s="4" t="n">
        <v>15</v>
      </c>
      <c r="J106" s="11" t="n">
        <f aca="false">IF(C106="one_time",G106,H106)</f>
        <v>8</v>
      </c>
      <c r="K106" s="11" t="n">
        <f aca="false">IF(C106="one_time",G106+1,I106)</f>
        <v>15</v>
      </c>
      <c r="L106" s="11" t="n">
        <f aca="false">K106-J106</f>
        <v>7</v>
      </c>
    </row>
    <row r="107" customFormat="false" ht="15" hidden="false" customHeight="false" outlineLevel="0" collapsed="false">
      <c r="A107" s="4" t="s">
        <v>1089</v>
      </c>
      <c r="B107" s="4" t="s">
        <v>84</v>
      </c>
      <c r="C107" s="4" t="s">
        <v>1034</v>
      </c>
      <c r="D107" s="4" t="s">
        <v>1011</v>
      </c>
      <c r="E107" s="4" t="n">
        <v>5400</v>
      </c>
      <c r="F107" s="4" t="s">
        <v>1012</v>
      </c>
      <c r="H107" s="4" t="n">
        <v>2</v>
      </c>
      <c r="I107" s="4" t="n">
        <v>8</v>
      </c>
      <c r="J107" s="11" t="n">
        <f aca="false">IF(C107="one_time",G107,H107)</f>
        <v>2</v>
      </c>
      <c r="K107" s="11" t="n">
        <f aca="false">IF(C107="one_time",G107+1,I107)</f>
        <v>8</v>
      </c>
      <c r="L107" s="11" t="n">
        <f aca="false">K107-J107</f>
        <v>6</v>
      </c>
    </row>
    <row r="108" customFormat="false" ht="15" hidden="false" customHeight="false" outlineLevel="0" collapsed="false">
      <c r="A108" s="4" t="s">
        <v>1090</v>
      </c>
      <c r="B108" s="4" t="s">
        <v>84</v>
      </c>
      <c r="C108" s="4" t="s">
        <v>1034</v>
      </c>
      <c r="D108" s="4" t="s">
        <v>1011</v>
      </c>
      <c r="E108" s="4" t="n">
        <v>5850</v>
      </c>
      <c r="F108" s="4" t="s">
        <v>1012</v>
      </c>
      <c r="H108" s="4" t="n">
        <v>8</v>
      </c>
      <c r="I108" s="4" t="n">
        <v>15</v>
      </c>
      <c r="J108" s="11" t="n">
        <f aca="false">IF(C108="one_time",G108,H108)</f>
        <v>8</v>
      </c>
      <c r="K108" s="11" t="n">
        <f aca="false">IF(C108="one_time",G108+1,I108)</f>
        <v>15</v>
      </c>
      <c r="L108" s="11" t="n">
        <f aca="false">K108-J108</f>
        <v>7</v>
      </c>
    </row>
    <row r="109" customFormat="false" ht="15" hidden="false" customHeight="false" outlineLevel="0" collapsed="false">
      <c r="A109" s="4" t="s">
        <v>1091</v>
      </c>
      <c r="B109" s="4" t="s">
        <v>85</v>
      </c>
      <c r="C109" s="4" t="s">
        <v>982</v>
      </c>
      <c r="D109" s="4" t="s">
        <v>983</v>
      </c>
      <c r="E109" s="4" t="n">
        <v>124008.99</v>
      </c>
      <c r="G109" s="4" t="n">
        <v>1</v>
      </c>
      <c r="J109" s="11" t="n">
        <f aca="false">IF(C109="one_time",G109,H109)</f>
        <v>1</v>
      </c>
      <c r="K109" s="11" t="n">
        <f aca="false">IF(C109="one_time",G109+1,I109)</f>
        <v>2</v>
      </c>
      <c r="L109" s="11" t="n">
        <f aca="false">K109-J109</f>
        <v>1</v>
      </c>
    </row>
    <row r="110" customFormat="false" ht="15" hidden="false" customHeight="false" outlineLevel="0" collapsed="false">
      <c r="A110" s="4" t="s">
        <v>1092</v>
      </c>
      <c r="B110" s="4" t="s">
        <v>85</v>
      </c>
      <c r="C110" s="4" t="s">
        <v>982</v>
      </c>
      <c r="D110" s="4" t="s">
        <v>983</v>
      </c>
      <c r="E110" s="4" t="n">
        <v>79372.84</v>
      </c>
      <c r="G110" s="4" t="n">
        <v>2</v>
      </c>
      <c r="J110" s="11" t="n">
        <f aca="false">IF(C110="one_time",G110,H110)</f>
        <v>2</v>
      </c>
      <c r="K110" s="11" t="n">
        <f aca="false">IF(C110="one_time",G110+1,I110)</f>
        <v>3</v>
      </c>
      <c r="L110" s="11" t="n">
        <f aca="false">K110-J110</f>
        <v>1</v>
      </c>
    </row>
    <row r="111" customFormat="false" ht="15" hidden="false" customHeight="false" outlineLevel="0" collapsed="false">
      <c r="A111" s="4" t="s">
        <v>1093</v>
      </c>
      <c r="B111" s="4" t="s">
        <v>85</v>
      </c>
      <c r="C111" s="4" t="s">
        <v>982</v>
      </c>
      <c r="D111" s="4" t="s">
        <v>983</v>
      </c>
      <c r="E111" s="4" t="n">
        <v>46974.43</v>
      </c>
      <c r="G111" s="4" t="n">
        <v>3</v>
      </c>
      <c r="J111" s="11" t="n">
        <f aca="false">IF(C111="one_time",G111,H111)</f>
        <v>3</v>
      </c>
      <c r="K111" s="11" t="n">
        <f aca="false">IF(C111="one_time",G111+1,I111)</f>
        <v>4</v>
      </c>
      <c r="L111" s="11" t="n">
        <f aca="false">K111-J111</f>
        <v>1</v>
      </c>
    </row>
    <row r="112" customFormat="false" ht="15" hidden="false" customHeight="false" outlineLevel="0" collapsed="false">
      <c r="A112" s="4" t="s">
        <v>1094</v>
      </c>
      <c r="B112" s="4" t="s">
        <v>85</v>
      </c>
      <c r="C112" s="4" t="s">
        <v>982</v>
      </c>
      <c r="D112" s="4" t="s">
        <v>983</v>
      </c>
      <c r="E112" s="4" t="n">
        <v>4838.29</v>
      </c>
      <c r="G112" s="4" t="n">
        <v>4</v>
      </c>
      <c r="J112" s="11" t="n">
        <f aca="false">IF(C112="one_time",G112,H112)</f>
        <v>4</v>
      </c>
      <c r="K112" s="11" t="n">
        <f aca="false">IF(C112="one_time",G112+1,I112)</f>
        <v>5</v>
      </c>
      <c r="L112" s="11" t="n">
        <f aca="false">K112-J112</f>
        <v>1</v>
      </c>
    </row>
    <row r="113" customFormat="false" ht="15" hidden="false" customHeight="false" outlineLevel="0" collapsed="false">
      <c r="A113" s="4" t="s">
        <v>1095</v>
      </c>
      <c r="B113" s="4" t="s">
        <v>85</v>
      </c>
      <c r="C113" s="4" t="s">
        <v>982</v>
      </c>
      <c r="D113" s="4" t="s">
        <v>983</v>
      </c>
      <c r="E113" s="4" t="n">
        <v>4941.86</v>
      </c>
      <c r="G113" s="4" t="n">
        <v>5</v>
      </c>
      <c r="J113" s="11" t="n">
        <f aca="false">IF(C113="one_time",G113,H113)</f>
        <v>5</v>
      </c>
      <c r="K113" s="11" t="n">
        <f aca="false">IF(C113="one_time",G113+1,I113)</f>
        <v>6</v>
      </c>
      <c r="L113" s="11" t="n">
        <f aca="false">K113-J113</f>
        <v>1</v>
      </c>
    </row>
    <row r="114" customFormat="false" ht="15" hidden="false" customHeight="false" outlineLevel="0" collapsed="false">
      <c r="A114" s="4" t="s">
        <v>1096</v>
      </c>
      <c r="B114" s="4" t="s">
        <v>85</v>
      </c>
      <c r="C114" s="4" t="s">
        <v>982</v>
      </c>
      <c r="D114" s="4" t="s">
        <v>983</v>
      </c>
      <c r="E114" s="4" t="n">
        <v>4951.72</v>
      </c>
      <c r="G114" s="4" t="n">
        <v>6</v>
      </c>
      <c r="J114" s="11" t="n">
        <f aca="false">IF(C114="one_time",G114,H114)</f>
        <v>6</v>
      </c>
      <c r="K114" s="11" t="n">
        <f aca="false">IF(C114="one_time",G114+1,I114)</f>
        <v>7</v>
      </c>
      <c r="L114" s="11" t="n">
        <f aca="false">K114-J114</f>
        <v>1</v>
      </c>
    </row>
    <row r="115" customFormat="false" ht="15" hidden="false" customHeight="false" outlineLevel="0" collapsed="false">
      <c r="A115" s="4" t="s">
        <v>1097</v>
      </c>
      <c r="B115" s="4" t="s">
        <v>85</v>
      </c>
      <c r="C115" s="4" t="s">
        <v>982</v>
      </c>
      <c r="D115" s="4" t="s">
        <v>983</v>
      </c>
      <c r="E115" s="4" t="n">
        <v>4705.12</v>
      </c>
      <c r="G115" s="4" t="n">
        <v>7</v>
      </c>
      <c r="J115" s="11" t="n">
        <f aca="false">IF(C115="one_time",G115,H115)</f>
        <v>7</v>
      </c>
      <c r="K115" s="11" t="n">
        <f aca="false">IF(C115="one_time",G115+1,I115)</f>
        <v>8</v>
      </c>
      <c r="L115" s="11" t="n">
        <f aca="false">K115-J115</f>
        <v>1</v>
      </c>
    </row>
    <row r="116" customFormat="false" ht="15" hidden="false" customHeight="false" outlineLevel="0" collapsed="false">
      <c r="A116" s="4" t="s">
        <v>1098</v>
      </c>
      <c r="B116" s="4" t="s">
        <v>85</v>
      </c>
      <c r="C116" s="4" t="s">
        <v>982</v>
      </c>
      <c r="D116" s="4" t="s">
        <v>983</v>
      </c>
      <c r="E116" s="4" t="n">
        <v>4714.99</v>
      </c>
      <c r="G116" s="4" t="n">
        <v>8</v>
      </c>
      <c r="J116" s="11" t="n">
        <f aca="false">IF(C116="one_time",G116,H116)</f>
        <v>8</v>
      </c>
      <c r="K116" s="11" t="n">
        <f aca="false">IF(C116="one_time",G116+1,I116)</f>
        <v>9</v>
      </c>
      <c r="L116" s="11" t="n">
        <f aca="false">K116-J116</f>
        <v>1</v>
      </c>
    </row>
    <row r="117" customFormat="false" ht="15" hidden="false" customHeight="false" outlineLevel="0" collapsed="false">
      <c r="A117" s="4" t="s">
        <v>1099</v>
      </c>
      <c r="B117" s="4" t="s">
        <v>85</v>
      </c>
      <c r="C117" s="4" t="s">
        <v>982</v>
      </c>
      <c r="D117" s="4" t="s">
        <v>983</v>
      </c>
      <c r="E117" s="4" t="n">
        <v>45474.32</v>
      </c>
      <c r="G117" s="4" t="n">
        <v>1</v>
      </c>
      <c r="J117" s="11" t="n">
        <f aca="false">IF(C117="one_time",G117,H117)</f>
        <v>1</v>
      </c>
      <c r="K117" s="11" t="n">
        <f aca="false">IF(C117="one_time",G117+1,I117)</f>
        <v>2</v>
      </c>
      <c r="L117" s="11" t="n">
        <f aca="false">K117-J117</f>
        <v>1</v>
      </c>
    </row>
    <row r="118" customFormat="false" ht="15" hidden="false" customHeight="false" outlineLevel="0" collapsed="false">
      <c r="A118" s="4" t="s">
        <v>1100</v>
      </c>
      <c r="B118" s="4" t="s">
        <v>85</v>
      </c>
      <c r="C118" s="4" t="s">
        <v>982</v>
      </c>
      <c r="D118" s="4" t="s">
        <v>983</v>
      </c>
      <c r="E118" s="4" t="n">
        <v>24503.35</v>
      </c>
      <c r="G118" s="4" t="n">
        <v>2</v>
      </c>
      <c r="J118" s="11" t="n">
        <f aca="false">IF(C118="one_time",G118,H118)</f>
        <v>2</v>
      </c>
      <c r="K118" s="11" t="n">
        <f aca="false">IF(C118="one_time",G118+1,I118)</f>
        <v>3</v>
      </c>
      <c r="L118" s="11" t="n">
        <f aca="false">K118-J118</f>
        <v>1</v>
      </c>
    </row>
    <row r="119" customFormat="false" ht="15" hidden="false" customHeight="false" outlineLevel="0" collapsed="false">
      <c r="A119" s="4" t="s">
        <v>1101</v>
      </c>
      <c r="B119" s="4" t="s">
        <v>85</v>
      </c>
      <c r="C119" s="4" t="s">
        <v>982</v>
      </c>
      <c r="D119" s="4" t="s">
        <v>983</v>
      </c>
      <c r="E119" s="4" t="n">
        <v>14485.3</v>
      </c>
      <c r="G119" s="4" t="n">
        <v>3</v>
      </c>
      <c r="J119" s="11" t="n">
        <f aca="false">IF(C119="one_time",G119,H119)</f>
        <v>3</v>
      </c>
      <c r="K119" s="11" t="n">
        <f aca="false">IF(C119="one_time",G119+1,I119)</f>
        <v>4</v>
      </c>
      <c r="L119" s="11" t="n">
        <f aca="false">K119-J119</f>
        <v>1</v>
      </c>
    </row>
    <row r="120" customFormat="false" ht="15" hidden="false" customHeight="false" outlineLevel="0" collapsed="false">
      <c r="A120" s="4" t="s">
        <v>1102</v>
      </c>
      <c r="B120" s="4" t="s">
        <v>85</v>
      </c>
      <c r="C120" s="4" t="s">
        <v>982</v>
      </c>
      <c r="D120" s="4" t="s">
        <v>983</v>
      </c>
      <c r="E120" s="4" t="n">
        <v>1612.76</v>
      </c>
      <c r="G120" s="4" t="n">
        <v>4</v>
      </c>
      <c r="J120" s="11" t="n">
        <f aca="false">IF(C120="one_time",G120,H120)</f>
        <v>4</v>
      </c>
      <c r="K120" s="11" t="n">
        <f aca="false">IF(C120="one_time",G120+1,I120)</f>
        <v>5</v>
      </c>
      <c r="L120" s="11" t="n">
        <f aca="false">K120-J120</f>
        <v>1</v>
      </c>
    </row>
    <row r="121" customFormat="false" ht="15" hidden="false" customHeight="false" outlineLevel="0" collapsed="false">
      <c r="A121" s="4" t="s">
        <v>1103</v>
      </c>
      <c r="B121" s="4" t="s">
        <v>85</v>
      </c>
      <c r="C121" s="4" t="s">
        <v>982</v>
      </c>
      <c r="D121" s="4" t="s">
        <v>983</v>
      </c>
      <c r="E121" s="4" t="n">
        <v>1739.35</v>
      </c>
      <c r="G121" s="4" t="n">
        <v>5</v>
      </c>
      <c r="J121" s="11" t="n">
        <f aca="false">IF(C121="one_time",G121,H121)</f>
        <v>5</v>
      </c>
      <c r="K121" s="11" t="n">
        <f aca="false">IF(C121="one_time",G121+1,I121)</f>
        <v>6</v>
      </c>
      <c r="L121" s="11" t="n">
        <f aca="false">K121-J121</f>
        <v>1</v>
      </c>
    </row>
    <row r="122" customFormat="false" ht="15" hidden="false" customHeight="false" outlineLevel="0" collapsed="false">
      <c r="A122" s="4" t="s">
        <v>1104</v>
      </c>
      <c r="B122" s="4" t="s">
        <v>85</v>
      </c>
      <c r="C122" s="4" t="s">
        <v>982</v>
      </c>
      <c r="D122" s="4" t="s">
        <v>983</v>
      </c>
      <c r="E122" s="4" t="n">
        <v>1606.18</v>
      </c>
      <c r="G122" s="4" t="n">
        <v>6</v>
      </c>
      <c r="J122" s="11" t="n">
        <f aca="false">IF(C122="one_time",G122,H122)</f>
        <v>6</v>
      </c>
      <c r="K122" s="11" t="n">
        <f aca="false">IF(C122="one_time",G122+1,I122)</f>
        <v>7</v>
      </c>
      <c r="L122" s="11" t="n">
        <f aca="false">K122-J122</f>
        <v>1</v>
      </c>
    </row>
    <row r="123" customFormat="false" ht="15" hidden="false" customHeight="false" outlineLevel="0" collapsed="false">
      <c r="A123" s="4" t="s">
        <v>1105</v>
      </c>
      <c r="B123" s="4" t="s">
        <v>85</v>
      </c>
      <c r="C123" s="4" t="s">
        <v>982</v>
      </c>
      <c r="D123" s="4" t="s">
        <v>983</v>
      </c>
      <c r="E123" s="4" t="n">
        <v>1714.69</v>
      </c>
      <c r="G123" s="4" t="n">
        <v>7</v>
      </c>
      <c r="J123" s="11" t="n">
        <f aca="false">IF(C123="one_time",G123,H123)</f>
        <v>7</v>
      </c>
      <c r="K123" s="11" t="n">
        <f aca="false">IF(C123="one_time",G123+1,I123)</f>
        <v>8</v>
      </c>
      <c r="L123" s="11" t="n">
        <f aca="false">K123-J123</f>
        <v>1</v>
      </c>
    </row>
    <row r="124" customFormat="false" ht="15" hidden="false" customHeight="false" outlineLevel="0" collapsed="false">
      <c r="A124" s="4" t="s">
        <v>1106</v>
      </c>
      <c r="B124" s="4" t="s">
        <v>85</v>
      </c>
      <c r="C124" s="4" t="s">
        <v>982</v>
      </c>
      <c r="D124" s="4" t="s">
        <v>983</v>
      </c>
      <c r="E124" s="4" t="n">
        <v>1717.98</v>
      </c>
      <c r="G124" s="4" t="n">
        <v>8</v>
      </c>
      <c r="J124" s="11" t="n">
        <f aca="false">IF(C124="one_time",G124,H124)</f>
        <v>8</v>
      </c>
      <c r="K124" s="11" t="n">
        <f aca="false">IF(C124="one_time",G124+1,I124)</f>
        <v>9</v>
      </c>
      <c r="L124" s="11" t="n">
        <f aca="false">K124-J124</f>
        <v>1</v>
      </c>
    </row>
    <row r="125" customFormat="false" ht="15" hidden="false" customHeight="false" outlineLevel="0" collapsed="false">
      <c r="A125" s="4" t="s">
        <v>1107</v>
      </c>
      <c r="B125" s="4" t="s">
        <v>85</v>
      </c>
      <c r="C125" s="4" t="s">
        <v>982</v>
      </c>
      <c r="D125" s="4" t="s">
        <v>983</v>
      </c>
      <c r="E125" s="4" t="n">
        <v>110810.99</v>
      </c>
      <c r="G125" s="4" t="n">
        <v>1</v>
      </c>
      <c r="J125" s="11" t="n">
        <f aca="false">IF(C125="one_time",G125,H125)</f>
        <v>1</v>
      </c>
      <c r="K125" s="11" t="n">
        <f aca="false">IF(C125="one_time",G125+1,I125)</f>
        <v>2</v>
      </c>
      <c r="L125" s="11" t="n">
        <f aca="false">K125-J125</f>
        <v>1</v>
      </c>
    </row>
    <row r="126" customFormat="false" ht="15" hidden="false" customHeight="false" outlineLevel="0" collapsed="false">
      <c r="A126" s="4" t="s">
        <v>1108</v>
      </c>
      <c r="B126" s="4" t="s">
        <v>85</v>
      </c>
      <c r="C126" s="4" t="s">
        <v>982</v>
      </c>
      <c r="D126" s="4" t="s">
        <v>983</v>
      </c>
      <c r="E126" s="4" t="n">
        <v>69016.96</v>
      </c>
      <c r="G126" s="4" t="n">
        <v>2</v>
      </c>
      <c r="J126" s="11" t="n">
        <f aca="false">IF(C126="one_time",G126,H126)</f>
        <v>2</v>
      </c>
      <c r="K126" s="11" t="n">
        <f aca="false">IF(C126="one_time",G126+1,I126)</f>
        <v>3</v>
      </c>
      <c r="L126" s="11" t="n">
        <f aca="false">K126-J126</f>
        <v>1</v>
      </c>
    </row>
    <row r="127" customFormat="false" ht="15" hidden="false" customHeight="false" outlineLevel="0" collapsed="false">
      <c r="A127" s="4" t="s">
        <v>1109</v>
      </c>
      <c r="B127" s="4" t="s">
        <v>85</v>
      </c>
      <c r="C127" s="4" t="s">
        <v>982</v>
      </c>
      <c r="D127" s="4" t="s">
        <v>983</v>
      </c>
      <c r="E127" s="4" t="n">
        <v>41755.05</v>
      </c>
      <c r="G127" s="4" t="n">
        <v>3</v>
      </c>
      <c r="J127" s="11" t="n">
        <f aca="false">IF(C127="one_time",G127,H127)</f>
        <v>3</v>
      </c>
      <c r="K127" s="11" t="n">
        <f aca="false">IF(C127="one_time",G127+1,I127)</f>
        <v>4</v>
      </c>
      <c r="L127" s="11" t="n">
        <f aca="false">K127-J127</f>
        <v>1</v>
      </c>
    </row>
    <row r="128" customFormat="false" ht="15" hidden="false" customHeight="false" outlineLevel="0" collapsed="false">
      <c r="A128" s="4" t="s">
        <v>1110</v>
      </c>
      <c r="B128" s="4" t="s">
        <v>85</v>
      </c>
      <c r="C128" s="4" t="s">
        <v>982</v>
      </c>
      <c r="D128" s="4" t="s">
        <v>983</v>
      </c>
      <c r="E128" s="4" t="n">
        <v>4348.92</v>
      </c>
      <c r="G128" s="4" t="n">
        <v>4</v>
      </c>
      <c r="J128" s="11" t="n">
        <f aca="false">IF(C128="one_time",G128,H128)</f>
        <v>4</v>
      </c>
      <c r="K128" s="11" t="n">
        <f aca="false">IF(C128="one_time",G128+1,I128)</f>
        <v>5</v>
      </c>
      <c r="L128" s="11" t="n">
        <f aca="false">K128-J128</f>
        <v>1</v>
      </c>
    </row>
    <row r="129" customFormat="false" ht="15" hidden="false" customHeight="false" outlineLevel="0" collapsed="false">
      <c r="A129" s="4" t="s">
        <v>1111</v>
      </c>
      <c r="B129" s="4" t="s">
        <v>85</v>
      </c>
      <c r="C129" s="4" t="s">
        <v>982</v>
      </c>
      <c r="D129" s="4" t="s">
        <v>983</v>
      </c>
      <c r="E129" s="4" t="n">
        <v>4440.99</v>
      </c>
      <c r="G129" s="4" t="n">
        <v>5</v>
      </c>
      <c r="J129" s="11" t="n">
        <f aca="false">IF(C129="one_time",G129,H129)</f>
        <v>5</v>
      </c>
      <c r="K129" s="11" t="n">
        <f aca="false">IF(C129="one_time",G129+1,I129)</f>
        <v>6</v>
      </c>
      <c r="L129" s="11" t="n">
        <f aca="false">K129-J129</f>
        <v>1</v>
      </c>
    </row>
    <row r="130" customFormat="false" ht="15" hidden="false" customHeight="false" outlineLevel="0" collapsed="false">
      <c r="A130" s="4" t="s">
        <v>1112</v>
      </c>
      <c r="B130" s="4" t="s">
        <v>85</v>
      </c>
      <c r="C130" s="4" t="s">
        <v>982</v>
      </c>
      <c r="D130" s="4" t="s">
        <v>983</v>
      </c>
      <c r="E130" s="4" t="n">
        <v>4594.43</v>
      </c>
      <c r="G130" s="4" t="n">
        <v>6</v>
      </c>
      <c r="J130" s="11" t="n">
        <f aca="false">IF(C130="one_time",G130,H130)</f>
        <v>6</v>
      </c>
      <c r="K130" s="11" t="n">
        <f aca="false">IF(C130="one_time",G130+1,I130)</f>
        <v>7</v>
      </c>
      <c r="L130" s="11" t="n">
        <f aca="false">K130-J130</f>
        <v>1</v>
      </c>
    </row>
    <row r="131" customFormat="false" ht="15" hidden="false" customHeight="false" outlineLevel="0" collapsed="false">
      <c r="A131" s="4" t="s">
        <v>1113</v>
      </c>
      <c r="B131" s="4" t="s">
        <v>85</v>
      </c>
      <c r="C131" s="4" t="s">
        <v>982</v>
      </c>
      <c r="D131" s="4" t="s">
        <v>983</v>
      </c>
      <c r="E131" s="4" t="n">
        <v>4467.29</v>
      </c>
      <c r="G131" s="4" t="n">
        <v>7</v>
      </c>
      <c r="J131" s="11" t="n">
        <f aca="false">IF(C131="one_time",G131,H131)</f>
        <v>7</v>
      </c>
      <c r="K131" s="11" t="n">
        <f aca="false">IF(C131="one_time",G131+1,I131)</f>
        <v>8</v>
      </c>
      <c r="L131" s="11" t="n">
        <f aca="false">K131-J131</f>
        <v>1</v>
      </c>
    </row>
    <row r="132" customFormat="false" ht="15" hidden="false" customHeight="false" outlineLevel="0" collapsed="false">
      <c r="A132" s="4" t="s">
        <v>1114</v>
      </c>
      <c r="B132" s="4" t="s">
        <v>85</v>
      </c>
      <c r="C132" s="4" t="s">
        <v>982</v>
      </c>
      <c r="D132" s="4" t="s">
        <v>983</v>
      </c>
      <c r="E132" s="4" t="n">
        <v>4633.88</v>
      </c>
      <c r="G132" s="4" t="n">
        <v>8</v>
      </c>
      <c r="J132" s="11" t="n">
        <f aca="false">IF(C132="one_time",G132,H132)</f>
        <v>8</v>
      </c>
      <c r="K132" s="11" t="n">
        <f aca="false">IF(C132="one_time",G132+1,I132)</f>
        <v>9</v>
      </c>
      <c r="L132" s="11" t="n">
        <f aca="false">K132-J132</f>
        <v>1</v>
      </c>
    </row>
    <row r="133" customFormat="false" ht="15" hidden="false" customHeight="false" outlineLevel="0" collapsed="false">
      <c r="A133" s="4" t="s">
        <v>1115</v>
      </c>
      <c r="B133" s="4" t="s">
        <v>85</v>
      </c>
      <c r="C133" s="4" t="s">
        <v>982</v>
      </c>
      <c r="D133" s="4" t="s">
        <v>1011</v>
      </c>
      <c r="E133" s="4" t="n">
        <v>18400</v>
      </c>
      <c r="F133" s="4" t="s">
        <v>1012</v>
      </c>
      <c r="G133" s="4" t="n">
        <v>2</v>
      </c>
      <c r="J133" s="11" t="n">
        <f aca="false">IF(C133="one_time",G133,H133)</f>
        <v>2</v>
      </c>
      <c r="K133" s="11" t="n">
        <f aca="false">IF(C133="one_time",G133+1,I133)</f>
        <v>3</v>
      </c>
      <c r="L133" s="11" t="n">
        <f aca="false">K133-J133</f>
        <v>1</v>
      </c>
    </row>
    <row r="134" customFormat="false" ht="15" hidden="false" customHeight="false" outlineLevel="0" collapsed="false">
      <c r="A134" s="4" t="s">
        <v>1116</v>
      </c>
      <c r="B134" s="4" t="s">
        <v>85</v>
      </c>
      <c r="C134" s="4" t="s">
        <v>982</v>
      </c>
      <c r="D134" s="4" t="s">
        <v>1011</v>
      </c>
      <c r="E134" s="4" t="n">
        <v>17100</v>
      </c>
      <c r="F134" s="4" t="s">
        <v>1012</v>
      </c>
      <c r="G134" s="4" t="n">
        <v>1</v>
      </c>
      <c r="J134" s="11" t="n">
        <f aca="false">IF(C134="one_time",G134,H134)</f>
        <v>1</v>
      </c>
      <c r="K134" s="11" t="n">
        <f aca="false">IF(C134="one_time",G134+1,I134)</f>
        <v>2</v>
      </c>
      <c r="L134" s="11" t="n">
        <f aca="false">K134-J134</f>
        <v>1</v>
      </c>
    </row>
    <row r="135" customFormat="false" ht="15" hidden="false" customHeight="false" outlineLevel="0" collapsed="false">
      <c r="A135" s="4" t="s">
        <v>1117</v>
      </c>
      <c r="B135" s="4" t="s">
        <v>85</v>
      </c>
      <c r="C135" s="4" t="s">
        <v>982</v>
      </c>
      <c r="D135" s="4" t="s">
        <v>1011</v>
      </c>
      <c r="E135" s="4" t="n">
        <v>14500</v>
      </c>
      <c r="F135" s="4" t="s">
        <v>1012</v>
      </c>
      <c r="G135" s="4" t="n">
        <v>3</v>
      </c>
      <c r="J135" s="11" t="n">
        <f aca="false">IF(C135="one_time",G135,H135)</f>
        <v>3</v>
      </c>
      <c r="K135" s="11" t="n">
        <f aca="false">IF(C135="one_time",G135+1,I135)</f>
        <v>4</v>
      </c>
      <c r="L135" s="11" t="n">
        <f aca="false">K135-J135</f>
        <v>1</v>
      </c>
    </row>
    <row r="136" customFormat="false" ht="15" hidden="false" customHeight="false" outlineLevel="0" collapsed="false">
      <c r="A136" s="4" t="s">
        <v>1118</v>
      </c>
      <c r="B136" s="4" t="s">
        <v>85</v>
      </c>
      <c r="C136" s="4" t="s">
        <v>982</v>
      </c>
      <c r="D136" s="4" t="s">
        <v>1011</v>
      </c>
      <c r="E136" s="4" t="n">
        <v>4800</v>
      </c>
      <c r="F136" s="4" t="s">
        <v>1012</v>
      </c>
      <c r="G136" s="4" t="n">
        <v>2</v>
      </c>
      <c r="J136" s="11" t="n">
        <f aca="false">IF(C136="one_time",G136,H136)</f>
        <v>2</v>
      </c>
      <c r="K136" s="11" t="n">
        <f aca="false">IF(C136="one_time",G136+1,I136)</f>
        <v>3</v>
      </c>
      <c r="L136" s="11" t="n">
        <f aca="false">K136-J136</f>
        <v>1</v>
      </c>
    </row>
    <row r="137" customFormat="false" ht="15" hidden="false" customHeight="false" outlineLevel="0" collapsed="false">
      <c r="A137" s="4" t="s">
        <v>1119</v>
      </c>
      <c r="B137" s="4" t="s">
        <v>85</v>
      </c>
      <c r="C137" s="4" t="s">
        <v>982</v>
      </c>
      <c r="D137" s="4" t="s">
        <v>1011</v>
      </c>
      <c r="E137" s="4" t="n">
        <v>13450</v>
      </c>
      <c r="F137" s="4" t="s">
        <v>1012</v>
      </c>
      <c r="G137" s="4" t="n">
        <v>2</v>
      </c>
      <c r="J137" s="11" t="n">
        <f aca="false">IF(C137="one_time",G137,H137)</f>
        <v>2</v>
      </c>
      <c r="K137" s="11" t="n">
        <f aca="false">IF(C137="one_time",G137+1,I137)</f>
        <v>3</v>
      </c>
      <c r="L137" s="11" t="n">
        <f aca="false">K137-J137</f>
        <v>1</v>
      </c>
    </row>
    <row r="138" customFormat="false" ht="15" hidden="false" customHeight="false" outlineLevel="0" collapsed="false">
      <c r="A138" s="4" t="s">
        <v>1120</v>
      </c>
      <c r="B138" s="4" t="s">
        <v>85</v>
      </c>
      <c r="C138" s="4" t="s">
        <v>982</v>
      </c>
      <c r="D138" s="4" t="s">
        <v>1011</v>
      </c>
      <c r="E138" s="4" t="n">
        <v>6750</v>
      </c>
      <c r="F138" s="4" t="s">
        <v>1012</v>
      </c>
      <c r="G138" s="4" t="n">
        <v>1</v>
      </c>
      <c r="J138" s="11" t="n">
        <f aca="false">IF(C138="one_time",G138,H138)</f>
        <v>1</v>
      </c>
      <c r="K138" s="11" t="n">
        <f aca="false">IF(C138="one_time",G138+1,I138)</f>
        <v>2</v>
      </c>
      <c r="L138" s="11" t="n">
        <f aca="false">K138-J138</f>
        <v>1</v>
      </c>
    </row>
    <row r="139" customFormat="false" ht="15" hidden="false" customHeight="false" outlineLevel="0" collapsed="false">
      <c r="A139" s="4" t="s">
        <v>1121</v>
      </c>
      <c r="B139" s="4" t="s">
        <v>85</v>
      </c>
      <c r="C139" s="4" t="s">
        <v>982</v>
      </c>
      <c r="D139" s="4" t="s">
        <v>1011</v>
      </c>
      <c r="E139" s="4" t="n">
        <v>10000</v>
      </c>
      <c r="F139" s="4" t="s">
        <v>1012</v>
      </c>
      <c r="G139" s="4" t="n">
        <v>1</v>
      </c>
      <c r="J139" s="11" t="n">
        <f aca="false">IF(C139="one_time",G139,H139)</f>
        <v>1</v>
      </c>
      <c r="K139" s="11" t="n">
        <f aca="false">IF(C139="one_time",G139+1,I139)</f>
        <v>2</v>
      </c>
      <c r="L139" s="11" t="n">
        <f aca="false">K139-J139</f>
        <v>1</v>
      </c>
    </row>
    <row r="140" customFormat="false" ht="15" hidden="false" customHeight="false" outlineLevel="0" collapsed="false">
      <c r="A140" s="4" t="s">
        <v>1122</v>
      </c>
      <c r="B140" s="4" t="s">
        <v>85</v>
      </c>
      <c r="C140" s="4" t="s">
        <v>982</v>
      </c>
      <c r="D140" s="4" t="s">
        <v>1011</v>
      </c>
      <c r="E140" s="4" t="n">
        <v>11900</v>
      </c>
      <c r="F140" s="4" t="s">
        <v>1012</v>
      </c>
      <c r="G140" s="4" t="n">
        <v>3</v>
      </c>
      <c r="J140" s="11" t="n">
        <f aca="false">IF(C140="one_time",G140,H140)</f>
        <v>3</v>
      </c>
      <c r="K140" s="11" t="n">
        <f aca="false">IF(C140="one_time",G140+1,I140)</f>
        <v>4</v>
      </c>
      <c r="L140" s="11" t="n">
        <f aca="false">K140-J140</f>
        <v>1</v>
      </c>
    </row>
    <row r="141" customFormat="false" ht="15" hidden="false" customHeight="false" outlineLevel="0" collapsed="false">
      <c r="A141" s="4" t="s">
        <v>1123</v>
      </c>
      <c r="B141" s="4" t="s">
        <v>85</v>
      </c>
      <c r="C141" s="4" t="s">
        <v>982</v>
      </c>
      <c r="D141" s="4" t="s">
        <v>1011</v>
      </c>
      <c r="E141" s="4" t="n">
        <v>21450</v>
      </c>
      <c r="F141" s="4" t="s">
        <v>1012</v>
      </c>
      <c r="G141" s="4" t="n">
        <v>2</v>
      </c>
      <c r="J141" s="11" t="n">
        <f aca="false">IF(C141="one_time",G141,H141)</f>
        <v>2</v>
      </c>
      <c r="K141" s="11" t="n">
        <f aca="false">IF(C141="one_time",G141+1,I141)</f>
        <v>3</v>
      </c>
      <c r="L141" s="11" t="n">
        <f aca="false">K141-J141</f>
        <v>1</v>
      </c>
    </row>
    <row r="142" customFormat="false" ht="15" hidden="false" customHeight="false" outlineLevel="0" collapsed="false">
      <c r="A142" s="4" t="s">
        <v>1124</v>
      </c>
      <c r="B142" s="4" t="s">
        <v>85</v>
      </c>
      <c r="C142" s="4" t="s">
        <v>982</v>
      </c>
      <c r="D142" s="4" t="s">
        <v>1011</v>
      </c>
      <c r="E142" s="4" t="n">
        <v>16650</v>
      </c>
      <c r="F142" s="4" t="s">
        <v>1012</v>
      </c>
      <c r="G142" s="4" t="n">
        <v>2</v>
      </c>
      <c r="J142" s="11" t="n">
        <f aca="false">IF(C142="one_time",G142,H142)</f>
        <v>2</v>
      </c>
      <c r="K142" s="11" t="n">
        <f aca="false">IF(C142="one_time",G142+1,I142)</f>
        <v>3</v>
      </c>
      <c r="L142" s="11" t="n">
        <f aca="false">K142-J142</f>
        <v>1</v>
      </c>
    </row>
    <row r="143" customFormat="false" ht="15" hidden="false" customHeight="false" outlineLevel="0" collapsed="false">
      <c r="A143" s="4" t="s">
        <v>1125</v>
      </c>
      <c r="B143" s="4" t="s">
        <v>85</v>
      </c>
      <c r="C143" s="4" t="s">
        <v>982</v>
      </c>
      <c r="D143" s="4" t="s">
        <v>1011</v>
      </c>
      <c r="E143" s="4" t="n">
        <v>10000</v>
      </c>
      <c r="F143" s="4" t="s">
        <v>1012</v>
      </c>
      <c r="G143" s="4" t="n">
        <v>0</v>
      </c>
      <c r="J143" s="11" t="n">
        <f aca="false">IF(C143="one_time",G143,H143)</f>
        <v>0</v>
      </c>
      <c r="K143" s="11" t="n">
        <f aca="false">IF(C143="one_time",G143+1,I143)</f>
        <v>1</v>
      </c>
      <c r="L143" s="11" t="n">
        <f aca="false">K143-J143</f>
        <v>1</v>
      </c>
    </row>
    <row r="144" customFormat="false" ht="15" hidden="false" customHeight="false" outlineLevel="0" collapsed="false">
      <c r="A144" s="4" t="s">
        <v>1126</v>
      </c>
      <c r="B144" s="4" t="s">
        <v>85</v>
      </c>
      <c r="C144" s="4" t="s">
        <v>982</v>
      </c>
      <c r="D144" s="4" t="s">
        <v>1011</v>
      </c>
      <c r="E144" s="4" t="n">
        <v>83350</v>
      </c>
      <c r="F144" s="4" t="s">
        <v>1012</v>
      </c>
      <c r="G144" s="4" t="n">
        <v>1</v>
      </c>
      <c r="J144" s="11" t="n">
        <f aca="false">IF(C144="one_time",G144,H144)</f>
        <v>1</v>
      </c>
      <c r="K144" s="11" t="n">
        <f aca="false">IF(C144="one_time",G144+1,I144)</f>
        <v>2</v>
      </c>
      <c r="L144" s="11" t="n">
        <f aca="false">K144-J144</f>
        <v>1</v>
      </c>
    </row>
    <row r="145" customFormat="false" ht="15" hidden="false" customHeight="false" outlineLevel="0" collapsed="false">
      <c r="A145" s="4" t="s">
        <v>1127</v>
      </c>
      <c r="B145" s="4" t="s">
        <v>85</v>
      </c>
      <c r="C145" s="4" t="s">
        <v>982</v>
      </c>
      <c r="D145" s="4" t="s">
        <v>1011</v>
      </c>
      <c r="E145" s="4" t="n">
        <v>91650</v>
      </c>
      <c r="F145" s="4" t="s">
        <v>1012</v>
      </c>
      <c r="G145" s="4" t="n">
        <v>1</v>
      </c>
      <c r="J145" s="11" t="n">
        <f aca="false">IF(C145="one_time",G145,H145)</f>
        <v>1</v>
      </c>
      <c r="K145" s="11" t="n">
        <f aca="false">IF(C145="one_time",G145+1,I145)</f>
        <v>2</v>
      </c>
      <c r="L145" s="11" t="n">
        <f aca="false">K145-J145</f>
        <v>1</v>
      </c>
    </row>
    <row r="146" customFormat="false" ht="15" hidden="false" customHeight="false" outlineLevel="0" collapsed="false">
      <c r="A146" s="4" t="s">
        <v>1128</v>
      </c>
      <c r="B146" s="4" t="s">
        <v>85</v>
      </c>
      <c r="C146" s="4" t="s">
        <v>982</v>
      </c>
      <c r="D146" s="4" t="s">
        <v>1011</v>
      </c>
      <c r="E146" s="4" t="n">
        <v>29150</v>
      </c>
      <c r="F146" s="4" t="s">
        <v>1012</v>
      </c>
      <c r="G146" s="4" t="n">
        <v>3</v>
      </c>
      <c r="J146" s="11" t="n">
        <f aca="false">IF(C146="one_time",G146,H146)</f>
        <v>3</v>
      </c>
      <c r="K146" s="11" t="n">
        <f aca="false">IF(C146="one_time",G146+1,I146)</f>
        <v>4</v>
      </c>
      <c r="L146" s="11" t="n">
        <f aca="false">K146-J146</f>
        <v>1</v>
      </c>
    </row>
    <row r="147" customFormat="false" ht="15" hidden="false" customHeight="false" outlineLevel="0" collapsed="false">
      <c r="A147" s="4" t="s">
        <v>1129</v>
      </c>
      <c r="B147" s="4" t="s">
        <v>85</v>
      </c>
      <c r="C147" s="4" t="s">
        <v>982</v>
      </c>
      <c r="D147" s="4" t="s">
        <v>1011</v>
      </c>
      <c r="E147" s="4" t="n">
        <v>45850</v>
      </c>
      <c r="F147" s="4" t="s">
        <v>1012</v>
      </c>
      <c r="G147" s="4" t="n">
        <v>2</v>
      </c>
      <c r="J147" s="11" t="n">
        <f aca="false">IF(C147="one_time",G147,H147)</f>
        <v>2</v>
      </c>
      <c r="K147" s="11" t="n">
        <f aca="false">IF(C147="one_time",G147+1,I147)</f>
        <v>3</v>
      </c>
      <c r="L147" s="11" t="n">
        <f aca="false">K147-J147</f>
        <v>1</v>
      </c>
    </row>
    <row r="148" customFormat="false" ht="15" hidden="false" customHeight="false" outlineLevel="0" collapsed="false">
      <c r="A148" s="4" t="s">
        <v>1130</v>
      </c>
      <c r="B148" s="4" t="s">
        <v>85</v>
      </c>
      <c r="C148" s="4" t="s">
        <v>982</v>
      </c>
      <c r="D148" s="4" t="s">
        <v>1011</v>
      </c>
      <c r="E148" s="4" t="n">
        <v>35000</v>
      </c>
      <c r="F148" s="4" t="s">
        <v>1012</v>
      </c>
      <c r="G148" s="4" t="n">
        <v>1</v>
      </c>
      <c r="J148" s="11" t="n">
        <f aca="false">IF(C148="one_time",G148,H148)</f>
        <v>1</v>
      </c>
      <c r="K148" s="11" t="n">
        <f aca="false">IF(C148="one_time",G148+1,I148)</f>
        <v>2</v>
      </c>
      <c r="L148" s="11" t="n">
        <f aca="false">K148-J148</f>
        <v>1</v>
      </c>
    </row>
    <row r="149" customFormat="false" ht="15" hidden="false" customHeight="false" outlineLevel="0" collapsed="false">
      <c r="A149" s="4" t="s">
        <v>1131</v>
      </c>
      <c r="B149" s="4" t="s">
        <v>85</v>
      </c>
      <c r="C149" s="4" t="s">
        <v>982</v>
      </c>
      <c r="D149" s="4" t="s">
        <v>1011</v>
      </c>
      <c r="E149" s="4" t="n">
        <v>31800</v>
      </c>
      <c r="F149" s="4" t="s">
        <v>1012</v>
      </c>
      <c r="G149" s="4" t="n">
        <v>2</v>
      </c>
      <c r="J149" s="11" t="n">
        <f aca="false">IF(C149="one_time",G149,H149)</f>
        <v>2</v>
      </c>
      <c r="K149" s="11" t="n">
        <f aca="false">IF(C149="one_time",G149+1,I149)</f>
        <v>3</v>
      </c>
      <c r="L149" s="11" t="n">
        <f aca="false">K149-J149</f>
        <v>1</v>
      </c>
    </row>
    <row r="150" customFormat="false" ht="15" hidden="false" customHeight="false" outlineLevel="0" collapsed="false">
      <c r="A150" s="4" t="s">
        <v>1132</v>
      </c>
      <c r="B150" s="4" t="s">
        <v>85</v>
      </c>
      <c r="C150" s="4" t="s">
        <v>982</v>
      </c>
      <c r="D150" s="4" t="s">
        <v>1011</v>
      </c>
      <c r="E150" s="4" t="n">
        <v>18200</v>
      </c>
      <c r="F150" s="4" t="s">
        <v>1012</v>
      </c>
      <c r="G150" s="4" t="n">
        <v>1</v>
      </c>
      <c r="J150" s="11" t="n">
        <f aca="false">IF(C150="one_time",G150,H150)</f>
        <v>1</v>
      </c>
      <c r="K150" s="11" t="n">
        <f aca="false">IF(C150="one_time",G150+1,I150)</f>
        <v>2</v>
      </c>
      <c r="L150" s="11" t="n">
        <f aca="false">K150-J150</f>
        <v>1</v>
      </c>
    </row>
    <row r="151" customFormat="false" ht="15" hidden="false" customHeight="false" outlineLevel="0" collapsed="false">
      <c r="A151" s="4" t="s">
        <v>1133</v>
      </c>
      <c r="B151" s="4" t="s">
        <v>85</v>
      </c>
      <c r="C151" s="4" t="s">
        <v>982</v>
      </c>
      <c r="D151" s="4" t="s">
        <v>1011</v>
      </c>
      <c r="E151" s="4" t="n">
        <v>14200</v>
      </c>
      <c r="F151" s="4" t="s">
        <v>1012</v>
      </c>
      <c r="G151" s="4" t="n">
        <v>3</v>
      </c>
      <c r="J151" s="11" t="n">
        <f aca="false">IF(C151="one_time",G151,H151)</f>
        <v>3</v>
      </c>
      <c r="K151" s="11" t="n">
        <f aca="false">IF(C151="one_time",G151+1,I151)</f>
        <v>4</v>
      </c>
      <c r="L151" s="11" t="n">
        <f aca="false">K151-J151</f>
        <v>1</v>
      </c>
    </row>
    <row r="152" customFormat="false" ht="15" hidden="false" customHeight="false" outlineLevel="0" collapsed="false">
      <c r="A152" s="4" t="s">
        <v>1134</v>
      </c>
      <c r="B152" s="4" t="s">
        <v>85</v>
      </c>
      <c r="C152" s="4" t="s">
        <v>982</v>
      </c>
      <c r="D152" s="4" t="s">
        <v>1011</v>
      </c>
      <c r="E152" s="4" t="n">
        <v>12900</v>
      </c>
      <c r="F152" s="4" t="s">
        <v>1012</v>
      </c>
      <c r="G152" s="4" t="n">
        <v>3</v>
      </c>
      <c r="J152" s="11" t="n">
        <f aca="false">IF(C152="one_time",G152,H152)</f>
        <v>3</v>
      </c>
      <c r="K152" s="11" t="n">
        <f aca="false">IF(C152="one_time",G152+1,I152)</f>
        <v>4</v>
      </c>
      <c r="L152" s="11" t="n">
        <f aca="false">K152-J152</f>
        <v>1</v>
      </c>
    </row>
    <row r="153" customFormat="false" ht="15" hidden="false" customHeight="false" outlineLevel="0" collapsed="false">
      <c r="A153" s="4" t="s">
        <v>1135</v>
      </c>
      <c r="B153" s="4" t="s">
        <v>85</v>
      </c>
      <c r="C153" s="4" t="s">
        <v>982</v>
      </c>
      <c r="D153" s="4" t="s">
        <v>1011</v>
      </c>
      <c r="E153" s="4" t="n">
        <v>12900</v>
      </c>
      <c r="F153" s="4" t="s">
        <v>1012</v>
      </c>
      <c r="G153" s="4" t="n">
        <v>1</v>
      </c>
      <c r="J153" s="11" t="n">
        <f aca="false">IF(C153="one_time",G153,H153)</f>
        <v>1</v>
      </c>
      <c r="K153" s="11" t="n">
        <f aca="false">IF(C153="one_time",G153+1,I153)</f>
        <v>2</v>
      </c>
      <c r="L153" s="11" t="n">
        <f aca="false">K153-J153</f>
        <v>1</v>
      </c>
    </row>
    <row r="154" customFormat="false" ht="15" hidden="false" customHeight="false" outlineLevel="0" collapsed="false">
      <c r="A154" s="4" t="s">
        <v>1136</v>
      </c>
      <c r="B154" s="4" t="s">
        <v>85</v>
      </c>
      <c r="C154" s="4" t="s">
        <v>1034</v>
      </c>
      <c r="D154" s="4" t="s">
        <v>1011</v>
      </c>
      <c r="E154" s="4" t="n">
        <v>2000</v>
      </c>
      <c r="F154" s="4" t="s">
        <v>1012</v>
      </c>
      <c r="H154" s="4" t="n">
        <v>3</v>
      </c>
      <c r="I154" s="4" t="n">
        <v>9</v>
      </c>
      <c r="J154" s="11" t="n">
        <f aca="false">IF(C154="one_time",G154,H154)</f>
        <v>3</v>
      </c>
      <c r="K154" s="11" t="n">
        <f aca="false">IF(C154="one_time",G154+1,I154)</f>
        <v>9</v>
      </c>
      <c r="L154" s="11" t="n">
        <f aca="false">K154-J154</f>
        <v>6</v>
      </c>
    </row>
    <row r="155" customFormat="false" ht="15" hidden="false" customHeight="false" outlineLevel="0" collapsed="false">
      <c r="A155" s="4" t="s">
        <v>1137</v>
      </c>
      <c r="B155" s="4" t="s">
        <v>85</v>
      </c>
      <c r="C155" s="4" t="s">
        <v>1034</v>
      </c>
      <c r="D155" s="4" t="s">
        <v>1011</v>
      </c>
      <c r="E155" s="4" t="n">
        <v>2050</v>
      </c>
      <c r="F155" s="4" t="s">
        <v>1012</v>
      </c>
      <c r="H155" s="4" t="n">
        <v>9</v>
      </c>
      <c r="I155" s="4" t="n">
        <v>16</v>
      </c>
      <c r="J155" s="11" t="n">
        <f aca="false">IF(C155="one_time",G155,H155)</f>
        <v>9</v>
      </c>
      <c r="K155" s="11" t="n">
        <f aca="false">IF(C155="one_time",G155+1,I155)</f>
        <v>16</v>
      </c>
      <c r="L155" s="11" t="n">
        <f aca="false">K155-J155</f>
        <v>7</v>
      </c>
    </row>
    <row r="156" customFormat="false" ht="15" hidden="false" customHeight="false" outlineLevel="0" collapsed="false">
      <c r="A156" s="4" t="s">
        <v>1138</v>
      </c>
      <c r="B156" s="4" t="s">
        <v>85</v>
      </c>
      <c r="C156" s="4" t="s">
        <v>1034</v>
      </c>
      <c r="D156" s="4" t="s">
        <v>1011</v>
      </c>
      <c r="E156" s="4" t="n">
        <v>3500</v>
      </c>
      <c r="F156" s="4" t="s">
        <v>1012</v>
      </c>
      <c r="H156" s="4" t="n">
        <v>3</v>
      </c>
      <c r="I156" s="4" t="n">
        <v>9</v>
      </c>
      <c r="J156" s="11" t="n">
        <f aca="false">IF(C156="one_time",G156,H156)</f>
        <v>3</v>
      </c>
      <c r="K156" s="11" t="n">
        <f aca="false">IF(C156="one_time",G156+1,I156)</f>
        <v>9</v>
      </c>
      <c r="L156" s="11" t="n">
        <f aca="false">K156-J156</f>
        <v>6</v>
      </c>
    </row>
    <row r="157" customFormat="false" ht="15" hidden="false" customHeight="false" outlineLevel="0" collapsed="false">
      <c r="A157" s="4" t="s">
        <v>1139</v>
      </c>
      <c r="B157" s="4" t="s">
        <v>85</v>
      </c>
      <c r="C157" s="4" t="s">
        <v>1034</v>
      </c>
      <c r="D157" s="4" t="s">
        <v>1011</v>
      </c>
      <c r="E157" s="4" t="n">
        <v>3500</v>
      </c>
      <c r="F157" s="4" t="s">
        <v>1012</v>
      </c>
      <c r="H157" s="4" t="n">
        <v>9</v>
      </c>
      <c r="I157" s="4" t="n">
        <v>16</v>
      </c>
      <c r="J157" s="11" t="n">
        <f aca="false">IF(C157="one_time",G157,H157)</f>
        <v>9</v>
      </c>
      <c r="K157" s="11" t="n">
        <f aca="false">IF(C157="one_time",G157+1,I157)</f>
        <v>16</v>
      </c>
      <c r="L157" s="11" t="n">
        <f aca="false">K157-J157</f>
        <v>7</v>
      </c>
    </row>
    <row r="158" customFormat="false" ht="15" hidden="false" customHeight="false" outlineLevel="0" collapsed="false">
      <c r="A158" s="4" t="s">
        <v>1140</v>
      </c>
      <c r="B158" s="4" t="s">
        <v>85</v>
      </c>
      <c r="C158" s="4" t="s">
        <v>1034</v>
      </c>
      <c r="D158" s="4" t="s">
        <v>1011</v>
      </c>
      <c r="E158" s="4" t="n">
        <v>4500</v>
      </c>
      <c r="F158" s="4" t="s">
        <v>1012</v>
      </c>
      <c r="H158" s="4" t="n">
        <v>3</v>
      </c>
      <c r="I158" s="4" t="n">
        <v>9</v>
      </c>
      <c r="J158" s="11" t="n">
        <f aca="false">IF(C158="one_time",G158,H158)</f>
        <v>3</v>
      </c>
      <c r="K158" s="11" t="n">
        <f aca="false">IF(C158="one_time",G158+1,I158)</f>
        <v>9</v>
      </c>
      <c r="L158" s="11" t="n">
        <f aca="false">K158-J158</f>
        <v>6</v>
      </c>
    </row>
    <row r="159" customFormat="false" ht="15" hidden="false" customHeight="false" outlineLevel="0" collapsed="false">
      <c r="A159" s="4" t="s">
        <v>1141</v>
      </c>
      <c r="B159" s="4" t="s">
        <v>85</v>
      </c>
      <c r="C159" s="4" t="s">
        <v>1034</v>
      </c>
      <c r="D159" s="4" t="s">
        <v>1011</v>
      </c>
      <c r="E159" s="4" t="n">
        <v>4850</v>
      </c>
      <c r="F159" s="4" t="s">
        <v>1012</v>
      </c>
      <c r="H159" s="4" t="n">
        <v>9</v>
      </c>
      <c r="I159" s="4" t="n">
        <v>16</v>
      </c>
      <c r="J159" s="11" t="n">
        <f aca="false">IF(C159="one_time",G159,H159)</f>
        <v>9</v>
      </c>
      <c r="K159" s="11" t="n">
        <f aca="false">IF(C159="one_time",G159+1,I159)</f>
        <v>16</v>
      </c>
      <c r="L159" s="11" t="n">
        <f aca="false">K159-J159</f>
        <v>7</v>
      </c>
    </row>
    <row r="160" customFormat="false" ht="15" hidden="false" customHeight="false" outlineLevel="0" collapsed="false">
      <c r="A160" s="4" t="s">
        <v>1142</v>
      </c>
      <c r="B160" s="4" t="s">
        <v>86</v>
      </c>
      <c r="C160" s="4" t="s">
        <v>982</v>
      </c>
      <c r="D160" s="4" t="s">
        <v>983</v>
      </c>
      <c r="E160" s="4" t="n">
        <v>65443.05</v>
      </c>
      <c r="G160" s="4" t="n">
        <v>2</v>
      </c>
      <c r="J160" s="11" t="n">
        <f aca="false">IF(C160="one_time",G160,H160)</f>
        <v>2</v>
      </c>
      <c r="K160" s="11" t="n">
        <f aca="false">IF(C160="one_time",G160+1,I160)</f>
        <v>3</v>
      </c>
      <c r="L160" s="11" t="n">
        <f aca="false">K160-J160</f>
        <v>1</v>
      </c>
    </row>
    <row r="161" customFormat="false" ht="15" hidden="false" customHeight="false" outlineLevel="0" collapsed="false">
      <c r="A161" s="4" t="s">
        <v>1143</v>
      </c>
      <c r="B161" s="4" t="s">
        <v>86</v>
      </c>
      <c r="C161" s="4" t="s">
        <v>982</v>
      </c>
      <c r="D161" s="4" t="s">
        <v>983</v>
      </c>
      <c r="E161" s="4" t="n">
        <v>207479.4</v>
      </c>
      <c r="G161" s="4" t="n">
        <v>3</v>
      </c>
      <c r="J161" s="11" t="n">
        <f aca="false">IF(C161="one_time",G161,H161)</f>
        <v>3</v>
      </c>
      <c r="K161" s="11" t="n">
        <f aca="false">IF(C161="one_time",G161+1,I161)</f>
        <v>4</v>
      </c>
      <c r="L161" s="11" t="n">
        <f aca="false">K161-J161</f>
        <v>1</v>
      </c>
    </row>
    <row r="162" customFormat="false" ht="15" hidden="false" customHeight="false" outlineLevel="0" collapsed="false">
      <c r="A162" s="4" t="s">
        <v>1144</v>
      </c>
      <c r="B162" s="4" t="s">
        <v>86</v>
      </c>
      <c r="C162" s="4" t="s">
        <v>982</v>
      </c>
      <c r="D162" s="4" t="s">
        <v>983</v>
      </c>
      <c r="E162" s="4" t="n">
        <v>229403.36</v>
      </c>
      <c r="G162" s="4" t="n">
        <v>4</v>
      </c>
      <c r="J162" s="11" t="n">
        <f aca="false">IF(C162="one_time",G162,H162)</f>
        <v>4</v>
      </c>
      <c r="K162" s="11" t="n">
        <f aca="false">IF(C162="one_time",G162+1,I162)</f>
        <v>5</v>
      </c>
      <c r="L162" s="11" t="n">
        <f aca="false">K162-J162</f>
        <v>1</v>
      </c>
    </row>
    <row r="163" customFormat="false" ht="15" hidden="false" customHeight="false" outlineLevel="0" collapsed="false">
      <c r="A163" s="4" t="s">
        <v>1145</v>
      </c>
      <c r="B163" s="4" t="s">
        <v>86</v>
      </c>
      <c r="C163" s="4" t="s">
        <v>982</v>
      </c>
      <c r="D163" s="4" t="s">
        <v>983</v>
      </c>
      <c r="E163" s="4" t="n">
        <v>9321.82</v>
      </c>
      <c r="G163" s="4" t="n">
        <v>5</v>
      </c>
      <c r="J163" s="11" t="n">
        <f aca="false">IF(C163="one_time",G163,H163)</f>
        <v>5</v>
      </c>
      <c r="K163" s="11" t="n">
        <f aca="false">IF(C163="one_time",G163+1,I163)</f>
        <v>6</v>
      </c>
      <c r="L163" s="11" t="n">
        <f aca="false">K163-J163</f>
        <v>1</v>
      </c>
    </row>
    <row r="164" customFormat="false" ht="15" hidden="false" customHeight="false" outlineLevel="0" collapsed="false">
      <c r="A164" s="4" t="s">
        <v>1146</v>
      </c>
      <c r="B164" s="4" t="s">
        <v>86</v>
      </c>
      <c r="C164" s="4" t="s">
        <v>982</v>
      </c>
      <c r="D164" s="4" t="s">
        <v>983</v>
      </c>
      <c r="E164" s="4" t="n">
        <v>9416.26</v>
      </c>
      <c r="G164" s="4" t="n">
        <v>6</v>
      </c>
      <c r="J164" s="11" t="n">
        <f aca="false">IF(C164="one_time",G164,H164)</f>
        <v>6</v>
      </c>
      <c r="K164" s="11" t="n">
        <f aca="false">IF(C164="one_time",G164+1,I164)</f>
        <v>7</v>
      </c>
      <c r="L164" s="11" t="n">
        <f aca="false">K164-J164</f>
        <v>1</v>
      </c>
    </row>
    <row r="165" customFormat="false" ht="15" hidden="false" customHeight="false" outlineLevel="0" collapsed="false">
      <c r="A165" s="4" t="s">
        <v>1147</v>
      </c>
      <c r="B165" s="4" t="s">
        <v>86</v>
      </c>
      <c r="C165" s="4" t="s">
        <v>982</v>
      </c>
      <c r="D165" s="4" t="s">
        <v>983</v>
      </c>
      <c r="E165" s="4" t="n">
        <v>8953.48</v>
      </c>
      <c r="G165" s="4" t="n">
        <v>7</v>
      </c>
      <c r="J165" s="11" t="n">
        <f aca="false">IF(C165="one_time",G165,H165)</f>
        <v>7</v>
      </c>
      <c r="K165" s="11" t="n">
        <f aca="false">IF(C165="one_time",G165+1,I165)</f>
        <v>8</v>
      </c>
      <c r="L165" s="11" t="n">
        <f aca="false">K165-J165</f>
        <v>1</v>
      </c>
    </row>
    <row r="166" customFormat="false" ht="15" hidden="false" customHeight="false" outlineLevel="0" collapsed="false">
      <c r="A166" s="4" t="s">
        <v>1148</v>
      </c>
      <c r="B166" s="4" t="s">
        <v>86</v>
      </c>
      <c r="C166" s="4" t="s">
        <v>982</v>
      </c>
      <c r="D166" s="4" t="s">
        <v>983</v>
      </c>
      <c r="E166" s="4" t="n">
        <v>9000.7</v>
      </c>
      <c r="G166" s="4" t="n">
        <v>8</v>
      </c>
      <c r="J166" s="11" t="n">
        <f aca="false">IF(C166="one_time",G166,H166)</f>
        <v>8</v>
      </c>
      <c r="K166" s="11" t="n">
        <f aca="false">IF(C166="one_time",G166+1,I166)</f>
        <v>9</v>
      </c>
      <c r="L166" s="11" t="n">
        <f aca="false">K166-J166</f>
        <v>1</v>
      </c>
    </row>
    <row r="167" customFormat="false" ht="15" hidden="false" customHeight="false" outlineLevel="0" collapsed="false">
      <c r="A167" s="4" t="s">
        <v>1149</v>
      </c>
      <c r="B167" s="4" t="s">
        <v>86</v>
      </c>
      <c r="C167" s="4" t="s">
        <v>982</v>
      </c>
      <c r="D167" s="4" t="s">
        <v>983</v>
      </c>
      <c r="E167" s="4" t="n">
        <v>21529.91</v>
      </c>
      <c r="G167" s="4" t="n">
        <v>2</v>
      </c>
      <c r="J167" s="11" t="n">
        <f aca="false">IF(C167="one_time",G167,H167)</f>
        <v>2</v>
      </c>
      <c r="K167" s="11" t="n">
        <f aca="false">IF(C167="one_time",G167+1,I167)</f>
        <v>3</v>
      </c>
      <c r="L167" s="11" t="n">
        <f aca="false">K167-J167</f>
        <v>1</v>
      </c>
    </row>
    <row r="168" customFormat="false" ht="15" hidden="false" customHeight="false" outlineLevel="0" collapsed="false">
      <c r="A168" s="4" t="s">
        <v>1150</v>
      </c>
      <c r="B168" s="4" t="s">
        <v>86</v>
      </c>
      <c r="C168" s="4" t="s">
        <v>982</v>
      </c>
      <c r="D168" s="4" t="s">
        <v>983</v>
      </c>
      <c r="E168" s="4" t="n">
        <v>64614.08</v>
      </c>
      <c r="G168" s="4" t="n">
        <v>3</v>
      </c>
      <c r="J168" s="11" t="n">
        <f aca="false">IF(C168="one_time",G168,H168)</f>
        <v>3</v>
      </c>
      <c r="K168" s="11" t="n">
        <f aca="false">IF(C168="one_time",G168+1,I168)</f>
        <v>4</v>
      </c>
      <c r="L168" s="11" t="n">
        <f aca="false">K168-J168</f>
        <v>1</v>
      </c>
    </row>
    <row r="169" customFormat="false" ht="15" hidden="false" customHeight="false" outlineLevel="0" collapsed="false">
      <c r="A169" s="4" t="s">
        <v>1151</v>
      </c>
      <c r="B169" s="4" t="s">
        <v>86</v>
      </c>
      <c r="C169" s="4" t="s">
        <v>982</v>
      </c>
      <c r="D169" s="4" t="s">
        <v>983</v>
      </c>
      <c r="E169" s="4" t="n">
        <v>70863.59</v>
      </c>
      <c r="G169" s="4" t="n">
        <v>4</v>
      </c>
      <c r="J169" s="11" t="n">
        <f aca="false">IF(C169="one_time",G169,H169)</f>
        <v>4</v>
      </c>
      <c r="K169" s="11" t="n">
        <f aca="false">IF(C169="one_time",G169+1,I169)</f>
        <v>5</v>
      </c>
      <c r="L169" s="11" t="n">
        <f aca="false">K169-J169</f>
        <v>1</v>
      </c>
    </row>
    <row r="170" customFormat="false" ht="15" hidden="false" customHeight="false" outlineLevel="0" collapsed="false">
      <c r="A170" s="4" t="s">
        <v>1152</v>
      </c>
      <c r="B170" s="4" t="s">
        <v>86</v>
      </c>
      <c r="C170" s="4" t="s">
        <v>982</v>
      </c>
      <c r="D170" s="4" t="s">
        <v>983</v>
      </c>
      <c r="E170" s="4" t="n">
        <v>3289.86</v>
      </c>
      <c r="G170" s="4" t="n">
        <v>5</v>
      </c>
      <c r="J170" s="11" t="n">
        <f aca="false">IF(C170="one_time",G170,H170)</f>
        <v>5</v>
      </c>
      <c r="K170" s="11" t="n">
        <f aca="false">IF(C170="one_time",G170+1,I170)</f>
        <v>6</v>
      </c>
      <c r="L170" s="11" t="n">
        <f aca="false">K170-J170</f>
        <v>1</v>
      </c>
    </row>
    <row r="171" customFormat="false" ht="15" hidden="false" customHeight="false" outlineLevel="0" collapsed="false">
      <c r="A171" s="4" t="s">
        <v>1153</v>
      </c>
      <c r="B171" s="4" t="s">
        <v>86</v>
      </c>
      <c r="C171" s="4" t="s">
        <v>982</v>
      </c>
      <c r="D171" s="4" t="s">
        <v>983</v>
      </c>
      <c r="E171" s="4" t="n">
        <v>3211.16</v>
      </c>
      <c r="G171" s="4" t="n">
        <v>6</v>
      </c>
      <c r="J171" s="11" t="n">
        <f aca="false">IF(C171="one_time",G171,H171)</f>
        <v>6</v>
      </c>
      <c r="K171" s="11" t="n">
        <f aca="false">IF(C171="one_time",G171+1,I171)</f>
        <v>7</v>
      </c>
      <c r="L171" s="11" t="n">
        <f aca="false">K171-J171</f>
        <v>1</v>
      </c>
    </row>
    <row r="172" customFormat="false" ht="15" hidden="false" customHeight="false" outlineLevel="0" collapsed="false">
      <c r="A172" s="4" t="s">
        <v>1154</v>
      </c>
      <c r="B172" s="4" t="s">
        <v>86</v>
      </c>
      <c r="C172" s="4" t="s">
        <v>982</v>
      </c>
      <c r="D172" s="4" t="s">
        <v>983</v>
      </c>
      <c r="E172" s="4" t="n">
        <v>3220.6</v>
      </c>
      <c r="G172" s="4" t="n">
        <v>7</v>
      </c>
      <c r="J172" s="11" t="n">
        <f aca="false">IF(C172="one_time",G172,H172)</f>
        <v>7</v>
      </c>
      <c r="K172" s="11" t="n">
        <f aca="false">IF(C172="one_time",G172+1,I172)</f>
        <v>8</v>
      </c>
      <c r="L172" s="11" t="n">
        <f aca="false">K172-J172</f>
        <v>1</v>
      </c>
    </row>
    <row r="173" customFormat="false" ht="15" hidden="false" customHeight="false" outlineLevel="0" collapsed="false">
      <c r="A173" s="4" t="s">
        <v>1155</v>
      </c>
      <c r="B173" s="4" t="s">
        <v>86</v>
      </c>
      <c r="C173" s="4" t="s">
        <v>982</v>
      </c>
      <c r="D173" s="4" t="s">
        <v>983</v>
      </c>
      <c r="E173" s="4" t="n">
        <v>3220.6</v>
      </c>
      <c r="G173" s="4" t="n">
        <v>8</v>
      </c>
      <c r="J173" s="11" t="n">
        <f aca="false">IF(C173="one_time",G173,H173)</f>
        <v>8</v>
      </c>
      <c r="K173" s="11" t="n">
        <f aca="false">IF(C173="one_time",G173+1,I173)</f>
        <v>9</v>
      </c>
      <c r="L173" s="11" t="n">
        <f aca="false">K173-J173</f>
        <v>1</v>
      </c>
    </row>
    <row r="174" customFormat="false" ht="15" hidden="false" customHeight="false" outlineLevel="0" collapsed="false">
      <c r="A174" s="4" t="s">
        <v>1156</v>
      </c>
      <c r="B174" s="4" t="s">
        <v>86</v>
      </c>
      <c r="C174" s="4" t="s">
        <v>982</v>
      </c>
      <c r="D174" s="4" t="s">
        <v>983</v>
      </c>
      <c r="E174" s="4" t="n">
        <v>59338.53</v>
      </c>
      <c r="G174" s="4" t="n">
        <v>2</v>
      </c>
      <c r="J174" s="11" t="n">
        <f aca="false">IF(C174="one_time",G174,H174)</f>
        <v>2</v>
      </c>
      <c r="K174" s="11" t="n">
        <f aca="false">IF(C174="one_time",G174+1,I174)</f>
        <v>3</v>
      </c>
      <c r="L174" s="11" t="n">
        <f aca="false">K174-J174</f>
        <v>1</v>
      </c>
    </row>
    <row r="175" customFormat="false" ht="15" hidden="false" customHeight="false" outlineLevel="0" collapsed="false">
      <c r="A175" s="4" t="s">
        <v>1157</v>
      </c>
      <c r="B175" s="4" t="s">
        <v>86</v>
      </c>
      <c r="C175" s="4" t="s">
        <v>982</v>
      </c>
      <c r="D175" s="4" t="s">
        <v>983</v>
      </c>
      <c r="E175" s="4" t="n">
        <v>172477.39</v>
      </c>
      <c r="G175" s="4" t="n">
        <v>3</v>
      </c>
      <c r="J175" s="11" t="n">
        <f aca="false">IF(C175="one_time",G175,H175)</f>
        <v>3</v>
      </c>
      <c r="K175" s="11" t="n">
        <f aca="false">IF(C175="one_time",G175+1,I175)</f>
        <v>4</v>
      </c>
      <c r="L175" s="11" t="n">
        <f aca="false">K175-J175</f>
        <v>1</v>
      </c>
    </row>
    <row r="176" customFormat="false" ht="15" hidden="false" customHeight="false" outlineLevel="0" collapsed="false">
      <c r="A176" s="4" t="s">
        <v>1158</v>
      </c>
      <c r="B176" s="4" t="s">
        <v>86</v>
      </c>
      <c r="C176" s="4" t="s">
        <v>982</v>
      </c>
      <c r="D176" s="4" t="s">
        <v>983</v>
      </c>
      <c r="E176" s="4" t="n">
        <v>206667.04</v>
      </c>
      <c r="G176" s="4" t="n">
        <v>4</v>
      </c>
      <c r="J176" s="11" t="n">
        <f aca="false">IF(C176="one_time",G176,H176)</f>
        <v>4</v>
      </c>
      <c r="K176" s="11" t="n">
        <f aca="false">IF(C176="one_time",G176+1,I176)</f>
        <v>5</v>
      </c>
      <c r="L176" s="11" t="n">
        <f aca="false">K176-J176</f>
        <v>1</v>
      </c>
    </row>
    <row r="177" customFormat="false" ht="15" hidden="false" customHeight="false" outlineLevel="0" collapsed="false">
      <c r="A177" s="4" t="s">
        <v>1159</v>
      </c>
      <c r="B177" s="4" t="s">
        <v>86</v>
      </c>
      <c r="C177" s="4" t="s">
        <v>982</v>
      </c>
      <c r="D177" s="4" t="s">
        <v>983</v>
      </c>
      <c r="E177" s="4" t="n">
        <v>8059.39</v>
      </c>
      <c r="G177" s="4" t="n">
        <v>5</v>
      </c>
      <c r="J177" s="11" t="n">
        <f aca="false">IF(C177="one_time",G177,H177)</f>
        <v>5</v>
      </c>
      <c r="K177" s="11" t="n">
        <f aca="false">IF(C177="one_time",G177+1,I177)</f>
        <v>6</v>
      </c>
      <c r="L177" s="11" t="n">
        <f aca="false">K177-J177</f>
        <v>1</v>
      </c>
    </row>
    <row r="178" customFormat="false" ht="15" hidden="false" customHeight="false" outlineLevel="0" collapsed="false">
      <c r="A178" s="4" t="s">
        <v>1160</v>
      </c>
      <c r="B178" s="4" t="s">
        <v>86</v>
      </c>
      <c r="C178" s="4" t="s">
        <v>982</v>
      </c>
      <c r="D178" s="4" t="s">
        <v>983</v>
      </c>
      <c r="E178" s="4" t="n">
        <v>8160.13</v>
      </c>
      <c r="G178" s="4" t="n">
        <v>6</v>
      </c>
      <c r="J178" s="11" t="n">
        <f aca="false">IF(C178="one_time",G178,H178)</f>
        <v>6</v>
      </c>
      <c r="K178" s="11" t="n">
        <f aca="false">IF(C178="one_time",G178+1,I178)</f>
        <v>7</v>
      </c>
      <c r="L178" s="11" t="n">
        <f aca="false">K178-J178</f>
        <v>1</v>
      </c>
    </row>
    <row r="179" customFormat="false" ht="15" hidden="false" customHeight="false" outlineLevel="0" collapsed="false">
      <c r="A179" s="4" t="s">
        <v>1161</v>
      </c>
      <c r="B179" s="4" t="s">
        <v>86</v>
      </c>
      <c r="C179" s="4" t="s">
        <v>982</v>
      </c>
      <c r="D179" s="4" t="s">
        <v>983</v>
      </c>
      <c r="E179" s="4" t="n">
        <v>8059.39</v>
      </c>
      <c r="G179" s="4" t="n">
        <v>7</v>
      </c>
      <c r="J179" s="11" t="n">
        <f aca="false">IF(C179="one_time",G179,H179)</f>
        <v>7</v>
      </c>
      <c r="K179" s="11" t="n">
        <f aca="false">IF(C179="one_time",G179+1,I179)</f>
        <v>8</v>
      </c>
      <c r="L179" s="11" t="n">
        <f aca="false">K179-J179</f>
        <v>1</v>
      </c>
    </row>
    <row r="180" customFormat="false" ht="15" hidden="false" customHeight="false" outlineLevel="0" collapsed="false">
      <c r="A180" s="4" t="s">
        <v>1162</v>
      </c>
      <c r="B180" s="4" t="s">
        <v>86</v>
      </c>
      <c r="C180" s="4" t="s">
        <v>982</v>
      </c>
      <c r="D180" s="4" t="s">
        <v>983</v>
      </c>
      <c r="E180" s="4" t="n">
        <v>8260.87</v>
      </c>
      <c r="G180" s="4" t="n">
        <v>8</v>
      </c>
      <c r="J180" s="11" t="n">
        <f aca="false">IF(C180="one_time",G180,H180)</f>
        <v>8</v>
      </c>
      <c r="K180" s="11" t="n">
        <f aca="false">IF(C180="one_time",G180+1,I180)</f>
        <v>9</v>
      </c>
      <c r="L180" s="11" t="n">
        <f aca="false">K180-J180</f>
        <v>1</v>
      </c>
    </row>
    <row r="181" customFormat="false" ht="15" hidden="false" customHeight="false" outlineLevel="0" collapsed="false">
      <c r="A181" s="4" t="s">
        <v>1163</v>
      </c>
      <c r="B181" s="4" t="s">
        <v>86</v>
      </c>
      <c r="C181" s="4" t="s">
        <v>982</v>
      </c>
      <c r="D181" s="4" t="s">
        <v>1011</v>
      </c>
      <c r="E181" s="4" t="n">
        <v>35200</v>
      </c>
      <c r="F181" s="4" t="s">
        <v>1012</v>
      </c>
      <c r="G181" s="4" t="n">
        <v>4</v>
      </c>
      <c r="J181" s="11" t="n">
        <f aca="false">IF(C181="one_time",G181,H181)</f>
        <v>4</v>
      </c>
      <c r="K181" s="11" t="n">
        <f aca="false">IF(C181="one_time",G181+1,I181)</f>
        <v>5</v>
      </c>
      <c r="L181" s="11" t="n">
        <f aca="false">K181-J181</f>
        <v>1</v>
      </c>
    </row>
    <row r="182" customFormat="false" ht="15" hidden="false" customHeight="false" outlineLevel="0" collapsed="false">
      <c r="A182" s="4" t="s">
        <v>1164</v>
      </c>
      <c r="B182" s="4" t="s">
        <v>86</v>
      </c>
      <c r="C182" s="4" t="s">
        <v>982</v>
      </c>
      <c r="D182" s="4" t="s">
        <v>1011</v>
      </c>
      <c r="E182" s="4" t="n">
        <v>30800</v>
      </c>
      <c r="F182" s="4" t="s">
        <v>1012</v>
      </c>
      <c r="G182" s="4" t="n">
        <v>3</v>
      </c>
      <c r="J182" s="11" t="n">
        <f aca="false">IF(C182="one_time",G182,H182)</f>
        <v>3</v>
      </c>
      <c r="K182" s="11" t="n">
        <f aca="false">IF(C182="one_time",G182+1,I182)</f>
        <v>4</v>
      </c>
      <c r="L182" s="11" t="n">
        <f aca="false">K182-J182</f>
        <v>1</v>
      </c>
    </row>
    <row r="183" customFormat="false" ht="15" hidden="false" customHeight="false" outlineLevel="0" collapsed="false">
      <c r="A183" s="4" t="s">
        <v>1165</v>
      </c>
      <c r="B183" s="4" t="s">
        <v>86</v>
      </c>
      <c r="C183" s="4" t="s">
        <v>982</v>
      </c>
      <c r="D183" s="4" t="s">
        <v>1011</v>
      </c>
      <c r="E183" s="4" t="n">
        <v>44000</v>
      </c>
      <c r="F183" s="4" t="s">
        <v>1012</v>
      </c>
      <c r="G183" s="4" t="n">
        <v>4</v>
      </c>
      <c r="J183" s="11" t="n">
        <f aca="false">IF(C183="one_time",G183,H183)</f>
        <v>4</v>
      </c>
      <c r="K183" s="11" t="n">
        <f aca="false">IF(C183="one_time",G183+1,I183)</f>
        <v>5</v>
      </c>
      <c r="L183" s="11" t="n">
        <f aca="false">K183-J183</f>
        <v>1</v>
      </c>
    </row>
    <row r="184" customFormat="false" ht="15" hidden="false" customHeight="false" outlineLevel="0" collapsed="false">
      <c r="A184" s="4" t="s">
        <v>1166</v>
      </c>
      <c r="B184" s="4" t="s">
        <v>86</v>
      </c>
      <c r="C184" s="4" t="s">
        <v>982</v>
      </c>
      <c r="D184" s="4" t="s">
        <v>1011</v>
      </c>
      <c r="E184" s="4" t="n">
        <v>30800</v>
      </c>
      <c r="F184" s="4" t="s">
        <v>1012</v>
      </c>
      <c r="G184" s="4" t="n">
        <v>3</v>
      </c>
      <c r="J184" s="11" t="n">
        <f aca="false">IF(C184="one_time",G184,H184)</f>
        <v>3</v>
      </c>
      <c r="K184" s="11" t="n">
        <f aca="false">IF(C184="one_time",G184+1,I184)</f>
        <v>4</v>
      </c>
      <c r="L184" s="11" t="n">
        <f aca="false">K184-J184</f>
        <v>1</v>
      </c>
    </row>
    <row r="185" customFormat="false" ht="15" hidden="false" customHeight="false" outlineLevel="0" collapsed="false">
      <c r="A185" s="4" t="s">
        <v>1167</v>
      </c>
      <c r="B185" s="4" t="s">
        <v>86</v>
      </c>
      <c r="C185" s="4" t="s">
        <v>982</v>
      </c>
      <c r="D185" s="4" t="s">
        <v>1011</v>
      </c>
      <c r="E185" s="4" t="n">
        <v>24200</v>
      </c>
      <c r="F185" s="4" t="s">
        <v>1012</v>
      </c>
      <c r="G185" s="4" t="n">
        <v>2</v>
      </c>
      <c r="J185" s="11" t="n">
        <f aca="false">IF(C185="one_time",G185,H185)</f>
        <v>2</v>
      </c>
      <c r="K185" s="11" t="n">
        <f aca="false">IF(C185="one_time",G185+1,I185)</f>
        <v>3</v>
      </c>
      <c r="L185" s="11" t="n">
        <f aca="false">K185-J185</f>
        <v>1</v>
      </c>
    </row>
    <row r="186" customFormat="false" ht="15" hidden="false" customHeight="false" outlineLevel="0" collapsed="false">
      <c r="A186" s="4" t="s">
        <v>1168</v>
      </c>
      <c r="B186" s="4" t="s">
        <v>86</v>
      </c>
      <c r="C186" s="4" t="s">
        <v>982</v>
      </c>
      <c r="D186" s="4" t="s">
        <v>1011</v>
      </c>
      <c r="E186" s="4" t="n">
        <v>11000</v>
      </c>
      <c r="F186" s="4" t="s">
        <v>1012</v>
      </c>
      <c r="G186" s="4" t="n">
        <v>2</v>
      </c>
      <c r="J186" s="11" t="n">
        <f aca="false">IF(C186="one_time",G186,H186)</f>
        <v>2</v>
      </c>
      <c r="K186" s="11" t="n">
        <f aca="false">IF(C186="one_time",G186+1,I186)</f>
        <v>3</v>
      </c>
      <c r="L186" s="11" t="n">
        <f aca="false">K186-J186</f>
        <v>1</v>
      </c>
    </row>
    <row r="187" customFormat="false" ht="15" hidden="false" customHeight="false" outlineLevel="0" collapsed="false">
      <c r="A187" s="4" t="s">
        <v>1169</v>
      </c>
      <c r="B187" s="4" t="s">
        <v>86</v>
      </c>
      <c r="C187" s="4" t="s">
        <v>982</v>
      </c>
      <c r="D187" s="4" t="s">
        <v>1011</v>
      </c>
      <c r="E187" s="4" t="n">
        <v>41700</v>
      </c>
      <c r="F187" s="4" t="s">
        <v>1012</v>
      </c>
      <c r="G187" s="4" t="n">
        <v>4</v>
      </c>
      <c r="J187" s="11" t="n">
        <f aca="false">IF(C187="one_time",G187,H187)</f>
        <v>4</v>
      </c>
      <c r="K187" s="11" t="n">
        <f aca="false">IF(C187="one_time",G187+1,I187)</f>
        <v>5</v>
      </c>
      <c r="L187" s="11" t="n">
        <f aca="false">K187-J187</f>
        <v>1</v>
      </c>
    </row>
    <row r="188" customFormat="false" ht="15" hidden="false" customHeight="false" outlineLevel="0" collapsed="false">
      <c r="A188" s="4" t="s">
        <v>1170</v>
      </c>
      <c r="B188" s="4" t="s">
        <v>86</v>
      </c>
      <c r="C188" s="4" t="s">
        <v>982</v>
      </c>
      <c r="D188" s="4" t="s">
        <v>1011</v>
      </c>
      <c r="E188" s="4" t="n">
        <v>34150</v>
      </c>
      <c r="F188" s="4" t="s">
        <v>1012</v>
      </c>
      <c r="G188" s="4" t="n">
        <v>4</v>
      </c>
      <c r="J188" s="11" t="n">
        <f aca="false">IF(C188="one_time",G188,H188)</f>
        <v>4</v>
      </c>
      <c r="K188" s="11" t="n">
        <f aca="false">IF(C188="one_time",G188+1,I188)</f>
        <v>5</v>
      </c>
      <c r="L188" s="11" t="n">
        <f aca="false">K188-J188</f>
        <v>1</v>
      </c>
    </row>
    <row r="189" customFormat="false" ht="15" hidden="false" customHeight="false" outlineLevel="0" collapsed="false">
      <c r="A189" s="4" t="s">
        <v>1171</v>
      </c>
      <c r="B189" s="4" t="s">
        <v>86</v>
      </c>
      <c r="C189" s="4" t="s">
        <v>982</v>
      </c>
      <c r="D189" s="4" t="s">
        <v>1011</v>
      </c>
      <c r="E189" s="4" t="n">
        <v>34150</v>
      </c>
      <c r="F189" s="4" t="s">
        <v>1012</v>
      </c>
      <c r="G189" s="4" t="n">
        <v>3</v>
      </c>
      <c r="J189" s="11" t="n">
        <f aca="false">IF(C189="one_time",G189,H189)</f>
        <v>3</v>
      </c>
      <c r="K189" s="11" t="n">
        <f aca="false">IF(C189="one_time",G189+1,I189)</f>
        <v>4</v>
      </c>
      <c r="L189" s="11" t="n">
        <f aca="false">K189-J189</f>
        <v>1</v>
      </c>
    </row>
    <row r="190" customFormat="false" ht="15" hidden="false" customHeight="false" outlineLevel="0" collapsed="false">
      <c r="A190" s="4" t="s">
        <v>1172</v>
      </c>
      <c r="B190" s="4" t="s">
        <v>86</v>
      </c>
      <c r="C190" s="4" t="s">
        <v>982</v>
      </c>
      <c r="D190" s="4" t="s">
        <v>1011</v>
      </c>
      <c r="E190" s="4" t="n">
        <v>22000</v>
      </c>
      <c r="F190" s="4" t="s">
        <v>1012</v>
      </c>
      <c r="G190" s="4" t="n">
        <v>0</v>
      </c>
      <c r="J190" s="11" t="n">
        <f aca="false">IF(C190="one_time",G190,H190)</f>
        <v>0</v>
      </c>
      <c r="K190" s="11" t="n">
        <f aca="false">IF(C190="one_time",G190+1,I190)</f>
        <v>1</v>
      </c>
      <c r="L190" s="11" t="n">
        <f aca="false">K190-J190</f>
        <v>1</v>
      </c>
    </row>
    <row r="191" customFormat="false" ht="15" hidden="false" customHeight="false" outlineLevel="0" collapsed="false">
      <c r="A191" s="4" t="s">
        <v>1173</v>
      </c>
      <c r="B191" s="4" t="s">
        <v>86</v>
      </c>
      <c r="C191" s="4" t="s">
        <v>982</v>
      </c>
      <c r="D191" s="4" t="s">
        <v>1011</v>
      </c>
      <c r="E191" s="4" t="n">
        <v>115500</v>
      </c>
      <c r="F191" s="4" t="s">
        <v>1012</v>
      </c>
      <c r="G191" s="4" t="n">
        <v>4</v>
      </c>
      <c r="J191" s="11" t="n">
        <f aca="false">IF(C191="one_time",G191,H191)</f>
        <v>4</v>
      </c>
      <c r="K191" s="11" t="n">
        <f aca="false">IF(C191="one_time",G191+1,I191)</f>
        <v>5</v>
      </c>
      <c r="L191" s="11" t="n">
        <f aca="false">K191-J191</f>
        <v>1</v>
      </c>
    </row>
    <row r="192" customFormat="false" ht="15" hidden="false" customHeight="false" outlineLevel="0" collapsed="false">
      <c r="A192" s="4" t="s">
        <v>1174</v>
      </c>
      <c r="B192" s="4" t="s">
        <v>86</v>
      </c>
      <c r="C192" s="4" t="s">
        <v>982</v>
      </c>
      <c r="D192" s="4" t="s">
        <v>1011</v>
      </c>
      <c r="E192" s="4" t="n">
        <v>134750</v>
      </c>
      <c r="F192" s="4" t="s">
        <v>1012</v>
      </c>
      <c r="G192" s="4" t="n">
        <v>4</v>
      </c>
      <c r="J192" s="11" t="n">
        <f aca="false">IF(C192="one_time",G192,H192)</f>
        <v>4</v>
      </c>
      <c r="K192" s="11" t="n">
        <f aca="false">IF(C192="one_time",G192+1,I192)</f>
        <v>5</v>
      </c>
      <c r="L192" s="11" t="n">
        <f aca="false">K192-J192</f>
        <v>1</v>
      </c>
    </row>
    <row r="193" customFormat="false" ht="15" hidden="false" customHeight="false" outlineLevel="0" collapsed="false">
      <c r="A193" s="4" t="s">
        <v>1175</v>
      </c>
      <c r="B193" s="4" t="s">
        <v>86</v>
      </c>
      <c r="C193" s="4" t="s">
        <v>982</v>
      </c>
      <c r="D193" s="4" t="s">
        <v>1011</v>
      </c>
      <c r="E193" s="4" t="n">
        <v>134750</v>
      </c>
      <c r="F193" s="4" t="s">
        <v>1012</v>
      </c>
      <c r="G193" s="4" t="n">
        <v>3</v>
      </c>
      <c r="J193" s="11" t="n">
        <f aca="false">IF(C193="one_time",G193,H193)</f>
        <v>3</v>
      </c>
      <c r="K193" s="11" t="n">
        <f aca="false">IF(C193="one_time",G193+1,I193)</f>
        <v>4</v>
      </c>
      <c r="L193" s="11" t="n">
        <f aca="false">K193-J193</f>
        <v>1</v>
      </c>
    </row>
    <row r="194" customFormat="false" ht="15" hidden="false" customHeight="false" outlineLevel="0" collapsed="false">
      <c r="A194" s="4" t="s">
        <v>1176</v>
      </c>
      <c r="B194" s="4" t="s">
        <v>86</v>
      </c>
      <c r="C194" s="4" t="s">
        <v>982</v>
      </c>
      <c r="D194" s="4" t="s">
        <v>1011</v>
      </c>
      <c r="E194" s="4" t="n">
        <v>115500</v>
      </c>
      <c r="F194" s="4" t="s">
        <v>1012</v>
      </c>
      <c r="G194" s="4" t="n">
        <v>3</v>
      </c>
      <c r="J194" s="11" t="n">
        <f aca="false">IF(C194="one_time",G194,H194)</f>
        <v>3</v>
      </c>
      <c r="K194" s="11" t="n">
        <f aca="false">IF(C194="one_time",G194+1,I194)</f>
        <v>4</v>
      </c>
      <c r="L194" s="11" t="n">
        <f aca="false">K194-J194</f>
        <v>1</v>
      </c>
    </row>
    <row r="195" customFormat="false" ht="15" hidden="false" customHeight="false" outlineLevel="0" collapsed="false">
      <c r="A195" s="4" t="s">
        <v>1177</v>
      </c>
      <c r="B195" s="4" t="s">
        <v>86</v>
      </c>
      <c r="C195" s="4" t="s">
        <v>982</v>
      </c>
      <c r="D195" s="4" t="s">
        <v>1011</v>
      </c>
      <c r="E195" s="4" t="n">
        <v>49500</v>
      </c>
      <c r="F195" s="4" t="s">
        <v>1012</v>
      </c>
      <c r="G195" s="4" t="n">
        <v>3</v>
      </c>
      <c r="J195" s="11" t="n">
        <f aca="false">IF(C195="one_time",G195,H195)</f>
        <v>3</v>
      </c>
      <c r="K195" s="11" t="n">
        <f aca="false">IF(C195="one_time",G195+1,I195)</f>
        <v>4</v>
      </c>
      <c r="L195" s="11" t="n">
        <f aca="false">K195-J195</f>
        <v>1</v>
      </c>
    </row>
    <row r="196" customFormat="false" ht="15" hidden="false" customHeight="false" outlineLevel="0" collapsed="false">
      <c r="A196" s="4" t="s">
        <v>1178</v>
      </c>
      <c r="B196" s="4" t="s">
        <v>86</v>
      </c>
      <c r="C196" s="4" t="s">
        <v>982</v>
      </c>
      <c r="D196" s="4" t="s">
        <v>1011</v>
      </c>
      <c r="E196" s="4" t="n">
        <v>30800</v>
      </c>
      <c r="F196" s="4" t="s">
        <v>1012</v>
      </c>
      <c r="G196" s="4" t="n">
        <v>3</v>
      </c>
      <c r="J196" s="11" t="n">
        <f aca="false">IF(C196="one_time",G196,H196)</f>
        <v>3</v>
      </c>
      <c r="K196" s="11" t="n">
        <f aca="false">IF(C196="one_time",G196+1,I196)</f>
        <v>4</v>
      </c>
      <c r="L196" s="11" t="n">
        <f aca="false">K196-J196</f>
        <v>1</v>
      </c>
    </row>
    <row r="197" customFormat="false" ht="15" hidden="false" customHeight="false" outlineLevel="0" collapsed="false">
      <c r="A197" s="4" t="s">
        <v>1179</v>
      </c>
      <c r="B197" s="4" t="s">
        <v>86</v>
      </c>
      <c r="C197" s="4" t="s">
        <v>982</v>
      </c>
      <c r="D197" s="4" t="s">
        <v>1011</v>
      </c>
      <c r="E197" s="4" t="n">
        <v>12850</v>
      </c>
      <c r="F197" s="4" t="s">
        <v>1012</v>
      </c>
      <c r="G197" s="4" t="n">
        <v>2</v>
      </c>
      <c r="J197" s="11" t="n">
        <f aca="false">IF(C197="one_time",G197,H197)</f>
        <v>2</v>
      </c>
      <c r="K197" s="11" t="n">
        <f aca="false">IF(C197="one_time",G197+1,I197)</f>
        <v>3</v>
      </c>
      <c r="L197" s="11" t="n">
        <f aca="false">K197-J197</f>
        <v>1</v>
      </c>
    </row>
    <row r="198" customFormat="false" ht="15" hidden="false" customHeight="false" outlineLevel="0" collapsed="false">
      <c r="A198" s="4" t="s">
        <v>1180</v>
      </c>
      <c r="B198" s="4" t="s">
        <v>86</v>
      </c>
      <c r="C198" s="4" t="s">
        <v>982</v>
      </c>
      <c r="D198" s="4" t="s">
        <v>1011</v>
      </c>
      <c r="E198" s="4" t="n">
        <v>33350</v>
      </c>
      <c r="F198" s="4" t="s">
        <v>1012</v>
      </c>
      <c r="G198" s="4" t="n">
        <v>2</v>
      </c>
      <c r="J198" s="11" t="n">
        <f aca="false">IF(C198="one_time",G198,H198)</f>
        <v>2</v>
      </c>
      <c r="K198" s="11" t="n">
        <f aca="false">IF(C198="one_time",G198+1,I198)</f>
        <v>3</v>
      </c>
      <c r="L198" s="11" t="n">
        <f aca="false">K198-J198</f>
        <v>1</v>
      </c>
    </row>
    <row r="199" customFormat="false" ht="15" hidden="false" customHeight="false" outlineLevel="0" collapsed="false">
      <c r="A199" s="4" t="s">
        <v>1181</v>
      </c>
      <c r="B199" s="4" t="s">
        <v>86</v>
      </c>
      <c r="C199" s="4" t="s">
        <v>982</v>
      </c>
      <c r="D199" s="4" t="s">
        <v>1011</v>
      </c>
      <c r="E199" s="4" t="n">
        <v>27500</v>
      </c>
      <c r="F199" s="4" t="s">
        <v>1012</v>
      </c>
      <c r="G199" s="4" t="n">
        <v>3</v>
      </c>
      <c r="J199" s="11" t="n">
        <f aca="false">IF(C199="one_time",G199,H199)</f>
        <v>3</v>
      </c>
      <c r="K199" s="11" t="n">
        <f aca="false">IF(C199="one_time",G199+1,I199)</f>
        <v>4</v>
      </c>
      <c r="L199" s="11" t="n">
        <f aca="false">K199-J199</f>
        <v>1</v>
      </c>
    </row>
    <row r="200" customFormat="false" ht="15" hidden="false" customHeight="false" outlineLevel="0" collapsed="false">
      <c r="A200" s="4" t="s">
        <v>1182</v>
      </c>
      <c r="B200" s="4" t="s">
        <v>86</v>
      </c>
      <c r="C200" s="4" t="s">
        <v>982</v>
      </c>
      <c r="D200" s="4" t="s">
        <v>1011</v>
      </c>
      <c r="E200" s="4" t="n">
        <v>82500</v>
      </c>
      <c r="F200" s="4" t="s">
        <v>1012</v>
      </c>
      <c r="G200" s="4" t="n">
        <v>2</v>
      </c>
      <c r="J200" s="11" t="n">
        <f aca="false">IF(C200="one_time",G200,H200)</f>
        <v>2</v>
      </c>
      <c r="K200" s="11" t="n">
        <f aca="false">IF(C200="one_time",G200+1,I200)</f>
        <v>3</v>
      </c>
      <c r="L200" s="11" t="n">
        <f aca="false">K200-J200</f>
        <v>1</v>
      </c>
    </row>
    <row r="201" customFormat="false" ht="15" hidden="false" customHeight="false" outlineLevel="0" collapsed="false">
      <c r="A201" s="4" t="s">
        <v>1183</v>
      </c>
      <c r="B201" s="4" t="s">
        <v>86</v>
      </c>
      <c r="C201" s="4" t="s">
        <v>982</v>
      </c>
      <c r="D201" s="4" t="s">
        <v>1011</v>
      </c>
      <c r="E201" s="4" t="n">
        <v>88000</v>
      </c>
      <c r="F201" s="4" t="s">
        <v>1012</v>
      </c>
      <c r="G201" s="4" t="n">
        <v>4</v>
      </c>
      <c r="J201" s="11" t="n">
        <f aca="false">IF(C201="one_time",G201,H201)</f>
        <v>4</v>
      </c>
      <c r="K201" s="11" t="n">
        <f aca="false">IF(C201="one_time",G201+1,I201)</f>
        <v>5</v>
      </c>
      <c r="L201" s="11" t="n">
        <f aca="false">K201-J201</f>
        <v>1</v>
      </c>
    </row>
    <row r="202" customFormat="false" ht="15" hidden="false" customHeight="false" outlineLevel="0" collapsed="false">
      <c r="A202" s="4" t="s">
        <v>1184</v>
      </c>
      <c r="B202" s="4" t="s">
        <v>86</v>
      </c>
      <c r="C202" s="4" t="s">
        <v>1034</v>
      </c>
      <c r="D202" s="4" t="s">
        <v>1011</v>
      </c>
      <c r="E202" s="4" t="n">
        <v>4400</v>
      </c>
      <c r="F202" s="4" t="s">
        <v>1012</v>
      </c>
      <c r="H202" s="4" t="n">
        <v>4</v>
      </c>
      <c r="I202" s="4" t="n">
        <v>10</v>
      </c>
      <c r="J202" s="11" t="n">
        <f aca="false">IF(C202="one_time",G202,H202)</f>
        <v>4</v>
      </c>
      <c r="K202" s="11" t="n">
        <f aca="false">IF(C202="one_time",G202+1,I202)</f>
        <v>10</v>
      </c>
      <c r="L202" s="11" t="n">
        <f aca="false">K202-J202</f>
        <v>6</v>
      </c>
    </row>
    <row r="203" customFormat="false" ht="15" hidden="false" customHeight="false" outlineLevel="0" collapsed="false">
      <c r="A203" s="4" t="s">
        <v>1185</v>
      </c>
      <c r="B203" s="4" t="s">
        <v>86</v>
      </c>
      <c r="C203" s="4" t="s">
        <v>1034</v>
      </c>
      <c r="D203" s="4" t="s">
        <v>1011</v>
      </c>
      <c r="E203" s="4" t="n">
        <v>4600</v>
      </c>
      <c r="F203" s="4" t="s">
        <v>1012</v>
      </c>
      <c r="H203" s="4" t="n">
        <v>10</v>
      </c>
      <c r="I203" s="4" t="n">
        <v>17</v>
      </c>
      <c r="J203" s="11" t="n">
        <f aca="false">IF(C203="one_time",G203,H203)</f>
        <v>10</v>
      </c>
      <c r="K203" s="11" t="n">
        <f aca="false">IF(C203="one_time",G203+1,I203)</f>
        <v>17</v>
      </c>
      <c r="L203" s="11" t="n">
        <f aca="false">K203-J203</f>
        <v>7</v>
      </c>
    </row>
    <row r="204" customFormat="false" ht="15" hidden="false" customHeight="false" outlineLevel="0" collapsed="false">
      <c r="A204" s="4" t="s">
        <v>1186</v>
      </c>
      <c r="B204" s="4" t="s">
        <v>86</v>
      </c>
      <c r="C204" s="4" t="s">
        <v>1034</v>
      </c>
      <c r="D204" s="4" t="s">
        <v>1011</v>
      </c>
      <c r="E204" s="4" t="n">
        <v>7700</v>
      </c>
      <c r="F204" s="4" t="s">
        <v>1012</v>
      </c>
      <c r="H204" s="4" t="n">
        <v>4</v>
      </c>
      <c r="I204" s="4" t="n">
        <v>10</v>
      </c>
      <c r="J204" s="11" t="n">
        <f aca="false">IF(C204="one_time",G204,H204)</f>
        <v>4</v>
      </c>
      <c r="K204" s="11" t="n">
        <f aca="false">IF(C204="one_time",G204+1,I204)</f>
        <v>10</v>
      </c>
      <c r="L204" s="11" t="n">
        <f aca="false">K204-J204</f>
        <v>6</v>
      </c>
    </row>
    <row r="205" customFormat="false" ht="15" hidden="false" customHeight="false" outlineLevel="0" collapsed="false">
      <c r="A205" s="4" t="s">
        <v>1187</v>
      </c>
      <c r="B205" s="4" t="s">
        <v>86</v>
      </c>
      <c r="C205" s="4" t="s">
        <v>1034</v>
      </c>
      <c r="D205" s="4" t="s">
        <v>1011</v>
      </c>
      <c r="E205" s="4" t="n">
        <v>7850</v>
      </c>
      <c r="F205" s="4" t="s">
        <v>1012</v>
      </c>
      <c r="H205" s="4" t="n">
        <v>10</v>
      </c>
      <c r="I205" s="4" t="n">
        <v>17</v>
      </c>
      <c r="J205" s="11" t="n">
        <f aca="false">IF(C205="one_time",G205,H205)</f>
        <v>10</v>
      </c>
      <c r="K205" s="11" t="n">
        <f aca="false">IF(C205="one_time",G205+1,I205)</f>
        <v>17</v>
      </c>
      <c r="L205" s="11" t="n">
        <f aca="false">K205-J205</f>
        <v>7</v>
      </c>
    </row>
    <row r="206" customFormat="false" ht="15" hidden="false" customHeight="false" outlineLevel="0" collapsed="false">
      <c r="A206" s="4" t="s">
        <v>1188</v>
      </c>
      <c r="B206" s="4" t="s">
        <v>86</v>
      </c>
      <c r="C206" s="4" t="s">
        <v>1034</v>
      </c>
      <c r="D206" s="4" t="s">
        <v>1011</v>
      </c>
      <c r="E206" s="4" t="n">
        <v>9900</v>
      </c>
      <c r="F206" s="4" t="s">
        <v>1012</v>
      </c>
      <c r="H206" s="4" t="n">
        <v>4</v>
      </c>
      <c r="I206" s="4" t="n">
        <v>10</v>
      </c>
      <c r="J206" s="11" t="n">
        <f aca="false">IF(C206="one_time",G206,H206)</f>
        <v>4</v>
      </c>
      <c r="K206" s="11" t="n">
        <f aca="false">IF(C206="one_time",G206+1,I206)</f>
        <v>10</v>
      </c>
      <c r="L206" s="11" t="n">
        <f aca="false">K206-J206</f>
        <v>6</v>
      </c>
    </row>
    <row r="207" customFormat="false" ht="15" hidden="false" customHeight="false" outlineLevel="0" collapsed="false">
      <c r="A207" s="4" t="s">
        <v>1189</v>
      </c>
      <c r="B207" s="4" t="s">
        <v>86</v>
      </c>
      <c r="C207" s="4" t="s">
        <v>1034</v>
      </c>
      <c r="D207" s="4" t="s">
        <v>1011</v>
      </c>
      <c r="E207" s="4" t="n">
        <v>10000</v>
      </c>
      <c r="F207" s="4" t="s">
        <v>1012</v>
      </c>
      <c r="H207" s="4" t="n">
        <v>10</v>
      </c>
      <c r="I207" s="4" t="n">
        <v>17</v>
      </c>
      <c r="J207" s="11" t="n">
        <f aca="false">IF(C207="one_time",G207,H207)</f>
        <v>10</v>
      </c>
      <c r="K207" s="11" t="n">
        <f aca="false">IF(C207="one_time",G207+1,I207)</f>
        <v>17</v>
      </c>
      <c r="L207" s="11" t="n">
        <f aca="false">K207-J207</f>
        <v>7</v>
      </c>
    </row>
    <row r="208" customFormat="false" ht="15" hidden="false" customHeight="false" outlineLevel="0" collapsed="false">
      <c r="A208" s="4" t="s">
        <v>1190</v>
      </c>
      <c r="B208" s="4" t="s">
        <v>87</v>
      </c>
      <c r="C208" s="4" t="s">
        <v>982</v>
      </c>
      <c r="D208" s="4" t="s">
        <v>983</v>
      </c>
      <c r="E208" s="4" t="n">
        <v>137024.96</v>
      </c>
      <c r="G208" s="4" t="n">
        <v>8</v>
      </c>
      <c r="J208" s="11" t="n">
        <f aca="false">IF(C208="one_time",G208,H208)</f>
        <v>8</v>
      </c>
      <c r="K208" s="11" t="n">
        <f aca="false">IF(C208="one_time",G208+1,I208)</f>
        <v>9</v>
      </c>
      <c r="L208" s="11" t="n">
        <f aca="false">K208-J208</f>
        <v>1</v>
      </c>
    </row>
    <row r="209" customFormat="false" ht="15" hidden="false" customHeight="false" outlineLevel="0" collapsed="false">
      <c r="A209" s="4" t="s">
        <v>1191</v>
      </c>
      <c r="B209" s="4" t="s">
        <v>87</v>
      </c>
      <c r="C209" s="4" t="s">
        <v>982</v>
      </c>
      <c r="D209" s="4" t="s">
        <v>983</v>
      </c>
      <c r="E209" s="4" t="n">
        <v>46402.15</v>
      </c>
      <c r="G209" s="4" t="n">
        <v>8</v>
      </c>
      <c r="J209" s="11" t="n">
        <f aca="false">IF(C209="one_time",G209,H209)</f>
        <v>8</v>
      </c>
      <c r="K209" s="11" t="n">
        <f aca="false">IF(C209="one_time",G209+1,I209)</f>
        <v>9</v>
      </c>
      <c r="L209" s="11" t="n">
        <f aca="false">K209-J209</f>
        <v>1</v>
      </c>
    </row>
    <row r="210" customFormat="false" ht="15" hidden="false" customHeight="false" outlineLevel="0" collapsed="false">
      <c r="A210" s="4" t="s">
        <v>1192</v>
      </c>
      <c r="B210" s="4" t="s">
        <v>87</v>
      </c>
      <c r="C210" s="4" t="s">
        <v>982</v>
      </c>
      <c r="D210" s="4" t="s">
        <v>983</v>
      </c>
      <c r="E210" s="4" t="n">
        <v>115134.3</v>
      </c>
      <c r="G210" s="4" t="n">
        <v>8</v>
      </c>
      <c r="J210" s="11" t="n">
        <f aca="false">IF(C210="one_time",G210,H210)</f>
        <v>8</v>
      </c>
      <c r="K210" s="11" t="n">
        <f aca="false">IF(C210="one_time",G210+1,I210)</f>
        <v>9</v>
      </c>
      <c r="L210" s="11" t="n">
        <f aca="false">K210-J210</f>
        <v>1</v>
      </c>
    </row>
    <row r="211" customFormat="false" ht="15" hidden="false" customHeight="false" outlineLevel="0" collapsed="false">
      <c r="A211" s="4" t="s">
        <v>1193</v>
      </c>
      <c r="B211" s="4" t="s">
        <v>87</v>
      </c>
      <c r="C211" s="4" t="s">
        <v>982</v>
      </c>
      <c r="D211" s="4" t="s">
        <v>1011</v>
      </c>
      <c r="E211" s="4" t="n">
        <v>22700</v>
      </c>
      <c r="F211" s="4" t="s">
        <v>1012</v>
      </c>
      <c r="G211" s="4" t="n">
        <v>8</v>
      </c>
      <c r="J211" s="11" t="n">
        <f aca="false">IF(C211="one_time",G211,H211)</f>
        <v>8</v>
      </c>
      <c r="K211" s="11" t="n">
        <f aca="false">IF(C211="one_time",G211+1,I211)</f>
        <v>9</v>
      </c>
      <c r="L211" s="11" t="n">
        <f aca="false">K211-J211</f>
        <v>1</v>
      </c>
    </row>
    <row r="212" customFormat="false" ht="15" hidden="false" customHeight="false" outlineLevel="0" collapsed="false">
      <c r="A212" s="4" t="s">
        <v>1194</v>
      </c>
      <c r="B212" s="4" t="s">
        <v>87</v>
      </c>
      <c r="C212" s="4" t="s">
        <v>982</v>
      </c>
      <c r="D212" s="4" t="s">
        <v>1011</v>
      </c>
      <c r="E212" s="4" t="n">
        <v>26500</v>
      </c>
      <c r="F212" s="4" t="s">
        <v>1012</v>
      </c>
      <c r="G212" s="4" t="n">
        <v>9</v>
      </c>
      <c r="J212" s="11" t="n">
        <f aca="false">IF(C212="one_time",G212,H212)</f>
        <v>9</v>
      </c>
      <c r="K212" s="11" t="n">
        <f aca="false">IF(C212="one_time",G212+1,I212)</f>
        <v>10</v>
      </c>
      <c r="L212" s="11" t="n">
        <f aca="false">K212-J212</f>
        <v>1</v>
      </c>
    </row>
    <row r="213" customFormat="false" ht="15" hidden="false" customHeight="false" outlineLevel="0" collapsed="false">
      <c r="A213" s="4" t="s">
        <v>1195</v>
      </c>
      <c r="B213" s="4" t="s">
        <v>87</v>
      </c>
      <c r="C213" s="4" t="s">
        <v>982</v>
      </c>
      <c r="D213" s="4" t="s">
        <v>1011</v>
      </c>
      <c r="E213" s="4" t="n">
        <v>20800</v>
      </c>
      <c r="F213" s="4" t="s">
        <v>1012</v>
      </c>
      <c r="G213" s="4" t="n">
        <v>8</v>
      </c>
      <c r="J213" s="11" t="n">
        <f aca="false">IF(C213="one_time",G213,H213)</f>
        <v>8</v>
      </c>
      <c r="K213" s="11" t="n">
        <f aca="false">IF(C213="one_time",G213+1,I213)</f>
        <v>9</v>
      </c>
      <c r="L213" s="11" t="n">
        <f aca="false">K213-J213</f>
        <v>1</v>
      </c>
    </row>
    <row r="214" customFormat="false" ht="15" hidden="false" customHeight="false" outlineLevel="0" collapsed="false">
      <c r="A214" s="4" t="s">
        <v>1196</v>
      </c>
      <c r="B214" s="4" t="s">
        <v>87</v>
      </c>
      <c r="C214" s="4" t="s">
        <v>982</v>
      </c>
      <c r="D214" s="4" t="s">
        <v>1011</v>
      </c>
      <c r="E214" s="4" t="n">
        <v>22850</v>
      </c>
      <c r="F214" s="4" t="s">
        <v>1012</v>
      </c>
      <c r="G214" s="4" t="n">
        <v>9</v>
      </c>
      <c r="J214" s="11" t="n">
        <f aca="false">IF(C214="one_time",G214,H214)</f>
        <v>9</v>
      </c>
      <c r="K214" s="11" t="n">
        <f aca="false">IF(C214="one_time",G214+1,I214)</f>
        <v>10</v>
      </c>
      <c r="L214" s="11" t="n">
        <f aca="false">K214-J214</f>
        <v>1</v>
      </c>
    </row>
    <row r="215" customFormat="false" ht="15" hidden="false" customHeight="false" outlineLevel="0" collapsed="false">
      <c r="A215" s="4" t="s">
        <v>1197</v>
      </c>
      <c r="B215" s="4" t="s">
        <v>87</v>
      </c>
      <c r="C215" s="4" t="s">
        <v>982</v>
      </c>
      <c r="D215" s="4" t="s">
        <v>1011</v>
      </c>
      <c r="E215" s="4" t="n">
        <v>12150</v>
      </c>
      <c r="F215" s="4" t="s">
        <v>1012</v>
      </c>
      <c r="G215" s="4" t="n">
        <v>9</v>
      </c>
      <c r="J215" s="11" t="n">
        <f aca="false">IF(C215="one_time",G215,H215)</f>
        <v>9</v>
      </c>
      <c r="K215" s="11" t="n">
        <f aca="false">IF(C215="one_time",G215+1,I215)</f>
        <v>10</v>
      </c>
      <c r="L215" s="11" t="n">
        <f aca="false">K215-J215</f>
        <v>1</v>
      </c>
    </row>
    <row r="216" customFormat="false" ht="15" hidden="false" customHeight="false" outlineLevel="0" collapsed="false">
      <c r="A216" s="4" t="s">
        <v>1198</v>
      </c>
      <c r="B216" s="4" t="s">
        <v>87</v>
      </c>
      <c r="C216" s="4" t="s">
        <v>982</v>
      </c>
      <c r="D216" s="4" t="s">
        <v>1011</v>
      </c>
      <c r="E216" s="4" t="n">
        <v>7000</v>
      </c>
      <c r="F216" s="4" t="s">
        <v>1012</v>
      </c>
      <c r="G216" s="4" t="n">
        <v>8</v>
      </c>
      <c r="J216" s="11" t="n">
        <f aca="false">IF(C216="one_time",G216,H216)</f>
        <v>8</v>
      </c>
      <c r="K216" s="11" t="n">
        <f aca="false">IF(C216="one_time",G216+1,I216)</f>
        <v>9</v>
      </c>
      <c r="L216" s="11" t="n">
        <f aca="false">K216-J216</f>
        <v>1</v>
      </c>
    </row>
    <row r="217" customFormat="false" ht="15" hidden="false" customHeight="false" outlineLevel="0" collapsed="false">
      <c r="A217" s="4" t="s">
        <v>1199</v>
      </c>
      <c r="B217" s="4" t="s">
        <v>87</v>
      </c>
      <c r="C217" s="4" t="s">
        <v>982</v>
      </c>
      <c r="D217" s="4" t="s">
        <v>1011</v>
      </c>
      <c r="E217" s="4" t="n">
        <v>70000</v>
      </c>
      <c r="F217" s="4" t="s">
        <v>1012</v>
      </c>
      <c r="G217" s="4" t="n">
        <v>9</v>
      </c>
      <c r="J217" s="11" t="n">
        <f aca="false">IF(C217="one_time",G217,H217)</f>
        <v>9</v>
      </c>
      <c r="K217" s="11" t="n">
        <f aca="false">IF(C217="one_time",G217+1,I217)</f>
        <v>10</v>
      </c>
      <c r="L217" s="11" t="n">
        <f aca="false">K217-J217</f>
        <v>1</v>
      </c>
    </row>
    <row r="218" customFormat="false" ht="15" hidden="false" customHeight="false" outlineLevel="0" collapsed="false">
      <c r="A218" s="4" t="s">
        <v>1200</v>
      </c>
      <c r="B218" s="4" t="s">
        <v>87</v>
      </c>
      <c r="C218" s="4" t="s">
        <v>982</v>
      </c>
      <c r="D218" s="4" t="s">
        <v>1011</v>
      </c>
      <c r="E218" s="4" t="n">
        <v>14000</v>
      </c>
      <c r="F218" s="4" t="s">
        <v>1012</v>
      </c>
      <c r="G218" s="4" t="n">
        <v>0</v>
      </c>
      <c r="J218" s="11" t="n">
        <f aca="false">IF(C218="one_time",G218,H218)</f>
        <v>0</v>
      </c>
      <c r="K218" s="11" t="n">
        <f aca="false">IF(C218="one_time",G218+1,I218)</f>
        <v>1</v>
      </c>
      <c r="L218" s="11" t="n">
        <f aca="false">K218-J218</f>
        <v>1</v>
      </c>
    </row>
    <row r="219" customFormat="false" ht="15" hidden="false" customHeight="false" outlineLevel="0" collapsed="false">
      <c r="A219" s="4" t="s">
        <v>1201</v>
      </c>
      <c r="B219" s="4" t="s">
        <v>87</v>
      </c>
      <c r="C219" s="4" t="s">
        <v>982</v>
      </c>
      <c r="D219" s="4" t="s">
        <v>1011</v>
      </c>
      <c r="E219" s="4" t="n">
        <v>81650</v>
      </c>
      <c r="F219" s="4" t="s">
        <v>1012</v>
      </c>
      <c r="G219" s="4" t="n">
        <v>10</v>
      </c>
      <c r="J219" s="11" t="n">
        <f aca="false">IF(C219="one_time",G219,H219)</f>
        <v>10</v>
      </c>
      <c r="K219" s="11" t="n">
        <f aca="false">IF(C219="one_time",G219+1,I219)</f>
        <v>11</v>
      </c>
      <c r="L219" s="11" t="n">
        <f aca="false">K219-J219</f>
        <v>1</v>
      </c>
    </row>
    <row r="220" customFormat="false" ht="15" hidden="false" customHeight="false" outlineLevel="0" collapsed="false">
      <c r="A220" s="4" t="s">
        <v>1202</v>
      </c>
      <c r="B220" s="4" t="s">
        <v>87</v>
      </c>
      <c r="C220" s="4" t="s">
        <v>982</v>
      </c>
      <c r="D220" s="4" t="s">
        <v>1011</v>
      </c>
      <c r="E220" s="4" t="n">
        <v>163350</v>
      </c>
      <c r="F220" s="4" t="s">
        <v>1012</v>
      </c>
      <c r="G220" s="4" t="n">
        <v>8</v>
      </c>
      <c r="J220" s="11" t="n">
        <f aca="false">IF(C220="one_time",G220,H220)</f>
        <v>8</v>
      </c>
      <c r="K220" s="11" t="n">
        <f aca="false">IF(C220="one_time",G220+1,I220)</f>
        <v>9</v>
      </c>
      <c r="L220" s="11" t="n">
        <f aca="false">K220-J220</f>
        <v>1</v>
      </c>
    </row>
    <row r="221" customFormat="false" ht="15" hidden="false" customHeight="false" outlineLevel="0" collapsed="false">
      <c r="A221" s="4" t="s">
        <v>1203</v>
      </c>
      <c r="B221" s="4" t="s">
        <v>87</v>
      </c>
      <c r="C221" s="4" t="s">
        <v>982</v>
      </c>
      <c r="D221" s="4" t="s">
        <v>1011</v>
      </c>
      <c r="E221" s="4" t="n">
        <v>61250</v>
      </c>
      <c r="F221" s="4" t="s">
        <v>1012</v>
      </c>
      <c r="G221" s="4" t="n">
        <v>10</v>
      </c>
      <c r="J221" s="11" t="n">
        <f aca="false">IF(C221="one_time",G221,H221)</f>
        <v>10</v>
      </c>
      <c r="K221" s="11" t="n">
        <f aca="false">IF(C221="one_time",G221+1,I221)</f>
        <v>11</v>
      </c>
      <c r="L221" s="11" t="n">
        <f aca="false">K221-J221</f>
        <v>1</v>
      </c>
    </row>
    <row r="222" customFormat="false" ht="15" hidden="false" customHeight="false" outlineLevel="0" collapsed="false">
      <c r="A222" s="4" t="s">
        <v>1204</v>
      </c>
      <c r="B222" s="4" t="s">
        <v>87</v>
      </c>
      <c r="C222" s="4" t="s">
        <v>982</v>
      </c>
      <c r="D222" s="4" t="s">
        <v>1011</v>
      </c>
      <c r="E222" s="4" t="n">
        <v>43750</v>
      </c>
      <c r="F222" s="4" t="s">
        <v>1012</v>
      </c>
      <c r="G222" s="4" t="n">
        <v>10</v>
      </c>
      <c r="J222" s="11" t="n">
        <f aca="false">IF(C222="one_time",G222,H222)</f>
        <v>10</v>
      </c>
      <c r="K222" s="11" t="n">
        <f aca="false">IF(C222="one_time",G222+1,I222)</f>
        <v>11</v>
      </c>
      <c r="L222" s="11" t="n">
        <f aca="false">K222-J222</f>
        <v>1</v>
      </c>
    </row>
    <row r="223" customFormat="false" ht="15" hidden="false" customHeight="false" outlineLevel="0" collapsed="false">
      <c r="A223" s="4" t="s">
        <v>1205</v>
      </c>
      <c r="B223" s="4" t="s">
        <v>87</v>
      </c>
      <c r="C223" s="4" t="s">
        <v>982</v>
      </c>
      <c r="D223" s="4" t="s">
        <v>1011</v>
      </c>
      <c r="E223" s="4" t="n">
        <v>49000</v>
      </c>
      <c r="F223" s="4" t="s">
        <v>1012</v>
      </c>
      <c r="G223" s="4" t="n">
        <v>8</v>
      </c>
      <c r="J223" s="11" t="n">
        <f aca="false">IF(C223="one_time",G223,H223)</f>
        <v>8</v>
      </c>
      <c r="K223" s="11" t="n">
        <f aca="false">IF(C223="one_time",G223+1,I223)</f>
        <v>9</v>
      </c>
      <c r="L223" s="11" t="n">
        <f aca="false">K223-J223</f>
        <v>1</v>
      </c>
    </row>
    <row r="224" customFormat="false" ht="15" hidden="false" customHeight="false" outlineLevel="0" collapsed="false">
      <c r="A224" s="4" t="s">
        <v>1206</v>
      </c>
      <c r="B224" s="4" t="s">
        <v>87</v>
      </c>
      <c r="C224" s="4" t="s">
        <v>982</v>
      </c>
      <c r="D224" s="4" t="s">
        <v>1011</v>
      </c>
      <c r="E224" s="4" t="n">
        <v>29350</v>
      </c>
      <c r="F224" s="4" t="s">
        <v>1012</v>
      </c>
      <c r="G224" s="4" t="n">
        <v>8</v>
      </c>
      <c r="J224" s="11" t="n">
        <f aca="false">IF(C224="one_time",G224,H224)</f>
        <v>8</v>
      </c>
      <c r="K224" s="11" t="n">
        <f aca="false">IF(C224="one_time",G224+1,I224)</f>
        <v>9</v>
      </c>
      <c r="L224" s="11" t="n">
        <f aca="false">K224-J224</f>
        <v>1</v>
      </c>
    </row>
    <row r="225" customFormat="false" ht="15" hidden="false" customHeight="false" outlineLevel="0" collapsed="false">
      <c r="A225" s="4" t="s">
        <v>1207</v>
      </c>
      <c r="B225" s="4" t="s">
        <v>87</v>
      </c>
      <c r="C225" s="4" t="s">
        <v>982</v>
      </c>
      <c r="D225" s="4" t="s">
        <v>1011</v>
      </c>
      <c r="E225" s="4" t="n">
        <v>24850</v>
      </c>
      <c r="F225" s="4" t="s">
        <v>1012</v>
      </c>
      <c r="G225" s="4" t="n">
        <v>9</v>
      </c>
      <c r="J225" s="11" t="n">
        <f aca="false">IF(C225="one_time",G225,H225)</f>
        <v>9</v>
      </c>
      <c r="K225" s="11" t="n">
        <f aca="false">IF(C225="one_time",G225+1,I225)</f>
        <v>10</v>
      </c>
      <c r="L225" s="11" t="n">
        <f aca="false">K225-J225</f>
        <v>1</v>
      </c>
    </row>
    <row r="226" customFormat="false" ht="15" hidden="false" customHeight="false" outlineLevel="0" collapsed="false">
      <c r="A226" s="4" t="s">
        <v>1208</v>
      </c>
      <c r="B226" s="4" t="s">
        <v>87</v>
      </c>
      <c r="C226" s="4" t="s">
        <v>982</v>
      </c>
      <c r="D226" s="4" t="s">
        <v>1011</v>
      </c>
      <c r="E226" s="4" t="n">
        <v>15800</v>
      </c>
      <c r="F226" s="4" t="s">
        <v>1012</v>
      </c>
      <c r="G226" s="4" t="n">
        <v>8</v>
      </c>
      <c r="J226" s="11" t="n">
        <f aca="false">IF(C226="one_time",G226,H226)</f>
        <v>8</v>
      </c>
      <c r="K226" s="11" t="n">
        <f aca="false">IF(C226="one_time",G226+1,I226)</f>
        <v>9</v>
      </c>
      <c r="L226" s="11" t="n">
        <f aca="false">K226-J226</f>
        <v>1</v>
      </c>
    </row>
    <row r="227" customFormat="false" ht="15" hidden="false" customHeight="false" outlineLevel="0" collapsed="false">
      <c r="A227" s="4" t="s">
        <v>1209</v>
      </c>
      <c r="B227" s="4" t="s">
        <v>87</v>
      </c>
      <c r="C227" s="4" t="s">
        <v>982</v>
      </c>
      <c r="D227" s="4" t="s">
        <v>1011</v>
      </c>
      <c r="E227" s="4" t="n">
        <v>20350</v>
      </c>
      <c r="F227" s="4" t="s">
        <v>1012</v>
      </c>
      <c r="G227" s="4" t="n">
        <v>9</v>
      </c>
      <c r="J227" s="11" t="n">
        <f aca="false">IF(C227="one_time",G227,H227)</f>
        <v>9</v>
      </c>
      <c r="K227" s="11" t="n">
        <f aca="false">IF(C227="one_time",G227+1,I227)</f>
        <v>10</v>
      </c>
      <c r="L227" s="11" t="n">
        <f aca="false">K227-J227</f>
        <v>1</v>
      </c>
    </row>
    <row r="228" customFormat="false" ht="15" hidden="false" customHeight="false" outlineLevel="0" collapsed="false">
      <c r="A228" s="4" t="s">
        <v>1210</v>
      </c>
      <c r="B228" s="4" t="s">
        <v>87</v>
      </c>
      <c r="C228" s="4" t="s">
        <v>982</v>
      </c>
      <c r="D228" s="4" t="s">
        <v>1011</v>
      </c>
      <c r="E228" s="4" t="n">
        <v>17800</v>
      </c>
      <c r="F228" s="4" t="s">
        <v>1012</v>
      </c>
      <c r="G228" s="4" t="n">
        <v>8</v>
      </c>
      <c r="J228" s="11" t="n">
        <f aca="false">IF(C228="one_time",G228,H228)</f>
        <v>8</v>
      </c>
      <c r="K228" s="11" t="n">
        <f aca="false">IF(C228="one_time",G228+1,I228)</f>
        <v>9</v>
      </c>
      <c r="L228" s="11" t="n">
        <f aca="false">K228-J228</f>
        <v>1</v>
      </c>
    </row>
    <row r="229" customFormat="false" ht="15" hidden="false" customHeight="false" outlineLevel="0" collapsed="false">
      <c r="A229" s="4" t="s">
        <v>1211</v>
      </c>
      <c r="B229" s="4" t="s">
        <v>87</v>
      </c>
      <c r="C229" s="4" t="s">
        <v>982</v>
      </c>
      <c r="D229" s="4" t="s">
        <v>1011</v>
      </c>
      <c r="E229" s="4" t="n">
        <v>17850</v>
      </c>
      <c r="F229" s="4" t="s">
        <v>1012</v>
      </c>
      <c r="G229" s="4" t="n">
        <v>8</v>
      </c>
      <c r="J229" s="11" t="n">
        <f aca="false">IF(C229="one_time",G229,H229)</f>
        <v>8</v>
      </c>
      <c r="K229" s="11" t="n">
        <f aca="false">IF(C229="one_time",G229+1,I229)</f>
        <v>9</v>
      </c>
      <c r="L229" s="11" t="n">
        <f aca="false">K229-J229</f>
        <v>1</v>
      </c>
    </row>
    <row r="230" customFormat="false" ht="15" hidden="false" customHeight="false" outlineLevel="0" collapsed="false">
      <c r="A230" s="4" t="s">
        <v>1212</v>
      </c>
      <c r="B230" s="4" t="s">
        <v>87</v>
      </c>
      <c r="C230" s="4" t="s">
        <v>1034</v>
      </c>
      <c r="D230" s="4" t="s">
        <v>1011</v>
      </c>
      <c r="E230" s="4" t="n">
        <v>2800</v>
      </c>
      <c r="F230" s="4" t="s">
        <v>1012</v>
      </c>
      <c r="H230" s="4" t="n">
        <v>10</v>
      </c>
      <c r="I230" s="4" t="n">
        <v>16</v>
      </c>
      <c r="J230" s="11" t="n">
        <f aca="false">IF(C230="one_time",G230,H230)</f>
        <v>10</v>
      </c>
      <c r="K230" s="11" t="n">
        <f aca="false">IF(C230="one_time",G230+1,I230)</f>
        <v>16</v>
      </c>
      <c r="L230" s="11" t="n">
        <f aca="false">K230-J230</f>
        <v>6</v>
      </c>
    </row>
    <row r="231" customFormat="false" ht="15" hidden="false" customHeight="false" outlineLevel="0" collapsed="false">
      <c r="A231" s="4" t="s">
        <v>1213</v>
      </c>
      <c r="B231" s="4" t="s">
        <v>87</v>
      </c>
      <c r="C231" s="4" t="s">
        <v>1034</v>
      </c>
      <c r="D231" s="4" t="s">
        <v>1011</v>
      </c>
      <c r="E231" s="4" t="n">
        <v>3000</v>
      </c>
      <c r="F231" s="4" t="s">
        <v>1012</v>
      </c>
      <c r="H231" s="4" t="n">
        <v>16</v>
      </c>
      <c r="I231" s="4" t="n">
        <v>23</v>
      </c>
      <c r="J231" s="11" t="n">
        <f aca="false">IF(C231="one_time",G231,H231)</f>
        <v>16</v>
      </c>
      <c r="K231" s="11" t="n">
        <f aca="false">IF(C231="one_time",G231+1,I231)</f>
        <v>23</v>
      </c>
      <c r="L231" s="11" t="n">
        <f aca="false">K231-J231</f>
        <v>7</v>
      </c>
    </row>
    <row r="232" customFormat="false" ht="15" hidden="false" customHeight="false" outlineLevel="0" collapsed="false">
      <c r="A232" s="4" t="s">
        <v>1214</v>
      </c>
      <c r="B232" s="4" t="s">
        <v>87</v>
      </c>
      <c r="C232" s="4" t="s">
        <v>1034</v>
      </c>
      <c r="D232" s="4" t="s">
        <v>1011</v>
      </c>
      <c r="E232" s="4" t="n">
        <v>4900</v>
      </c>
      <c r="F232" s="4" t="s">
        <v>1012</v>
      </c>
      <c r="H232" s="4" t="n">
        <v>10</v>
      </c>
      <c r="I232" s="4" t="n">
        <v>16</v>
      </c>
      <c r="J232" s="11" t="n">
        <f aca="false">IF(C232="one_time",G232,H232)</f>
        <v>10</v>
      </c>
      <c r="K232" s="11" t="n">
        <f aca="false">IF(C232="one_time",G232+1,I232)</f>
        <v>16</v>
      </c>
      <c r="L232" s="11" t="n">
        <f aca="false">K232-J232</f>
        <v>6</v>
      </c>
    </row>
    <row r="233" customFormat="false" ht="15" hidden="false" customHeight="false" outlineLevel="0" collapsed="false">
      <c r="A233" s="4" t="s">
        <v>1215</v>
      </c>
      <c r="B233" s="4" t="s">
        <v>87</v>
      </c>
      <c r="C233" s="4" t="s">
        <v>1034</v>
      </c>
      <c r="D233" s="4" t="s">
        <v>1011</v>
      </c>
      <c r="E233" s="4" t="n">
        <v>5100</v>
      </c>
      <c r="F233" s="4" t="s">
        <v>1012</v>
      </c>
      <c r="H233" s="4" t="n">
        <v>16</v>
      </c>
      <c r="I233" s="4" t="n">
        <v>23</v>
      </c>
      <c r="J233" s="11" t="n">
        <f aca="false">IF(C233="one_time",G233,H233)</f>
        <v>16</v>
      </c>
      <c r="K233" s="11" t="n">
        <f aca="false">IF(C233="one_time",G233+1,I233)</f>
        <v>23</v>
      </c>
      <c r="L233" s="11" t="n">
        <f aca="false">K233-J233</f>
        <v>7</v>
      </c>
    </row>
    <row r="234" customFormat="false" ht="15" hidden="false" customHeight="false" outlineLevel="0" collapsed="false">
      <c r="A234" s="4" t="s">
        <v>1216</v>
      </c>
      <c r="B234" s="4" t="s">
        <v>87</v>
      </c>
      <c r="C234" s="4" t="s">
        <v>1034</v>
      </c>
      <c r="D234" s="4" t="s">
        <v>1011</v>
      </c>
      <c r="E234" s="4" t="n">
        <v>6300</v>
      </c>
      <c r="F234" s="4" t="s">
        <v>1012</v>
      </c>
      <c r="H234" s="4" t="n">
        <v>10</v>
      </c>
      <c r="I234" s="4" t="n">
        <v>16</v>
      </c>
      <c r="J234" s="11" t="n">
        <f aca="false">IF(C234="one_time",G234,H234)</f>
        <v>10</v>
      </c>
      <c r="K234" s="11" t="n">
        <f aca="false">IF(C234="one_time",G234+1,I234)</f>
        <v>16</v>
      </c>
      <c r="L234" s="11" t="n">
        <f aca="false">K234-J234</f>
        <v>6</v>
      </c>
    </row>
    <row r="235" customFormat="false" ht="15" hidden="false" customHeight="false" outlineLevel="0" collapsed="false">
      <c r="A235" s="4" t="s">
        <v>1217</v>
      </c>
      <c r="B235" s="4" t="s">
        <v>87</v>
      </c>
      <c r="C235" s="4" t="s">
        <v>1034</v>
      </c>
      <c r="D235" s="4" t="s">
        <v>1011</v>
      </c>
      <c r="E235" s="4" t="n">
        <v>6500</v>
      </c>
      <c r="F235" s="4" t="s">
        <v>1012</v>
      </c>
      <c r="H235" s="4" t="n">
        <v>16</v>
      </c>
      <c r="I235" s="4" t="n">
        <v>23</v>
      </c>
      <c r="J235" s="11" t="n">
        <f aca="false">IF(C235="one_time",G235,H235)</f>
        <v>16</v>
      </c>
      <c r="K235" s="11" t="n">
        <f aca="false">IF(C235="one_time",G235+1,I235)</f>
        <v>23</v>
      </c>
      <c r="L235" s="11" t="n">
        <f aca="false">K235-J235</f>
        <v>7</v>
      </c>
    </row>
    <row r="236" customFormat="false" ht="15" hidden="false" customHeight="false" outlineLevel="0" collapsed="false">
      <c r="A236" s="4" t="s">
        <v>1218</v>
      </c>
      <c r="B236" s="4" t="s">
        <v>88</v>
      </c>
      <c r="C236" s="4" t="s">
        <v>982</v>
      </c>
      <c r="D236" s="4" t="s">
        <v>1011</v>
      </c>
      <c r="E236" s="4" t="n">
        <v>11650</v>
      </c>
      <c r="F236" s="4" t="s">
        <v>1012</v>
      </c>
      <c r="G236" s="4" t="n">
        <v>13</v>
      </c>
      <c r="J236" s="11" t="n">
        <f aca="false">IF(C236="one_time",G236,H236)</f>
        <v>13</v>
      </c>
      <c r="K236" s="11" t="n">
        <f aca="false">IF(C236="one_time",G236+1,I236)</f>
        <v>14</v>
      </c>
      <c r="L236" s="11" t="n">
        <f aca="false">K236-J236</f>
        <v>1</v>
      </c>
    </row>
    <row r="237" customFormat="false" ht="15" hidden="false" customHeight="false" outlineLevel="0" collapsed="false">
      <c r="A237" s="4" t="s">
        <v>1219</v>
      </c>
      <c r="B237" s="4" t="s">
        <v>88</v>
      </c>
      <c r="C237" s="4" t="s">
        <v>982</v>
      </c>
      <c r="D237" s="4" t="s">
        <v>1011</v>
      </c>
      <c r="E237" s="4" t="n">
        <v>20000</v>
      </c>
      <c r="F237" s="4" t="s">
        <v>1012</v>
      </c>
      <c r="G237" s="4" t="n">
        <v>15</v>
      </c>
      <c r="J237" s="11" t="n">
        <f aca="false">IF(C237="one_time",G237,H237)</f>
        <v>15</v>
      </c>
      <c r="K237" s="11" t="n">
        <f aca="false">IF(C237="one_time",G237+1,I237)</f>
        <v>16</v>
      </c>
      <c r="L237" s="11" t="n">
        <f aca="false">K237-J237</f>
        <v>1</v>
      </c>
    </row>
    <row r="238" customFormat="false" ht="15" hidden="false" customHeight="false" outlineLevel="0" collapsed="false">
      <c r="A238" s="4" t="s">
        <v>1220</v>
      </c>
      <c r="B238" s="4" t="s">
        <v>88</v>
      </c>
      <c r="C238" s="4" t="s">
        <v>982</v>
      </c>
      <c r="D238" s="4" t="s">
        <v>1011</v>
      </c>
      <c r="E238" s="4" t="n">
        <v>13350</v>
      </c>
      <c r="F238" s="4" t="s">
        <v>1012</v>
      </c>
      <c r="G238" s="4" t="n">
        <v>15</v>
      </c>
      <c r="J238" s="11" t="n">
        <f aca="false">IF(C238="one_time",G238,H238)</f>
        <v>15</v>
      </c>
      <c r="K238" s="11" t="n">
        <f aca="false">IF(C238="one_time",G238+1,I238)</f>
        <v>16</v>
      </c>
      <c r="L238" s="11" t="n">
        <f aca="false">K238-J238</f>
        <v>1</v>
      </c>
    </row>
    <row r="239" customFormat="false" ht="15" hidden="false" customHeight="false" outlineLevel="0" collapsed="false">
      <c r="A239" s="4" t="s">
        <v>1221</v>
      </c>
      <c r="B239" s="4" t="s">
        <v>88</v>
      </c>
      <c r="C239" s="4" t="s">
        <v>982</v>
      </c>
      <c r="D239" s="4" t="s">
        <v>1011</v>
      </c>
      <c r="E239" s="4" t="n">
        <v>10550</v>
      </c>
      <c r="F239" s="4" t="s">
        <v>1012</v>
      </c>
      <c r="G239" s="4" t="n">
        <v>12</v>
      </c>
      <c r="J239" s="11" t="n">
        <f aca="false">IF(C239="one_time",G239,H239)</f>
        <v>12</v>
      </c>
      <c r="K239" s="11" t="n">
        <f aca="false">IF(C239="one_time",G239+1,I239)</f>
        <v>13</v>
      </c>
      <c r="L239" s="11" t="n">
        <f aca="false">K239-J239</f>
        <v>1</v>
      </c>
    </row>
    <row r="240" customFormat="false" ht="15" hidden="false" customHeight="false" outlineLevel="0" collapsed="false">
      <c r="A240" s="4" t="s">
        <v>1222</v>
      </c>
      <c r="B240" s="4" t="s">
        <v>88</v>
      </c>
      <c r="C240" s="4" t="s">
        <v>982</v>
      </c>
      <c r="D240" s="4" t="s">
        <v>1011</v>
      </c>
      <c r="E240" s="4" t="n">
        <v>4200</v>
      </c>
      <c r="F240" s="4" t="s">
        <v>1012</v>
      </c>
      <c r="G240" s="4" t="n">
        <v>14</v>
      </c>
      <c r="J240" s="11" t="n">
        <f aca="false">IF(C240="one_time",G240,H240)</f>
        <v>14</v>
      </c>
      <c r="K240" s="11" t="n">
        <f aca="false">IF(C240="one_time",G240+1,I240)</f>
        <v>15</v>
      </c>
      <c r="L240" s="11" t="n">
        <f aca="false">K240-J240</f>
        <v>1</v>
      </c>
    </row>
    <row r="241" customFormat="false" ht="15" hidden="false" customHeight="false" outlineLevel="0" collapsed="false">
      <c r="A241" s="4" t="s">
        <v>1223</v>
      </c>
      <c r="B241" s="4" t="s">
        <v>88</v>
      </c>
      <c r="C241" s="4" t="s">
        <v>982</v>
      </c>
      <c r="D241" s="4" t="s">
        <v>1011</v>
      </c>
      <c r="E241" s="4" t="n">
        <v>7750</v>
      </c>
      <c r="F241" s="4" t="s">
        <v>1012</v>
      </c>
      <c r="G241" s="4" t="n">
        <v>15</v>
      </c>
      <c r="J241" s="11" t="n">
        <f aca="false">IF(C241="one_time",G241,H241)</f>
        <v>15</v>
      </c>
      <c r="K241" s="11" t="n">
        <f aca="false">IF(C241="one_time",G241+1,I241)</f>
        <v>16</v>
      </c>
      <c r="L241" s="11" t="n">
        <f aca="false">K241-J241</f>
        <v>1</v>
      </c>
    </row>
    <row r="242" customFormat="false" ht="15" hidden="false" customHeight="false" outlineLevel="0" collapsed="false">
      <c r="A242" s="4" t="s">
        <v>1224</v>
      </c>
      <c r="B242" s="4" t="s">
        <v>88</v>
      </c>
      <c r="C242" s="4" t="s">
        <v>982</v>
      </c>
      <c r="D242" s="4" t="s">
        <v>1011</v>
      </c>
      <c r="E242" s="4" t="n">
        <v>9000</v>
      </c>
      <c r="F242" s="4" t="s">
        <v>1012</v>
      </c>
      <c r="G242" s="4" t="n">
        <v>12</v>
      </c>
      <c r="J242" s="11" t="n">
        <f aca="false">IF(C242="one_time",G242,H242)</f>
        <v>12</v>
      </c>
      <c r="K242" s="11" t="n">
        <f aca="false">IF(C242="one_time",G242+1,I242)</f>
        <v>13</v>
      </c>
      <c r="L242" s="11" t="n">
        <f aca="false">K242-J242</f>
        <v>1</v>
      </c>
    </row>
    <row r="243" customFormat="false" ht="15" hidden="false" customHeight="false" outlineLevel="0" collapsed="false">
      <c r="A243" s="4" t="s">
        <v>1225</v>
      </c>
      <c r="B243" s="4" t="s">
        <v>88</v>
      </c>
      <c r="C243" s="4" t="s">
        <v>982</v>
      </c>
      <c r="D243" s="4" t="s">
        <v>1011</v>
      </c>
      <c r="E243" s="4" t="n">
        <v>16900</v>
      </c>
      <c r="F243" s="4" t="s">
        <v>1012</v>
      </c>
      <c r="G243" s="4" t="n">
        <v>12</v>
      </c>
      <c r="J243" s="11" t="n">
        <f aca="false">IF(C243="one_time",G243,H243)</f>
        <v>12</v>
      </c>
      <c r="K243" s="11" t="n">
        <f aca="false">IF(C243="one_time",G243+1,I243)</f>
        <v>13</v>
      </c>
      <c r="L243" s="11" t="n">
        <f aca="false">K243-J243</f>
        <v>1</v>
      </c>
    </row>
    <row r="244" customFormat="false" ht="15" hidden="false" customHeight="false" outlineLevel="0" collapsed="false">
      <c r="A244" s="4" t="s">
        <v>1226</v>
      </c>
      <c r="B244" s="4" t="s">
        <v>88</v>
      </c>
      <c r="C244" s="4" t="s">
        <v>982</v>
      </c>
      <c r="D244" s="4" t="s">
        <v>1011</v>
      </c>
      <c r="E244" s="4" t="n">
        <v>16900</v>
      </c>
      <c r="F244" s="4" t="s">
        <v>1012</v>
      </c>
      <c r="G244" s="4" t="n">
        <v>14</v>
      </c>
      <c r="J244" s="11" t="n">
        <f aca="false">IF(C244="one_time",G244,H244)</f>
        <v>14</v>
      </c>
      <c r="K244" s="11" t="n">
        <f aca="false">IF(C244="one_time",G244+1,I244)</f>
        <v>15</v>
      </c>
      <c r="L244" s="11" t="n">
        <f aca="false">K244-J244</f>
        <v>1</v>
      </c>
    </row>
    <row r="245" customFormat="false" ht="15" hidden="false" customHeight="false" outlineLevel="0" collapsed="false">
      <c r="A245" s="4" t="s">
        <v>1227</v>
      </c>
      <c r="B245" s="4" t="s">
        <v>88</v>
      </c>
      <c r="C245" s="4" t="s">
        <v>982</v>
      </c>
      <c r="D245" s="4" t="s">
        <v>1011</v>
      </c>
      <c r="E245" s="4" t="n">
        <v>11200</v>
      </c>
      <c r="F245" s="4" t="s">
        <v>1012</v>
      </c>
      <c r="G245" s="4" t="n">
        <v>12</v>
      </c>
      <c r="J245" s="11" t="n">
        <f aca="false">IF(C245="one_time",G245,H245)</f>
        <v>12</v>
      </c>
      <c r="K245" s="11" t="n">
        <f aca="false">IF(C245="one_time",G245+1,I245)</f>
        <v>13</v>
      </c>
      <c r="L245" s="11" t="n">
        <f aca="false">K245-J245</f>
        <v>1</v>
      </c>
    </row>
    <row r="246" customFormat="false" ht="15" hidden="false" customHeight="false" outlineLevel="0" collapsed="false">
      <c r="A246" s="4" t="s">
        <v>1228</v>
      </c>
      <c r="B246" s="4" t="s">
        <v>88</v>
      </c>
      <c r="C246" s="4" t="s">
        <v>982</v>
      </c>
      <c r="D246" s="4" t="s">
        <v>1011</v>
      </c>
      <c r="E246" s="4" t="n">
        <v>9000</v>
      </c>
      <c r="F246" s="4" t="s">
        <v>1012</v>
      </c>
      <c r="G246" s="4" t="n">
        <v>0</v>
      </c>
      <c r="J246" s="11" t="n">
        <f aca="false">IF(C246="one_time",G246,H246)</f>
        <v>0</v>
      </c>
      <c r="K246" s="11" t="n">
        <f aca="false">IF(C246="one_time",G246+1,I246)</f>
        <v>1</v>
      </c>
      <c r="L246" s="11" t="n">
        <f aca="false">K246-J246</f>
        <v>1</v>
      </c>
    </row>
    <row r="247" customFormat="false" ht="15" hidden="false" customHeight="false" outlineLevel="0" collapsed="false">
      <c r="A247" s="4" t="s">
        <v>1229</v>
      </c>
      <c r="B247" s="4" t="s">
        <v>88</v>
      </c>
      <c r="C247" s="4" t="s">
        <v>982</v>
      </c>
      <c r="D247" s="4" t="s">
        <v>1011</v>
      </c>
      <c r="E247" s="4" t="n">
        <v>75850</v>
      </c>
      <c r="F247" s="4" t="s">
        <v>1012</v>
      </c>
      <c r="G247" s="4" t="n">
        <v>12</v>
      </c>
      <c r="J247" s="11" t="n">
        <f aca="false">IF(C247="one_time",G247,H247)</f>
        <v>12</v>
      </c>
      <c r="K247" s="11" t="n">
        <f aca="false">IF(C247="one_time",G247+1,I247)</f>
        <v>13</v>
      </c>
      <c r="L247" s="11" t="n">
        <f aca="false">K247-J247</f>
        <v>1</v>
      </c>
    </row>
    <row r="248" customFormat="false" ht="15" hidden="false" customHeight="false" outlineLevel="0" collapsed="false">
      <c r="A248" s="4" t="s">
        <v>1230</v>
      </c>
      <c r="B248" s="4" t="s">
        <v>88</v>
      </c>
      <c r="C248" s="4" t="s">
        <v>982</v>
      </c>
      <c r="D248" s="4" t="s">
        <v>1011</v>
      </c>
      <c r="E248" s="4" t="n">
        <v>40850</v>
      </c>
      <c r="F248" s="4" t="s">
        <v>1012</v>
      </c>
      <c r="G248" s="4" t="n">
        <v>14</v>
      </c>
      <c r="J248" s="11" t="n">
        <f aca="false">IF(C248="one_time",G248,H248)</f>
        <v>14</v>
      </c>
      <c r="K248" s="11" t="n">
        <f aca="false">IF(C248="one_time",G248+1,I248)</f>
        <v>15</v>
      </c>
      <c r="L248" s="11" t="n">
        <f aca="false">K248-J248</f>
        <v>1</v>
      </c>
    </row>
    <row r="249" customFormat="false" ht="15" hidden="false" customHeight="false" outlineLevel="0" collapsed="false">
      <c r="A249" s="4" t="s">
        <v>1231</v>
      </c>
      <c r="B249" s="4" t="s">
        <v>88</v>
      </c>
      <c r="C249" s="4" t="s">
        <v>982</v>
      </c>
      <c r="D249" s="4" t="s">
        <v>1011</v>
      </c>
      <c r="E249" s="4" t="n">
        <v>40800</v>
      </c>
      <c r="F249" s="4" t="s">
        <v>1012</v>
      </c>
      <c r="G249" s="4" t="n">
        <v>15</v>
      </c>
      <c r="J249" s="11" t="n">
        <f aca="false">IF(C249="one_time",G249,H249)</f>
        <v>15</v>
      </c>
      <c r="K249" s="11" t="n">
        <f aca="false">IF(C249="one_time",G249+1,I249)</f>
        <v>16</v>
      </c>
      <c r="L249" s="11" t="n">
        <f aca="false">K249-J249</f>
        <v>1</v>
      </c>
    </row>
    <row r="250" customFormat="false" ht="15" hidden="false" customHeight="false" outlineLevel="0" collapsed="false">
      <c r="A250" s="4" t="s">
        <v>1232</v>
      </c>
      <c r="B250" s="4" t="s">
        <v>88</v>
      </c>
      <c r="C250" s="4" t="s">
        <v>982</v>
      </c>
      <c r="D250" s="4" t="s">
        <v>1011</v>
      </c>
      <c r="E250" s="4" t="n">
        <v>31150</v>
      </c>
      <c r="F250" s="4" t="s">
        <v>1012</v>
      </c>
      <c r="G250" s="4" t="n">
        <v>13</v>
      </c>
      <c r="J250" s="11" t="n">
        <f aca="false">IF(C250="one_time",G250,H250)</f>
        <v>13</v>
      </c>
      <c r="K250" s="11" t="n">
        <f aca="false">IF(C250="one_time",G250+1,I250)</f>
        <v>14</v>
      </c>
      <c r="L250" s="11" t="n">
        <f aca="false">K250-J250</f>
        <v>1</v>
      </c>
    </row>
    <row r="251" customFormat="false" ht="15" hidden="false" customHeight="false" outlineLevel="0" collapsed="false">
      <c r="A251" s="4" t="s">
        <v>1233</v>
      </c>
      <c r="B251" s="4" t="s">
        <v>88</v>
      </c>
      <c r="C251" s="4" t="s">
        <v>982</v>
      </c>
      <c r="D251" s="4" t="s">
        <v>1011</v>
      </c>
      <c r="E251" s="4" t="n">
        <v>36350</v>
      </c>
      <c r="F251" s="4" t="s">
        <v>1012</v>
      </c>
      <c r="G251" s="4" t="n">
        <v>15</v>
      </c>
      <c r="J251" s="11" t="n">
        <f aca="false">IF(C251="one_time",G251,H251)</f>
        <v>15</v>
      </c>
      <c r="K251" s="11" t="n">
        <f aca="false">IF(C251="one_time",G251+1,I251)</f>
        <v>16</v>
      </c>
      <c r="L251" s="11" t="n">
        <f aca="false">K251-J251</f>
        <v>1</v>
      </c>
    </row>
    <row r="252" customFormat="false" ht="15" hidden="false" customHeight="false" outlineLevel="0" collapsed="false">
      <c r="A252" s="4" t="s">
        <v>1234</v>
      </c>
      <c r="B252" s="4" t="s">
        <v>88</v>
      </c>
      <c r="C252" s="4" t="s">
        <v>982</v>
      </c>
      <c r="D252" s="4" t="s">
        <v>1011</v>
      </c>
      <c r="E252" s="4" t="n">
        <v>9850</v>
      </c>
      <c r="F252" s="4" t="s">
        <v>1012</v>
      </c>
      <c r="G252" s="4" t="n">
        <v>14</v>
      </c>
      <c r="J252" s="11" t="n">
        <f aca="false">IF(C252="one_time",G252,H252)</f>
        <v>14</v>
      </c>
      <c r="K252" s="11" t="n">
        <f aca="false">IF(C252="one_time",G252+1,I252)</f>
        <v>15</v>
      </c>
      <c r="L252" s="11" t="n">
        <f aca="false">K252-J252</f>
        <v>1</v>
      </c>
    </row>
    <row r="253" customFormat="false" ht="15" hidden="false" customHeight="false" outlineLevel="0" collapsed="false">
      <c r="A253" s="4" t="s">
        <v>1235</v>
      </c>
      <c r="B253" s="4" t="s">
        <v>88</v>
      </c>
      <c r="C253" s="4" t="s">
        <v>982</v>
      </c>
      <c r="D253" s="4" t="s">
        <v>1011</v>
      </c>
      <c r="E253" s="4" t="n">
        <v>11800</v>
      </c>
      <c r="F253" s="4" t="s">
        <v>1012</v>
      </c>
      <c r="G253" s="4" t="n">
        <v>13</v>
      </c>
      <c r="J253" s="11" t="n">
        <f aca="false">IF(C253="one_time",G253,H253)</f>
        <v>13</v>
      </c>
      <c r="K253" s="11" t="n">
        <f aca="false">IF(C253="one_time",G253+1,I253)</f>
        <v>14</v>
      </c>
      <c r="L253" s="11" t="n">
        <f aca="false">K253-J253</f>
        <v>1</v>
      </c>
    </row>
    <row r="254" customFormat="false" ht="15" hidden="false" customHeight="false" outlineLevel="0" collapsed="false">
      <c r="A254" s="4" t="s">
        <v>1236</v>
      </c>
      <c r="B254" s="4" t="s">
        <v>88</v>
      </c>
      <c r="C254" s="4" t="s">
        <v>982</v>
      </c>
      <c r="D254" s="4" t="s">
        <v>1011</v>
      </c>
      <c r="E254" s="4" t="n">
        <v>9850</v>
      </c>
      <c r="F254" s="4" t="s">
        <v>1012</v>
      </c>
      <c r="G254" s="4" t="n">
        <v>12</v>
      </c>
      <c r="J254" s="11" t="n">
        <f aca="false">IF(C254="one_time",G254,H254)</f>
        <v>12</v>
      </c>
      <c r="K254" s="11" t="n">
        <f aca="false">IF(C254="one_time",G254+1,I254)</f>
        <v>13</v>
      </c>
      <c r="L254" s="11" t="n">
        <f aca="false">K254-J254</f>
        <v>1</v>
      </c>
    </row>
    <row r="255" customFormat="false" ht="15" hidden="false" customHeight="false" outlineLevel="0" collapsed="false">
      <c r="A255" s="4" t="s">
        <v>1237</v>
      </c>
      <c r="B255" s="4" t="s">
        <v>88</v>
      </c>
      <c r="C255" s="4" t="s">
        <v>982</v>
      </c>
      <c r="D255" s="4" t="s">
        <v>1011</v>
      </c>
      <c r="E255" s="4" t="n">
        <v>45000</v>
      </c>
      <c r="F255" s="4" t="s">
        <v>1012</v>
      </c>
      <c r="G255" s="4" t="n">
        <v>14</v>
      </c>
      <c r="J255" s="11" t="n">
        <f aca="false">IF(C255="one_time",G255,H255)</f>
        <v>14</v>
      </c>
      <c r="K255" s="11" t="n">
        <f aca="false">IF(C255="one_time",G255+1,I255)</f>
        <v>15</v>
      </c>
      <c r="L255" s="11" t="n">
        <f aca="false">K255-J255</f>
        <v>1</v>
      </c>
    </row>
    <row r="256" customFormat="false" ht="15" hidden="false" customHeight="false" outlineLevel="0" collapsed="false">
      <c r="A256" s="4" t="s">
        <v>1238</v>
      </c>
      <c r="B256" s="4" t="s">
        <v>88</v>
      </c>
      <c r="C256" s="4" t="s">
        <v>982</v>
      </c>
      <c r="D256" s="4" t="s">
        <v>1011</v>
      </c>
      <c r="E256" s="4" t="n">
        <v>9450</v>
      </c>
      <c r="F256" s="4" t="s">
        <v>1012</v>
      </c>
      <c r="G256" s="4" t="n">
        <v>13</v>
      </c>
      <c r="J256" s="11" t="n">
        <f aca="false">IF(C256="one_time",G256,H256)</f>
        <v>13</v>
      </c>
      <c r="K256" s="11" t="n">
        <f aca="false">IF(C256="one_time",G256+1,I256)</f>
        <v>14</v>
      </c>
      <c r="L256" s="11" t="n">
        <f aca="false">K256-J256</f>
        <v>1</v>
      </c>
    </row>
    <row r="257" customFormat="false" ht="15" hidden="false" customHeight="false" outlineLevel="0" collapsed="false">
      <c r="A257" s="4" t="s">
        <v>1239</v>
      </c>
      <c r="B257" s="4" t="s">
        <v>88</v>
      </c>
      <c r="C257" s="4" t="s">
        <v>982</v>
      </c>
      <c r="D257" s="4" t="s">
        <v>1011</v>
      </c>
      <c r="E257" s="4" t="n">
        <v>17050</v>
      </c>
      <c r="F257" s="4" t="s">
        <v>1012</v>
      </c>
      <c r="G257" s="4" t="n">
        <v>12</v>
      </c>
      <c r="J257" s="11" t="n">
        <f aca="false">IF(C257="one_time",G257,H257)</f>
        <v>12</v>
      </c>
      <c r="K257" s="11" t="n">
        <f aca="false">IF(C257="one_time",G257+1,I257)</f>
        <v>13</v>
      </c>
      <c r="L257" s="11" t="n">
        <f aca="false">K257-J257</f>
        <v>1</v>
      </c>
    </row>
    <row r="258" customFormat="false" ht="15" hidden="false" customHeight="false" outlineLevel="0" collapsed="false">
      <c r="A258" s="4" t="s">
        <v>1240</v>
      </c>
      <c r="B258" s="4" t="s">
        <v>88</v>
      </c>
      <c r="C258" s="4" t="s">
        <v>982</v>
      </c>
      <c r="D258" s="4" t="s">
        <v>1011</v>
      </c>
      <c r="E258" s="4" t="n">
        <v>9500</v>
      </c>
      <c r="F258" s="4" t="s">
        <v>1012</v>
      </c>
      <c r="G258" s="4" t="n">
        <v>14</v>
      </c>
      <c r="J258" s="11" t="n">
        <f aca="false">IF(C258="one_time",G258,H258)</f>
        <v>14</v>
      </c>
      <c r="K258" s="11" t="n">
        <f aca="false">IF(C258="one_time",G258+1,I258)</f>
        <v>15</v>
      </c>
      <c r="L258" s="11" t="n">
        <f aca="false">K258-J258</f>
        <v>1</v>
      </c>
    </row>
    <row r="259" customFormat="false" ht="15" hidden="false" customHeight="false" outlineLevel="0" collapsed="false">
      <c r="A259" s="4" t="s">
        <v>1241</v>
      </c>
      <c r="B259" s="4" t="s">
        <v>88</v>
      </c>
      <c r="C259" s="4" t="s">
        <v>1034</v>
      </c>
      <c r="D259" s="4" t="s">
        <v>1011</v>
      </c>
      <c r="E259" s="4" t="n">
        <v>1800</v>
      </c>
      <c r="F259" s="4" t="s">
        <v>1012</v>
      </c>
      <c r="H259" s="4" t="n">
        <v>15</v>
      </c>
      <c r="I259" s="4" t="n">
        <v>21</v>
      </c>
      <c r="J259" s="11" t="n">
        <f aca="false">IF(C259="one_time",G259,H259)</f>
        <v>15</v>
      </c>
      <c r="K259" s="11" t="n">
        <f aca="false">IF(C259="one_time",G259+1,I259)</f>
        <v>21</v>
      </c>
      <c r="L259" s="11" t="n">
        <f aca="false">K259-J259</f>
        <v>6</v>
      </c>
    </row>
    <row r="260" customFormat="false" ht="15" hidden="false" customHeight="false" outlineLevel="0" collapsed="false">
      <c r="A260" s="4" t="s">
        <v>1242</v>
      </c>
      <c r="B260" s="4" t="s">
        <v>88</v>
      </c>
      <c r="C260" s="4" t="s">
        <v>1034</v>
      </c>
      <c r="D260" s="4" t="s">
        <v>1011</v>
      </c>
      <c r="E260" s="4" t="n">
        <v>1950</v>
      </c>
      <c r="F260" s="4" t="s">
        <v>1012</v>
      </c>
      <c r="H260" s="4" t="n">
        <v>21</v>
      </c>
      <c r="I260" s="4" t="n">
        <v>28</v>
      </c>
      <c r="J260" s="11" t="n">
        <f aca="false">IF(C260="one_time",G260,H260)</f>
        <v>21</v>
      </c>
      <c r="K260" s="11" t="n">
        <f aca="false">IF(C260="one_time",G260+1,I260)</f>
        <v>28</v>
      </c>
      <c r="L260" s="11" t="n">
        <f aca="false">K260-J260</f>
        <v>7</v>
      </c>
    </row>
    <row r="261" customFormat="false" ht="15" hidden="false" customHeight="false" outlineLevel="0" collapsed="false">
      <c r="A261" s="4" t="s">
        <v>1243</v>
      </c>
      <c r="B261" s="4" t="s">
        <v>88</v>
      </c>
      <c r="C261" s="4" t="s">
        <v>1034</v>
      </c>
      <c r="D261" s="4" t="s">
        <v>1011</v>
      </c>
      <c r="E261" s="4" t="n">
        <v>3150</v>
      </c>
      <c r="F261" s="4" t="s">
        <v>1012</v>
      </c>
      <c r="H261" s="4" t="n">
        <v>15</v>
      </c>
      <c r="I261" s="4" t="n">
        <v>21</v>
      </c>
      <c r="J261" s="11" t="n">
        <f aca="false">IF(C261="one_time",G261,H261)</f>
        <v>15</v>
      </c>
      <c r="K261" s="11" t="n">
        <f aca="false">IF(C261="one_time",G261+1,I261)</f>
        <v>21</v>
      </c>
      <c r="L261" s="11" t="n">
        <f aca="false">K261-J261</f>
        <v>6</v>
      </c>
    </row>
    <row r="262" customFormat="false" ht="15" hidden="false" customHeight="false" outlineLevel="0" collapsed="false">
      <c r="A262" s="4" t="s">
        <v>1244</v>
      </c>
      <c r="B262" s="4" t="s">
        <v>88</v>
      </c>
      <c r="C262" s="4" t="s">
        <v>1034</v>
      </c>
      <c r="D262" s="4" t="s">
        <v>1011</v>
      </c>
      <c r="E262" s="4" t="n">
        <v>3400</v>
      </c>
      <c r="F262" s="4" t="s">
        <v>1012</v>
      </c>
      <c r="H262" s="4" t="n">
        <v>21</v>
      </c>
      <c r="I262" s="4" t="n">
        <v>28</v>
      </c>
      <c r="J262" s="11" t="n">
        <f aca="false">IF(C262="one_time",G262,H262)</f>
        <v>21</v>
      </c>
      <c r="K262" s="11" t="n">
        <f aca="false">IF(C262="one_time",G262+1,I262)</f>
        <v>28</v>
      </c>
      <c r="L262" s="11" t="n">
        <f aca="false">K262-J262</f>
        <v>7</v>
      </c>
    </row>
    <row r="263" customFormat="false" ht="15" hidden="false" customHeight="false" outlineLevel="0" collapsed="false">
      <c r="A263" s="4" t="s">
        <v>1245</v>
      </c>
      <c r="B263" s="4" t="s">
        <v>88</v>
      </c>
      <c r="C263" s="4" t="s">
        <v>1034</v>
      </c>
      <c r="D263" s="4" t="s">
        <v>1011</v>
      </c>
      <c r="E263" s="4" t="n">
        <v>4050</v>
      </c>
      <c r="F263" s="4" t="s">
        <v>1012</v>
      </c>
      <c r="H263" s="4" t="n">
        <v>15</v>
      </c>
      <c r="I263" s="4" t="n">
        <v>21</v>
      </c>
      <c r="J263" s="11" t="n">
        <f aca="false">IF(C263="one_time",G263,H263)</f>
        <v>15</v>
      </c>
      <c r="K263" s="11" t="n">
        <f aca="false">IF(C263="one_time",G263+1,I263)</f>
        <v>21</v>
      </c>
      <c r="L263" s="11" t="n">
        <f aca="false">K263-J263</f>
        <v>6</v>
      </c>
    </row>
    <row r="264" customFormat="false" ht="15" hidden="false" customHeight="false" outlineLevel="0" collapsed="false">
      <c r="A264" s="4" t="s">
        <v>1246</v>
      </c>
      <c r="B264" s="4" t="s">
        <v>88</v>
      </c>
      <c r="C264" s="4" t="s">
        <v>1034</v>
      </c>
      <c r="D264" s="4" t="s">
        <v>1011</v>
      </c>
      <c r="E264" s="4" t="n">
        <v>4200</v>
      </c>
      <c r="F264" s="4" t="s">
        <v>1012</v>
      </c>
      <c r="H264" s="4" t="n">
        <v>21</v>
      </c>
      <c r="I264" s="4" t="n">
        <v>28</v>
      </c>
      <c r="J264" s="11" t="n">
        <f aca="false">IF(C264="one_time",G264,H264)</f>
        <v>21</v>
      </c>
      <c r="K264" s="11" t="n">
        <f aca="false">IF(C264="one_time",G264+1,I264)</f>
        <v>28</v>
      </c>
      <c r="L264" s="11" t="n">
        <f aca="false">K264-J264</f>
        <v>7</v>
      </c>
    </row>
    <row r="265" customFormat="false" ht="15" hidden="false" customHeight="false" outlineLevel="0" collapsed="false">
      <c r="A265" s="4" t="s">
        <v>1247</v>
      </c>
      <c r="B265" s="4" t="s">
        <v>89</v>
      </c>
      <c r="C265" s="4" t="s">
        <v>982</v>
      </c>
      <c r="D265" s="4" t="s">
        <v>983</v>
      </c>
      <c r="E265" s="4" t="n">
        <v>447764.7</v>
      </c>
      <c r="G265" s="4" t="n">
        <v>0</v>
      </c>
      <c r="J265" s="11" t="n">
        <f aca="false">IF(C265="one_time",G265,H265)</f>
        <v>0</v>
      </c>
      <c r="K265" s="11" t="n">
        <f aca="false">IF(C265="one_time",G265+1,I265)</f>
        <v>1</v>
      </c>
      <c r="L265" s="11" t="n">
        <f aca="false">K265-J265</f>
        <v>1</v>
      </c>
    </row>
    <row r="266" customFormat="false" ht="15" hidden="false" customHeight="false" outlineLevel="0" collapsed="false">
      <c r="A266" s="4" t="s">
        <v>1248</v>
      </c>
      <c r="B266" s="4" t="s">
        <v>89</v>
      </c>
      <c r="C266" s="4" t="s">
        <v>982</v>
      </c>
      <c r="D266" s="4" t="s">
        <v>983</v>
      </c>
      <c r="E266" s="4" t="n">
        <v>266789.77</v>
      </c>
      <c r="G266" s="4" t="n">
        <v>1</v>
      </c>
      <c r="J266" s="11" t="n">
        <f aca="false">IF(C266="one_time",G266,H266)</f>
        <v>1</v>
      </c>
      <c r="K266" s="11" t="n">
        <f aca="false">IF(C266="one_time",G266+1,I266)</f>
        <v>2</v>
      </c>
      <c r="L266" s="11" t="n">
        <f aca="false">K266-J266</f>
        <v>1</v>
      </c>
    </row>
    <row r="267" customFormat="false" ht="15" hidden="false" customHeight="false" outlineLevel="0" collapsed="false">
      <c r="A267" s="4" t="s">
        <v>1249</v>
      </c>
      <c r="B267" s="4" t="s">
        <v>89</v>
      </c>
      <c r="C267" s="4" t="s">
        <v>982</v>
      </c>
      <c r="D267" s="4" t="s">
        <v>983</v>
      </c>
      <c r="E267" s="4" t="n">
        <v>14327.28</v>
      </c>
      <c r="G267" s="4" t="n">
        <v>2</v>
      </c>
      <c r="J267" s="11" t="n">
        <f aca="false">IF(C267="one_time",G267,H267)</f>
        <v>2</v>
      </c>
      <c r="K267" s="11" t="n">
        <f aca="false">IF(C267="one_time",G267+1,I267)</f>
        <v>3</v>
      </c>
      <c r="L267" s="11" t="n">
        <f aca="false">K267-J267</f>
        <v>1</v>
      </c>
    </row>
    <row r="268" customFormat="false" ht="15" hidden="false" customHeight="false" outlineLevel="0" collapsed="false">
      <c r="A268" s="4" t="s">
        <v>1250</v>
      </c>
      <c r="B268" s="4" t="s">
        <v>89</v>
      </c>
      <c r="C268" s="4" t="s">
        <v>982</v>
      </c>
      <c r="D268" s="4" t="s">
        <v>983</v>
      </c>
      <c r="E268" s="4" t="n">
        <v>14084.92</v>
      </c>
      <c r="G268" s="4" t="n">
        <v>3</v>
      </c>
      <c r="J268" s="11" t="n">
        <f aca="false">IF(C268="one_time",G268,H268)</f>
        <v>3</v>
      </c>
      <c r="K268" s="11" t="n">
        <f aca="false">IF(C268="one_time",G268+1,I268)</f>
        <v>4</v>
      </c>
      <c r="L268" s="11" t="n">
        <f aca="false">K268-J268</f>
        <v>1</v>
      </c>
    </row>
    <row r="269" customFormat="false" ht="15" hidden="false" customHeight="false" outlineLevel="0" collapsed="false">
      <c r="A269" s="4" t="s">
        <v>1251</v>
      </c>
      <c r="B269" s="4" t="s">
        <v>89</v>
      </c>
      <c r="C269" s="4" t="s">
        <v>982</v>
      </c>
      <c r="D269" s="4" t="s">
        <v>983</v>
      </c>
      <c r="E269" s="4" t="n">
        <v>14070.67</v>
      </c>
      <c r="G269" s="4" t="n">
        <v>4</v>
      </c>
      <c r="J269" s="11" t="n">
        <f aca="false">IF(C269="one_time",G269,H269)</f>
        <v>4</v>
      </c>
      <c r="K269" s="11" t="n">
        <f aca="false">IF(C269="one_time",G269+1,I269)</f>
        <v>5</v>
      </c>
      <c r="L269" s="11" t="n">
        <f aca="false">K269-J269</f>
        <v>1</v>
      </c>
    </row>
    <row r="270" customFormat="false" ht="15" hidden="false" customHeight="false" outlineLevel="0" collapsed="false">
      <c r="A270" s="4" t="s">
        <v>1252</v>
      </c>
      <c r="B270" s="4" t="s">
        <v>89</v>
      </c>
      <c r="C270" s="4" t="s">
        <v>982</v>
      </c>
      <c r="D270" s="4" t="s">
        <v>983</v>
      </c>
      <c r="E270" s="4" t="n">
        <v>14541.12</v>
      </c>
      <c r="G270" s="4" t="n">
        <v>5</v>
      </c>
      <c r="J270" s="11" t="n">
        <f aca="false">IF(C270="one_time",G270,H270)</f>
        <v>5</v>
      </c>
      <c r="K270" s="11" t="n">
        <f aca="false">IF(C270="one_time",G270+1,I270)</f>
        <v>6</v>
      </c>
      <c r="L270" s="11" t="n">
        <f aca="false">K270-J270</f>
        <v>1</v>
      </c>
    </row>
    <row r="271" customFormat="false" ht="15" hidden="false" customHeight="false" outlineLevel="0" collapsed="false">
      <c r="A271" s="4" t="s">
        <v>1253</v>
      </c>
      <c r="B271" s="4" t="s">
        <v>89</v>
      </c>
      <c r="C271" s="4" t="s">
        <v>982</v>
      </c>
      <c r="D271" s="4" t="s">
        <v>983</v>
      </c>
      <c r="E271" s="4" t="n">
        <v>14640.91</v>
      </c>
      <c r="G271" s="4" t="n">
        <v>6</v>
      </c>
      <c r="J271" s="11" t="n">
        <f aca="false">IF(C271="one_time",G271,H271)</f>
        <v>6</v>
      </c>
      <c r="K271" s="11" t="n">
        <f aca="false">IF(C271="one_time",G271+1,I271)</f>
        <v>7</v>
      </c>
      <c r="L271" s="11" t="n">
        <f aca="false">K271-J271</f>
        <v>1</v>
      </c>
    </row>
    <row r="272" customFormat="false" ht="15" hidden="false" customHeight="false" outlineLevel="0" collapsed="false">
      <c r="A272" s="4" t="s">
        <v>1254</v>
      </c>
      <c r="B272" s="4" t="s">
        <v>89</v>
      </c>
      <c r="C272" s="4" t="s">
        <v>982</v>
      </c>
      <c r="D272" s="4" t="s">
        <v>983</v>
      </c>
      <c r="E272" s="4" t="n">
        <v>15085.2</v>
      </c>
      <c r="G272" s="4" t="n">
        <v>7</v>
      </c>
      <c r="J272" s="11" t="n">
        <f aca="false">IF(C272="one_time",G272,H272)</f>
        <v>7</v>
      </c>
      <c r="K272" s="11" t="n">
        <f aca="false">IF(C272="one_time",G272+1,I272)</f>
        <v>8</v>
      </c>
      <c r="L272" s="11" t="n">
        <f aca="false">K272-J272</f>
        <v>1</v>
      </c>
    </row>
    <row r="273" customFormat="false" ht="15" hidden="false" customHeight="false" outlineLevel="0" collapsed="false">
      <c r="A273" s="4" t="s">
        <v>1255</v>
      </c>
      <c r="B273" s="4" t="s">
        <v>89</v>
      </c>
      <c r="C273" s="4" t="s">
        <v>982</v>
      </c>
      <c r="D273" s="4" t="s">
        <v>983</v>
      </c>
      <c r="E273" s="4" t="n">
        <v>14679.11</v>
      </c>
      <c r="G273" s="4" t="n">
        <v>8</v>
      </c>
      <c r="J273" s="11" t="n">
        <f aca="false">IF(C273="one_time",G273,H273)</f>
        <v>8</v>
      </c>
      <c r="K273" s="11" t="n">
        <f aca="false">IF(C273="one_time",G273+1,I273)</f>
        <v>9</v>
      </c>
      <c r="L273" s="11" t="n">
        <f aca="false">K273-J273</f>
        <v>1</v>
      </c>
    </row>
    <row r="274" customFormat="false" ht="15" hidden="false" customHeight="false" outlineLevel="0" collapsed="false">
      <c r="A274" s="4" t="s">
        <v>1256</v>
      </c>
      <c r="B274" s="4" t="s">
        <v>89</v>
      </c>
      <c r="C274" s="4" t="s">
        <v>982</v>
      </c>
      <c r="D274" s="4" t="s">
        <v>983</v>
      </c>
      <c r="E274" s="4" t="n">
        <v>148159.74</v>
      </c>
      <c r="G274" s="4" t="n">
        <v>0</v>
      </c>
      <c r="J274" s="11" t="n">
        <f aca="false">IF(C274="one_time",G274,H274)</f>
        <v>0</v>
      </c>
      <c r="K274" s="11" t="n">
        <f aca="false">IF(C274="one_time",G274+1,I274)</f>
        <v>1</v>
      </c>
      <c r="L274" s="11" t="n">
        <f aca="false">K274-J274</f>
        <v>1</v>
      </c>
    </row>
    <row r="275" customFormat="false" ht="15" hidden="false" customHeight="false" outlineLevel="0" collapsed="false">
      <c r="A275" s="4" t="s">
        <v>1257</v>
      </c>
      <c r="B275" s="4" t="s">
        <v>89</v>
      </c>
      <c r="C275" s="4" t="s">
        <v>982</v>
      </c>
      <c r="D275" s="4" t="s">
        <v>983</v>
      </c>
      <c r="E275" s="4" t="n">
        <v>91921.45</v>
      </c>
      <c r="G275" s="4" t="n">
        <v>1</v>
      </c>
      <c r="J275" s="11" t="n">
        <f aca="false">IF(C275="one_time",G275,H275)</f>
        <v>1</v>
      </c>
      <c r="K275" s="11" t="n">
        <f aca="false">IF(C275="one_time",G275+1,I275)</f>
        <v>2</v>
      </c>
      <c r="L275" s="11" t="n">
        <f aca="false">K275-J275</f>
        <v>1</v>
      </c>
    </row>
    <row r="276" customFormat="false" ht="15" hidden="false" customHeight="false" outlineLevel="0" collapsed="false">
      <c r="A276" s="4" t="s">
        <v>1258</v>
      </c>
      <c r="B276" s="4" t="s">
        <v>89</v>
      </c>
      <c r="C276" s="4" t="s">
        <v>982</v>
      </c>
      <c r="D276" s="4" t="s">
        <v>983</v>
      </c>
      <c r="E276" s="4" t="n">
        <v>4946.83</v>
      </c>
      <c r="G276" s="4" t="n">
        <v>2</v>
      </c>
      <c r="J276" s="11" t="n">
        <f aca="false">IF(C276="one_time",G276,H276)</f>
        <v>2</v>
      </c>
      <c r="K276" s="11" t="n">
        <f aca="false">IF(C276="one_time",G276+1,I276)</f>
        <v>3</v>
      </c>
      <c r="L276" s="11" t="n">
        <f aca="false">K276-J276</f>
        <v>1</v>
      </c>
    </row>
    <row r="277" customFormat="false" ht="15" hidden="false" customHeight="false" outlineLevel="0" collapsed="false">
      <c r="A277" s="4" t="s">
        <v>1259</v>
      </c>
      <c r="B277" s="4" t="s">
        <v>89</v>
      </c>
      <c r="C277" s="4" t="s">
        <v>982</v>
      </c>
      <c r="D277" s="4" t="s">
        <v>983</v>
      </c>
      <c r="E277" s="4" t="n">
        <v>4785.26</v>
      </c>
      <c r="G277" s="4" t="n">
        <v>3</v>
      </c>
      <c r="J277" s="11" t="n">
        <f aca="false">IF(C277="one_time",G277,H277)</f>
        <v>3</v>
      </c>
      <c r="K277" s="11" t="n">
        <f aca="false">IF(C277="one_time",G277+1,I277)</f>
        <v>4</v>
      </c>
      <c r="L277" s="11" t="n">
        <f aca="false">K277-J277</f>
        <v>1</v>
      </c>
    </row>
    <row r="278" customFormat="false" ht="15" hidden="false" customHeight="false" outlineLevel="0" collapsed="false">
      <c r="A278" s="4" t="s">
        <v>1260</v>
      </c>
      <c r="B278" s="4" t="s">
        <v>89</v>
      </c>
      <c r="C278" s="4" t="s">
        <v>982</v>
      </c>
      <c r="D278" s="4" t="s">
        <v>983</v>
      </c>
      <c r="E278" s="4" t="n">
        <v>4547.66</v>
      </c>
      <c r="G278" s="4" t="n">
        <v>4</v>
      </c>
      <c r="J278" s="11" t="n">
        <f aca="false">IF(C278="one_time",G278,H278)</f>
        <v>4</v>
      </c>
      <c r="K278" s="11" t="n">
        <f aca="false">IF(C278="one_time",G278+1,I278)</f>
        <v>5</v>
      </c>
      <c r="L278" s="11" t="n">
        <f aca="false">K278-J278</f>
        <v>1</v>
      </c>
    </row>
    <row r="279" customFormat="false" ht="15" hidden="false" customHeight="false" outlineLevel="0" collapsed="false">
      <c r="A279" s="4" t="s">
        <v>1261</v>
      </c>
      <c r="B279" s="4" t="s">
        <v>89</v>
      </c>
      <c r="C279" s="4" t="s">
        <v>982</v>
      </c>
      <c r="D279" s="4" t="s">
        <v>983</v>
      </c>
      <c r="E279" s="4" t="n">
        <v>4623.69</v>
      </c>
      <c r="G279" s="4" t="n">
        <v>5</v>
      </c>
      <c r="J279" s="11" t="n">
        <f aca="false">IF(C279="one_time",G279,H279)</f>
        <v>5</v>
      </c>
      <c r="K279" s="11" t="n">
        <f aca="false">IF(C279="one_time",G279+1,I279)</f>
        <v>6</v>
      </c>
      <c r="L279" s="11" t="n">
        <f aca="false">K279-J279</f>
        <v>1</v>
      </c>
    </row>
    <row r="280" customFormat="false" ht="15" hidden="false" customHeight="false" outlineLevel="0" collapsed="false">
      <c r="A280" s="4" t="s">
        <v>1262</v>
      </c>
      <c r="B280" s="4" t="s">
        <v>89</v>
      </c>
      <c r="C280" s="4" t="s">
        <v>982</v>
      </c>
      <c r="D280" s="4" t="s">
        <v>983</v>
      </c>
      <c r="E280" s="4" t="n">
        <v>5056.12</v>
      </c>
      <c r="G280" s="4" t="n">
        <v>6</v>
      </c>
      <c r="J280" s="11" t="n">
        <f aca="false">IF(C280="one_time",G280,H280)</f>
        <v>6</v>
      </c>
      <c r="K280" s="11" t="n">
        <f aca="false">IF(C280="one_time",G280+1,I280)</f>
        <v>7</v>
      </c>
      <c r="L280" s="11" t="n">
        <f aca="false">K280-J280</f>
        <v>1</v>
      </c>
    </row>
    <row r="281" customFormat="false" ht="15" hidden="false" customHeight="false" outlineLevel="0" collapsed="false">
      <c r="A281" s="4" t="s">
        <v>1263</v>
      </c>
      <c r="B281" s="4" t="s">
        <v>89</v>
      </c>
      <c r="C281" s="4" t="s">
        <v>982</v>
      </c>
      <c r="D281" s="4" t="s">
        <v>983</v>
      </c>
      <c r="E281" s="4" t="n">
        <v>5053.46</v>
      </c>
      <c r="G281" s="4" t="n">
        <v>7</v>
      </c>
      <c r="J281" s="11" t="n">
        <f aca="false">IF(C281="one_time",G281,H281)</f>
        <v>7</v>
      </c>
      <c r="K281" s="11" t="n">
        <f aca="false">IF(C281="one_time",G281+1,I281)</f>
        <v>8</v>
      </c>
      <c r="L281" s="11" t="n">
        <f aca="false">K281-J281</f>
        <v>1</v>
      </c>
    </row>
    <row r="282" customFormat="false" ht="15" hidden="false" customHeight="false" outlineLevel="0" collapsed="false">
      <c r="A282" s="4" t="s">
        <v>1264</v>
      </c>
      <c r="B282" s="4" t="s">
        <v>89</v>
      </c>
      <c r="C282" s="4" t="s">
        <v>982</v>
      </c>
      <c r="D282" s="4" t="s">
        <v>983</v>
      </c>
      <c r="E282" s="4" t="n">
        <v>4973.25</v>
      </c>
      <c r="G282" s="4" t="n">
        <v>8</v>
      </c>
      <c r="J282" s="11" t="n">
        <f aca="false">IF(C282="one_time",G282,H282)</f>
        <v>8</v>
      </c>
      <c r="K282" s="11" t="n">
        <f aca="false">IF(C282="one_time",G282+1,I282)</f>
        <v>9</v>
      </c>
      <c r="L282" s="11" t="n">
        <f aca="false">K282-J282</f>
        <v>1</v>
      </c>
    </row>
    <row r="283" customFormat="false" ht="15" hidden="false" customHeight="false" outlineLevel="0" collapsed="false">
      <c r="A283" s="4" t="s">
        <v>1265</v>
      </c>
      <c r="B283" s="4" t="s">
        <v>89</v>
      </c>
      <c r="C283" s="4" t="s">
        <v>982</v>
      </c>
      <c r="D283" s="4" t="s">
        <v>983</v>
      </c>
      <c r="E283" s="4" t="n">
        <v>401350.7</v>
      </c>
      <c r="G283" s="4" t="n">
        <v>0</v>
      </c>
      <c r="J283" s="11" t="n">
        <f aca="false">IF(C283="one_time",G283,H283)</f>
        <v>0</v>
      </c>
      <c r="K283" s="11" t="n">
        <f aca="false">IF(C283="one_time",G283+1,I283)</f>
        <v>1</v>
      </c>
      <c r="L283" s="11" t="n">
        <f aca="false">K283-J283</f>
        <v>1</v>
      </c>
    </row>
    <row r="284" customFormat="false" ht="15" hidden="false" customHeight="false" outlineLevel="0" collapsed="false">
      <c r="A284" s="4" t="s">
        <v>1266</v>
      </c>
      <c r="B284" s="4" t="s">
        <v>89</v>
      </c>
      <c r="C284" s="4" t="s">
        <v>982</v>
      </c>
      <c r="D284" s="4" t="s">
        <v>983</v>
      </c>
      <c r="E284" s="4" t="n">
        <v>244640.39</v>
      </c>
      <c r="G284" s="4" t="n">
        <v>1</v>
      </c>
      <c r="J284" s="11" t="n">
        <f aca="false">IF(C284="one_time",G284,H284)</f>
        <v>1</v>
      </c>
      <c r="K284" s="11" t="n">
        <f aca="false">IF(C284="one_time",G284+1,I284)</f>
        <v>2</v>
      </c>
      <c r="L284" s="11" t="n">
        <f aca="false">K284-J284</f>
        <v>1</v>
      </c>
    </row>
    <row r="285" customFormat="false" ht="15" hidden="false" customHeight="false" outlineLevel="0" collapsed="false">
      <c r="A285" s="4" t="s">
        <v>1267</v>
      </c>
      <c r="B285" s="4" t="s">
        <v>89</v>
      </c>
      <c r="C285" s="4" t="s">
        <v>982</v>
      </c>
      <c r="D285" s="4" t="s">
        <v>983</v>
      </c>
      <c r="E285" s="4" t="n">
        <v>13090.17</v>
      </c>
      <c r="G285" s="4" t="n">
        <v>2</v>
      </c>
      <c r="J285" s="11" t="n">
        <f aca="false">IF(C285="one_time",G285,H285)</f>
        <v>2</v>
      </c>
      <c r="K285" s="11" t="n">
        <f aca="false">IF(C285="one_time",G285+1,I285)</f>
        <v>3</v>
      </c>
      <c r="L285" s="11" t="n">
        <f aca="false">K285-J285</f>
        <v>1</v>
      </c>
    </row>
    <row r="286" customFormat="false" ht="15" hidden="false" customHeight="false" outlineLevel="0" collapsed="false">
      <c r="A286" s="4" t="s">
        <v>1268</v>
      </c>
      <c r="B286" s="4" t="s">
        <v>89</v>
      </c>
      <c r="C286" s="4" t="s">
        <v>982</v>
      </c>
      <c r="D286" s="4" t="s">
        <v>983</v>
      </c>
      <c r="E286" s="4" t="n">
        <v>12583.29</v>
      </c>
      <c r="G286" s="4" t="n">
        <v>3</v>
      </c>
      <c r="J286" s="11" t="n">
        <f aca="false">IF(C286="one_time",G286,H286)</f>
        <v>3</v>
      </c>
      <c r="K286" s="11" t="n">
        <f aca="false">IF(C286="one_time",G286+1,I286)</f>
        <v>4</v>
      </c>
      <c r="L286" s="11" t="n">
        <f aca="false">K286-J286</f>
        <v>1</v>
      </c>
    </row>
    <row r="287" customFormat="false" ht="15" hidden="false" customHeight="false" outlineLevel="0" collapsed="false">
      <c r="A287" s="4" t="s">
        <v>1269</v>
      </c>
      <c r="B287" s="4" t="s">
        <v>89</v>
      </c>
      <c r="C287" s="4" t="s">
        <v>982</v>
      </c>
      <c r="D287" s="4" t="s">
        <v>983</v>
      </c>
      <c r="E287" s="4" t="n">
        <v>12469.24</v>
      </c>
      <c r="G287" s="4" t="n">
        <v>4</v>
      </c>
      <c r="J287" s="11" t="n">
        <f aca="false">IF(C287="one_time",G287,H287)</f>
        <v>4</v>
      </c>
      <c r="K287" s="11" t="n">
        <f aca="false">IF(C287="one_time",G287+1,I287)</f>
        <v>5</v>
      </c>
      <c r="L287" s="11" t="n">
        <f aca="false">K287-J287</f>
        <v>1</v>
      </c>
    </row>
    <row r="288" customFormat="false" ht="15" hidden="false" customHeight="false" outlineLevel="0" collapsed="false">
      <c r="A288" s="4" t="s">
        <v>1270</v>
      </c>
      <c r="B288" s="4" t="s">
        <v>89</v>
      </c>
      <c r="C288" s="4" t="s">
        <v>982</v>
      </c>
      <c r="D288" s="4" t="s">
        <v>983</v>
      </c>
      <c r="E288" s="4" t="n">
        <v>13521.02</v>
      </c>
      <c r="G288" s="4" t="n">
        <v>5</v>
      </c>
      <c r="J288" s="11" t="n">
        <f aca="false">IF(C288="one_time",G288,H288)</f>
        <v>5</v>
      </c>
      <c r="K288" s="11" t="n">
        <f aca="false">IF(C288="one_time",G288+1,I288)</f>
        <v>6</v>
      </c>
      <c r="L288" s="11" t="n">
        <f aca="false">K288-J288</f>
        <v>1</v>
      </c>
    </row>
    <row r="289" customFormat="false" ht="15" hidden="false" customHeight="false" outlineLevel="0" collapsed="false">
      <c r="A289" s="4" t="s">
        <v>1271</v>
      </c>
      <c r="B289" s="4" t="s">
        <v>89</v>
      </c>
      <c r="C289" s="4" t="s">
        <v>982</v>
      </c>
      <c r="D289" s="4" t="s">
        <v>983</v>
      </c>
      <c r="E289" s="4" t="n">
        <v>12583.29</v>
      </c>
      <c r="G289" s="4" t="n">
        <v>6</v>
      </c>
      <c r="J289" s="11" t="n">
        <f aca="false">IF(C289="one_time",G289,H289)</f>
        <v>6</v>
      </c>
      <c r="K289" s="11" t="n">
        <f aca="false">IF(C289="one_time",G289+1,I289)</f>
        <v>7</v>
      </c>
      <c r="L289" s="11" t="n">
        <f aca="false">K289-J289</f>
        <v>1</v>
      </c>
    </row>
    <row r="290" customFormat="false" ht="15" hidden="false" customHeight="false" outlineLevel="0" collapsed="false">
      <c r="A290" s="4" t="s">
        <v>1272</v>
      </c>
      <c r="B290" s="4" t="s">
        <v>89</v>
      </c>
      <c r="C290" s="4" t="s">
        <v>982</v>
      </c>
      <c r="D290" s="4" t="s">
        <v>983</v>
      </c>
      <c r="E290" s="4" t="n">
        <v>13582.86</v>
      </c>
      <c r="G290" s="4" t="n">
        <v>7</v>
      </c>
      <c r="J290" s="11" t="n">
        <f aca="false">IF(C290="one_time",G290,H290)</f>
        <v>7</v>
      </c>
      <c r="K290" s="11" t="n">
        <f aca="false">IF(C290="one_time",G290+1,I290)</f>
        <v>8</v>
      </c>
      <c r="L290" s="11" t="n">
        <f aca="false">K290-J290</f>
        <v>1</v>
      </c>
    </row>
    <row r="291" customFormat="false" ht="15" hidden="false" customHeight="false" outlineLevel="0" collapsed="false">
      <c r="A291" s="4" t="s">
        <v>1273</v>
      </c>
      <c r="B291" s="4" t="s">
        <v>89</v>
      </c>
      <c r="C291" s="4" t="s">
        <v>982</v>
      </c>
      <c r="D291" s="4" t="s">
        <v>983</v>
      </c>
      <c r="E291" s="4" t="n">
        <v>12753.98</v>
      </c>
      <c r="G291" s="4" t="n">
        <v>8</v>
      </c>
      <c r="J291" s="11" t="n">
        <f aca="false">IF(C291="one_time",G291,H291)</f>
        <v>8</v>
      </c>
      <c r="K291" s="11" t="n">
        <f aca="false">IF(C291="one_time",G291+1,I291)</f>
        <v>9</v>
      </c>
      <c r="L291" s="11" t="n">
        <f aca="false">K291-J291</f>
        <v>1</v>
      </c>
    </row>
    <row r="292" customFormat="false" ht="15" hidden="false" customHeight="false" outlineLevel="0" collapsed="false">
      <c r="A292" s="4" t="s">
        <v>1274</v>
      </c>
      <c r="B292" s="4" t="s">
        <v>89</v>
      </c>
      <c r="C292" s="4" t="s">
        <v>982</v>
      </c>
      <c r="D292" s="4" t="s">
        <v>1011</v>
      </c>
      <c r="E292" s="4" t="n">
        <v>100000</v>
      </c>
      <c r="F292" s="4" t="s">
        <v>1012</v>
      </c>
      <c r="G292" s="4" t="n">
        <v>1</v>
      </c>
      <c r="J292" s="11" t="n">
        <f aca="false">IF(C292="one_time",G292,H292)</f>
        <v>1</v>
      </c>
      <c r="K292" s="11" t="n">
        <f aca="false">IF(C292="one_time",G292+1,I292)</f>
        <v>2</v>
      </c>
      <c r="L292" s="11" t="n">
        <f aca="false">K292-J292</f>
        <v>1</v>
      </c>
    </row>
    <row r="293" customFormat="false" ht="15" hidden="false" customHeight="false" outlineLevel="0" collapsed="false">
      <c r="A293" s="4" t="s">
        <v>1275</v>
      </c>
      <c r="B293" s="4" t="s">
        <v>89</v>
      </c>
      <c r="C293" s="4" t="s">
        <v>982</v>
      </c>
      <c r="D293" s="4" t="s">
        <v>1011</v>
      </c>
      <c r="E293" s="4" t="n">
        <v>50000</v>
      </c>
      <c r="F293" s="4" t="s">
        <v>1012</v>
      </c>
      <c r="G293" s="4" t="n">
        <v>1</v>
      </c>
      <c r="J293" s="11" t="n">
        <f aca="false">IF(C293="one_time",G293,H293)</f>
        <v>1</v>
      </c>
      <c r="K293" s="11" t="n">
        <f aca="false">IF(C293="one_time",G293+1,I293)</f>
        <v>2</v>
      </c>
      <c r="L293" s="11" t="n">
        <f aca="false">K293-J293</f>
        <v>1</v>
      </c>
    </row>
    <row r="294" customFormat="false" ht="15" hidden="false" customHeight="false" outlineLevel="0" collapsed="false">
      <c r="A294" s="4" t="s">
        <v>1276</v>
      </c>
      <c r="B294" s="4" t="s">
        <v>89</v>
      </c>
      <c r="C294" s="4" t="s">
        <v>982</v>
      </c>
      <c r="D294" s="4" t="s">
        <v>1011</v>
      </c>
      <c r="E294" s="4" t="n">
        <v>44100</v>
      </c>
      <c r="F294" s="4" t="s">
        <v>1012</v>
      </c>
      <c r="G294" s="4" t="n">
        <v>1</v>
      </c>
      <c r="J294" s="11" t="n">
        <f aca="false">IF(C294="one_time",G294,H294)</f>
        <v>1</v>
      </c>
      <c r="K294" s="11" t="n">
        <f aca="false">IF(C294="one_time",G294+1,I294)</f>
        <v>2</v>
      </c>
      <c r="L294" s="11" t="n">
        <f aca="false">K294-J294</f>
        <v>1</v>
      </c>
    </row>
    <row r="295" customFormat="false" ht="15" hidden="false" customHeight="false" outlineLevel="0" collapsed="false">
      <c r="A295" s="4" t="s">
        <v>1277</v>
      </c>
      <c r="B295" s="4" t="s">
        <v>89</v>
      </c>
      <c r="C295" s="4" t="s">
        <v>982</v>
      </c>
      <c r="D295" s="4" t="s">
        <v>1011</v>
      </c>
      <c r="E295" s="4" t="n">
        <v>30900</v>
      </c>
      <c r="F295" s="4" t="s">
        <v>1012</v>
      </c>
      <c r="G295" s="4" t="n">
        <v>0</v>
      </c>
      <c r="J295" s="11" t="n">
        <f aca="false">IF(C295="one_time",G295,H295)</f>
        <v>0</v>
      </c>
      <c r="K295" s="11" t="n">
        <f aca="false">IF(C295="one_time",G295+1,I295)</f>
        <v>1</v>
      </c>
      <c r="L295" s="11" t="n">
        <f aca="false">K295-J295</f>
        <v>1</v>
      </c>
    </row>
    <row r="296" customFormat="false" ht="15" hidden="false" customHeight="false" outlineLevel="0" collapsed="false">
      <c r="A296" s="4" t="s">
        <v>1278</v>
      </c>
      <c r="B296" s="4" t="s">
        <v>89</v>
      </c>
      <c r="C296" s="4" t="s">
        <v>982</v>
      </c>
      <c r="D296" s="4" t="s">
        <v>1011</v>
      </c>
      <c r="E296" s="4" t="n">
        <v>30000</v>
      </c>
      <c r="F296" s="4" t="s">
        <v>1012</v>
      </c>
      <c r="G296" s="4" t="n">
        <v>0</v>
      </c>
      <c r="J296" s="11" t="n">
        <f aca="false">IF(C296="one_time",G296,H296)</f>
        <v>0</v>
      </c>
      <c r="K296" s="11" t="n">
        <f aca="false">IF(C296="one_time",G296+1,I296)</f>
        <v>1</v>
      </c>
      <c r="L296" s="11" t="n">
        <f aca="false">K296-J296</f>
        <v>1</v>
      </c>
    </row>
    <row r="297" customFormat="false" ht="15" hidden="false" customHeight="false" outlineLevel="0" collapsed="false">
      <c r="A297" s="4" t="s">
        <v>1279</v>
      </c>
      <c r="B297" s="4" t="s">
        <v>89</v>
      </c>
      <c r="C297" s="4" t="s">
        <v>982</v>
      </c>
      <c r="D297" s="4" t="s">
        <v>1011</v>
      </c>
      <c r="E297" s="4" t="n">
        <v>150000</v>
      </c>
      <c r="F297" s="4" t="s">
        <v>1012</v>
      </c>
      <c r="G297" s="4" t="n">
        <v>0</v>
      </c>
      <c r="J297" s="11" t="n">
        <f aca="false">IF(C297="one_time",G297,H297)</f>
        <v>0</v>
      </c>
      <c r="K297" s="11" t="n">
        <f aca="false">IF(C297="one_time",G297+1,I297)</f>
        <v>1</v>
      </c>
      <c r="L297" s="11" t="n">
        <f aca="false">K297-J297</f>
        <v>1</v>
      </c>
    </row>
    <row r="298" customFormat="false" ht="15" hidden="false" customHeight="false" outlineLevel="0" collapsed="false">
      <c r="A298" s="4" t="s">
        <v>1280</v>
      </c>
      <c r="B298" s="4" t="s">
        <v>89</v>
      </c>
      <c r="C298" s="4" t="s">
        <v>982</v>
      </c>
      <c r="D298" s="4" t="s">
        <v>1011</v>
      </c>
      <c r="E298" s="4" t="n">
        <v>30000</v>
      </c>
      <c r="F298" s="4" t="s">
        <v>1012</v>
      </c>
      <c r="G298" s="4" t="n">
        <v>0</v>
      </c>
      <c r="J298" s="11" t="n">
        <f aca="false">IF(C298="one_time",G298,H298)</f>
        <v>0</v>
      </c>
      <c r="K298" s="11" t="n">
        <f aca="false">IF(C298="one_time",G298+1,I298)</f>
        <v>1</v>
      </c>
      <c r="L298" s="11" t="n">
        <f aca="false">K298-J298</f>
        <v>1</v>
      </c>
    </row>
    <row r="299" customFormat="false" ht="15" hidden="false" customHeight="false" outlineLevel="0" collapsed="false">
      <c r="A299" s="4" t="s">
        <v>1281</v>
      </c>
      <c r="B299" s="4" t="s">
        <v>89</v>
      </c>
      <c r="C299" s="4" t="s">
        <v>982</v>
      </c>
      <c r="D299" s="4" t="s">
        <v>1011</v>
      </c>
      <c r="E299" s="4" t="n">
        <v>262500</v>
      </c>
      <c r="F299" s="4" t="s">
        <v>1012</v>
      </c>
      <c r="G299" s="4" t="n">
        <v>0</v>
      </c>
      <c r="J299" s="11" t="n">
        <f aca="false">IF(C299="one_time",G299,H299)</f>
        <v>0</v>
      </c>
      <c r="K299" s="11" t="n">
        <f aca="false">IF(C299="one_time",G299+1,I299)</f>
        <v>1</v>
      </c>
      <c r="L299" s="11" t="n">
        <f aca="false">K299-J299</f>
        <v>1</v>
      </c>
    </row>
    <row r="300" customFormat="false" ht="15" hidden="false" customHeight="false" outlineLevel="0" collapsed="false">
      <c r="A300" s="4" t="s">
        <v>1282</v>
      </c>
      <c r="B300" s="4" t="s">
        <v>89</v>
      </c>
      <c r="C300" s="4" t="s">
        <v>982</v>
      </c>
      <c r="D300" s="4" t="s">
        <v>1011</v>
      </c>
      <c r="E300" s="4" t="n">
        <v>262500</v>
      </c>
      <c r="F300" s="4" t="s">
        <v>1012</v>
      </c>
      <c r="G300" s="4" t="n">
        <v>1</v>
      </c>
      <c r="J300" s="11" t="n">
        <f aca="false">IF(C300="one_time",G300,H300)</f>
        <v>1</v>
      </c>
      <c r="K300" s="11" t="n">
        <f aca="false">IF(C300="one_time",G300+1,I300)</f>
        <v>2</v>
      </c>
      <c r="L300" s="11" t="n">
        <f aca="false">K300-J300</f>
        <v>1</v>
      </c>
    </row>
    <row r="301" customFormat="false" ht="15" hidden="false" customHeight="false" outlineLevel="0" collapsed="false">
      <c r="A301" s="4" t="s">
        <v>1283</v>
      </c>
      <c r="B301" s="4" t="s">
        <v>89</v>
      </c>
      <c r="C301" s="4" t="s">
        <v>982</v>
      </c>
      <c r="D301" s="4" t="s">
        <v>1011</v>
      </c>
      <c r="E301" s="4" t="n">
        <v>139300</v>
      </c>
      <c r="F301" s="4" t="s">
        <v>1012</v>
      </c>
      <c r="G301" s="4" t="n">
        <v>0</v>
      </c>
      <c r="J301" s="11" t="n">
        <f aca="false">IF(C301="one_time",G301,H301)</f>
        <v>0</v>
      </c>
      <c r="K301" s="11" t="n">
        <f aca="false">IF(C301="one_time",G301+1,I301)</f>
        <v>1</v>
      </c>
      <c r="L301" s="11" t="n">
        <f aca="false">K301-J301</f>
        <v>1</v>
      </c>
    </row>
    <row r="302" customFormat="false" ht="15" hidden="false" customHeight="false" outlineLevel="0" collapsed="false">
      <c r="A302" s="4" t="s">
        <v>1284</v>
      </c>
      <c r="B302" s="4" t="s">
        <v>89</v>
      </c>
      <c r="C302" s="4" t="s">
        <v>982</v>
      </c>
      <c r="D302" s="4" t="s">
        <v>1011</v>
      </c>
      <c r="E302" s="4" t="n">
        <v>85700</v>
      </c>
      <c r="F302" s="4" t="s">
        <v>1012</v>
      </c>
      <c r="G302" s="4" t="n">
        <v>1</v>
      </c>
      <c r="J302" s="11" t="n">
        <f aca="false">IF(C302="one_time",G302,H302)</f>
        <v>1</v>
      </c>
      <c r="K302" s="11" t="n">
        <f aca="false">IF(C302="one_time",G302+1,I302)</f>
        <v>2</v>
      </c>
      <c r="L302" s="11" t="n">
        <f aca="false">K302-J302</f>
        <v>1</v>
      </c>
    </row>
    <row r="303" customFormat="false" ht="15" hidden="false" customHeight="false" outlineLevel="0" collapsed="false">
      <c r="A303" s="4" t="s">
        <v>1285</v>
      </c>
      <c r="B303" s="4" t="s">
        <v>89</v>
      </c>
      <c r="C303" s="4" t="s">
        <v>982</v>
      </c>
      <c r="D303" s="4" t="s">
        <v>1011</v>
      </c>
      <c r="E303" s="4" t="n">
        <v>105000</v>
      </c>
      <c r="F303" s="4" t="s">
        <v>1012</v>
      </c>
      <c r="G303" s="4" t="n">
        <v>0</v>
      </c>
      <c r="J303" s="11" t="n">
        <f aca="false">IF(C303="one_time",G303,H303)</f>
        <v>0</v>
      </c>
      <c r="K303" s="11" t="n">
        <f aca="false">IF(C303="one_time",G303+1,I303)</f>
        <v>1</v>
      </c>
      <c r="L303" s="11" t="n">
        <f aca="false">K303-J303</f>
        <v>1</v>
      </c>
    </row>
    <row r="304" customFormat="false" ht="15" hidden="false" customHeight="false" outlineLevel="0" collapsed="false">
      <c r="A304" s="4" t="s">
        <v>1286</v>
      </c>
      <c r="B304" s="4" t="s">
        <v>89</v>
      </c>
      <c r="C304" s="4" t="s">
        <v>982</v>
      </c>
      <c r="D304" s="4" t="s">
        <v>1011</v>
      </c>
      <c r="E304" s="4" t="n">
        <v>150000</v>
      </c>
      <c r="F304" s="4" t="s">
        <v>1012</v>
      </c>
      <c r="G304" s="4" t="n">
        <v>0</v>
      </c>
      <c r="J304" s="11" t="n">
        <f aca="false">IF(C304="one_time",G304,H304)</f>
        <v>0</v>
      </c>
      <c r="K304" s="11" t="n">
        <f aca="false">IF(C304="one_time",G304+1,I304)</f>
        <v>1</v>
      </c>
      <c r="L304" s="11" t="n">
        <f aca="false">K304-J304</f>
        <v>1</v>
      </c>
    </row>
    <row r="305" customFormat="false" ht="15" hidden="false" customHeight="false" outlineLevel="0" collapsed="false">
      <c r="A305" s="4" t="s">
        <v>1287</v>
      </c>
      <c r="B305" s="4" t="s">
        <v>89</v>
      </c>
      <c r="C305" s="4" t="s">
        <v>982</v>
      </c>
      <c r="D305" s="4" t="s">
        <v>1011</v>
      </c>
      <c r="E305" s="4" t="n">
        <v>42850</v>
      </c>
      <c r="F305" s="4" t="s">
        <v>1012</v>
      </c>
      <c r="G305" s="4" t="n">
        <v>0</v>
      </c>
      <c r="J305" s="11" t="n">
        <f aca="false">IF(C305="one_time",G305,H305)</f>
        <v>0</v>
      </c>
      <c r="K305" s="11" t="n">
        <f aca="false">IF(C305="one_time",G305+1,I305)</f>
        <v>1</v>
      </c>
      <c r="L305" s="11" t="n">
        <f aca="false">K305-J305</f>
        <v>1</v>
      </c>
    </row>
    <row r="306" customFormat="false" ht="15" hidden="false" customHeight="false" outlineLevel="0" collapsed="false">
      <c r="A306" s="4" t="s">
        <v>1288</v>
      </c>
      <c r="B306" s="4" t="s">
        <v>89</v>
      </c>
      <c r="C306" s="4" t="s">
        <v>982</v>
      </c>
      <c r="D306" s="4" t="s">
        <v>1011</v>
      </c>
      <c r="E306" s="4" t="n">
        <v>77150</v>
      </c>
      <c r="F306" s="4" t="s">
        <v>1012</v>
      </c>
      <c r="G306" s="4" t="n">
        <v>0</v>
      </c>
      <c r="J306" s="11" t="n">
        <f aca="false">IF(C306="one_time",G306,H306)</f>
        <v>0</v>
      </c>
      <c r="K306" s="11" t="n">
        <f aca="false">IF(C306="one_time",G306+1,I306)</f>
        <v>1</v>
      </c>
      <c r="L306" s="11" t="n">
        <f aca="false">K306-J306</f>
        <v>1</v>
      </c>
    </row>
    <row r="307" customFormat="false" ht="15" hidden="false" customHeight="false" outlineLevel="0" collapsed="false">
      <c r="A307" s="4" t="s">
        <v>1289</v>
      </c>
      <c r="B307" s="4" t="s">
        <v>89</v>
      </c>
      <c r="C307" s="4" t="s">
        <v>1034</v>
      </c>
      <c r="D307" s="4" t="s">
        <v>1011</v>
      </c>
      <c r="E307" s="4" t="n">
        <v>6000</v>
      </c>
      <c r="F307" s="4" t="s">
        <v>1012</v>
      </c>
      <c r="H307" s="4" t="n">
        <v>1</v>
      </c>
      <c r="I307" s="4" t="n">
        <v>7</v>
      </c>
      <c r="J307" s="11" t="n">
        <f aca="false">IF(C307="one_time",G307,H307)</f>
        <v>1</v>
      </c>
      <c r="K307" s="11" t="n">
        <f aca="false">IF(C307="one_time",G307+1,I307)</f>
        <v>7</v>
      </c>
      <c r="L307" s="11" t="n">
        <f aca="false">K307-J307</f>
        <v>6</v>
      </c>
    </row>
    <row r="308" customFormat="false" ht="15" hidden="false" customHeight="false" outlineLevel="0" collapsed="false">
      <c r="A308" s="4" t="s">
        <v>1290</v>
      </c>
      <c r="B308" s="4" t="s">
        <v>89</v>
      </c>
      <c r="C308" s="4" t="s">
        <v>1034</v>
      </c>
      <c r="D308" s="4" t="s">
        <v>1011</v>
      </c>
      <c r="E308" s="4" t="n">
        <v>6100</v>
      </c>
      <c r="F308" s="4" t="s">
        <v>1012</v>
      </c>
      <c r="H308" s="4" t="n">
        <v>7</v>
      </c>
      <c r="I308" s="4" t="n">
        <v>14</v>
      </c>
      <c r="J308" s="11" t="n">
        <f aca="false">IF(C308="one_time",G308,H308)</f>
        <v>7</v>
      </c>
      <c r="K308" s="11" t="n">
        <f aca="false">IF(C308="one_time",G308+1,I308)</f>
        <v>14</v>
      </c>
      <c r="L308" s="11" t="n">
        <f aca="false">K308-J308</f>
        <v>7</v>
      </c>
    </row>
    <row r="309" customFormat="false" ht="15" hidden="false" customHeight="false" outlineLevel="0" collapsed="false">
      <c r="A309" s="4" t="s">
        <v>1291</v>
      </c>
      <c r="B309" s="4" t="s">
        <v>89</v>
      </c>
      <c r="C309" s="4" t="s">
        <v>1034</v>
      </c>
      <c r="D309" s="4" t="s">
        <v>1011</v>
      </c>
      <c r="E309" s="4" t="n">
        <v>10500</v>
      </c>
      <c r="F309" s="4" t="s">
        <v>1012</v>
      </c>
      <c r="H309" s="4" t="n">
        <v>1</v>
      </c>
      <c r="I309" s="4" t="n">
        <v>7</v>
      </c>
      <c r="J309" s="11" t="n">
        <f aca="false">IF(C309="one_time",G309,H309)</f>
        <v>1</v>
      </c>
      <c r="K309" s="11" t="n">
        <f aca="false">IF(C309="one_time",G309+1,I309)</f>
        <v>7</v>
      </c>
      <c r="L309" s="11" t="n">
        <f aca="false">K309-J309</f>
        <v>6</v>
      </c>
    </row>
    <row r="310" customFormat="false" ht="15" hidden="false" customHeight="false" outlineLevel="0" collapsed="false">
      <c r="A310" s="4" t="s">
        <v>1292</v>
      </c>
      <c r="B310" s="4" t="s">
        <v>89</v>
      </c>
      <c r="C310" s="4" t="s">
        <v>1034</v>
      </c>
      <c r="D310" s="4" t="s">
        <v>1011</v>
      </c>
      <c r="E310" s="4" t="n">
        <v>11250</v>
      </c>
      <c r="F310" s="4" t="s">
        <v>1012</v>
      </c>
      <c r="H310" s="4" t="n">
        <v>7</v>
      </c>
      <c r="I310" s="4" t="n">
        <v>14</v>
      </c>
      <c r="J310" s="11" t="n">
        <f aca="false">IF(C310="one_time",G310,H310)</f>
        <v>7</v>
      </c>
      <c r="K310" s="11" t="n">
        <f aca="false">IF(C310="one_time",G310+1,I310)</f>
        <v>14</v>
      </c>
      <c r="L310" s="11" t="n">
        <f aca="false">K310-J310</f>
        <v>7</v>
      </c>
    </row>
    <row r="311" customFormat="false" ht="15" hidden="false" customHeight="false" outlineLevel="0" collapsed="false">
      <c r="A311" s="4" t="s">
        <v>1293</v>
      </c>
      <c r="B311" s="4" t="s">
        <v>89</v>
      </c>
      <c r="C311" s="4" t="s">
        <v>1034</v>
      </c>
      <c r="D311" s="4" t="s">
        <v>1011</v>
      </c>
      <c r="E311" s="4" t="n">
        <v>13500</v>
      </c>
      <c r="F311" s="4" t="s">
        <v>1012</v>
      </c>
      <c r="H311" s="4" t="n">
        <v>1</v>
      </c>
      <c r="I311" s="4" t="n">
        <v>7</v>
      </c>
      <c r="J311" s="11" t="n">
        <f aca="false">IF(C311="one_time",G311,H311)</f>
        <v>1</v>
      </c>
      <c r="K311" s="11" t="n">
        <f aca="false">IF(C311="one_time",G311+1,I311)</f>
        <v>7</v>
      </c>
      <c r="L311" s="11" t="n">
        <f aca="false">K311-J311</f>
        <v>6</v>
      </c>
    </row>
    <row r="312" customFormat="false" ht="15" hidden="false" customHeight="false" outlineLevel="0" collapsed="false">
      <c r="A312" s="4" t="s">
        <v>1294</v>
      </c>
      <c r="B312" s="4" t="s">
        <v>89</v>
      </c>
      <c r="C312" s="4" t="s">
        <v>1034</v>
      </c>
      <c r="D312" s="4" t="s">
        <v>1011</v>
      </c>
      <c r="E312" s="4" t="n">
        <v>14300</v>
      </c>
      <c r="F312" s="4" t="s">
        <v>1012</v>
      </c>
      <c r="H312" s="4" t="n">
        <v>7</v>
      </c>
      <c r="I312" s="4" t="n">
        <v>14</v>
      </c>
      <c r="J312" s="11" t="n">
        <f aca="false">IF(C312="one_time",G312,H312)</f>
        <v>7</v>
      </c>
      <c r="K312" s="11" t="n">
        <f aca="false">IF(C312="one_time",G312+1,I312)</f>
        <v>14</v>
      </c>
      <c r="L312" s="11" t="n">
        <f aca="false">K312-J312</f>
        <v>7</v>
      </c>
    </row>
    <row r="313" customFormat="false" ht="15" hidden="false" customHeight="false" outlineLevel="0" collapsed="false">
      <c r="A313" s="4" t="s">
        <v>1295</v>
      </c>
      <c r="B313" s="4" t="s">
        <v>90</v>
      </c>
      <c r="C313" s="4" t="s">
        <v>982</v>
      </c>
      <c r="D313" s="4" t="s">
        <v>983</v>
      </c>
      <c r="E313" s="4" t="n">
        <v>120360.1</v>
      </c>
      <c r="G313" s="4" t="n">
        <v>0</v>
      </c>
      <c r="J313" s="11" t="n">
        <f aca="false">IF(C313="one_time",G313,H313)</f>
        <v>0</v>
      </c>
      <c r="K313" s="11" t="n">
        <f aca="false">IF(C313="one_time",G313+1,I313)</f>
        <v>1</v>
      </c>
      <c r="L313" s="11" t="n">
        <f aca="false">K313-J313</f>
        <v>1</v>
      </c>
    </row>
    <row r="314" customFormat="false" ht="15" hidden="false" customHeight="false" outlineLevel="0" collapsed="false">
      <c r="A314" s="4" t="s">
        <v>1296</v>
      </c>
      <c r="B314" s="4" t="s">
        <v>90</v>
      </c>
      <c r="C314" s="4" t="s">
        <v>982</v>
      </c>
      <c r="D314" s="4" t="s">
        <v>983</v>
      </c>
      <c r="E314" s="4" t="n">
        <v>122405.73</v>
      </c>
      <c r="G314" s="4" t="n">
        <v>1</v>
      </c>
      <c r="J314" s="11" t="n">
        <f aca="false">IF(C314="one_time",G314,H314)</f>
        <v>1</v>
      </c>
      <c r="K314" s="11" t="n">
        <f aca="false">IF(C314="one_time",G314+1,I314)</f>
        <v>2</v>
      </c>
      <c r="L314" s="11" t="n">
        <f aca="false">K314-J314</f>
        <v>1</v>
      </c>
    </row>
    <row r="315" customFormat="false" ht="15" hidden="false" customHeight="false" outlineLevel="0" collapsed="false">
      <c r="A315" s="4" t="s">
        <v>1297</v>
      </c>
      <c r="B315" s="4" t="s">
        <v>90</v>
      </c>
      <c r="C315" s="4" t="s">
        <v>982</v>
      </c>
      <c r="D315" s="4" t="s">
        <v>983</v>
      </c>
      <c r="E315" s="4" t="n">
        <v>117632.72</v>
      </c>
      <c r="G315" s="4" t="n">
        <v>2</v>
      </c>
      <c r="J315" s="11" t="n">
        <f aca="false">IF(C315="one_time",G315,H315)</f>
        <v>2</v>
      </c>
      <c r="K315" s="11" t="n">
        <f aca="false">IF(C315="one_time",G315+1,I315)</f>
        <v>3</v>
      </c>
      <c r="L315" s="11" t="n">
        <f aca="false">K315-J315</f>
        <v>1</v>
      </c>
    </row>
    <row r="316" customFormat="false" ht="15" hidden="false" customHeight="false" outlineLevel="0" collapsed="false">
      <c r="A316" s="4" t="s">
        <v>1298</v>
      </c>
      <c r="B316" s="4" t="s">
        <v>90</v>
      </c>
      <c r="C316" s="4" t="s">
        <v>982</v>
      </c>
      <c r="D316" s="4" t="s">
        <v>983</v>
      </c>
      <c r="E316" s="4" t="n">
        <v>6954.4</v>
      </c>
      <c r="G316" s="4" t="n">
        <v>3</v>
      </c>
      <c r="J316" s="11" t="n">
        <f aca="false">IF(C316="one_time",G316,H316)</f>
        <v>3</v>
      </c>
      <c r="K316" s="11" t="n">
        <f aca="false">IF(C316="one_time",G316+1,I316)</f>
        <v>4</v>
      </c>
      <c r="L316" s="11" t="n">
        <f aca="false">K316-J316</f>
        <v>1</v>
      </c>
    </row>
    <row r="317" customFormat="false" ht="15" hidden="false" customHeight="false" outlineLevel="0" collapsed="false">
      <c r="A317" s="4" t="s">
        <v>1299</v>
      </c>
      <c r="B317" s="4" t="s">
        <v>90</v>
      </c>
      <c r="C317" s="4" t="s">
        <v>982</v>
      </c>
      <c r="D317" s="4" t="s">
        <v>983</v>
      </c>
      <c r="E317" s="4" t="n">
        <v>6552.25</v>
      </c>
      <c r="G317" s="4" t="n">
        <v>4</v>
      </c>
      <c r="J317" s="11" t="n">
        <f aca="false">IF(C317="one_time",G317,H317)</f>
        <v>4</v>
      </c>
      <c r="K317" s="11" t="n">
        <f aca="false">IF(C317="one_time",G317+1,I317)</f>
        <v>5</v>
      </c>
      <c r="L317" s="11" t="n">
        <f aca="false">K317-J317</f>
        <v>1</v>
      </c>
    </row>
    <row r="318" customFormat="false" ht="15" hidden="false" customHeight="false" outlineLevel="0" collapsed="false">
      <c r="A318" s="4" t="s">
        <v>1300</v>
      </c>
      <c r="B318" s="4" t="s">
        <v>90</v>
      </c>
      <c r="C318" s="4" t="s">
        <v>982</v>
      </c>
      <c r="D318" s="4" t="s">
        <v>983</v>
      </c>
      <c r="E318" s="4" t="n">
        <v>7204.01</v>
      </c>
      <c r="G318" s="4" t="n">
        <v>5</v>
      </c>
      <c r="J318" s="11" t="n">
        <f aca="false">IF(C318="one_time",G318,H318)</f>
        <v>5</v>
      </c>
      <c r="K318" s="11" t="n">
        <f aca="false">IF(C318="one_time",G318+1,I318)</f>
        <v>6</v>
      </c>
      <c r="L318" s="11" t="n">
        <f aca="false">K318-J318</f>
        <v>1</v>
      </c>
    </row>
    <row r="319" customFormat="false" ht="15" hidden="false" customHeight="false" outlineLevel="0" collapsed="false">
      <c r="A319" s="4" t="s">
        <v>1301</v>
      </c>
      <c r="B319" s="4" t="s">
        <v>90</v>
      </c>
      <c r="C319" s="4" t="s">
        <v>982</v>
      </c>
      <c r="D319" s="4" t="s">
        <v>983</v>
      </c>
      <c r="E319" s="4" t="n">
        <v>7259.47</v>
      </c>
      <c r="G319" s="4" t="n">
        <v>6</v>
      </c>
      <c r="J319" s="11" t="n">
        <f aca="false">IF(C319="one_time",G319,H319)</f>
        <v>6</v>
      </c>
      <c r="K319" s="11" t="n">
        <f aca="false">IF(C319="one_time",G319+1,I319)</f>
        <v>7</v>
      </c>
      <c r="L319" s="11" t="n">
        <f aca="false">K319-J319</f>
        <v>1</v>
      </c>
    </row>
    <row r="320" customFormat="false" ht="15" hidden="false" customHeight="false" outlineLevel="0" collapsed="false">
      <c r="A320" s="4" t="s">
        <v>1302</v>
      </c>
      <c r="B320" s="4" t="s">
        <v>90</v>
      </c>
      <c r="C320" s="4" t="s">
        <v>982</v>
      </c>
      <c r="D320" s="4" t="s">
        <v>983</v>
      </c>
      <c r="E320" s="4" t="n">
        <v>7065.33</v>
      </c>
      <c r="G320" s="4" t="n">
        <v>7</v>
      </c>
      <c r="J320" s="11" t="n">
        <f aca="false">IF(C320="one_time",G320,H320)</f>
        <v>7</v>
      </c>
      <c r="K320" s="11" t="n">
        <f aca="false">IF(C320="one_time",G320+1,I320)</f>
        <v>8</v>
      </c>
      <c r="L320" s="11" t="n">
        <f aca="false">K320-J320</f>
        <v>1</v>
      </c>
    </row>
    <row r="321" customFormat="false" ht="15" hidden="false" customHeight="false" outlineLevel="0" collapsed="false">
      <c r="A321" s="4" t="s">
        <v>1303</v>
      </c>
      <c r="B321" s="4" t="s">
        <v>90</v>
      </c>
      <c r="C321" s="4" t="s">
        <v>982</v>
      </c>
      <c r="D321" s="4" t="s">
        <v>983</v>
      </c>
      <c r="E321" s="4" t="n">
        <v>7351</v>
      </c>
      <c r="G321" s="4" t="n">
        <v>8</v>
      </c>
      <c r="J321" s="11" t="n">
        <f aca="false">IF(C321="one_time",G321,H321)</f>
        <v>8</v>
      </c>
      <c r="K321" s="11" t="n">
        <f aca="false">IF(C321="one_time",G321+1,I321)</f>
        <v>9</v>
      </c>
      <c r="L321" s="11" t="n">
        <f aca="false">K321-J321</f>
        <v>1</v>
      </c>
    </row>
    <row r="322" customFormat="false" ht="15" hidden="false" customHeight="false" outlineLevel="0" collapsed="false">
      <c r="A322" s="4" t="s">
        <v>1304</v>
      </c>
      <c r="B322" s="4" t="s">
        <v>90</v>
      </c>
      <c r="C322" s="4" t="s">
        <v>982</v>
      </c>
      <c r="D322" s="4" t="s">
        <v>983</v>
      </c>
      <c r="E322" s="4" t="n">
        <v>38177.46</v>
      </c>
      <c r="G322" s="4" t="n">
        <v>0</v>
      </c>
      <c r="J322" s="11" t="n">
        <f aca="false">IF(C322="one_time",G322,H322)</f>
        <v>0</v>
      </c>
      <c r="K322" s="11" t="n">
        <f aca="false">IF(C322="one_time",G322+1,I322)</f>
        <v>1</v>
      </c>
      <c r="L322" s="11" t="n">
        <f aca="false">K322-J322</f>
        <v>1</v>
      </c>
    </row>
    <row r="323" customFormat="false" ht="15" hidden="false" customHeight="false" outlineLevel="0" collapsed="false">
      <c r="A323" s="4" t="s">
        <v>1305</v>
      </c>
      <c r="B323" s="4" t="s">
        <v>90</v>
      </c>
      <c r="C323" s="4" t="s">
        <v>982</v>
      </c>
      <c r="D323" s="4" t="s">
        <v>983</v>
      </c>
      <c r="E323" s="4" t="n">
        <v>40423.72</v>
      </c>
      <c r="G323" s="4" t="n">
        <v>1</v>
      </c>
      <c r="J323" s="11" t="n">
        <f aca="false">IF(C323="one_time",G323,H323)</f>
        <v>1</v>
      </c>
      <c r="K323" s="11" t="n">
        <f aca="false">IF(C323="one_time",G323+1,I323)</f>
        <v>2</v>
      </c>
      <c r="L323" s="11" t="n">
        <f aca="false">K323-J323</f>
        <v>1</v>
      </c>
    </row>
    <row r="324" customFormat="false" ht="15" hidden="false" customHeight="false" outlineLevel="0" collapsed="false">
      <c r="A324" s="4" t="s">
        <v>1306</v>
      </c>
      <c r="B324" s="4" t="s">
        <v>90</v>
      </c>
      <c r="C324" s="4" t="s">
        <v>982</v>
      </c>
      <c r="D324" s="4" t="s">
        <v>983</v>
      </c>
      <c r="E324" s="4" t="n">
        <v>38787.21</v>
      </c>
      <c r="G324" s="4" t="n">
        <v>2</v>
      </c>
      <c r="J324" s="11" t="n">
        <f aca="false">IF(C324="one_time",G324,H324)</f>
        <v>2</v>
      </c>
      <c r="K324" s="11" t="n">
        <f aca="false">IF(C324="one_time",G324+1,I324)</f>
        <v>3</v>
      </c>
      <c r="L324" s="11" t="n">
        <f aca="false">K324-J324</f>
        <v>1</v>
      </c>
    </row>
    <row r="325" customFormat="false" ht="15" hidden="false" customHeight="false" outlineLevel="0" collapsed="false">
      <c r="A325" s="4" t="s">
        <v>1307</v>
      </c>
      <c r="B325" s="4" t="s">
        <v>90</v>
      </c>
      <c r="C325" s="4" t="s">
        <v>982</v>
      </c>
      <c r="D325" s="4" t="s">
        <v>983</v>
      </c>
      <c r="E325" s="4" t="n">
        <v>2322.75</v>
      </c>
      <c r="G325" s="4" t="n">
        <v>3</v>
      </c>
      <c r="J325" s="11" t="n">
        <f aca="false">IF(C325="one_time",G325,H325)</f>
        <v>3</v>
      </c>
      <c r="K325" s="11" t="n">
        <f aca="false">IF(C325="one_time",G325+1,I325)</f>
        <v>4</v>
      </c>
      <c r="L325" s="11" t="n">
        <f aca="false">K325-J325</f>
        <v>1</v>
      </c>
    </row>
    <row r="326" customFormat="false" ht="15" hidden="false" customHeight="false" outlineLevel="0" collapsed="false">
      <c r="A326" s="4" t="s">
        <v>1308</v>
      </c>
      <c r="B326" s="4" t="s">
        <v>90</v>
      </c>
      <c r="C326" s="4" t="s">
        <v>982</v>
      </c>
      <c r="D326" s="4" t="s">
        <v>983</v>
      </c>
      <c r="E326" s="4" t="n">
        <v>2447.56</v>
      </c>
      <c r="G326" s="4" t="n">
        <v>4</v>
      </c>
      <c r="J326" s="11" t="n">
        <f aca="false">IF(C326="one_time",G326,H326)</f>
        <v>4</v>
      </c>
      <c r="K326" s="11" t="n">
        <f aca="false">IF(C326="one_time",G326+1,I326)</f>
        <v>5</v>
      </c>
      <c r="L326" s="11" t="n">
        <f aca="false">K326-J326</f>
        <v>1</v>
      </c>
    </row>
    <row r="327" customFormat="false" ht="15" hidden="false" customHeight="false" outlineLevel="0" collapsed="false">
      <c r="A327" s="4" t="s">
        <v>1309</v>
      </c>
      <c r="B327" s="4" t="s">
        <v>90</v>
      </c>
      <c r="C327" s="4" t="s">
        <v>982</v>
      </c>
      <c r="D327" s="4" t="s">
        <v>983</v>
      </c>
      <c r="E327" s="4" t="n">
        <v>2447.56</v>
      </c>
      <c r="G327" s="4" t="n">
        <v>5</v>
      </c>
      <c r="J327" s="11" t="n">
        <f aca="false">IF(C327="one_time",G327,H327)</f>
        <v>5</v>
      </c>
      <c r="K327" s="11" t="n">
        <f aca="false">IF(C327="one_time",G327+1,I327)</f>
        <v>6</v>
      </c>
      <c r="L327" s="11" t="n">
        <f aca="false">K327-J327</f>
        <v>1</v>
      </c>
    </row>
    <row r="328" customFormat="false" ht="15" hidden="false" customHeight="false" outlineLevel="0" collapsed="false">
      <c r="A328" s="4" t="s">
        <v>1310</v>
      </c>
      <c r="B328" s="4" t="s">
        <v>90</v>
      </c>
      <c r="C328" s="4" t="s">
        <v>982</v>
      </c>
      <c r="D328" s="4" t="s">
        <v>983</v>
      </c>
      <c r="E328" s="4" t="n">
        <v>2313.51</v>
      </c>
      <c r="G328" s="4" t="n">
        <v>6</v>
      </c>
      <c r="J328" s="11" t="n">
        <f aca="false">IF(C328="one_time",G328,H328)</f>
        <v>6</v>
      </c>
      <c r="K328" s="11" t="n">
        <f aca="false">IF(C328="one_time",G328+1,I328)</f>
        <v>7</v>
      </c>
      <c r="L328" s="11" t="n">
        <f aca="false">K328-J328</f>
        <v>1</v>
      </c>
    </row>
    <row r="329" customFormat="false" ht="15" hidden="false" customHeight="false" outlineLevel="0" collapsed="false">
      <c r="A329" s="4" t="s">
        <v>1311</v>
      </c>
      <c r="B329" s="4" t="s">
        <v>90</v>
      </c>
      <c r="C329" s="4" t="s">
        <v>982</v>
      </c>
      <c r="D329" s="4" t="s">
        <v>983</v>
      </c>
      <c r="E329" s="4" t="n">
        <v>2382.84</v>
      </c>
      <c r="G329" s="4" t="n">
        <v>7</v>
      </c>
      <c r="J329" s="11" t="n">
        <f aca="false">IF(C329="one_time",G329,H329)</f>
        <v>7</v>
      </c>
      <c r="K329" s="11" t="n">
        <f aca="false">IF(C329="one_time",G329+1,I329)</f>
        <v>8</v>
      </c>
      <c r="L329" s="11" t="n">
        <f aca="false">K329-J329</f>
        <v>1</v>
      </c>
    </row>
    <row r="330" customFormat="false" ht="15" hidden="false" customHeight="false" outlineLevel="0" collapsed="false">
      <c r="A330" s="4" t="s">
        <v>1312</v>
      </c>
      <c r="B330" s="4" t="s">
        <v>90</v>
      </c>
      <c r="C330" s="4" t="s">
        <v>982</v>
      </c>
      <c r="D330" s="4" t="s">
        <v>983</v>
      </c>
      <c r="E330" s="4" t="n">
        <v>2512.08</v>
      </c>
      <c r="G330" s="4" t="n">
        <v>8</v>
      </c>
      <c r="J330" s="11" t="n">
        <f aca="false">IF(C330="one_time",G330,H330)</f>
        <v>8</v>
      </c>
      <c r="K330" s="11" t="n">
        <f aca="false">IF(C330="one_time",G330+1,I330)</f>
        <v>9</v>
      </c>
      <c r="L330" s="11" t="n">
        <f aca="false">K330-J330</f>
        <v>1</v>
      </c>
    </row>
    <row r="331" customFormat="false" ht="15" hidden="false" customHeight="false" outlineLevel="0" collapsed="false">
      <c r="A331" s="4" t="s">
        <v>1313</v>
      </c>
      <c r="B331" s="4" t="s">
        <v>90</v>
      </c>
      <c r="C331" s="4" t="s">
        <v>982</v>
      </c>
      <c r="D331" s="4" t="s">
        <v>983</v>
      </c>
      <c r="E331" s="4" t="n">
        <v>101277.97</v>
      </c>
      <c r="G331" s="4" t="n">
        <v>0</v>
      </c>
      <c r="J331" s="11" t="n">
        <f aca="false">IF(C331="one_time",G331,H331)</f>
        <v>0</v>
      </c>
      <c r="K331" s="11" t="n">
        <f aca="false">IF(C331="one_time",G331+1,I331)</f>
        <v>1</v>
      </c>
      <c r="L331" s="11" t="n">
        <f aca="false">K331-J331</f>
        <v>1</v>
      </c>
    </row>
    <row r="332" customFormat="false" ht="15" hidden="false" customHeight="false" outlineLevel="0" collapsed="false">
      <c r="A332" s="4" t="s">
        <v>1314</v>
      </c>
      <c r="B332" s="4" t="s">
        <v>90</v>
      </c>
      <c r="C332" s="4" t="s">
        <v>982</v>
      </c>
      <c r="D332" s="4" t="s">
        <v>983</v>
      </c>
      <c r="E332" s="4" t="n">
        <v>117545.35</v>
      </c>
      <c r="G332" s="4" t="n">
        <v>1</v>
      </c>
      <c r="J332" s="11" t="n">
        <f aca="false">IF(C332="one_time",G332,H332)</f>
        <v>1</v>
      </c>
      <c r="K332" s="11" t="n">
        <f aca="false">IF(C332="one_time",G332+1,I332)</f>
        <v>2</v>
      </c>
      <c r="L332" s="11" t="n">
        <f aca="false">K332-J332</f>
        <v>1</v>
      </c>
    </row>
    <row r="333" customFormat="false" ht="15" hidden="false" customHeight="false" outlineLevel="0" collapsed="false">
      <c r="A333" s="4" t="s">
        <v>1315</v>
      </c>
      <c r="B333" s="4" t="s">
        <v>90</v>
      </c>
      <c r="C333" s="4" t="s">
        <v>982</v>
      </c>
      <c r="D333" s="4" t="s">
        <v>983</v>
      </c>
      <c r="E333" s="4" t="n">
        <v>109698.1</v>
      </c>
      <c r="G333" s="4" t="n">
        <v>2</v>
      </c>
      <c r="J333" s="11" t="n">
        <f aca="false">IF(C333="one_time",G333,H333)</f>
        <v>2</v>
      </c>
      <c r="K333" s="11" t="n">
        <f aca="false">IF(C333="one_time",G333+1,I333)</f>
        <v>3</v>
      </c>
      <c r="L333" s="11" t="n">
        <f aca="false">K333-J333</f>
        <v>1</v>
      </c>
    </row>
    <row r="334" customFormat="false" ht="15" hidden="false" customHeight="false" outlineLevel="0" collapsed="false">
      <c r="A334" s="4" t="s">
        <v>1316</v>
      </c>
      <c r="B334" s="4" t="s">
        <v>90</v>
      </c>
      <c r="C334" s="4" t="s">
        <v>982</v>
      </c>
      <c r="D334" s="4" t="s">
        <v>983</v>
      </c>
      <c r="E334" s="4" t="n">
        <v>6255.64</v>
      </c>
      <c r="G334" s="4" t="n">
        <v>3</v>
      </c>
      <c r="J334" s="11" t="n">
        <f aca="false">IF(C334="one_time",G334,H334)</f>
        <v>3</v>
      </c>
      <c r="K334" s="11" t="n">
        <f aca="false">IF(C334="one_time",G334+1,I334)</f>
        <v>4</v>
      </c>
      <c r="L334" s="11" t="n">
        <f aca="false">K334-J334</f>
        <v>1</v>
      </c>
    </row>
    <row r="335" customFormat="false" ht="15" hidden="false" customHeight="false" outlineLevel="0" collapsed="false">
      <c r="A335" s="4" t="s">
        <v>1317</v>
      </c>
      <c r="B335" s="4" t="s">
        <v>90</v>
      </c>
      <c r="C335" s="4" t="s">
        <v>982</v>
      </c>
      <c r="D335" s="4" t="s">
        <v>983</v>
      </c>
      <c r="E335" s="4" t="n">
        <v>6101.56</v>
      </c>
      <c r="G335" s="4" t="n">
        <v>4</v>
      </c>
      <c r="J335" s="11" t="n">
        <f aca="false">IF(C335="one_time",G335,H335)</f>
        <v>4</v>
      </c>
      <c r="K335" s="11" t="n">
        <f aca="false">IF(C335="one_time",G335+1,I335)</f>
        <v>5</v>
      </c>
      <c r="L335" s="11" t="n">
        <f aca="false">K335-J335</f>
        <v>1</v>
      </c>
    </row>
    <row r="336" customFormat="false" ht="15" hidden="false" customHeight="false" outlineLevel="0" collapsed="false">
      <c r="A336" s="4" t="s">
        <v>1318</v>
      </c>
      <c r="B336" s="4" t="s">
        <v>90</v>
      </c>
      <c r="C336" s="4" t="s">
        <v>982</v>
      </c>
      <c r="D336" s="4" t="s">
        <v>983</v>
      </c>
      <c r="E336" s="4" t="n">
        <v>5805.73</v>
      </c>
      <c r="G336" s="4" t="n">
        <v>5</v>
      </c>
      <c r="J336" s="11" t="n">
        <f aca="false">IF(C336="one_time",G336,H336)</f>
        <v>5</v>
      </c>
      <c r="K336" s="11" t="n">
        <f aca="false">IF(C336="one_time",G336+1,I336)</f>
        <v>6</v>
      </c>
      <c r="L336" s="11" t="n">
        <f aca="false">K336-J336</f>
        <v>1</v>
      </c>
    </row>
    <row r="337" customFormat="false" ht="15" hidden="false" customHeight="false" outlineLevel="0" collapsed="false">
      <c r="A337" s="4" t="s">
        <v>1319</v>
      </c>
      <c r="B337" s="4" t="s">
        <v>90</v>
      </c>
      <c r="C337" s="4" t="s">
        <v>982</v>
      </c>
      <c r="D337" s="4" t="s">
        <v>983</v>
      </c>
      <c r="E337" s="4" t="n">
        <v>5885.85</v>
      </c>
      <c r="G337" s="4" t="n">
        <v>6</v>
      </c>
      <c r="J337" s="11" t="n">
        <f aca="false">IF(C337="one_time",G337,H337)</f>
        <v>6</v>
      </c>
      <c r="K337" s="11" t="n">
        <f aca="false">IF(C337="one_time",G337+1,I337)</f>
        <v>7</v>
      </c>
      <c r="L337" s="11" t="n">
        <f aca="false">K337-J337</f>
        <v>1</v>
      </c>
    </row>
    <row r="338" customFormat="false" ht="15" hidden="false" customHeight="false" outlineLevel="0" collapsed="false">
      <c r="A338" s="4" t="s">
        <v>1320</v>
      </c>
      <c r="B338" s="4" t="s">
        <v>90</v>
      </c>
      <c r="C338" s="4" t="s">
        <v>982</v>
      </c>
      <c r="D338" s="4" t="s">
        <v>983</v>
      </c>
      <c r="E338" s="4" t="n">
        <v>6150.87</v>
      </c>
      <c r="G338" s="4" t="n">
        <v>7</v>
      </c>
      <c r="J338" s="11" t="n">
        <f aca="false">IF(C338="one_time",G338,H338)</f>
        <v>7</v>
      </c>
      <c r="K338" s="11" t="n">
        <f aca="false">IF(C338="one_time",G338+1,I338)</f>
        <v>8</v>
      </c>
      <c r="L338" s="11" t="n">
        <f aca="false">K338-J338</f>
        <v>1</v>
      </c>
    </row>
    <row r="339" customFormat="false" ht="15" hidden="false" customHeight="false" outlineLevel="0" collapsed="false">
      <c r="A339" s="4" t="s">
        <v>1321</v>
      </c>
      <c r="B339" s="4" t="s">
        <v>90</v>
      </c>
      <c r="C339" s="4" t="s">
        <v>982</v>
      </c>
      <c r="D339" s="4" t="s">
        <v>983</v>
      </c>
      <c r="E339" s="4" t="n">
        <v>6698.89</v>
      </c>
      <c r="G339" s="4" t="n">
        <v>8</v>
      </c>
      <c r="J339" s="11" t="n">
        <f aca="false">IF(C339="one_time",G339,H339)</f>
        <v>8</v>
      </c>
      <c r="K339" s="11" t="n">
        <f aca="false">IF(C339="one_time",G339+1,I339)</f>
        <v>9</v>
      </c>
      <c r="L339" s="11" t="n">
        <f aca="false">K339-J339</f>
        <v>1</v>
      </c>
    </row>
    <row r="340" customFormat="false" ht="15" hidden="false" customHeight="false" outlineLevel="0" collapsed="false">
      <c r="A340" s="4" t="s">
        <v>1322</v>
      </c>
      <c r="B340" s="4" t="s">
        <v>90</v>
      </c>
      <c r="C340" s="4" t="s">
        <v>982</v>
      </c>
      <c r="D340" s="4" t="s">
        <v>1011</v>
      </c>
      <c r="E340" s="4" t="n">
        <v>22850</v>
      </c>
      <c r="F340" s="4" t="s">
        <v>1012</v>
      </c>
      <c r="G340" s="4" t="n">
        <v>0</v>
      </c>
      <c r="J340" s="11" t="n">
        <f aca="false">IF(C340="one_time",G340,H340)</f>
        <v>0</v>
      </c>
      <c r="K340" s="11" t="n">
        <f aca="false">IF(C340="one_time",G340+1,I340)</f>
        <v>1</v>
      </c>
      <c r="L340" s="11" t="n">
        <f aca="false">K340-J340</f>
        <v>1</v>
      </c>
    </row>
    <row r="341" customFormat="false" ht="15" hidden="false" customHeight="false" outlineLevel="0" collapsed="false">
      <c r="A341" s="4" t="s">
        <v>1323</v>
      </c>
      <c r="B341" s="4" t="s">
        <v>90</v>
      </c>
      <c r="C341" s="4" t="s">
        <v>982</v>
      </c>
      <c r="D341" s="4" t="s">
        <v>1011</v>
      </c>
      <c r="E341" s="4" t="n">
        <v>25700</v>
      </c>
      <c r="F341" s="4" t="s">
        <v>1012</v>
      </c>
      <c r="G341" s="4" t="n">
        <v>1</v>
      </c>
      <c r="J341" s="11" t="n">
        <f aca="false">IF(C341="one_time",G341,H341)</f>
        <v>1</v>
      </c>
      <c r="K341" s="11" t="n">
        <f aca="false">IF(C341="one_time",G341+1,I341)</f>
        <v>2</v>
      </c>
      <c r="L341" s="11" t="n">
        <f aca="false">K341-J341</f>
        <v>1</v>
      </c>
    </row>
    <row r="342" customFormat="false" ht="15" hidden="false" customHeight="false" outlineLevel="0" collapsed="false">
      <c r="A342" s="4" t="s">
        <v>1324</v>
      </c>
      <c r="B342" s="4" t="s">
        <v>90</v>
      </c>
      <c r="C342" s="4" t="s">
        <v>982</v>
      </c>
      <c r="D342" s="4" t="s">
        <v>1011</v>
      </c>
      <c r="E342" s="4" t="n">
        <v>31450</v>
      </c>
      <c r="F342" s="4" t="s">
        <v>1012</v>
      </c>
      <c r="G342" s="4" t="n">
        <v>2</v>
      </c>
      <c r="J342" s="11" t="n">
        <f aca="false">IF(C342="one_time",G342,H342)</f>
        <v>2</v>
      </c>
      <c r="K342" s="11" t="n">
        <f aca="false">IF(C342="one_time",G342+1,I342)</f>
        <v>3</v>
      </c>
      <c r="L342" s="11" t="n">
        <f aca="false">K342-J342</f>
        <v>1</v>
      </c>
    </row>
    <row r="343" customFormat="false" ht="15" hidden="false" customHeight="false" outlineLevel="0" collapsed="false">
      <c r="A343" s="4" t="s">
        <v>1325</v>
      </c>
      <c r="B343" s="4" t="s">
        <v>90</v>
      </c>
      <c r="C343" s="4" t="s">
        <v>982</v>
      </c>
      <c r="D343" s="4" t="s">
        <v>1011</v>
      </c>
      <c r="E343" s="4" t="n">
        <v>12550</v>
      </c>
      <c r="F343" s="4" t="s">
        <v>1012</v>
      </c>
      <c r="G343" s="4" t="n">
        <v>2</v>
      </c>
      <c r="J343" s="11" t="n">
        <f aca="false">IF(C343="one_time",G343,H343)</f>
        <v>2</v>
      </c>
      <c r="K343" s="11" t="n">
        <f aca="false">IF(C343="one_time",G343+1,I343)</f>
        <v>3</v>
      </c>
      <c r="L343" s="11" t="n">
        <f aca="false">K343-J343</f>
        <v>1</v>
      </c>
    </row>
    <row r="344" customFormat="false" ht="15" hidden="false" customHeight="false" outlineLevel="0" collapsed="false">
      <c r="A344" s="4" t="s">
        <v>1326</v>
      </c>
      <c r="B344" s="4" t="s">
        <v>90</v>
      </c>
      <c r="C344" s="4" t="s">
        <v>982</v>
      </c>
      <c r="D344" s="4" t="s">
        <v>1011</v>
      </c>
      <c r="E344" s="4" t="n">
        <v>12550</v>
      </c>
      <c r="F344" s="4" t="s">
        <v>1012</v>
      </c>
      <c r="G344" s="4" t="n">
        <v>0</v>
      </c>
      <c r="J344" s="11" t="n">
        <f aca="false">IF(C344="one_time",G344,H344)</f>
        <v>0</v>
      </c>
      <c r="K344" s="11" t="n">
        <f aca="false">IF(C344="one_time",G344+1,I344)</f>
        <v>1</v>
      </c>
      <c r="L344" s="11" t="n">
        <f aca="false">K344-J344</f>
        <v>1</v>
      </c>
    </row>
    <row r="345" customFormat="false" ht="15" hidden="false" customHeight="false" outlineLevel="0" collapsed="false">
      <c r="A345" s="4" t="s">
        <v>1327</v>
      </c>
      <c r="B345" s="4" t="s">
        <v>90</v>
      </c>
      <c r="C345" s="4" t="s">
        <v>982</v>
      </c>
      <c r="D345" s="4" t="s">
        <v>1011</v>
      </c>
      <c r="E345" s="4" t="n">
        <v>14900</v>
      </c>
      <c r="F345" s="4" t="s">
        <v>1012</v>
      </c>
      <c r="G345" s="4" t="n">
        <v>1</v>
      </c>
      <c r="J345" s="11" t="n">
        <f aca="false">IF(C345="one_time",G345,H345)</f>
        <v>1</v>
      </c>
      <c r="K345" s="11" t="n">
        <f aca="false">IF(C345="one_time",G345+1,I345)</f>
        <v>2</v>
      </c>
      <c r="L345" s="11" t="n">
        <f aca="false">K345-J345</f>
        <v>1</v>
      </c>
    </row>
    <row r="346" customFormat="false" ht="15" hidden="false" customHeight="false" outlineLevel="0" collapsed="false">
      <c r="A346" s="4" t="s">
        <v>1328</v>
      </c>
      <c r="B346" s="4" t="s">
        <v>90</v>
      </c>
      <c r="C346" s="4" t="s">
        <v>982</v>
      </c>
      <c r="D346" s="4" t="s">
        <v>1011</v>
      </c>
      <c r="E346" s="4" t="n">
        <v>8000</v>
      </c>
      <c r="F346" s="4" t="s">
        <v>1012</v>
      </c>
      <c r="G346" s="4" t="n">
        <v>1</v>
      </c>
      <c r="J346" s="11" t="n">
        <f aca="false">IF(C346="one_time",G346,H346)</f>
        <v>1</v>
      </c>
      <c r="K346" s="11" t="n">
        <f aca="false">IF(C346="one_time",G346+1,I346)</f>
        <v>2</v>
      </c>
      <c r="L346" s="11" t="n">
        <f aca="false">K346-J346</f>
        <v>1</v>
      </c>
    </row>
    <row r="347" customFormat="false" ht="15" hidden="false" customHeight="false" outlineLevel="0" collapsed="false">
      <c r="A347" s="4" t="s">
        <v>1329</v>
      </c>
      <c r="B347" s="4" t="s">
        <v>90</v>
      </c>
      <c r="C347" s="4" t="s">
        <v>982</v>
      </c>
      <c r="D347" s="4" t="s">
        <v>1011</v>
      </c>
      <c r="E347" s="4" t="n">
        <v>33700</v>
      </c>
      <c r="F347" s="4" t="s">
        <v>1012</v>
      </c>
      <c r="G347" s="4" t="n">
        <v>2</v>
      </c>
      <c r="J347" s="11" t="n">
        <f aca="false">IF(C347="one_time",G347,H347)</f>
        <v>2</v>
      </c>
      <c r="K347" s="11" t="n">
        <f aca="false">IF(C347="one_time",G347+1,I347)</f>
        <v>3</v>
      </c>
      <c r="L347" s="11" t="n">
        <f aca="false">K347-J347</f>
        <v>1</v>
      </c>
    </row>
    <row r="348" customFormat="false" ht="15" hidden="false" customHeight="false" outlineLevel="0" collapsed="false">
      <c r="A348" s="4" t="s">
        <v>1330</v>
      </c>
      <c r="B348" s="4" t="s">
        <v>90</v>
      </c>
      <c r="C348" s="4" t="s">
        <v>982</v>
      </c>
      <c r="D348" s="4" t="s">
        <v>1011</v>
      </c>
      <c r="E348" s="4" t="n">
        <v>25250</v>
      </c>
      <c r="F348" s="4" t="s">
        <v>1012</v>
      </c>
      <c r="G348" s="4" t="n">
        <v>1</v>
      </c>
      <c r="J348" s="11" t="n">
        <f aca="false">IF(C348="one_time",G348,H348)</f>
        <v>1</v>
      </c>
      <c r="K348" s="11" t="n">
        <f aca="false">IF(C348="one_time",G348+1,I348)</f>
        <v>2</v>
      </c>
      <c r="L348" s="11" t="n">
        <f aca="false">K348-J348</f>
        <v>1</v>
      </c>
    </row>
    <row r="349" customFormat="false" ht="15" hidden="false" customHeight="false" outlineLevel="0" collapsed="false">
      <c r="A349" s="4" t="s">
        <v>1331</v>
      </c>
      <c r="B349" s="4" t="s">
        <v>90</v>
      </c>
      <c r="C349" s="4" t="s">
        <v>982</v>
      </c>
      <c r="D349" s="4" t="s">
        <v>1011</v>
      </c>
      <c r="E349" s="4" t="n">
        <v>21050</v>
      </c>
      <c r="F349" s="4" t="s">
        <v>1012</v>
      </c>
      <c r="G349" s="4" t="n">
        <v>1</v>
      </c>
      <c r="J349" s="11" t="n">
        <f aca="false">IF(C349="one_time",G349,H349)</f>
        <v>1</v>
      </c>
      <c r="K349" s="11" t="n">
        <f aca="false">IF(C349="one_time",G349+1,I349)</f>
        <v>2</v>
      </c>
      <c r="L349" s="11" t="n">
        <f aca="false">K349-J349</f>
        <v>1</v>
      </c>
    </row>
    <row r="350" customFormat="false" ht="15" hidden="false" customHeight="false" outlineLevel="0" collapsed="false">
      <c r="A350" s="4" t="s">
        <v>1332</v>
      </c>
      <c r="B350" s="4" t="s">
        <v>90</v>
      </c>
      <c r="C350" s="4" t="s">
        <v>982</v>
      </c>
      <c r="D350" s="4" t="s">
        <v>1011</v>
      </c>
      <c r="E350" s="4" t="n">
        <v>16000</v>
      </c>
      <c r="F350" s="4" t="s">
        <v>1012</v>
      </c>
      <c r="G350" s="4" t="n">
        <v>0</v>
      </c>
      <c r="J350" s="11" t="n">
        <f aca="false">IF(C350="one_time",G350,H350)</f>
        <v>0</v>
      </c>
      <c r="K350" s="11" t="n">
        <f aca="false">IF(C350="one_time",G350+1,I350)</f>
        <v>1</v>
      </c>
      <c r="L350" s="11" t="n">
        <f aca="false">K350-J350</f>
        <v>1</v>
      </c>
    </row>
    <row r="351" customFormat="false" ht="15" hidden="false" customHeight="false" outlineLevel="0" collapsed="false">
      <c r="A351" s="4" t="s">
        <v>1333</v>
      </c>
      <c r="B351" s="4" t="s">
        <v>90</v>
      </c>
      <c r="C351" s="4" t="s">
        <v>982</v>
      </c>
      <c r="D351" s="4" t="s">
        <v>1011</v>
      </c>
      <c r="E351" s="4" t="n">
        <v>80000</v>
      </c>
      <c r="F351" s="4" t="s">
        <v>1012</v>
      </c>
      <c r="G351" s="4" t="n">
        <v>2</v>
      </c>
      <c r="J351" s="11" t="n">
        <f aca="false">IF(C351="one_time",G351,H351)</f>
        <v>2</v>
      </c>
      <c r="K351" s="11" t="n">
        <f aca="false">IF(C351="one_time",G351+1,I351)</f>
        <v>3</v>
      </c>
      <c r="L351" s="11" t="n">
        <f aca="false">K351-J351</f>
        <v>1</v>
      </c>
    </row>
    <row r="352" customFormat="false" ht="15" hidden="false" customHeight="false" outlineLevel="0" collapsed="false">
      <c r="A352" s="4" t="s">
        <v>1334</v>
      </c>
      <c r="B352" s="4" t="s">
        <v>90</v>
      </c>
      <c r="C352" s="4" t="s">
        <v>982</v>
      </c>
      <c r="D352" s="4" t="s">
        <v>1011</v>
      </c>
      <c r="E352" s="4" t="n">
        <v>200000</v>
      </c>
      <c r="F352" s="4" t="s">
        <v>1012</v>
      </c>
      <c r="G352" s="4" t="n">
        <v>0</v>
      </c>
      <c r="J352" s="11" t="n">
        <f aca="false">IF(C352="one_time",G352,H352)</f>
        <v>0</v>
      </c>
      <c r="K352" s="11" t="n">
        <f aca="false">IF(C352="one_time",G352+1,I352)</f>
        <v>1</v>
      </c>
      <c r="L352" s="11" t="n">
        <f aca="false">K352-J352</f>
        <v>1</v>
      </c>
    </row>
    <row r="353" customFormat="false" ht="15" hidden="false" customHeight="false" outlineLevel="0" collapsed="false">
      <c r="A353" s="4" t="s">
        <v>1335</v>
      </c>
      <c r="B353" s="4" t="s">
        <v>90</v>
      </c>
      <c r="C353" s="4" t="s">
        <v>982</v>
      </c>
      <c r="D353" s="4" t="s">
        <v>1011</v>
      </c>
      <c r="E353" s="4" t="n">
        <v>60000</v>
      </c>
      <c r="F353" s="4" t="s">
        <v>1012</v>
      </c>
      <c r="G353" s="4" t="n">
        <v>2</v>
      </c>
      <c r="J353" s="11" t="n">
        <f aca="false">IF(C353="one_time",G353,H353)</f>
        <v>2</v>
      </c>
      <c r="K353" s="11" t="n">
        <f aca="false">IF(C353="one_time",G353+1,I353)</f>
        <v>3</v>
      </c>
      <c r="L353" s="11" t="n">
        <f aca="false">K353-J353</f>
        <v>1</v>
      </c>
    </row>
    <row r="354" customFormat="false" ht="15" hidden="false" customHeight="false" outlineLevel="0" collapsed="false">
      <c r="A354" s="4" t="s">
        <v>1336</v>
      </c>
      <c r="B354" s="4" t="s">
        <v>90</v>
      </c>
      <c r="C354" s="4" t="s">
        <v>982</v>
      </c>
      <c r="D354" s="4" t="s">
        <v>1011</v>
      </c>
      <c r="E354" s="4" t="n">
        <v>60000</v>
      </c>
      <c r="F354" s="4" t="s">
        <v>1012</v>
      </c>
      <c r="G354" s="4" t="n">
        <v>1</v>
      </c>
      <c r="J354" s="11" t="n">
        <f aca="false">IF(C354="one_time",G354,H354)</f>
        <v>1</v>
      </c>
      <c r="K354" s="11" t="n">
        <f aca="false">IF(C354="one_time",G354+1,I354)</f>
        <v>2</v>
      </c>
      <c r="L354" s="11" t="n">
        <f aca="false">K354-J354</f>
        <v>1</v>
      </c>
    </row>
    <row r="355" customFormat="false" ht="15" hidden="false" customHeight="false" outlineLevel="0" collapsed="false">
      <c r="A355" s="4" t="s">
        <v>1337</v>
      </c>
      <c r="B355" s="4" t="s">
        <v>90</v>
      </c>
      <c r="C355" s="4" t="s">
        <v>982</v>
      </c>
      <c r="D355" s="4" t="s">
        <v>1011</v>
      </c>
      <c r="E355" s="4" t="n">
        <v>23050</v>
      </c>
      <c r="F355" s="4" t="s">
        <v>1012</v>
      </c>
      <c r="G355" s="4" t="n">
        <v>0</v>
      </c>
      <c r="J355" s="11" t="n">
        <f aca="false">IF(C355="one_time",G355,H355)</f>
        <v>0</v>
      </c>
      <c r="K355" s="11" t="n">
        <f aca="false">IF(C355="one_time",G355+1,I355)</f>
        <v>1</v>
      </c>
      <c r="L355" s="11" t="n">
        <f aca="false">K355-J355</f>
        <v>1</v>
      </c>
    </row>
    <row r="356" customFormat="false" ht="15" hidden="false" customHeight="false" outlineLevel="0" collapsed="false">
      <c r="A356" s="4" t="s">
        <v>1338</v>
      </c>
      <c r="B356" s="4" t="s">
        <v>90</v>
      </c>
      <c r="C356" s="4" t="s">
        <v>982</v>
      </c>
      <c r="D356" s="4" t="s">
        <v>1011</v>
      </c>
      <c r="E356" s="4" t="n">
        <v>32950</v>
      </c>
      <c r="F356" s="4" t="s">
        <v>1012</v>
      </c>
      <c r="G356" s="4" t="n">
        <v>2</v>
      </c>
      <c r="J356" s="11" t="n">
        <f aca="false">IF(C356="one_time",G356,H356)</f>
        <v>2</v>
      </c>
      <c r="K356" s="11" t="n">
        <f aca="false">IF(C356="one_time",G356+1,I356)</f>
        <v>3</v>
      </c>
      <c r="L356" s="11" t="n">
        <f aca="false">K356-J356</f>
        <v>1</v>
      </c>
    </row>
    <row r="357" customFormat="false" ht="15" hidden="false" customHeight="false" outlineLevel="0" collapsed="false">
      <c r="A357" s="4" t="s">
        <v>1339</v>
      </c>
      <c r="B357" s="4" t="s">
        <v>90</v>
      </c>
      <c r="C357" s="4" t="s">
        <v>982</v>
      </c>
      <c r="D357" s="4" t="s">
        <v>1011</v>
      </c>
      <c r="E357" s="4" t="n">
        <v>49250</v>
      </c>
      <c r="F357" s="4" t="s">
        <v>1012</v>
      </c>
      <c r="G357" s="4" t="n">
        <v>1</v>
      </c>
      <c r="J357" s="11" t="n">
        <f aca="false">IF(C357="one_time",G357,H357)</f>
        <v>1</v>
      </c>
      <c r="K357" s="11" t="n">
        <f aca="false">IF(C357="one_time",G357+1,I357)</f>
        <v>2</v>
      </c>
      <c r="L357" s="11" t="n">
        <f aca="false">K357-J357</f>
        <v>1</v>
      </c>
    </row>
    <row r="358" customFormat="false" ht="15" hidden="false" customHeight="false" outlineLevel="0" collapsed="false">
      <c r="A358" s="4" t="s">
        <v>1340</v>
      </c>
      <c r="B358" s="4" t="s">
        <v>90</v>
      </c>
      <c r="C358" s="4" t="s">
        <v>982</v>
      </c>
      <c r="D358" s="4" t="s">
        <v>1011</v>
      </c>
      <c r="E358" s="4" t="n">
        <v>30750</v>
      </c>
      <c r="F358" s="4" t="s">
        <v>1012</v>
      </c>
      <c r="G358" s="4" t="n">
        <v>1</v>
      </c>
      <c r="J358" s="11" t="n">
        <f aca="false">IF(C358="one_time",G358,H358)</f>
        <v>1</v>
      </c>
      <c r="K358" s="11" t="n">
        <f aca="false">IF(C358="one_time",G358+1,I358)</f>
        <v>2</v>
      </c>
      <c r="L358" s="11" t="n">
        <f aca="false">K358-J358</f>
        <v>1</v>
      </c>
    </row>
    <row r="359" customFormat="false" ht="15" hidden="false" customHeight="false" outlineLevel="0" collapsed="false">
      <c r="A359" s="4" t="s">
        <v>1341</v>
      </c>
      <c r="B359" s="4" t="s">
        <v>90</v>
      </c>
      <c r="C359" s="4" t="s">
        <v>982</v>
      </c>
      <c r="D359" s="4" t="s">
        <v>1011</v>
      </c>
      <c r="E359" s="4" t="n">
        <v>64000</v>
      </c>
      <c r="F359" s="4" t="s">
        <v>1012</v>
      </c>
      <c r="G359" s="4" t="n">
        <v>1</v>
      </c>
      <c r="J359" s="11" t="n">
        <f aca="false">IF(C359="one_time",G359,H359)</f>
        <v>1</v>
      </c>
      <c r="K359" s="11" t="n">
        <f aca="false">IF(C359="one_time",G359+1,I359)</f>
        <v>2</v>
      </c>
      <c r="L359" s="11" t="n">
        <f aca="false">K359-J359</f>
        <v>1</v>
      </c>
    </row>
    <row r="360" customFormat="false" ht="15" hidden="false" customHeight="false" outlineLevel="0" collapsed="false">
      <c r="A360" s="4" t="s">
        <v>1342</v>
      </c>
      <c r="B360" s="4" t="s">
        <v>90</v>
      </c>
      <c r="C360" s="4" t="s">
        <v>1034</v>
      </c>
      <c r="D360" s="4" t="s">
        <v>1011</v>
      </c>
      <c r="E360" s="4" t="n">
        <v>3200</v>
      </c>
      <c r="F360" s="4" t="s">
        <v>1012</v>
      </c>
      <c r="H360" s="4" t="n">
        <v>2</v>
      </c>
      <c r="I360" s="4" t="n">
        <v>8</v>
      </c>
      <c r="J360" s="11" t="n">
        <f aca="false">IF(C360="one_time",G360,H360)</f>
        <v>2</v>
      </c>
      <c r="K360" s="11" t="n">
        <f aca="false">IF(C360="one_time",G360+1,I360)</f>
        <v>8</v>
      </c>
      <c r="L360" s="11" t="n">
        <f aca="false">K360-J360</f>
        <v>6</v>
      </c>
    </row>
    <row r="361" customFormat="false" ht="15" hidden="false" customHeight="false" outlineLevel="0" collapsed="false">
      <c r="A361" s="4" t="s">
        <v>1343</v>
      </c>
      <c r="B361" s="4" t="s">
        <v>90</v>
      </c>
      <c r="C361" s="4" t="s">
        <v>1034</v>
      </c>
      <c r="D361" s="4" t="s">
        <v>1011</v>
      </c>
      <c r="E361" s="4" t="n">
        <v>3350</v>
      </c>
      <c r="F361" s="4" t="s">
        <v>1012</v>
      </c>
      <c r="H361" s="4" t="n">
        <v>8</v>
      </c>
      <c r="I361" s="4" t="n">
        <v>15</v>
      </c>
      <c r="J361" s="11" t="n">
        <f aca="false">IF(C361="one_time",G361,H361)</f>
        <v>8</v>
      </c>
      <c r="K361" s="11" t="n">
        <f aca="false">IF(C361="one_time",G361+1,I361)</f>
        <v>15</v>
      </c>
      <c r="L361" s="11" t="n">
        <f aca="false">K361-J361</f>
        <v>7</v>
      </c>
    </row>
    <row r="362" customFormat="false" ht="15" hidden="false" customHeight="false" outlineLevel="0" collapsed="false">
      <c r="A362" s="4" t="s">
        <v>1344</v>
      </c>
      <c r="B362" s="4" t="s">
        <v>90</v>
      </c>
      <c r="C362" s="4" t="s">
        <v>1034</v>
      </c>
      <c r="D362" s="4" t="s">
        <v>1011</v>
      </c>
      <c r="E362" s="4" t="n">
        <v>5600</v>
      </c>
      <c r="F362" s="4" t="s">
        <v>1012</v>
      </c>
      <c r="H362" s="4" t="n">
        <v>2</v>
      </c>
      <c r="I362" s="4" t="n">
        <v>8</v>
      </c>
      <c r="J362" s="11" t="n">
        <f aca="false">IF(C362="one_time",G362,H362)</f>
        <v>2</v>
      </c>
      <c r="K362" s="11" t="n">
        <f aca="false">IF(C362="one_time",G362+1,I362)</f>
        <v>8</v>
      </c>
      <c r="L362" s="11" t="n">
        <f aca="false">K362-J362</f>
        <v>6</v>
      </c>
    </row>
    <row r="363" customFormat="false" ht="15" hidden="false" customHeight="false" outlineLevel="0" collapsed="false">
      <c r="A363" s="4" t="s">
        <v>1345</v>
      </c>
      <c r="B363" s="4" t="s">
        <v>90</v>
      </c>
      <c r="C363" s="4" t="s">
        <v>1034</v>
      </c>
      <c r="D363" s="4" t="s">
        <v>1011</v>
      </c>
      <c r="E363" s="4" t="n">
        <v>6050</v>
      </c>
      <c r="F363" s="4" t="s">
        <v>1012</v>
      </c>
      <c r="H363" s="4" t="n">
        <v>8</v>
      </c>
      <c r="I363" s="4" t="n">
        <v>15</v>
      </c>
      <c r="J363" s="11" t="n">
        <f aca="false">IF(C363="one_time",G363,H363)</f>
        <v>8</v>
      </c>
      <c r="K363" s="11" t="n">
        <f aca="false">IF(C363="one_time",G363+1,I363)</f>
        <v>15</v>
      </c>
      <c r="L363" s="11" t="n">
        <f aca="false">K363-J363</f>
        <v>7</v>
      </c>
    </row>
    <row r="364" customFormat="false" ht="15" hidden="false" customHeight="false" outlineLevel="0" collapsed="false">
      <c r="A364" s="4" t="s">
        <v>1346</v>
      </c>
      <c r="B364" s="4" t="s">
        <v>90</v>
      </c>
      <c r="C364" s="4" t="s">
        <v>1034</v>
      </c>
      <c r="D364" s="4" t="s">
        <v>1011</v>
      </c>
      <c r="E364" s="4" t="n">
        <v>7200</v>
      </c>
      <c r="F364" s="4" t="s">
        <v>1012</v>
      </c>
      <c r="H364" s="4" t="n">
        <v>2</v>
      </c>
      <c r="I364" s="4" t="n">
        <v>8</v>
      </c>
      <c r="J364" s="11" t="n">
        <f aca="false">IF(C364="one_time",G364,H364)</f>
        <v>2</v>
      </c>
      <c r="K364" s="11" t="n">
        <f aca="false">IF(C364="one_time",G364+1,I364)</f>
        <v>8</v>
      </c>
      <c r="L364" s="11" t="n">
        <f aca="false">K364-J364</f>
        <v>6</v>
      </c>
    </row>
    <row r="365" customFormat="false" ht="15" hidden="false" customHeight="false" outlineLevel="0" collapsed="false">
      <c r="A365" s="4" t="s">
        <v>1347</v>
      </c>
      <c r="B365" s="4" t="s">
        <v>90</v>
      </c>
      <c r="C365" s="4" t="s">
        <v>1034</v>
      </c>
      <c r="D365" s="4" t="s">
        <v>1011</v>
      </c>
      <c r="E365" s="4" t="n">
        <v>7700</v>
      </c>
      <c r="F365" s="4" t="s">
        <v>1012</v>
      </c>
      <c r="H365" s="4" t="n">
        <v>8</v>
      </c>
      <c r="I365" s="4" t="n">
        <v>15</v>
      </c>
      <c r="J365" s="11" t="n">
        <f aca="false">IF(C365="one_time",G365,H365)</f>
        <v>8</v>
      </c>
      <c r="K365" s="11" t="n">
        <f aca="false">IF(C365="one_time",G365+1,I365)</f>
        <v>15</v>
      </c>
      <c r="L365" s="11" t="n">
        <f aca="false">K365-J365</f>
        <v>7</v>
      </c>
    </row>
    <row r="366" customFormat="false" ht="15" hidden="false" customHeight="false" outlineLevel="0" collapsed="false">
      <c r="A366" s="4" t="s">
        <v>1348</v>
      </c>
      <c r="B366" s="4" t="s">
        <v>91</v>
      </c>
      <c r="C366" s="4" t="s">
        <v>982</v>
      </c>
      <c r="D366" s="4" t="s">
        <v>983</v>
      </c>
      <c r="E366" s="4" t="n">
        <v>114708.92</v>
      </c>
      <c r="G366" s="4" t="n">
        <v>1</v>
      </c>
      <c r="J366" s="11" t="n">
        <f aca="false">IF(C366="one_time",G366,H366)</f>
        <v>1</v>
      </c>
      <c r="K366" s="11" t="n">
        <f aca="false">IF(C366="one_time",G366+1,I366)</f>
        <v>2</v>
      </c>
      <c r="L366" s="11" t="n">
        <f aca="false">K366-J366</f>
        <v>1</v>
      </c>
    </row>
    <row r="367" customFormat="false" ht="15" hidden="false" customHeight="false" outlineLevel="0" collapsed="false">
      <c r="A367" s="4" t="s">
        <v>1349</v>
      </c>
      <c r="B367" s="4" t="s">
        <v>91</v>
      </c>
      <c r="C367" s="4" t="s">
        <v>982</v>
      </c>
      <c r="D367" s="4" t="s">
        <v>983</v>
      </c>
      <c r="E367" s="4" t="n">
        <v>103424.7</v>
      </c>
      <c r="G367" s="4" t="n">
        <v>2</v>
      </c>
      <c r="J367" s="11" t="n">
        <f aca="false">IF(C367="one_time",G367,H367)</f>
        <v>2</v>
      </c>
      <c r="K367" s="11" t="n">
        <f aca="false">IF(C367="one_time",G367+1,I367)</f>
        <v>3</v>
      </c>
      <c r="L367" s="11" t="n">
        <f aca="false">K367-J367</f>
        <v>1</v>
      </c>
    </row>
    <row r="368" customFormat="false" ht="15" hidden="false" customHeight="false" outlineLevel="0" collapsed="false">
      <c r="A368" s="4" t="s">
        <v>1350</v>
      </c>
      <c r="B368" s="4" t="s">
        <v>91</v>
      </c>
      <c r="C368" s="4" t="s">
        <v>982</v>
      </c>
      <c r="D368" s="4" t="s">
        <v>983</v>
      </c>
      <c r="E368" s="4" t="n">
        <v>40373.48</v>
      </c>
      <c r="G368" s="4" t="n">
        <v>3</v>
      </c>
      <c r="J368" s="11" t="n">
        <f aca="false">IF(C368="one_time",G368,H368)</f>
        <v>3</v>
      </c>
      <c r="K368" s="11" t="n">
        <f aca="false">IF(C368="one_time",G368+1,I368)</f>
        <v>4</v>
      </c>
      <c r="L368" s="11" t="n">
        <f aca="false">K368-J368</f>
        <v>1</v>
      </c>
    </row>
    <row r="369" customFormat="false" ht="15" hidden="false" customHeight="false" outlineLevel="0" collapsed="false">
      <c r="A369" s="4" t="s">
        <v>1351</v>
      </c>
      <c r="B369" s="4" t="s">
        <v>91</v>
      </c>
      <c r="C369" s="4" t="s">
        <v>982</v>
      </c>
      <c r="D369" s="4" t="s">
        <v>983</v>
      </c>
      <c r="E369" s="4" t="n">
        <v>4831.89</v>
      </c>
      <c r="G369" s="4" t="n">
        <v>4</v>
      </c>
      <c r="J369" s="11" t="n">
        <f aca="false">IF(C369="one_time",G369,H369)</f>
        <v>4</v>
      </c>
      <c r="K369" s="11" t="n">
        <f aca="false">IF(C369="one_time",G369+1,I369)</f>
        <v>5</v>
      </c>
      <c r="L369" s="11" t="n">
        <f aca="false">K369-J369</f>
        <v>1</v>
      </c>
    </row>
    <row r="370" customFormat="false" ht="15" hidden="false" customHeight="false" outlineLevel="0" collapsed="false">
      <c r="A370" s="4" t="s">
        <v>1352</v>
      </c>
      <c r="B370" s="4" t="s">
        <v>91</v>
      </c>
      <c r="C370" s="4" t="s">
        <v>982</v>
      </c>
      <c r="D370" s="4" t="s">
        <v>983</v>
      </c>
      <c r="E370" s="4" t="n">
        <v>5336.79</v>
      </c>
      <c r="G370" s="4" t="n">
        <v>5</v>
      </c>
      <c r="J370" s="11" t="n">
        <f aca="false">IF(C370="one_time",G370,H370)</f>
        <v>5</v>
      </c>
      <c r="K370" s="11" t="n">
        <f aca="false">IF(C370="one_time",G370+1,I370)</f>
        <v>6</v>
      </c>
      <c r="L370" s="11" t="n">
        <f aca="false">K370-J370</f>
        <v>1</v>
      </c>
    </row>
    <row r="371" customFormat="false" ht="15" hidden="false" customHeight="false" outlineLevel="0" collapsed="false">
      <c r="A371" s="4" t="s">
        <v>1353</v>
      </c>
      <c r="B371" s="4" t="s">
        <v>91</v>
      </c>
      <c r="C371" s="4" t="s">
        <v>982</v>
      </c>
      <c r="D371" s="4" t="s">
        <v>983</v>
      </c>
      <c r="E371" s="4" t="n">
        <v>5033.85</v>
      </c>
      <c r="G371" s="4" t="n">
        <v>6</v>
      </c>
      <c r="J371" s="11" t="n">
        <f aca="false">IF(C371="one_time",G371,H371)</f>
        <v>6</v>
      </c>
      <c r="K371" s="11" t="n">
        <f aca="false">IF(C371="one_time",G371+1,I371)</f>
        <v>7</v>
      </c>
      <c r="L371" s="11" t="n">
        <f aca="false">K371-J371</f>
        <v>1</v>
      </c>
    </row>
    <row r="372" customFormat="false" ht="15" hidden="false" customHeight="false" outlineLevel="0" collapsed="false">
      <c r="A372" s="4" t="s">
        <v>1354</v>
      </c>
      <c r="B372" s="4" t="s">
        <v>91</v>
      </c>
      <c r="C372" s="4" t="s">
        <v>982</v>
      </c>
      <c r="D372" s="4" t="s">
        <v>983</v>
      </c>
      <c r="E372" s="4" t="n">
        <v>5261.05</v>
      </c>
      <c r="G372" s="4" t="n">
        <v>7</v>
      </c>
      <c r="J372" s="11" t="n">
        <f aca="false">IF(C372="one_time",G372,H372)</f>
        <v>7</v>
      </c>
      <c r="K372" s="11" t="n">
        <f aca="false">IF(C372="one_time",G372+1,I372)</f>
        <v>8</v>
      </c>
      <c r="L372" s="11" t="n">
        <f aca="false">K372-J372</f>
        <v>1</v>
      </c>
    </row>
    <row r="373" customFormat="false" ht="15" hidden="false" customHeight="false" outlineLevel="0" collapsed="false">
      <c r="A373" s="4" t="s">
        <v>1355</v>
      </c>
      <c r="B373" s="4" t="s">
        <v>91</v>
      </c>
      <c r="C373" s="4" t="s">
        <v>982</v>
      </c>
      <c r="D373" s="4" t="s">
        <v>983</v>
      </c>
      <c r="E373" s="4" t="n">
        <v>5230.76</v>
      </c>
      <c r="G373" s="4" t="n">
        <v>8</v>
      </c>
      <c r="J373" s="11" t="n">
        <f aca="false">IF(C373="one_time",G373,H373)</f>
        <v>8</v>
      </c>
      <c r="K373" s="11" t="n">
        <f aca="false">IF(C373="one_time",G373+1,I373)</f>
        <v>9</v>
      </c>
      <c r="L373" s="11" t="n">
        <f aca="false">K373-J373</f>
        <v>1</v>
      </c>
    </row>
    <row r="374" customFormat="false" ht="15" hidden="false" customHeight="false" outlineLevel="0" collapsed="false">
      <c r="A374" s="4" t="s">
        <v>1356</v>
      </c>
      <c r="B374" s="4" t="s">
        <v>91</v>
      </c>
      <c r="C374" s="4" t="s">
        <v>982</v>
      </c>
      <c r="D374" s="4" t="s">
        <v>983</v>
      </c>
      <c r="E374" s="4" t="n">
        <v>39463.55</v>
      </c>
      <c r="G374" s="4" t="n">
        <v>1</v>
      </c>
      <c r="J374" s="11" t="n">
        <f aca="false">IF(C374="one_time",G374,H374)</f>
        <v>1</v>
      </c>
      <c r="K374" s="11" t="n">
        <f aca="false">IF(C374="one_time",G374+1,I374)</f>
        <v>2</v>
      </c>
      <c r="L374" s="11" t="n">
        <f aca="false">K374-J374</f>
        <v>1</v>
      </c>
    </row>
    <row r="375" customFormat="false" ht="15" hidden="false" customHeight="false" outlineLevel="0" collapsed="false">
      <c r="A375" s="4" t="s">
        <v>1357</v>
      </c>
      <c r="B375" s="4" t="s">
        <v>91</v>
      </c>
      <c r="C375" s="4" t="s">
        <v>982</v>
      </c>
      <c r="D375" s="4" t="s">
        <v>983</v>
      </c>
      <c r="E375" s="4" t="n">
        <v>34855.26</v>
      </c>
      <c r="G375" s="4" t="n">
        <v>2</v>
      </c>
      <c r="J375" s="11" t="n">
        <f aca="false">IF(C375="one_time",G375,H375)</f>
        <v>2</v>
      </c>
      <c r="K375" s="11" t="n">
        <f aca="false">IF(C375="one_time",G375+1,I375)</f>
        <v>3</v>
      </c>
      <c r="L375" s="11" t="n">
        <f aca="false">K375-J375</f>
        <v>1</v>
      </c>
    </row>
    <row r="376" customFormat="false" ht="15" hidden="false" customHeight="false" outlineLevel="0" collapsed="false">
      <c r="A376" s="4" t="s">
        <v>1358</v>
      </c>
      <c r="B376" s="4" t="s">
        <v>91</v>
      </c>
      <c r="C376" s="4" t="s">
        <v>982</v>
      </c>
      <c r="D376" s="4" t="s">
        <v>983</v>
      </c>
      <c r="E376" s="4" t="n">
        <v>13780.4</v>
      </c>
      <c r="G376" s="4" t="n">
        <v>3</v>
      </c>
      <c r="J376" s="11" t="n">
        <f aca="false">IF(C376="one_time",G376,H376)</f>
        <v>3</v>
      </c>
      <c r="K376" s="11" t="n">
        <f aca="false">IF(C376="one_time",G376+1,I376)</f>
        <v>4</v>
      </c>
      <c r="L376" s="11" t="n">
        <f aca="false">K376-J376</f>
        <v>1</v>
      </c>
    </row>
    <row r="377" customFormat="false" ht="15" hidden="false" customHeight="false" outlineLevel="0" collapsed="false">
      <c r="A377" s="4" t="s">
        <v>1359</v>
      </c>
      <c r="B377" s="4" t="s">
        <v>91</v>
      </c>
      <c r="C377" s="4" t="s">
        <v>982</v>
      </c>
      <c r="D377" s="4" t="s">
        <v>983</v>
      </c>
      <c r="E377" s="4" t="n">
        <v>1714.97</v>
      </c>
      <c r="G377" s="4" t="n">
        <v>4</v>
      </c>
      <c r="J377" s="11" t="n">
        <f aca="false">IF(C377="one_time",G377,H377)</f>
        <v>4</v>
      </c>
      <c r="K377" s="11" t="n">
        <f aca="false">IF(C377="one_time",G377+1,I377)</f>
        <v>5</v>
      </c>
      <c r="L377" s="11" t="n">
        <f aca="false">K377-J377</f>
        <v>1</v>
      </c>
    </row>
    <row r="378" customFormat="false" ht="15" hidden="false" customHeight="false" outlineLevel="0" collapsed="false">
      <c r="A378" s="4" t="s">
        <v>1360</v>
      </c>
      <c r="B378" s="4" t="s">
        <v>91</v>
      </c>
      <c r="C378" s="4" t="s">
        <v>982</v>
      </c>
      <c r="D378" s="4" t="s">
        <v>983</v>
      </c>
      <c r="E378" s="4" t="n">
        <v>1590.43</v>
      </c>
      <c r="G378" s="4" t="n">
        <v>5</v>
      </c>
      <c r="J378" s="11" t="n">
        <f aca="false">IF(C378="one_time",G378,H378)</f>
        <v>5</v>
      </c>
      <c r="K378" s="11" t="n">
        <f aca="false">IF(C378="one_time",G378+1,I378)</f>
        <v>6</v>
      </c>
      <c r="L378" s="11" t="n">
        <f aca="false">K378-J378</f>
        <v>1</v>
      </c>
    </row>
    <row r="379" customFormat="false" ht="15" hidden="false" customHeight="false" outlineLevel="0" collapsed="false">
      <c r="A379" s="4" t="s">
        <v>1361</v>
      </c>
      <c r="B379" s="4" t="s">
        <v>91</v>
      </c>
      <c r="C379" s="4" t="s">
        <v>982</v>
      </c>
      <c r="D379" s="4" t="s">
        <v>983</v>
      </c>
      <c r="E379" s="4" t="n">
        <v>1768.83</v>
      </c>
      <c r="G379" s="4" t="n">
        <v>6</v>
      </c>
      <c r="J379" s="11" t="n">
        <f aca="false">IF(C379="one_time",G379,H379)</f>
        <v>6</v>
      </c>
      <c r="K379" s="11" t="n">
        <f aca="false">IF(C379="one_time",G379+1,I379)</f>
        <v>7</v>
      </c>
      <c r="L379" s="11" t="n">
        <f aca="false">K379-J379</f>
        <v>1</v>
      </c>
    </row>
    <row r="380" customFormat="false" ht="15" hidden="false" customHeight="false" outlineLevel="0" collapsed="false">
      <c r="A380" s="4" t="s">
        <v>1362</v>
      </c>
      <c r="B380" s="4" t="s">
        <v>91</v>
      </c>
      <c r="C380" s="4" t="s">
        <v>982</v>
      </c>
      <c r="D380" s="4" t="s">
        <v>983</v>
      </c>
      <c r="E380" s="4" t="n">
        <v>1659.43</v>
      </c>
      <c r="G380" s="4" t="n">
        <v>7</v>
      </c>
      <c r="J380" s="11" t="n">
        <f aca="false">IF(C380="one_time",G380,H380)</f>
        <v>7</v>
      </c>
      <c r="K380" s="11" t="n">
        <f aca="false">IF(C380="one_time",G380+1,I380)</f>
        <v>8</v>
      </c>
      <c r="L380" s="11" t="n">
        <f aca="false">K380-J380</f>
        <v>1</v>
      </c>
    </row>
    <row r="381" customFormat="false" ht="15" hidden="false" customHeight="false" outlineLevel="0" collapsed="false">
      <c r="A381" s="4" t="s">
        <v>1363</v>
      </c>
      <c r="B381" s="4" t="s">
        <v>91</v>
      </c>
      <c r="C381" s="4" t="s">
        <v>982</v>
      </c>
      <c r="D381" s="4" t="s">
        <v>983</v>
      </c>
      <c r="E381" s="4" t="n">
        <v>1681.31</v>
      </c>
      <c r="G381" s="4" t="n">
        <v>8</v>
      </c>
      <c r="J381" s="11" t="n">
        <f aca="false">IF(C381="one_time",G381,H381)</f>
        <v>8</v>
      </c>
      <c r="K381" s="11" t="n">
        <f aca="false">IF(C381="one_time",G381+1,I381)</f>
        <v>9</v>
      </c>
      <c r="L381" s="11" t="n">
        <f aca="false">K381-J381</f>
        <v>1</v>
      </c>
    </row>
    <row r="382" customFormat="false" ht="15" hidden="false" customHeight="false" outlineLevel="0" collapsed="false">
      <c r="A382" s="4" t="s">
        <v>1364</v>
      </c>
      <c r="B382" s="4" t="s">
        <v>91</v>
      </c>
      <c r="C382" s="4" t="s">
        <v>982</v>
      </c>
      <c r="D382" s="4" t="s">
        <v>983</v>
      </c>
      <c r="E382" s="4" t="n">
        <v>99304.46</v>
      </c>
      <c r="G382" s="4" t="n">
        <v>1</v>
      </c>
      <c r="J382" s="11" t="n">
        <f aca="false">IF(C382="one_time",G382,H382)</f>
        <v>1</v>
      </c>
      <c r="K382" s="11" t="n">
        <f aca="false">IF(C382="one_time",G382+1,I382)</f>
        <v>2</v>
      </c>
      <c r="L382" s="11" t="n">
        <f aca="false">K382-J382</f>
        <v>1</v>
      </c>
    </row>
    <row r="383" customFormat="false" ht="15" hidden="false" customHeight="false" outlineLevel="0" collapsed="false">
      <c r="A383" s="4" t="s">
        <v>1365</v>
      </c>
      <c r="B383" s="4" t="s">
        <v>91</v>
      </c>
      <c r="C383" s="4" t="s">
        <v>982</v>
      </c>
      <c r="D383" s="4" t="s">
        <v>983</v>
      </c>
      <c r="E383" s="4" t="n">
        <v>92209.7</v>
      </c>
      <c r="G383" s="4" t="n">
        <v>2</v>
      </c>
      <c r="J383" s="11" t="n">
        <f aca="false">IF(C383="one_time",G383,H383)</f>
        <v>2</v>
      </c>
      <c r="K383" s="11" t="n">
        <f aca="false">IF(C383="one_time",G383+1,I383)</f>
        <v>3</v>
      </c>
      <c r="L383" s="11" t="n">
        <f aca="false">K383-J383</f>
        <v>1</v>
      </c>
    </row>
    <row r="384" customFormat="false" ht="15" hidden="false" customHeight="false" outlineLevel="0" collapsed="false">
      <c r="A384" s="4" t="s">
        <v>1366</v>
      </c>
      <c r="B384" s="4" t="s">
        <v>91</v>
      </c>
      <c r="C384" s="4" t="s">
        <v>982</v>
      </c>
      <c r="D384" s="4" t="s">
        <v>983</v>
      </c>
      <c r="E384" s="4" t="n">
        <v>33547.8</v>
      </c>
      <c r="G384" s="4" t="n">
        <v>3</v>
      </c>
      <c r="J384" s="11" t="n">
        <f aca="false">IF(C384="one_time",G384,H384)</f>
        <v>3</v>
      </c>
      <c r="K384" s="11" t="n">
        <f aca="false">IF(C384="one_time",G384+1,I384)</f>
        <v>4</v>
      </c>
      <c r="L384" s="11" t="n">
        <f aca="false">K384-J384</f>
        <v>1</v>
      </c>
    </row>
    <row r="385" customFormat="false" ht="15" hidden="false" customHeight="false" outlineLevel="0" collapsed="false">
      <c r="A385" s="4" t="s">
        <v>1367</v>
      </c>
      <c r="B385" s="4" t="s">
        <v>91</v>
      </c>
      <c r="C385" s="4" t="s">
        <v>982</v>
      </c>
      <c r="D385" s="4" t="s">
        <v>983</v>
      </c>
      <c r="E385" s="4" t="n">
        <v>4537.36</v>
      </c>
      <c r="G385" s="4" t="n">
        <v>4</v>
      </c>
      <c r="J385" s="11" t="n">
        <f aca="false">IF(C385="one_time",G385,H385)</f>
        <v>4</v>
      </c>
      <c r="K385" s="11" t="n">
        <f aca="false">IF(C385="one_time",G385+1,I385)</f>
        <v>5</v>
      </c>
      <c r="L385" s="11" t="n">
        <f aca="false">K385-J385</f>
        <v>1</v>
      </c>
    </row>
    <row r="386" customFormat="false" ht="15" hidden="false" customHeight="false" outlineLevel="0" collapsed="false">
      <c r="A386" s="4" t="s">
        <v>1368</v>
      </c>
      <c r="B386" s="4" t="s">
        <v>91</v>
      </c>
      <c r="C386" s="4" t="s">
        <v>982</v>
      </c>
      <c r="D386" s="4" t="s">
        <v>983</v>
      </c>
      <c r="E386" s="4" t="n">
        <v>4384.77</v>
      </c>
      <c r="G386" s="4" t="n">
        <v>5</v>
      </c>
      <c r="J386" s="11" t="n">
        <f aca="false">IF(C386="one_time",G386,H386)</f>
        <v>5</v>
      </c>
      <c r="K386" s="11" t="n">
        <f aca="false">IF(C386="one_time",G386+1,I386)</f>
        <v>6</v>
      </c>
      <c r="L386" s="11" t="n">
        <f aca="false">K386-J386</f>
        <v>1</v>
      </c>
    </row>
    <row r="387" customFormat="false" ht="15" hidden="false" customHeight="false" outlineLevel="0" collapsed="false">
      <c r="A387" s="4" t="s">
        <v>1369</v>
      </c>
      <c r="B387" s="4" t="s">
        <v>91</v>
      </c>
      <c r="C387" s="4" t="s">
        <v>982</v>
      </c>
      <c r="D387" s="4" t="s">
        <v>983</v>
      </c>
      <c r="E387" s="4" t="n">
        <v>4636.1</v>
      </c>
      <c r="G387" s="4" t="n">
        <v>6</v>
      </c>
      <c r="J387" s="11" t="n">
        <f aca="false">IF(C387="one_time",G387,H387)</f>
        <v>6</v>
      </c>
      <c r="K387" s="11" t="n">
        <f aca="false">IF(C387="one_time",G387+1,I387)</f>
        <v>7</v>
      </c>
      <c r="L387" s="11" t="n">
        <f aca="false">K387-J387</f>
        <v>1</v>
      </c>
    </row>
    <row r="388" customFormat="false" ht="15" hidden="false" customHeight="false" outlineLevel="0" collapsed="false">
      <c r="A388" s="4" t="s">
        <v>1370</v>
      </c>
      <c r="B388" s="4" t="s">
        <v>91</v>
      </c>
      <c r="C388" s="4" t="s">
        <v>982</v>
      </c>
      <c r="D388" s="4" t="s">
        <v>983</v>
      </c>
      <c r="E388" s="4" t="n">
        <v>4627.12</v>
      </c>
      <c r="G388" s="4" t="n">
        <v>7</v>
      </c>
      <c r="J388" s="11" t="n">
        <f aca="false">IF(C388="one_time",G388,H388)</f>
        <v>7</v>
      </c>
      <c r="K388" s="11" t="n">
        <f aca="false">IF(C388="one_time",G388+1,I388)</f>
        <v>8</v>
      </c>
      <c r="L388" s="11" t="n">
        <f aca="false">K388-J388</f>
        <v>1</v>
      </c>
    </row>
    <row r="389" customFormat="false" ht="15" hidden="false" customHeight="false" outlineLevel="0" collapsed="false">
      <c r="A389" s="4" t="s">
        <v>1371</v>
      </c>
      <c r="B389" s="4" t="s">
        <v>91</v>
      </c>
      <c r="C389" s="4" t="s">
        <v>982</v>
      </c>
      <c r="D389" s="4" t="s">
        <v>983</v>
      </c>
      <c r="E389" s="4" t="n">
        <v>4676.49</v>
      </c>
      <c r="G389" s="4" t="n">
        <v>8</v>
      </c>
      <c r="J389" s="11" t="n">
        <f aca="false">IF(C389="one_time",G389,H389)</f>
        <v>8</v>
      </c>
      <c r="K389" s="11" t="n">
        <f aca="false">IF(C389="one_time",G389+1,I389)</f>
        <v>9</v>
      </c>
      <c r="L389" s="11" t="n">
        <f aca="false">K389-J389</f>
        <v>1</v>
      </c>
    </row>
    <row r="390" customFormat="false" ht="15" hidden="false" customHeight="false" outlineLevel="0" collapsed="false">
      <c r="A390" s="4" t="s">
        <v>1372</v>
      </c>
      <c r="B390" s="4" t="s">
        <v>91</v>
      </c>
      <c r="C390" s="4" t="s">
        <v>982</v>
      </c>
      <c r="D390" s="4" t="s">
        <v>1011</v>
      </c>
      <c r="E390" s="4" t="n">
        <v>18600</v>
      </c>
      <c r="F390" s="4" t="s">
        <v>1012</v>
      </c>
      <c r="G390" s="4" t="n">
        <v>2</v>
      </c>
      <c r="J390" s="11" t="n">
        <f aca="false">IF(C390="one_time",G390,H390)</f>
        <v>2</v>
      </c>
      <c r="K390" s="11" t="n">
        <f aca="false">IF(C390="one_time",G390+1,I390)</f>
        <v>3</v>
      </c>
      <c r="L390" s="11" t="n">
        <f aca="false">K390-J390</f>
        <v>1</v>
      </c>
    </row>
    <row r="391" customFormat="false" ht="15" hidden="false" customHeight="false" outlineLevel="0" collapsed="false">
      <c r="A391" s="4" t="s">
        <v>1373</v>
      </c>
      <c r="B391" s="4" t="s">
        <v>91</v>
      </c>
      <c r="C391" s="4" t="s">
        <v>982</v>
      </c>
      <c r="D391" s="4" t="s">
        <v>1011</v>
      </c>
      <c r="E391" s="4" t="n">
        <v>18600</v>
      </c>
      <c r="F391" s="4" t="s">
        <v>1012</v>
      </c>
      <c r="G391" s="4" t="n">
        <v>2</v>
      </c>
      <c r="J391" s="11" t="n">
        <f aca="false">IF(C391="one_time",G391,H391)</f>
        <v>2</v>
      </c>
      <c r="K391" s="11" t="n">
        <f aca="false">IF(C391="one_time",G391+1,I391)</f>
        <v>3</v>
      </c>
      <c r="L391" s="11" t="n">
        <f aca="false">K391-J391</f>
        <v>1</v>
      </c>
    </row>
    <row r="392" customFormat="false" ht="15" hidden="false" customHeight="false" outlineLevel="0" collapsed="false">
      <c r="A392" s="4" t="s">
        <v>1374</v>
      </c>
      <c r="B392" s="4" t="s">
        <v>91</v>
      </c>
      <c r="C392" s="4" t="s">
        <v>982</v>
      </c>
      <c r="D392" s="4" t="s">
        <v>1011</v>
      </c>
      <c r="E392" s="4" t="n">
        <v>22800</v>
      </c>
      <c r="F392" s="4" t="s">
        <v>1012</v>
      </c>
      <c r="G392" s="4" t="n">
        <v>1</v>
      </c>
      <c r="J392" s="11" t="n">
        <f aca="false">IF(C392="one_time",G392,H392)</f>
        <v>1</v>
      </c>
      <c r="K392" s="11" t="n">
        <f aca="false">IF(C392="one_time",G392+1,I392)</f>
        <v>2</v>
      </c>
      <c r="L392" s="11" t="n">
        <f aca="false">K392-J392</f>
        <v>1</v>
      </c>
    </row>
    <row r="393" customFormat="false" ht="15" hidden="false" customHeight="false" outlineLevel="0" collapsed="false">
      <c r="A393" s="4" t="s">
        <v>1375</v>
      </c>
      <c r="B393" s="4" t="s">
        <v>91</v>
      </c>
      <c r="C393" s="4" t="s">
        <v>982</v>
      </c>
      <c r="D393" s="4" t="s">
        <v>1011</v>
      </c>
      <c r="E393" s="4" t="n">
        <v>30000</v>
      </c>
      <c r="F393" s="4" t="s">
        <v>1012</v>
      </c>
      <c r="G393" s="4" t="n">
        <v>3</v>
      </c>
      <c r="J393" s="11" t="n">
        <f aca="false">IF(C393="one_time",G393,H393)</f>
        <v>3</v>
      </c>
      <c r="K393" s="11" t="n">
        <f aca="false">IF(C393="one_time",G393+1,I393)</f>
        <v>4</v>
      </c>
      <c r="L393" s="11" t="n">
        <f aca="false">K393-J393</f>
        <v>1</v>
      </c>
    </row>
    <row r="394" customFormat="false" ht="15" hidden="false" customHeight="false" outlineLevel="0" collapsed="false">
      <c r="A394" s="4" t="s">
        <v>1376</v>
      </c>
      <c r="B394" s="4" t="s">
        <v>91</v>
      </c>
      <c r="C394" s="4" t="s">
        <v>982</v>
      </c>
      <c r="D394" s="4" t="s">
        <v>1011</v>
      </c>
      <c r="E394" s="4" t="n">
        <v>18000</v>
      </c>
      <c r="F394" s="4" t="s">
        <v>1012</v>
      </c>
      <c r="G394" s="4" t="n">
        <v>1</v>
      </c>
      <c r="J394" s="11" t="n">
        <f aca="false">IF(C394="one_time",G394,H394)</f>
        <v>1</v>
      </c>
      <c r="K394" s="11" t="n">
        <f aca="false">IF(C394="one_time",G394+1,I394)</f>
        <v>2</v>
      </c>
      <c r="L394" s="11" t="n">
        <f aca="false">K394-J394</f>
        <v>1</v>
      </c>
    </row>
    <row r="395" customFormat="false" ht="15" hidden="false" customHeight="false" outlineLevel="0" collapsed="false">
      <c r="A395" s="4" t="s">
        <v>1377</v>
      </c>
      <c r="B395" s="4" t="s">
        <v>91</v>
      </c>
      <c r="C395" s="4" t="s">
        <v>982</v>
      </c>
      <c r="D395" s="4" t="s">
        <v>1011</v>
      </c>
      <c r="E395" s="4" t="n">
        <v>30000</v>
      </c>
      <c r="F395" s="4" t="s">
        <v>1012</v>
      </c>
      <c r="G395" s="4" t="n">
        <v>1</v>
      </c>
      <c r="J395" s="11" t="n">
        <f aca="false">IF(C395="one_time",G395,H395)</f>
        <v>1</v>
      </c>
      <c r="K395" s="11" t="n">
        <f aca="false">IF(C395="one_time",G395+1,I395)</f>
        <v>2</v>
      </c>
      <c r="L395" s="11" t="n">
        <f aca="false">K395-J395</f>
        <v>1</v>
      </c>
    </row>
    <row r="396" customFormat="false" ht="15" hidden="false" customHeight="false" outlineLevel="0" collapsed="false">
      <c r="A396" s="4" t="s">
        <v>1378</v>
      </c>
      <c r="B396" s="4" t="s">
        <v>91</v>
      </c>
      <c r="C396" s="4" t="s">
        <v>982</v>
      </c>
      <c r="D396" s="4" t="s">
        <v>1011</v>
      </c>
      <c r="E396" s="4" t="n">
        <v>30000</v>
      </c>
      <c r="F396" s="4" t="s">
        <v>1012</v>
      </c>
      <c r="G396" s="4" t="n">
        <v>3</v>
      </c>
      <c r="J396" s="11" t="n">
        <f aca="false">IF(C396="one_time",G396,H396)</f>
        <v>3</v>
      </c>
      <c r="K396" s="11" t="n">
        <f aca="false">IF(C396="one_time",G396+1,I396)</f>
        <v>4</v>
      </c>
      <c r="L396" s="11" t="n">
        <f aca="false">K396-J396</f>
        <v>1</v>
      </c>
    </row>
    <row r="397" customFormat="false" ht="15" hidden="false" customHeight="false" outlineLevel="0" collapsed="false">
      <c r="A397" s="4" t="s">
        <v>1379</v>
      </c>
      <c r="B397" s="4" t="s">
        <v>91</v>
      </c>
      <c r="C397" s="4" t="s">
        <v>982</v>
      </c>
      <c r="D397" s="4" t="s">
        <v>1011</v>
      </c>
      <c r="E397" s="4" t="n">
        <v>12000</v>
      </c>
      <c r="F397" s="4" t="s">
        <v>1012</v>
      </c>
      <c r="G397" s="4" t="n">
        <v>0</v>
      </c>
      <c r="J397" s="11" t="n">
        <f aca="false">IF(C397="one_time",G397,H397)</f>
        <v>0</v>
      </c>
      <c r="K397" s="11" t="n">
        <f aca="false">IF(C397="one_time",G397+1,I397)</f>
        <v>1</v>
      </c>
      <c r="L397" s="11" t="n">
        <f aca="false">K397-J397</f>
        <v>1</v>
      </c>
    </row>
    <row r="398" customFormat="false" ht="15" hidden="false" customHeight="false" outlineLevel="0" collapsed="false">
      <c r="A398" s="4" t="s">
        <v>1380</v>
      </c>
      <c r="B398" s="4" t="s">
        <v>91</v>
      </c>
      <c r="C398" s="4" t="s">
        <v>982</v>
      </c>
      <c r="D398" s="4" t="s">
        <v>1011</v>
      </c>
      <c r="E398" s="4" t="n">
        <v>84000</v>
      </c>
      <c r="F398" s="4" t="s">
        <v>1012</v>
      </c>
      <c r="G398" s="4" t="n">
        <v>1</v>
      </c>
      <c r="J398" s="11" t="n">
        <f aca="false">IF(C398="one_time",G398,H398)</f>
        <v>1</v>
      </c>
      <c r="K398" s="11" t="n">
        <f aca="false">IF(C398="one_time",G398+1,I398)</f>
        <v>2</v>
      </c>
      <c r="L398" s="11" t="n">
        <f aca="false">K398-J398</f>
        <v>1</v>
      </c>
    </row>
    <row r="399" customFormat="false" ht="15" hidden="false" customHeight="false" outlineLevel="0" collapsed="false">
      <c r="A399" s="4" t="s">
        <v>1381</v>
      </c>
      <c r="B399" s="4" t="s">
        <v>91</v>
      </c>
      <c r="C399" s="4" t="s">
        <v>982</v>
      </c>
      <c r="D399" s="4" t="s">
        <v>1011</v>
      </c>
      <c r="E399" s="4" t="n">
        <v>126000</v>
      </c>
      <c r="F399" s="4" t="s">
        <v>1012</v>
      </c>
      <c r="G399" s="4" t="n">
        <v>2</v>
      </c>
      <c r="J399" s="11" t="n">
        <f aca="false">IF(C399="one_time",G399,H399)</f>
        <v>2</v>
      </c>
      <c r="K399" s="11" t="n">
        <f aca="false">IF(C399="one_time",G399+1,I399)</f>
        <v>3</v>
      </c>
      <c r="L399" s="11" t="n">
        <f aca="false">K399-J399</f>
        <v>1</v>
      </c>
    </row>
    <row r="400" customFormat="false" ht="15" hidden="false" customHeight="false" outlineLevel="0" collapsed="false">
      <c r="A400" s="4" t="s">
        <v>1382</v>
      </c>
      <c r="B400" s="4" t="s">
        <v>91</v>
      </c>
      <c r="C400" s="4" t="s">
        <v>982</v>
      </c>
      <c r="D400" s="4" t="s">
        <v>1011</v>
      </c>
      <c r="E400" s="4" t="n">
        <v>46650</v>
      </c>
      <c r="F400" s="4" t="s">
        <v>1012</v>
      </c>
      <c r="G400" s="4" t="n">
        <v>1</v>
      </c>
      <c r="J400" s="11" t="n">
        <f aca="false">IF(C400="one_time",G400,H400)</f>
        <v>1</v>
      </c>
      <c r="K400" s="11" t="n">
        <f aca="false">IF(C400="one_time",G400+1,I400)</f>
        <v>2</v>
      </c>
      <c r="L400" s="11" t="n">
        <f aca="false">K400-J400</f>
        <v>1</v>
      </c>
    </row>
    <row r="401" customFormat="false" ht="15" hidden="false" customHeight="false" outlineLevel="0" collapsed="false">
      <c r="A401" s="4" t="s">
        <v>1383</v>
      </c>
      <c r="B401" s="4" t="s">
        <v>91</v>
      </c>
      <c r="C401" s="4" t="s">
        <v>982</v>
      </c>
      <c r="D401" s="4" t="s">
        <v>1011</v>
      </c>
      <c r="E401" s="4" t="n">
        <v>20000</v>
      </c>
      <c r="F401" s="4" t="s">
        <v>1012</v>
      </c>
      <c r="G401" s="4" t="n">
        <v>3</v>
      </c>
      <c r="J401" s="11" t="n">
        <f aca="false">IF(C401="one_time",G401,H401)</f>
        <v>3</v>
      </c>
      <c r="K401" s="11" t="n">
        <f aca="false">IF(C401="one_time",G401+1,I401)</f>
        <v>4</v>
      </c>
      <c r="L401" s="11" t="n">
        <f aca="false">K401-J401</f>
        <v>1</v>
      </c>
    </row>
    <row r="402" customFormat="false" ht="15" hidden="false" customHeight="false" outlineLevel="0" collapsed="false">
      <c r="A402" s="4" t="s">
        <v>1384</v>
      </c>
      <c r="B402" s="4" t="s">
        <v>91</v>
      </c>
      <c r="C402" s="4" t="s">
        <v>982</v>
      </c>
      <c r="D402" s="4" t="s">
        <v>1011</v>
      </c>
      <c r="E402" s="4" t="n">
        <v>23350</v>
      </c>
      <c r="F402" s="4" t="s">
        <v>1012</v>
      </c>
      <c r="G402" s="4" t="n">
        <v>2</v>
      </c>
      <c r="J402" s="11" t="n">
        <f aca="false">IF(C402="one_time",G402,H402)</f>
        <v>2</v>
      </c>
      <c r="K402" s="11" t="n">
        <f aca="false">IF(C402="one_time",G402+1,I402)</f>
        <v>3</v>
      </c>
      <c r="L402" s="11" t="n">
        <f aca="false">K402-J402</f>
        <v>1</v>
      </c>
    </row>
    <row r="403" customFormat="false" ht="15" hidden="false" customHeight="false" outlineLevel="0" collapsed="false">
      <c r="A403" s="4" t="s">
        <v>1385</v>
      </c>
      <c r="B403" s="4" t="s">
        <v>91</v>
      </c>
      <c r="C403" s="4" t="s">
        <v>982</v>
      </c>
      <c r="D403" s="4" t="s">
        <v>1011</v>
      </c>
      <c r="E403" s="4" t="n">
        <v>42000</v>
      </c>
      <c r="F403" s="4" t="s">
        <v>1012</v>
      </c>
      <c r="G403" s="4" t="n">
        <v>1</v>
      </c>
      <c r="J403" s="11" t="n">
        <f aca="false">IF(C403="one_time",G403,H403)</f>
        <v>1</v>
      </c>
      <c r="K403" s="11" t="n">
        <f aca="false">IF(C403="one_time",G403+1,I403)</f>
        <v>2</v>
      </c>
      <c r="L403" s="11" t="n">
        <f aca="false">K403-J403</f>
        <v>1</v>
      </c>
    </row>
    <row r="404" customFormat="false" ht="15" hidden="false" customHeight="false" outlineLevel="0" collapsed="false">
      <c r="A404" s="4" t="s">
        <v>1386</v>
      </c>
      <c r="B404" s="4" t="s">
        <v>91</v>
      </c>
      <c r="C404" s="4" t="s">
        <v>982</v>
      </c>
      <c r="D404" s="4" t="s">
        <v>1011</v>
      </c>
      <c r="E404" s="4" t="n">
        <v>60000</v>
      </c>
      <c r="F404" s="4" t="s">
        <v>1012</v>
      </c>
      <c r="G404" s="4" t="n">
        <v>2</v>
      </c>
      <c r="J404" s="11" t="n">
        <f aca="false">IF(C404="one_time",G404,H404)</f>
        <v>2</v>
      </c>
      <c r="K404" s="11" t="n">
        <f aca="false">IF(C404="one_time",G404+1,I404)</f>
        <v>3</v>
      </c>
      <c r="L404" s="11" t="n">
        <f aca="false">K404-J404</f>
        <v>1</v>
      </c>
    </row>
    <row r="405" customFormat="false" ht="15" hidden="false" customHeight="false" outlineLevel="0" collapsed="false">
      <c r="A405" s="4" t="s">
        <v>1387</v>
      </c>
      <c r="B405" s="4" t="s">
        <v>91</v>
      </c>
      <c r="C405" s="4" t="s">
        <v>982</v>
      </c>
      <c r="D405" s="4" t="s">
        <v>1011</v>
      </c>
      <c r="E405" s="4" t="n">
        <v>27000</v>
      </c>
      <c r="F405" s="4" t="s">
        <v>1012</v>
      </c>
      <c r="G405" s="4" t="n">
        <v>1</v>
      </c>
      <c r="J405" s="11" t="n">
        <f aca="false">IF(C405="one_time",G405,H405)</f>
        <v>1</v>
      </c>
      <c r="K405" s="11" t="n">
        <f aca="false">IF(C405="one_time",G405+1,I405)</f>
        <v>2</v>
      </c>
      <c r="L405" s="11" t="n">
        <f aca="false">K405-J405</f>
        <v>1</v>
      </c>
    </row>
    <row r="406" customFormat="false" ht="15" hidden="false" customHeight="false" outlineLevel="0" collapsed="false">
      <c r="A406" s="4" t="s">
        <v>1388</v>
      </c>
      <c r="B406" s="4" t="s">
        <v>91</v>
      </c>
      <c r="C406" s="4" t="s">
        <v>982</v>
      </c>
      <c r="D406" s="4" t="s">
        <v>1011</v>
      </c>
      <c r="E406" s="4" t="n">
        <v>21000</v>
      </c>
      <c r="F406" s="4" t="s">
        <v>1012</v>
      </c>
      <c r="G406" s="4" t="n">
        <v>1</v>
      </c>
      <c r="J406" s="11" t="n">
        <f aca="false">IF(C406="one_time",G406,H406)</f>
        <v>1</v>
      </c>
      <c r="K406" s="11" t="n">
        <f aca="false">IF(C406="one_time",G406+1,I406)</f>
        <v>2</v>
      </c>
      <c r="L406" s="11" t="n">
        <f aca="false">K406-J406</f>
        <v>1</v>
      </c>
    </row>
    <row r="407" customFormat="false" ht="15" hidden="false" customHeight="false" outlineLevel="0" collapsed="false">
      <c r="A407" s="4" t="s">
        <v>1389</v>
      </c>
      <c r="B407" s="4" t="s">
        <v>91</v>
      </c>
      <c r="C407" s="4" t="s">
        <v>1034</v>
      </c>
      <c r="D407" s="4" t="s">
        <v>1011</v>
      </c>
      <c r="E407" s="4" t="n">
        <v>2400</v>
      </c>
      <c r="F407" s="4" t="s">
        <v>1012</v>
      </c>
      <c r="H407" s="4" t="n">
        <v>3</v>
      </c>
      <c r="I407" s="4" t="n">
        <v>9</v>
      </c>
      <c r="J407" s="11" t="n">
        <f aca="false">IF(C407="one_time",G407,H407)</f>
        <v>3</v>
      </c>
      <c r="K407" s="11" t="n">
        <f aca="false">IF(C407="one_time",G407+1,I407)</f>
        <v>9</v>
      </c>
      <c r="L407" s="11" t="n">
        <f aca="false">K407-J407</f>
        <v>6</v>
      </c>
    </row>
    <row r="408" customFormat="false" ht="15" hidden="false" customHeight="false" outlineLevel="0" collapsed="false">
      <c r="A408" s="4" t="s">
        <v>1390</v>
      </c>
      <c r="B408" s="4" t="s">
        <v>91</v>
      </c>
      <c r="C408" s="4" t="s">
        <v>1034</v>
      </c>
      <c r="D408" s="4" t="s">
        <v>1011</v>
      </c>
      <c r="E408" s="4" t="n">
        <v>2400</v>
      </c>
      <c r="F408" s="4" t="s">
        <v>1012</v>
      </c>
      <c r="H408" s="4" t="n">
        <v>9</v>
      </c>
      <c r="I408" s="4" t="n">
        <v>15</v>
      </c>
      <c r="J408" s="11" t="n">
        <f aca="false">IF(C408="one_time",G408,H408)</f>
        <v>9</v>
      </c>
      <c r="K408" s="11" t="n">
        <f aca="false">IF(C408="one_time",G408+1,I408)</f>
        <v>15</v>
      </c>
      <c r="L408" s="11" t="n">
        <f aca="false">K408-J408</f>
        <v>6</v>
      </c>
    </row>
    <row r="409" customFormat="false" ht="15" hidden="false" customHeight="false" outlineLevel="0" collapsed="false">
      <c r="A409" s="4" t="s">
        <v>1391</v>
      </c>
      <c r="B409" s="4" t="s">
        <v>91</v>
      </c>
      <c r="C409" s="4" t="s">
        <v>1034</v>
      </c>
      <c r="D409" s="4" t="s">
        <v>1011</v>
      </c>
      <c r="E409" s="4" t="n">
        <v>4200</v>
      </c>
      <c r="F409" s="4" t="s">
        <v>1012</v>
      </c>
      <c r="H409" s="4" t="n">
        <v>3</v>
      </c>
      <c r="I409" s="4" t="n">
        <v>9</v>
      </c>
      <c r="J409" s="11" t="n">
        <f aca="false">IF(C409="one_time",G409,H409)</f>
        <v>3</v>
      </c>
      <c r="K409" s="11" t="n">
        <f aca="false">IF(C409="one_time",G409+1,I409)</f>
        <v>9</v>
      </c>
      <c r="L409" s="11" t="n">
        <f aca="false">K409-J409</f>
        <v>6</v>
      </c>
    </row>
    <row r="410" customFormat="false" ht="15" hidden="false" customHeight="false" outlineLevel="0" collapsed="false">
      <c r="A410" s="4" t="s">
        <v>1392</v>
      </c>
      <c r="B410" s="4" t="s">
        <v>91</v>
      </c>
      <c r="C410" s="4" t="s">
        <v>1034</v>
      </c>
      <c r="D410" s="4" t="s">
        <v>1011</v>
      </c>
      <c r="E410" s="4" t="n">
        <v>4350</v>
      </c>
      <c r="F410" s="4" t="s">
        <v>1012</v>
      </c>
      <c r="H410" s="4" t="n">
        <v>9</v>
      </c>
      <c r="I410" s="4" t="n">
        <v>15</v>
      </c>
      <c r="J410" s="11" t="n">
        <f aca="false">IF(C410="one_time",G410,H410)</f>
        <v>9</v>
      </c>
      <c r="K410" s="11" t="n">
        <f aca="false">IF(C410="one_time",G410+1,I410)</f>
        <v>15</v>
      </c>
      <c r="L410" s="11" t="n">
        <f aca="false">K410-J410</f>
        <v>6</v>
      </c>
    </row>
    <row r="411" customFormat="false" ht="15" hidden="false" customHeight="false" outlineLevel="0" collapsed="false">
      <c r="A411" s="4" t="s">
        <v>1393</v>
      </c>
      <c r="B411" s="4" t="s">
        <v>91</v>
      </c>
      <c r="C411" s="4" t="s">
        <v>1034</v>
      </c>
      <c r="D411" s="4" t="s">
        <v>1011</v>
      </c>
      <c r="E411" s="4" t="n">
        <v>5400</v>
      </c>
      <c r="F411" s="4" t="s">
        <v>1012</v>
      </c>
      <c r="H411" s="4" t="n">
        <v>3</v>
      </c>
      <c r="I411" s="4" t="n">
        <v>9</v>
      </c>
      <c r="J411" s="11" t="n">
        <f aca="false">IF(C411="one_time",G411,H411)</f>
        <v>3</v>
      </c>
      <c r="K411" s="11" t="n">
        <f aca="false">IF(C411="one_time",G411+1,I411)</f>
        <v>9</v>
      </c>
      <c r="L411" s="11" t="n">
        <f aca="false">K411-J411</f>
        <v>6</v>
      </c>
    </row>
    <row r="412" customFormat="false" ht="15" hidden="false" customHeight="false" outlineLevel="0" collapsed="false">
      <c r="A412" s="4" t="s">
        <v>1394</v>
      </c>
      <c r="B412" s="4" t="s">
        <v>91</v>
      </c>
      <c r="C412" s="4" t="s">
        <v>1034</v>
      </c>
      <c r="D412" s="4" t="s">
        <v>1011</v>
      </c>
      <c r="E412" s="4" t="n">
        <v>5550</v>
      </c>
      <c r="F412" s="4" t="s">
        <v>1012</v>
      </c>
      <c r="H412" s="4" t="n">
        <v>9</v>
      </c>
      <c r="I412" s="4" t="n">
        <v>15</v>
      </c>
      <c r="J412" s="11" t="n">
        <f aca="false">IF(C412="one_time",G412,H412)</f>
        <v>9</v>
      </c>
      <c r="K412" s="11" t="n">
        <f aca="false">IF(C412="one_time",G412+1,I412)</f>
        <v>15</v>
      </c>
      <c r="L412" s="11" t="n">
        <f aca="false">K412-J412</f>
        <v>6</v>
      </c>
    </row>
    <row r="413" customFormat="false" ht="15" hidden="false" customHeight="false" outlineLevel="0" collapsed="false">
      <c r="A413" s="4" t="s">
        <v>1395</v>
      </c>
      <c r="B413" s="4" t="s">
        <v>92</v>
      </c>
      <c r="C413" s="4" t="s">
        <v>982</v>
      </c>
      <c r="D413" s="4" t="s">
        <v>983</v>
      </c>
      <c r="E413" s="4" t="n">
        <v>35269.51</v>
      </c>
      <c r="G413" s="4" t="n">
        <v>3</v>
      </c>
      <c r="J413" s="11" t="n">
        <f aca="false">IF(C413="one_time",G413,H413)</f>
        <v>3</v>
      </c>
      <c r="K413" s="11" t="n">
        <f aca="false">IF(C413="one_time",G413+1,I413)</f>
        <v>4</v>
      </c>
      <c r="L413" s="11" t="n">
        <f aca="false">K413-J413</f>
        <v>1</v>
      </c>
    </row>
    <row r="414" customFormat="false" ht="15" hidden="false" customHeight="false" outlineLevel="0" collapsed="false">
      <c r="A414" s="4" t="s">
        <v>1396</v>
      </c>
      <c r="B414" s="4" t="s">
        <v>92</v>
      </c>
      <c r="C414" s="4" t="s">
        <v>982</v>
      </c>
      <c r="D414" s="4" t="s">
        <v>983</v>
      </c>
      <c r="E414" s="4" t="n">
        <v>103996.07</v>
      </c>
      <c r="G414" s="4" t="n">
        <v>4</v>
      </c>
      <c r="J414" s="11" t="n">
        <f aca="false">IF(C414="one_time",G414,H414)</f>
        <v>4</v>
      </c>
      <c r="K414" s="11" t="n">
        <f aca="false">IF(C414="one_time",G414+1,I414)</f>
        <v>5</v>
      </c>
      <c r="L414" s="11" t="n">
        <f aca="false">K414-J414</f>
        <v>1</v>
      </c>
    </row>
    <row r="415" customFormat="false" ht="15" hidden="false" customHeight="false" outlineLevel="0" collapsed="false">
      <c r="A415" s="4" t="s">
        <v>1397</v>
      </c>
      <c r="B415" s="4" t="s">
        <v>92</v>
      </c>
      <c r="C415" s="4" t="s">
        <v>982</v>
      </c>
      <c r="D415" s="4" t="s">
        <v>983</v>
      </c>
      <c r="E415" s="4" t="n">
        <v>36137.76</v>
      </c>
      <c r="G415" s="4" t="n">
        <v>5</v>
      </c>
      <c r="J415" s="11" t="n">
        <f aca="false">IF(C415="one_time",G415,H415)</f>
        <v>5</v>
      </c>
      <c r="K415" s="11" t="n">
        <f aca="false">IF(C415="one_time",G415+1,I415)</f>
        <v>6</v>
      </c>
      <c r="L415" s="11" t="n">
        <f aca="false">K415-J415</f>
        <v>1</v>
      </c>
    </row>
    <row r="416" customFormat="false" ht="15" hidden="false" customHeight="false" outlineLevel="0" collapsed="false">
      <c r="A416" s="4" t="s">
        <v>1398</v>
      </c>
      <c r="B416" s="4" t="s">
        <v>92</v>
      </c>
      <c r="C416" s="4" t="s">
        <v>982</v>
      </c>
      <c r="D416" s="4" t="s">
        <v>983</v>
      </c>
      <c r="E416" s="4" t="n">
        <v>197377.14</v>
      </c>
      <c r="G416" s="4" t="n">
        <v>6</v>
      </c>
      <c r="J416" s="11" t="n">
        <f aca="false">IF(C416="one_time",G416,H416)</f>
        <v>6</v>
      </c>
      <c r="K416" s="11" t="n">
        <f aca="false">IF(C416="one_time",G416+1,I416)</f>
        <v>7</v>
      </c>
      <c r="L416" s="11" t="n">
        <f aca="false">K416-J416</f>
        <v>1</v>
      </c>
    </row>
    <row r="417" customFormat="false" ht="15" hidden="false" customHeight="false" outlineLevel="0" collapsed="false">
      <c r="A417" s="4" t="s">
        <v>1399</v>
      </c>
      <c r="B417" s="4" t="s">
        <v>92</v>
      </c>
      <c r="C417" s="4" t="s">
        <v>982</v>
      </c>
      <c r="D417" s="4" t="s">
        <v>983</v>
      </c>
      <c r="E417" s="4" t="n">
        <v>81537.43</v>
      </c>
      <c r="G417" s="4" t="n">
        <v>8</v>
      </c>
      <c r="J417" s="11" t="n">
        <f aca="false">IF(C417="one_time",G417,H417)</f>
        <v>8</v>
      </c>
      <c r="K417" s="11" t="n">
        <f aca="false">IF(C417="one_time",G417+1,I417)</f>
        <v>9</v>
      </c>
      <c r="L417" s="11" t="n">
        <f aca="false">K417-J417</f>
        <v>1</v>
      </c>
    </row>
    <row r="418" customFormat="false" ht="15" hidden="false" customHeight="false" outlineLevel="0" collapsed="false">
      <c r="A418" s="4" t="s">
        <v>1400</v>
      </c>
      <c r="B418" s="4" t="s">
        <v>92</v>
      </c>
      <c r="C418" s="4" t="s">
        <v>982</v>
      </c>
      <c r="D418" s="4" t="s">
        <v>983</v>
      </c>
      <c r="E418" s="4" t="n">
        <v>11924.97</v>
      </c>
      <c r="G418" s="4" t="n">
        <v>3</v>
      </c>
      <c r="J418" s="11" t="n">
        <f aca="false">IF(C418="one_time",G418,H418)</f>
        <v>3</v>
      </c>
      <c r="K418" s="11" t="n">
        <f aca="false">IF(C418="one_time",G418+1,I418)</f>
        <v>4</v>
      </c>
      <c r="L418" s="11" t="n">
        <f aca="false">K418-J418</f>
        <v>1</v>
      </c>
    </row>
    <row r="419" customFormat="false" ht="15" hidden="false" customHeight="false" outlineLevel="0" collapsed="false">
      <c r="A419" s="4" t="s">
        <v>1401</v>
      </c>
      <c r="B419" s="4" t="s">
        <v>92</v>
      </c>
      <c r="C419" s="4" t="s">
        <v>982</v>
      </c>
      <c r="D419" s="4" t="s">
        <v>983</v>
      </c>
      <c r="E419" s="4" t="n">
        <v>31392.52</v>
      </c>
      <c r="G419" s="4" t="n">
        <v>4</v>
      </c>
      <c r="J419" s="11" t="n">
        <f aca="false">IF(C419="one_time",G419,H419)</f>
        <v>4</v>
      </c>
      <c r="K419" s="11" t="n">
        <f aca="false">IF(C419="one_time",G419+1,I419)</f>
        <v>5</v>
      </c>
      <c r="L419" s="11" t="n">
        <f aca="false">K419-J419</f>
        <v>1</v>
      </c>
    </row>
    <row r="420" customFormat="false" ht="15" hidden="false" customHeight="false" outlineLevel="0" collapsed="false">
      <c r="A420" s="4" t="s">
        <v>1402</v>
      </c>
      <c r="B420" s="4" t="s">
        <v>92</v>
      </c>
      <c r="C420" s="4" t="s">
        <v>982</v>
      </c>
      <c r="D420" s="4" t="s">
        <v>983</v>
      </c>
      <c r="E420" s="4" t="n">
        <v>11973.93</v>
      </c>
      <c r="G420" s="4" t="n">
        <v>5</v>
      </c>
      <c r="J420" s="11" t="n">
        <f aca="false">IF(C420="one_time",G420,H420)</f>
        <v>5</v>
      </c>
      <c r="K420" s="11" t="n">
        <f aca="false">IF(C420="one_time",G420+1,I420)</f>
        <v>6</v>
      </c>
      <c r="L420" s="11" t="n">
        <f aca="false">K420-J420</f>
        <v>1</v>
      </c>
    </row>
    <row r="421" customFormat="false" ht="15" hidden="false" customHeight="false" outlineLevel="0" collapsed="false">
      <c r="A421" s="4" t="s">
        <v>1403</v>
      </c>
      <c r="B421" s="4" t="s">
        <v>92</v>
      </c>
      <c r="C421" s="4" t="s">
        <v>982</v>
      </c>
      <c r="D421" s="4" t="s">
        <v>983</v>
      </c>
      <c r="E421" s="4" t="n">
        <v>66613.92</v>
      </c>
      <c r="G421" s="4" t="n">
        <v>6</v>
      </c>
      <c r="J421" s="11" t="n">
        <f aca="false">IF(C421="one_time",G421,H421)</f>
        <v>6</v>
      </c>
      <c r="K421" s="11" t="n">
        <f aca="false">IF(C421="one_time",G421+1,I421)</f>
        <v>7</v>
      </c>
      <c r="L421" s="11" t="n">
        <f aca="false">K421-J421</f>
        <v>1</v>
      </c>
    </row>
    <row r="422" customFormat="false" ht="15" hidden="false" customHeight="false" outlineLevel="0" collapsed="false">
      <c r="A422" s="4" t="s">
        <v>1404</v>
      </c>
      <c r="B422" s="4" t="s">
        <v>92</v>
      </c>
      <c r="C422" s="4" t="s">
        <v>982</v>
      </c>
      <c r="D422" s="4" t="s">
        <v>983</v>
      </c>
      <c r="E422" s="4" t="n">
        <v>29621.89</v>
      </c>
      <c r="G422" s="4" t="n">
        <v>8</v>
      </c>
      <c r="J422" s="11" t="n">
        <f aca="false">IF(C422="one_time",G422,H422)</f>
        <v>8</v>
      </c>
      <c r="K422" s="11" t="n">
        <f aca="false">IF(C422="one_time",G422+1,I422)</f>
        <v>9</v>
      </c>
      <c r="L422" s="11" t="n">
        <f aca="false">K422-J422</f>
        <v>1</v>
      </c>
    </row>
    <row r="423" customFormat="false" ht="15" hidden="false" customHeight="false" outlineLevel="0" collapsed="false">
      <c r="A423" s="4" t="s">
        <v>1405</v>
      </c>
      <c r="B423" s="4" t="s">
        <v>92</v>
      </c>
      <c r="C423" s="4" t="s">
        <v>982</v>
      </c>
      <c r="D423" s="4" t="s">
        <v>983</v>
      </c>
      <c r="E423" s="4" t="n">
        <v>31479.03</v>
      </c>
      <c r="G423" s="4" t="n">
        <v>3</v>
      </c>
      <c r="J423" s="11" t="n">
        <f aca="false">IF(C423="one_time",G423,H423)</f>
        <v>3</v>
      </c>
      <c r="K423" s="11" t="n">
        <f aca="false">IF(C423="one_time",G423+1,I423)</f>
        <v>4</v>
      </c>
      <c r="L423" s="11" t="n">
        <f aca="false">K423-J423</f>
        <v>1</v>
      </c>
    </row>
    <row r="424" customFormat="false" ht="15" hidden="false" customHeight="false" outlineLevel="0" collapsed="false">
      <c r="A424" s="4" t="s">
        <v>1406</v>
      </c>
      <c r="B424" s="4" t="s">
        <v>92</v>
      </c>
      <c r="C424" s="4" t="s">
        <v>982</v>
      </c>
      <c r="D424" s="4" t="s">
        <v>983</v>
      </c>
      <c r="E424" s="4" t="n">
        <v>92619.07</v>
      </c>
      <c r="G424" s="4" t="n">
        <v>4</v>
      </c>
      <c r="J424" s="11" t="n">
        <f aca="false">IF(C424="one_time",G424,H424)</f>
        <v>4</v>
      </c>
      <c r="K424" s="11" t="n">
        <f aca="false">IF(C424="one_time",G424+1,I424)</f>
        <v>5</v>
      </c>
      <c r="L424" s="11" t="n">
        <f aca="false">K424-J424</f>
        <v>1</v>
      </c>
    </row>
    <row r="425" customFormat="false" ht="15" hidden="false" customHeight="false" outlineLevel="0" collapsed="false">
      <c r="A425" s="4" t="s">
        <v>1407</v>
      </c>
      <c r="B425" s="4" t="s">
        <v>92</v>
      </c>
      <c r="C425" s="4" t="s">
        <v>982</v>
      </c>
      <c r="D425" s="4" t="s">
        <v>983</v>
      </c>
      <c r="E425" s="4" t="n">
        <v>32218.44</v>
      </c>
      <c r="G425" s="4" t="n">
        <v>5</v>
      </c>
      <c r="J425" s="11" t="n">
        <f aca="false">IF(C425="one_time",G425,H425)</f>
        <v>5</v>
      </c>
      <c r="K425" s="11" t="n">
        <f aca="false">IF(C425="one_time",G425+1,I425)</f>
        <v>6</v>
      </c>
      <c r="L425" s="11" t="n">
        <f aca="false">K425-J425</f>
        <v>1</v>
      </c>
    </row>
    <row r="426" customFormat="false" ht="15" hidden="false" customHeight="false" outlineLevel="0" collapsed="false">
      <c r="A426" s="4" t="s">
        <v>1408</v>
      </c>
      <c r="B426" s="4" t="s">
        <v>92</v>
      </c>
      <c r="C426" s="4" t="s">
        <v>982</v>
      </c>
      <c r="D426" s="4" t="s">
        <v>983</v>
      </c>
      <c r="E426" s="4" t="n">
        <v>181471.04</v>
      </c>
      <c r="G426" s="4" t="n">
        <v>6</v>
      </c>
      <c r="J426" s="11" t="n">
        <f aca="false">IF(C426="one_time",G426,H426)</f>
        <v>6</v>
      </c>
      <c r="K426" s="11" t="n">
        <f aca="false">IF(C426="one_time",G426+1,I426)</f>
        <v>7</v>
      </c>
      <c r="L426" s="11" t="n">
        <f aca="false">K426-J426</f>
        <v>1</v>
      </c>
    </row>
    <row r="427" customFormat="false" ht="15" hidden="false" customHeight="false" outlineLevel="0" collapsed="false">
      <c r="A427" s="4" t="s">
        <v>1409</v>
      </c>
      <c r="B427" s="4" t="s">
        <v>92</v>
      </c>
      <c r="C427" s="4" t="s">
        <v>982</v>
      </c>
      <c r="D427" s="4" t="s">
        <v>983</v>
      </c>
      <c r="E427" s="4" t="n">
        <v>73451.08</v>
      </c>
      <c r="G427" s="4" t="n">
        <v>8</v>
      </c>
      <c r="J427" s="11" t="n">
        <f aca="false">IF(C427="one_time",G427,H427)</f>
        <v>8</v>
      </c>
      <c r="K427" s="11" t="n">
        <f aca="false">IF(C427="one_time",G427+1,I427)</f>
        <v>9</v>
      </c>
      <c r="L427" s="11" t="n">
        <f aca="false">K427-J427</f>
        <v>1</v>
      </c>
    </row>
    <row r="428" customFormat="false" ht="15" hidden="false" customHeight="false" outlineLevel="0" collapsed="false">
      <c r="A428" s="4" t="s">
        <v>1410</v>
      </c>
      <c r="B428" s="4" t="s">
        <v>92</v>
      </c>
      <c r="C428" s="4" t="s">
        <v>982</v>
      </c>
      <c r="D428" s="4" t="s">
        <v>1011</v>
      </c>
      <c r="E428" s="4" t="n">
        <v>43900</v>
      </c>
      <c r="F428" s="4" t="s">
        <v>1012</v>
      </c>
      <c r="G428" s="4" t="n">
        <v>5</v>
      </c>
      <c r="J428" s="11" t="n">
        <f aca="false">IF(C428="one_time",G428,H428)</f>
        <v>5</v>
      </c>
      <c r="K428" s="11" t="n">
        <f aca="false">IF(C428="one_time",G428+1,I428)</f>
        <v>6</v>
      </c>
      <c r="L428" s="11" t="n">
        <f aca="false">K428-J428</f>
        <v>1</v>
      </c>
    </row>
    <row r="429" customFormat="false" ht="15" hidden="false" customHeight="false" outlineLevel="0" collapsed="false">
      <c r="A429" s="4" t="s">
        <v>1411</v>
      </c>
      <c r="B429" s="4" t="s">
        <v>92</v>
      </c>
      <c r="C429" s="4" t="s">
        <v>982</v>
      </c>
      <c r="D429" s="4" t="s">
        <v>1011</v>
      </c>
      <c r="E429" s="4" t="n">
        <v>38050</v>
      </c>
      <c r="F429" s="4" t="s">
        <v>1012</v>
      </c>
      <c r="G429" s="4" t="n">
        <v>8</v>
      </c>
      <c r="J429" s="11" t="n">
        <f aca="false">IF(C429="one_time",G429,H429)</f>
        <v>8</v>
      </c>
      <c r="K429" s="11" t="n">
        <f aca="false">IF(C429="one_time",G429+1,I429)</f>
        <v>9</v>
      </c>
      <c r="L429" s="11" t="n">
        <f aca="false">K429-J429</f>
        <v>1</v>
      </c>
    </row>
    <row r="430" customFormat="false" ht="15" hidden="false" customHeight="false" outlineLevel="0" collapsed="false">
      <c r="A430" s="4" t="s">
        <v>1412</v>
      </c>
      <c r="B430" s="4" t="s">
        <v>92</v>
      </c>
      <c r="C430" s="4" t="s">
        <v>982</v>
      </c>
      <c r="D430" s="4" t="s">
        <v>1011</v>
      </c>
      <c r="E430" s="4" t="n">
        <v>38050</v>
      </c>
      <c r="F430" s="4" t="s">
        <v>1012</v>
      </c>
      <c r="G430" s="4" t="n">
        <v>9</v>
      </c>
      <c r="J430" s="11" t="n">
        <f aca="false">IF(C430="one_time",G430,H430)</f>
        <v>9</v>
      </c>
      <c r="K430" s="11" t="n">
        <f aca="false">IF(C430="one_time",G430+1,I430)</f>
        <v>10</v>
      </c>
      <c r="L430" s="11" t="n">
        <f aca="false">K430-J430</f>
        <v>1</v>
      </c>
    </row>
    <row r="431" customFormat="false" ht="15" hidden="false" customHeight="false" outlineLevel="0" collapsed="false">
      <c r="A431" s="4" t="s">
        <v>1413</v>
      </c>
      <c r="B431" s="4" t="s">
        <v>92</v>
      </c>
      <c r="C431" s="4" t="s">
        <v>982</v>
      </c>
      <c r="D431" s="4" t="s">
        <v>1011</v>
      </c>
      <c r="E431" s="4" t="n">
        <v>15000</v>
      </c>
      <c r="F431" s="4" t="s">
        <v>1012</v>
      </c>
      <c r="G431" s="4" t="n">
        <v>4</v>
      </c>
      <c r="J431" s="11" t="n">
        <f aca="false">IF(C431="one_time",G431,H431)</f>
        <v>4</v>
      </c>
      <c r="K431" s="11" t="n">
        <f aca="false">IF(C431="one_time",G431+1,I431)</f>
        <v>5</v>
      </c>
      <c r="L431" s="11" t="n">
        <f aca="false">K431-J431</f>
        <v>1</v>
      </c>
    </row>
    <row r="432" customFormat="false" ht="15" hidden="false" customHeight="false" outlineLevel="0" collapsed="false">
      <c r="A432" s="4" t="s">
        <v>1414</v>
      </c>
      <c r="B432" s="4" t="s">
        <v>92</v>
      </c>
      <c r="C432" s="4" t="s">
        <v>982</v>
      </c>
      <c r="D432" s="4" t="s">
        <v>1011</v>
      </c>
      <c r="E432" s="4" t="n">
        <v>45000</v>
      </c>
      <c r="F432" s="4" t="s">
        <v>1012</v>
      </c>
      <c r="G432" s="4" t="n">
        <v>8</v>
      </c>
      <c r="J432" s="11" t="n">
        <f aca="false">IF(C432="one_time",G432,H432)</f>
        <v>8</v>
      </c>
      <c r="K432" s="11" t="n">
        <f aca="false">IF(C432="one_time",G432+1,I432)</f>
        <v>9</v>
      </c>
      <c r="L432" s="11" t="n">
        <f aca="false">K432-J432</f>
        <v>1</v>
      </c>
    </row>
    <row r="433" customFormat="false" ht="15" hidden="false" customHeight="false" outlineLevel="0" collapsed="false">
      <c r="A433" s="4" t="s">
        <v>1415</v>
      </c>
      <c r="B433" s="4" t="s">
        <v>92</v>
      </c>
      <c r="C433" s="4" t="s">
        <v>982</v>
      </c>
      <c r="D433" s="4" t="s">
        <v>1011</v>
      </c>
      <c r="E433" s="4" t="n">
        <v>24000</v>
      </c>
      <c r="F433" s="4" t="s">
        <v>1012</v>
      </c>
      <c r="G433" s="4" t="n">
        <v>9</v>
      </c>
      <c r="J433" s="11" t="n">
        <f aca="false">IF(C433="one_time",G433,H433)</f>
        <v>9</v>
      </c>
      <c r="K433" s="11" t="n">
        <f aca="false">IF(C433="one_time",G433+1,I433)</f>
        <v>10</v>
      </c>
      <c r="L433" s="11" t="n">
        <f aca="false">K433-J433</f>
        <v>1</v>
      </c>
    </row>
    <row r="434" customFormat="false" ht="15" hidden="false" customHeight="false" outlineLevel="0" collapsed="false">
      <c r="A434" s="4" t="s">
        <v>1416</v>
      </c>
      <c r="B434" s="4" t="s">
        <v>92</v>
      </c>
      <c r="C434" s="4" t="s">
        <v>982</v>
      </c>
      <c r="D434" s="4" t="s">
        <v>1011</v>
      </c>
      <c r="E434" s="4" t="n">
        <v>72000</v>
      </c>
      <c r="F434" s="4" t="s">
        <v>1012</v>
      </c>
      <c r="G434" s="4" t="n">
        <v>6</v>
      </c>
      <c r="J434" s="11" t="n">
        <f aca="false">IF(C434="one_time",G434,H434)</f>
        <v>6</v>
      </c>
      <c r="K434" s="11" t="n">
        <f aca="false">IF(C434="one_time",G434+1,I434)</f>
        <v>7</v>
      </c>
      <c r="L434" s="11" t="n">
        <f aca="false">K434-J434</f>
        <v>1</v>
      </c>
    </row>
    <row r="435" customFormat="false" ht="15" hidden="false" customHeight="false" outlineLevel="0" collapsed="false">
      <c r="A435" s="4" t="s">
        <v>1417</v>
      </c>
      <c r="B435" s="4" t="s">
        <v>92</v>
      </c>
      <c r="C435" s="4" t="s">
        <v>982</v>
      </c>
      <c r="D435" s="4" t="s">
        <v>1011</v>
      </c>
      <c r="E435" s="4" t="n">
        <v>24000</v>
      </c>
      <c r="F435" s="4" t="s">
        <v>1012</v>
      </c>
      <c r="G435" s="4" t="n">
        <v>9</v>
      </c>
      <c r="J435" s="11" t="n">
        <f aca="false">IF(C435="one_time",G435,H435)</f>
        <v>9</v>
      </c>
      <c r="K435" s="11" t="n">
        <f aca="false">IF(C435="one_time",G435+1,I435)</f>
        <v>10</v>
      </c>
      <c r="L435" s="11" t="n">
        <f aca="false">K435-J435</f>
        <v>1</v>
      </c>
    </row>
    <row r="436" customFormat="false" ht="15" hidden="false" customHeight="false" outlineLevel="0" collapsed="false">
      <c r="A436" s="4" t="s">
        <v>1418</v>
      </c>
      <c r="B436" s="4" t="s">
        <v>92</v>
      </c>
      <c r="C436" s="4" t="s">
        <v>982</v>
      </c>
      <c r="D436" s="4" t="s">
        <v>1011</v>
      </c>
      <c r="E436" s="4" t="n">
        <v>24000</v>
      </c>
      <c r="F436" s="4" t="s">
        <v>1012</v>
      </c>
      <c r="G436" s="4" t="n">
        <v>5</v>
      </c>
      <c r="J436" s="11" t="n">
        <f aca="false">IF(C436="one_time",G436,H436)</f>
        <v>5</v>
      </c>
      <c r="K436" s="11" t="n">
        <f aca="false">IF(C436="one_time",G436+1,I436)</f>
        <v>6</v>
      </c>
      <c r="L436" s="11" t="n">
        <f aca="false">K436-J436</f>
        <v>1</v>
      </c>
    </row>
    <row r="437" customFormat="false" ht="15" hidden="false" customHeight="false" outlineLevel="0" collapsed="false">
      <c r="A437" s="4" t="s">
        <v>1419</v>
      </c>
      <c r="B437" s="4" t="s">
        <v>92</v>
      </c>
      <c r="C437" s="4" t="s">
        <v>982</v>
      </c>
      <c r="D437" s="4" t="s">
        <v>1011</v>
      </c>
      <c r="E437" s="4" t="n">
        <v>24000</v>
      </c>
      <c r="F437" s="4" t="s">
        <v>1012</v>
      </c>
      <c r="G437" s="4" t="n">
        <v>0</v>
      </c>
      <c r="J437" s="11" t="n">
        <f aca="false">IF(C437="one_time",G437,H437)</f>
        <v>0</v>
      </c>
      <c r="K437" s="11" t="n">
        <f aca="false">IF(C437="one_time",G437+1,I437)</f>
        <v>1</v>
      </c>
      <c r="L437" s="11" t="n">
        <f aca="false">K437-J437</f>
        <v>1</v>
      </c>
    </row>
    <row r="438" customFormat="false" ht="15" hidden="false" customHeight="false" outlineLevel="0" collapsed="false">
      <c r="A438" s="4" t="s">
        <v>1420</v>
      </c>
      <c r="B438" s="4" t="s">
        <v>92</v>
      </c>
      <c r="C438" s="4" t="s">
        <v>982</v>
      </c>
      <c r="D438" s="4" t="s">
        <v>1011</v>
      </c>
      <c r="E438" s="4" t="n">
        <v>109550</v>
      </c>
      <c r="F438" s="4" t="s">
        <v>1012</v>
      </c>
      <c r="G438" s="4" t="n">
        <v>6</v>
      </c>
      <c r="J438" s="11" t="n">
        <f aca="false">IF(C438="one_time",G438,H438)</f>
        <v>6</v>
      </c>
      <c r="K438" s="11" t="n">
        <f aca="false">IF(C438="one_time",G438+1,I438)</f>
        <v>7</v>
      </c>
      <c r="L438" s="11" t="n">
        <f aca="false">K438-J438</f>
        <v>1</v>
      </c>
    </row>
    <row r="439" customFormat="false" ht="15" hidden="false" customHeight="false" outlineLevel="0" collapsed="false">
      <c r="A439" s="4" t="s">
        <v>1421</v>
      </c>
      <c r="B439" s="4" t="s">
        <v>92</v>
      </c>
      <c r="C439" s="4" t="s">
        <v>982</v>
      </c>
      <c r="D439" s="4" t="s">
        <v>1011</v>
      </c>
      <c r="E439" s="4" t="n">
        <v>127850</v>
      </c>
      <c r="F439" s="4" t="s">
        <v>1012</v>
      </c>
      <c r="G439" s="4" t="n">
        <v>4</v>
      </c>
      <c r="J439" s="11" t="n">
        <f aca="false">IF(C439="one_time",G439,H439)</f>
        <v>4</v>
      </c>
      <c r="K439" s="11" t="n">
        <f aca="false">IF(C439="one_time",G439+1,I439)</f>
        <v>5</v>
      </c>
      <c r="L439" s="11" t="n">
        <f aca="false">K439-J439</f>
        <v>1</v>
      </c>
    </row>
    <row r="440" customFormat="false" ht="15" hidden="false" customHeight="false" outlineLevel="0" collapsed="false">
      <c r="A440" s="4" t="s">
        <v>1422</v>
      </c>
      <c r="B440" s="4" t="s">
        <v>92</v>
      </c>
      <c r="C440" s="4" t="s">
        <v>982</v>
      </c>
      <c r="D440" s="4" t="s">
        <v>1011</v>
      </c>
      <c r="E440" s="4" t="n">
        <v>182600</v>
      </c>
      <c r="F440" s="4" t="s">
        <v>1012</v>
      </c>
      <c r="G440" s="4" t="n">
        <v>9</v>
      </c>
      <c r="J440" s="11" t="n">
        <f aca="false">IF(C440="one_time",G440,H440)</f>
        <v>9</v>
      </c>
      <c r="K440" s="11" t="n">
        <f aca="false">IF(C440="one_time",G440+1,I440)</f>
        <v>10</v>
      </c>
      <c r="L440" s="11" t="n">
        <f aca="false">K440-J440</f>
        <v>1</v>
      </c>
    </row>
    <row r="441" customFormat="false" ht="15" hidden="false" customHeight="false" outlineLevel="0" collapsed="false">
      <c r="A441" s="4" t="s">
        <v>1423</v>
      </c>
      <c r="B441" s="4" t="s">
        <v>92</v>
      </c>
      <c r="C441" s="4" t="s">
        <v>982</v>
      </c>
      <c r="D441" s="4" t="s">
        <v>1011</v>
      </c>
      <c r="E441" s="4" t="n">
        <v>68100</v>
      </c>
      <c r="F441" s="4" t="s">
        <v>1012</v>
      </c>
      <c r="G441" s="4" t="n">
        <v>3</v>
      </c>
      <c r="J441" s="11" t="n">
        <f aca="false">IF(C441="one_time",G441,H441)</f>
        <v>3</v>
      </c>
      <c r="K441" s="11" t="n">
        <f aca="false">IF(C441="one_time",G441+1,I441)</f>
        <v>4</v>
      </c>
      <c r="L441" s="11" t="n">
        <f aca="false">K441-J441</f>
        <v>1</v>
      </c>
    </row>
    <row r="442" customFormat="false" ht="15" hidden="false" customHeight="false" outlineLevel="0" collapsed="false">
      <c r="A442" s="4" t="s">
        <v>1424</v>
      </c>
      <c r="B442" s="4" t="s">
        <v>92</v>
      </c>
      <c r="C442" s="4" t="s">
        <v>982</v>
      </c>
      <c r="D442" s="4" t="s">
        <v>1011</v>
      </c>
      <c r="E442" s="4" t="n">
        <v>38900</v>
      </c>
      <c r="F442" s="4" t="s">
        <v>1012</v>
      </c>
      <c r="G442" s="4" t="n">
        <v>8</v>
      </c>
      <c r="J442" s="11" t="n">
        <f aca="false">IF(C442="one_time",G442,H442)</f>
        <v>8</v>
      </c>
      <c r="K442" s="11" t="n">
        <f aca="false">IF(C442="one_time",G442+1,I442)</f>
        <v>9</v>
      </c>
      <c r="L442" s="11" t="n">
        <f aca="false">K442-J442</f>
        <v>1</v>
      </c>
    </row>
    <row r="443" customFormat="false" ht="15" hidden="false" customHeight="false" outlineLevel="0" collapsed="false">
      <c r="A443" s="4" t="s">
        <v>1425</v>
      </c>
      <c r="B443" s="4" t="s">
        <v>92</v>
      </c>
      <c r="C443" s="4" t="s">
        <v>982</v>
      </c>
      <c r="D443" s="4" t="s">
        <v>1011</v>
      </c>
      <c r="E443" s="4" t="n">
        <v>73000</v>
      </c>
      <c r="F443" s="4" t="s">
        <v>1012</v>
      </c>
      <c r="G443" s="4" t="n">
        <v>6</v>
      </c>
      <c r="J443" s="11" t="n">
        <f aca="false">IF(C443="one_time",G443,H443)</f>
        <v>6</v>
      </c>
      <c r="K443" s="11" t="n">
        <f aca="false">IF(C443="one_time",G443+1,I443)</f>
        <v>7</v>
      </c>
      <c r="L443" s="11" t="n">
        <f aca="false">K443-J443</f>
        <v>1</v>
      </c>
    </row>
    <row r="444" customFormat="false" ht="15" hidden="false" customHeight="false" outlineLevel="0" collapsed="false">
      <c r="A444" s="4" t="s">
        <v>1426</v>
      </c>
      <c r="B444" s="4" t="s">
        <v>92</v>
      </c>
      <c r="C444" s="4" t="s">
        <v>982</v>
      </c>
      <c r="D444" s="4" t="s">
        <v>1011</v>
      </c>
      <c r="E444" s="4" t="n">
        <v>84000</v>
      </c>
      <c r="F444" s="4" t="s">
        <v>1012</v>
      </c>
      <c r="G444" s="4" t="n">
        <v>9</v>
      </c>
      <c r="J444" s="11" t="n">
        <f aca="false">IF(C444="one_time",G444,H444)</f>
        <v>9</v>
      </c>
      <c r="K444" s="11" t="n">
        <f aca="false">IF(C444="one_time",G444+1,I444)</f>
        <v>10</v>
      </c>
      <c r="L444" s="11" t="n">
        <f aca="false">K444-J444</f>
        <v>1</v>
      </c>
    </row>
    <row r="445" customFormat="false" ht="15" hidden="false" customHeight="false" outlineLevel="0" collapsed="false">
      <c r="A445" s="4" t="s">
        <v>1427</v>
      </c>
      <c r="B445" s="4" t="s">
        <v>92</v>
      </c>
      <c r="C445" s="4" t="s">
        <v>982</v>
      </c>
      <c r="D445" s="4" t="s">
        <v>1011</v>
      </c>
      <c r="E445" s="4" t="n">
        <v>46150</v>
      </c>
      <c r="F445" s="4" t="s">
        <v>1012</v>
      </c>
      <c r="G445" s="4" t="n">
        <v>4</v>
      </c>
      <c r="J445" s="11" t="n">
        <f aca="false">IF(C445="one_time",G445,H445)</f>
        <v>4</v>
      </c>
      <c r="K445" s="11" t="n">
        <f aca="false">IF(C445="one_time",G445+1,I445)</f>
        <v>5</v>
      </c>
      <c r="L445" s="11" t="n">
        <f aca="false">K445-J445</f>
        <v>1</v>
      </c>
    </row>
    <row r="446" customFormat="false" ht="15" hidden="false" customHeight="false" outlineLevel="0" collapsed="false">
      <c r="A446" s="4" t="s">
        <v>1428</v>
      </c>
      <c r="B446" s="4" t="s">
        <v>92</v>
      </c>
      <c r="C446" s="4" t="s">
        <v>982</v>
      </c>
      <c r="D446" s="4" t="s">
        <v>1011</v>
      </c>
      <c r="E446" s="4" t="n">
        <v>36900</v>
      </c>
      <c r="F446" s="4" t="s">
        <v>1012</v>
      </c>
      <c r="G446" s="4" t="n">
        <v>6</v>
      </c>
      <c r="J446" s="11" t="n">
        <f aca="false">IF(C446="one_time",G446,H446)</f>
        <v>6</v>
      </c>
      <c r="K446" s="11" t="n">
        <f aca="false">IF(C446="one_time",G446+1,I446)</f>
        <v>7</v>
      </c>
      <c r="L446" s="11" t="n">
        <f aca="false">K446-J446</f>
        <v>1</v>
      </c>
    </row>
    <row r="447" customFormat="false" ht="15" hidden="false" customHeight="false" outlineLevel="0" collapsed="false">
      <c r="A447" s="4" t="s">
        <v>1429</v>
      </c>
      <c r="B447" s="4" t="s">
        <v>92</v>
      </c>
      <c r="C447" s="4" t="s">
        <v>982</v>
      </c>
      <c r="D447" s="4" t="s">
        <v>1011</v>
      </c>
      <c r="E447" s="4" t="n">
        <v>36950</v>
      </c>
      <c r="F447" s="4" t="s">
        <v>1012</v>
      </c>
      <c r="G447" s="4" t="n">
        <v>8</v>
      </c>
      <c r="J447" s="11" t="n">
        <f aca="false">IF(C447="one_time",G447,H447)</f>
        <v>8</v>
      </c>
      <c r="K447" s="11" t="n">
        <f aca="false">IF(C447="one_time",G447+1,I447)</f>
        <v>9</v>
      </c>
      <c r="L447" s="11" t="n">
        <f aca="false">K447-J447</f>
        <v>1</v>
      </c>
    </row>
    <row r="448" customFormat="false" ht="15" hidden="false" customHeight="false" outlineLevel="0" collapsed="false">
      <c r="A448" s="4" t="s">
        <v>1430</v>
      </c>
      <c r="B448" s="4" t="s">
        <v>92</v>
      </c>
      <c r="C448" s="4" t="s">
        <v>982</v>
      </c>
      <c r="D448" s="4" t="s">
        <v>1011</v>
      </c>
      <c r="E448" s="4" t="n">
        <v>56450</v>
      </c>
      <c r="F448" s="4" t="s">
        <v>1012</v>
      </c>
      <c r="G448" s="4" t="n">
        <v>6</v>
      </c>
      <c r="J448" s="11" t="n">
        <f aca="false">IF(C448="one_time",G448,H448)</f>
        <v>6</v>
      </c>
      <c r="K448" s="11" t="n">
        <f aca="false">IF(C448="one_time",G448+1,I448)</f>
        <v>7</v>
      </c>
      <c r="L448" s="11" t="n">
        <f aca="false">K448-J448</f>
        <v>1</v>
      </c>
    </row>
    <row r="449" customFormat="false" ht="15" hidden="false" customHeight="false" outlineLevel="0" collapsed="false">
      <c r="A449" s="4" t="s">
        <v>1431</v>
      </c>
      <c r="B449" s="4" t="s">
        <v>92</v>
      </c>
      <c r="C449" s="4" t="s">
        <v>982</v>
      </c>
      <c r="D449" s="4" t="s">
        <v>1011</v>
      </c>
      <c r="E449" s="4" t="n">
        <v>39550</v>
      </c>
      <c r="F449" s="4" t="s">
        <v>1012</v>
      </c>
      <c r="G449" s="4" t="n">
        <v>6</v>
      </c>
      <c r="J449" s="11" t="n">
        <f aca="false">IF(C449="one_time",G449,H449)</f>
        <v>6</v>
      </c>
      <c r="K449" s="11" t="n">
        <f aca="false">IF(C449="one_time",G449+1,I449)</f>
        <v>7</v>
      </c>
      <c r="L449" s="11" t="n">
        <f aca="false">K449-J449</f>
        <v>1</v>
      </c>
    </row>
    <row r="450" customFormat="false" ht="15" hidden="false" customHeight="false" outlineLevel="0" collapsed="false">
      <c r="A450" s="4" t="s">
        <v>1432</v>
      </c>
      <c r="B450" s="4" t="s">
        <v>92</v>
      </c>
      <c r="C450" s="4" t="s">
        <v>1034</v>
      </c>
      <c r="D450" s="4" t="s">
        <v>1011</v>
      </c>
      <c r="E450" s="4" t="n">
        <v>4800</v>
      </c>
      <c r="F450" s="4" t="s">
        <v>1012</v>
      </c>
      <c r="H450" s="4" t="n">
        <v>9</v>
      </c>
      <c r="I450" s="4" t="n">
        <v>15</v>
      </c>
      <c r="J450" s="11" t="n">
        <f aca="false">IF(C450="one_time",G450,H450)</f>
        <v>9</v>
      </c>
      <c r="K450" s="11" t="n">
        <f aca="false">IF(C450="one_time",G450+1,I450)</f>
        <v>15</v>
      </c>
      <c r="L450" s="11" t="n">
        <f aca="false">K450-J450</f>
        <v>6</v>
      </c>
    </row>
    <row r="451" customFormat="false" ht="15" hidden="false" customHeight="false" outlineLevel="0" collapsed="false">
      <c r="A451" s="4" t="s">
        <v>1433</v>
      </c>
      <c r="B451" s="4" t="s">
        <v>92</v>
      </c>
      <c r="C451" s="4" t="s">
        <v>1034</v>
      </c>
      <c r="D451" s="4" t="s">
        <v>1011</v>
      </c>
      <c r="E451" s="4" t="n">
        <v>5150</v>
      </c>
      <c r="F451" s="4" t="s">
        <v>1012</v>
      </c>
      <c r="H451" s="4" t="n">
        <v>15</v>
      </c>
      <c r="I451" s="4" t="n">
        <v>22</v>
      </c>
      <c r="J451" s="11" t="n">
        <f aca="false">IF(C451="one_time",G451,H451)</f>
        <v>15</v>
      </c>
      <c r="K451" s="11" t="n">
        <f aca="false">IF(C451="one_time",G451+1,I451)</f>
        <v>22</v>
      </c>
      <c r="L451" s="11" t="n">
        <f aca="false">K451-J451</f>
        <v>7</v>
      </c>
    </row>
    <row r="452" customFormat="false" ht="15" hidden="false" customHeight="false" outlineLevel="0" collapsed="false">
      <c r="A452" s="4" t="s">
        <v>1434</v>
      </c>
      <c r="B452" s="4" t="s">
        <v>92</v>
      </c>
      <c r="C452" s="4" t="s">
        <v>1034</v>
      </c>
      <c r="D452" s="4" t="s">
        <v>1011</v>
      </c>
      <c r="E452" s="4" t="n">
        <v>8400</v>
      </c>
      <c r="F452" s="4" t="s">
        <v>1012</v>
      </c>
      <c r="H452" s="4" t="n">
        <v>9</v>
      </c>
      <c r="I452" s="4" t="n">
        <v>15</v>
      </c>
      <c r="J452" s="11" t="n">
        <f aca="false">IF(C452="one_time",G452,H452)</f>
        <v>9</v>
      </c>
      <c r="K452" s="11" t="n">
        <f aca="false">IF(C452="one_time",G452+1,I452)</f>
        <v>15</v>
      </c>
      <c r="L452" s="11" t="n">
        <f aca="false">K452-J452</f>
        <v>6</v>
      </c>
    </row>
    <row r="453" customFormat="false" ht="15" hidden="false" customHeight="false" outlineLevel="0" collapsed="false">
      <c r="A453" s="4" t="s">
        <v>1435</v>
      </c>
      <c r="B453" s="4" t="s">
        <v>92</v>
      </c>
      <c r="C453" s="4" t="s">
        <v>1034</v>
      </c>
      <c r="D453" s="4" t="s">
        <v>1011</v>
      </c>
      <c r="E453" s="4" t="n">
        <v>9000</v>
      </c>
      <c r="F453" s="4" t="s">
        <v>1012</v>
      </c>
      <c r="H453" s="4" t="n">
        <v>15</v>
      </c>
      <c r="I453" s="4" t="n">
        <v>22</v>
      </c>
      <c r="J453" s="11" t="n">
        <f aca="false">IF(C453="one_time",G453,H453)</f>
        <v>15</v>
      </c>
      <c r="K453" s="11" t="n">
        <f aca="false">IF(C453="one_time",G453+1,I453)</f>
        <v>22</v>
      </c>
      <c r="L453" s="11" t="n">
        <f aca="false">K453-J453</f>
        <v>7</v>
      </c>
    </row>
    <row r="454" customFormat="false" ht="15" hidden="false" customHeight="false" outlineLevel="0" collapsed="false">
      <c r="A454" s="4" t="s">
        <v>1436</v>
      </c>
      <c r="B454" s="4" t="s">
        <v>92</v>
      </c>
      <c r="C454" s="4" t="s">
        <v>1034</v>
      </c>
      <c r="D454" s="4" t="s">
        <v>1011</v>
      </c>
      <c r="E454" s="4" t="n">
        <v>10800</v>
      </c>
      <c r="F454" s="4" t="s">
        <v>1012</v>
      </c>
      <c r="H454" s="4" t="n">
        <v>9</v>
      </c>
      <c r="I454" s="4" t="n">
        <v>15</v>
      </c>
      <c r="J454" s="11" t="n">
        <f aca="false">IF(C454="one_time",G454,H454)</f>
        <v>9</v>
      </c>
      <c r="K454" s="11" t="n">
        <f aca="false">IF(C454="one_time",G454+1,I454)</f>
        <v>15</v>
      </c>
      <c r="L454" s="11" t="n">
        <f aca="false">K454-J454</f>
        <v>6</v>
      </c>
    </row>
    <row r="455" customFormat="false" ht="15" hidden="false" customHeight="false" outlineLevel="0" collapsed="false">
      <c r="A455" s="4" t="s">
        <v>1437</v>
      </c>
      <c r="B455" s="4" t="s">
        <v>92</v>
      </c>
      <c r="C455" s="4" t="s">
        <v>1034</v>
      </c>
      <c r="D455" s="4" t="s">
        <v>1011</v>
      </c>
      <c r="E455" s="4" t="n">
        <v>11550</v>
      </c>
      <c r="F455" s="4" t="s">
        <v>1012</v>
      </c>
      <c r="H455" s="4" t="n">
        <v>15</v>
      </c>
      <c r="I455" s="4" t="n">
        <v>22</v>
      </c>
      <c r="J455" s="11" t="n">
        <f aca="false">IF(C455="one_time",G455,H455)</f>
        <v>15</v>
      </c>
      <c r="K455" s="11" t="n">
        <f aca="false">IF(C455="one_time",G455+1,I455)</f>
        <v>22</v>
      </c>
      <c r="L455" s="11" t="n">
        <f aca="false">K455-J455</f>
        <v>7</v>
      </c>
    </row>
    <row r="456" customFormat="false" ht="15" hidden="false" customHeight="false" outlineLevel="0" collapsed="false">
      <c r="A456" s="4" t="s">
        <v>1438</v>
      </c>
      <c r="B456" s="4" t="s">
        <v>93</v>
      </c>
      <c r="C456" s="4" t="s">
        <v>982</v>
      </c>
      <c r="D456" s="4" t="s">
        <v>1011</v>
      </c>
      <c r="E456" s="4" t="n">
        <v>14700</v>
      </c>
      <c r="F456" s="4" t="s">
        <v>1012</v>
      </c>
      <c r="G456" s="4" t="n">
        <v>12</v>
      </c>
      <c r="J456" s="11" t="n">
        <f aca="false">IF(C456="one_time",G456,H456)</f>
        <v>12</v>
      </c>
      <c r="K456" s="11" t="n">
        <f aca="false">IF(C456="one_time",G456+1,I456)</f>
        <v>13</v>
      </c>
      <c r="L456" s="11" t="n">
        <f aca="false">K456-J456</f>
        <v>1</v>
      </c>
    </row>
    <row r="457" customFormat="false" ht="15" hidden="false" customHeight="false" outlineLevel="0" collapsed="false">
      <c r="A457" s="4" t="s">
        <v>1439</v>
      </c>
      <c r="B457" s="4" t="s">
        <v>93</v>
      </c>
      <c r="C457" s="4" t="s">
        <v>982</v>
      </c>
      <c r="D457" s="4" t="s">
        <v>1011</v>
      </c>
      <c r="E457" s="4" t="n">
        <v>7900</v>
      </c>
      <c r="F457" s="4" t="s">
        <v>1012</v>
      </c>
      <c r="G457" s="4" t="n">
        <v>10</v>
      </c>
      <c r="J457" s="11" t="n">
        <f aca="false">IF(C457="one_time",G457,H457)</f>
        <v>10</v>
      </c>
      <c r="K457" s="11" t="n">
        <f aca="false">IF(C457="one_time",G457+1,I457)</f>
        <v>11</v>
      </c>
      <c r="L457" s="11" t="n">
        <f aca="false">K457-J457</f>
        <v>1</v>
      </c>
    </row>
    <row r="458" customFormat="false" ht="15" hidden="false" customHeight="false" outlineLevel="0" collapsed="false">
      <c r="A458" s="4" t="s">
        <v>1440</v>
      </c>
      <c r="B458" s="4" t="s">
        <v>93</v>
      </c>
      <c r="C458" s="4" t="s">
        <v>982</v>
      </c>
      <c r="D458" s="4" t="s">
        <v>1011</v>
      </c>
      <c r="E458" s="4" t="n">
        <v>12400</v>
      </c>
      <c r="F458" s="4" t="s">
        <v>1012</v>
      </c>
      <c r="G458" s="4" t="n">
        <v>10</v>
      </c>
      <c r="J458" s="11" t="n">
        <f aca="false">IF(C458="one_time",G458,H458)</f>
        <v>10</v>
      </c>
      <c r="K458" s="11" t="n">
        <f aca="false">IF(C458="one_time",G458+1,I458)</f>
        <v>11</v>
      </c>
      <c r="L458" s="11" t="n">
        <f aca="false">K458-J458</f>
        <v>1</v>
      </c>
    </row>
    <row r="459" customFormat="false" ht="15" hidden="false" customHeight="false" outlineLevel="0" collapsed="false">
      <c r="A459" s="4" t="s">
        <v>1441</v>
      </c>
      <c r="B459" s="4" t="s">
        <v>93</v>
      </c>
      <c r="C459" s="4" t="s">
        <v>982</v>
      </c>
      <c r="D459" s="4" t="s">
        <v>1011</v>
      </c>
      <c r="E459" s="4" t="n">
        <v>7500</v>
      </c>
      <c r="F459" s="4" t="s">
        <v>1012</v>
      </c>
      <c r="G459" s="4" t="n">
        <v>9</v>
      </c>
      <c r="J459" s="11" t="n">
        <f aca="false">IF(C459="one_time",G459,H459)</f>
        <v>9</v>
      </c>
      <c r="K459" s="11" t="n">
        <f aca="false">IF(C459="one_time",G459+1,I459)</f>
        <v>10</v>
      </c>
      <c r="L459" s="11" t="n">
        <f aca="false">K459-J459</f>
        <v>1</v>
      </c>
    </row>
    <row r="460" customFormat="false" ht="15" hidden="false" customHeight="false" outlineLevel="0" collapsed="false">
      <c r="A460" s="4" t="s">
        <v>1442</v>
      </c>
      <c r="B460" s="4" t="s">
        <v>93</v>
      </c>
      <c r="C460" s="4" t="s">
        <v>982</v>
      </c>
      <c r="D460" s="4" t="s">
        <v>1011</v>
      </c>
      <c r="E460" s="4" t="n">
        <v>5650</v>
      </c>
      <c r="F460" s="4" t="s">
        <v>1012</v>
      </c>
      <c r="G460" s="4" t="n">
        <v>12</v>
      </c>
      <c r="J460" s="11" t="n">
        <f aca="false">IF(C460="one_time",G460,H460)</f>
        <v>12</v>
      </c>
      <c r="K460" s="11" t="n">
        <f aca="false">IF(C460="one_time",G460+1,I460)</f>
        <v>13</v>
      </c>
      <c r="L460" s="11" t="n">
        <f aca="false">K460-J460</f>
        <v>1</v>
      </c>
    </row>
    <row r="461" customFormat="false" ht="15" hidden="false" customHeight="false" outlineLevel="0" collapsed="false">
      <c r="A461" s="4" t="s">
        <v>1443</v>
      </c>
      <c r="B461" s="4" t="s">
        <v>93</v>
      </c>
      <c r="C461" s="4" t="s">
        <v>982</v>
      </c>
      <c r="D461" s="4" t="s">
        <v>1011</v>
      </c>
      <c r="E461" s="4" t="n">
        <v>4350</v>
      </c>
      <c r="F461" s="4" t="s">
        <v>1012</v>
      </c>
      <c r="G461" s="4" t="n">
        <v>10</v>
      </c>
      <c r="J461" s="11" t="n">
        <f aca="false">IF(C461="one_time",G461,H461)</f>
        <v>10</v>
      </c>
      <c r="K461" s="11" t="n">
        <f aca="false">IF(C461="one_time",G461+1,I461)</f>
        <v>11</v>
      </c>
      <c r="L461" s="11" t="n">
        <f aca="false">K461-J461</f>
        <v>1</v>
      </c>
    </row>
    <row r="462" customFormat="false" ht="15" hidden="false" customHeight="false" outlineLevel="0" collapsed="false">
      <c r="A462" s="4" t="s">
        <v>1444</v>
      </c>
      <c r="B462" s="4" t="s">
        <v>93</v>
      </c>
      <c r="C462" s="4" t="s">
        <v>982</v>
      </c>
      <c r="D462" s="4" t="s">
        <v>1011</v>
      </c>
      <c r="E462" s="4" t="n">
        <v>3500</v>
      </c>
      <c r="F462" s="4" t="s">
        <v>1012</v>
      </c>
      <c r="G462" s="4" t="n">
        <v>12</v>
      </c>
      <c r="J462" s="11" t="n">
        <f aca="false">IF(C462="one_time",G462,H462)</f>
        <v>12</v>
      </c>
      <c r="K462" s="11" t="n">
        <f aca="false">IF(C462="one_time",G462+1,I462)</f>
        <v>13</v>
      </c>
      <c r="L462" s="11" t="n">
        <f aca="false">K462-J462</f>
        <v>1</v>
      </c>
    </row>
    <row r="463" customFormat="false" ht="15" hidden="false" customHeight="false" outlineLevel="0" collapsed="false">
      <c r="A463" s="4" t="s">
        <v>1445</v>
      </c>
      <c r="B463" s="4" t="s">
        <v>93</v>
      </c>
      <c r="C463" s="4" t="s">
        <v>982</v>
      </c>
      <c r="D463" s="4" t="s">
        <v>1011</v>
      </c>
      <c r="E463" s="4" t="n">
        <v>35000</v>
      </c>
      <c r="F463" s="4" t="s">
        <v>1012</v>
      </c>
      <c r="G463" s="4" t="n">
        <v>9</v>
      </c>
      <c r="J463" s="11" t="n">
        <f aca="false">IF(C463="one_time",G463,H463)</f>
        <v>9</v>
      </c>
      <c r="K463" s="11" t="n">
        <f aca="false">IF(C463="one_time",G463+1,I463)</f>
        <v>10</v>
      </c>
      <c r="L463" s="11" t="n">
        <f aca="false">K463-J463</f>
        <v>1</v>
      </c>
    </row>
    <row r="464" customFormat="false" ht="15" hidden="false" customHeight="false" outlineLevel="0" collapsed="false">
      <c r="A464" s="4" t="s">
        <v>1446</v>
      </c>
      <c r="B464" s="4" t="s">
        <v>93</v>
      </c>
      <c r="C464" s="4" t="s">
        <v>982</v>
      </c>
      <c r="D464" s="4" t="s">
        <v>1011</v>
      </c>
      <c r="E464" s="4" t="n">
        <v>7000</v>
      </c>
      <c r="F464" s="4" t="s">
        <v>1012</v>
      </c>
      <c r="G464" s="4" t="n">
        <v>0</v>
      </c>
      <c r="J464" s="11" t="n">
        <f aca="false">IF(C464="one_time",G464,H464)</f>
        <v>0</v>
      </c>
      <c r="K464" s="11" t="n">
        <f aca="false">IF(C464="one_time",G464+1,I464)</f>
        <v>1</v>
      </c>
      <c r="L464" s="11" t="n">
        <f aca="false">K464-J464</f>
        <v>1</v>
      </c>
    </row>
    <row r="465" customFormat="false" ht="15" hidden="false" customHeight="false" outlineLevel="0" collapsed="false">
      <c r="A465" s="4" t="s">
        <v>1447</v>
      </c>
      <c r="B465" s="4" t="s">
        <v>93</v>
      </c>
      <c r="C465" s="4" t="s">
        <v>982</v>
      </c>
      <c r="D465" s="4" t="s">
        <v>1011</v>
      </c>
      <c r="E465" s="4" t="n">
        <v>51050</v>
      </c>
      <c r="F465" s="4" t="s">
        <v>1012</v>
      </c>
      <c r="G465" s="4" t="n">
        <v>11</v>
      </c>
      <c r="J465" s="11" t="n">
        <f aca="false">IF(C465="one_time",G465,H465)</f>
        <v>11</v>
      </c>
      <c r="K465" s="11" t="n">
        <f aca="false">IF(C465="one_time",G465+1,I465)</f>
        <v>12</v>
      </c>
      <c r="L465" s="11" t="n">
        <f aca="false">K465-J465</f>
        <v>1</v>
      </c>
    </row>
    <row r="466" customFormat="false" ht="15" hidden="false" customHeight="false" outlineLevel="0" collapsed="false">
      <c r="A466" s="4" t="s">
        <v>1448</v>
      </c>
      <c r="B466" s="4" t="s">
        <v>93</v>
      </c>
      <c r="C466" s="4" t="s">
        <v>982</v>
      </c>
      <c r="D466" s="4" t="s">
        <v>1011</v>
      </c>
      <c r="E466" s="4" t="n">
        <v>71450</v>
      </c>
      <c r="F466" s="4" t="s">
        <v>1012</v>
      </c>
      <c r="G466" s="4" t="n">
        <v>12</v>
      </c>
      <c r="J466" s="11" t="n">
        <f aca="false">IF(C466="one_time",G466,H466)</f>
        <v>12</v>
      </c>
      <c r="K466" s="11" t="n">
        <f aca="false">IF(C466="one_time",G466+1,I466)</f>
        <v>13</v>
      </c>
      <c r="L466" s="11" t="n">
        <f aca="false">K466-J466</f>
        <v>1</v>
      </c>
    </row>
    <row r="467" customFormat="false" ht="15" hidden="false" customHeight="false" outlineLevel="0" collapsed="false">
      <c r="A467" s="4" t="s">
        <v>1449</v>
      </c>
      <c r="B467" s="4" t="s">
        <v>93</v>
      </c>
      <c r="C467" s="4" t="s">
        <v>982</v>
      </c>
      <c r="D467" s="4" t="s">
        <v>1011</v>
      </c>
      <c r="E467" s="4" t="n">
        <v>15750</v>
      </c>
      <c r="F467" s="4" t="s">
        <v>1012</v>
      </c>
      <c r="G467" s="4" t="n">
        <v>11</v>
      </c>
      <c r="J467" s="11" t="n">
        <f aca="false">IF(C467="one_time",G467,H467)</f>
        <v>11</v>
      </c>
      <c r="K467" s="11" t="n">
        <f aca="false">IF(C467="one_time",G467+1,I467)</f>
        <v>12</v>
      </c>
      <c r="L467" s="11" t="n">
        <f aca="false">K467-J467</f>
        <v>1</v>
      </c>
    </row>
    <row r="468" customFormat="false" ht="15" hidden="false" customHeight="false" outlineLevel="0" collapsed="false">
      <c r="A468" s="4" t="s">
        <v>1450</v>
      </c>
      <c r="B468" s="4" t="s">
        <v>93</v>
      </c>
      <c r="C468" s="4" t="s">
        <v>982</v>
      </c>
      <c r="D468" s="4" t="s">
        <v>1011</v>
      </c>
      <c r="E468" s="4" t="n">
        <v>18400</v>
      </c>
      <c r="F468" s="4" t="s">
        <v>1012</v>
      </c>
      <c r="G468" s="4" t="n">
        <v>10</v>
      </c>
      <c r="J468" s="11" t="n">
        <f aca="false">IF(C468="one_time",G468,H468)</f>
        <v>10</v>
      </c>
      <c r="K468" s="11" t="n">
        <f aca="false">IF(C468="one_time",G468+1,I468)</f>
        <v>11</v>
      </c>
      <c r="L468" s="11" t="n">
        <f aca="false">K468-J468</f>
        <v>1</v>
      </c>
    </row>
    <row r="469" customFormat="false" ht="15" hidden="false" customHeight="false" outlineLevel="0" collapsed="false">
      <c r="A469" s="4" t="s">
        <v>1451</v>
      </c>
      <c r="B469" s="4" t="s">
        <v>93</v>
      </c>
      <c r="C469" s="4" t="s">
        <v>982</v>
      </c>
      <c r="D469" s="4" t="s">
        <v>1011</v>
      </c>
      <c r="E469" s="4" t="n">
        <v>18350</v>
      </c>
      <c r="F469" s="4" t="s">
        <v>1012</v>
      </c>
      <c r="G469" s="4" t="n">
        <v>11</v>
      </c>
      <c r="J469" s="11" t="n">
        <f aca="false">IF(C469="one_time",G469,H469)</f>
        <v>11</v>
      </c>
      <c r="K469" s="11" t="n">
        <f aca="false">IF(C469="one_time",G469+1,I469)</f>
        <v>12</v>
      </c>
      <c r="L469" s="11" t="n">
        <f aca="false">K469-J469</f>
        <v>1</v>
      </c>
    </row>
    <row r="470" customFormat="false" ht="15" hidden="false" customHeight="false" outlineLevel="0" collapsed="false">
      <c r="A470" s="4" t="s">
        <v>1452</v>
      </c>
      <c r="B470" s="4" t="s">
        <v>93</v>
      </c>
      <c r="C470" s="4" t="s">
        <v>982</v>
      </c>
      <c r="D470" s="4" t="s">
        <v>1011</v>
      </c>
      <c r="E470" s="4" t="n">
        <v>24500</v>
      </c>
      <c r="F470" s="4" t="s">
        <v>1012</v>
      </c>
      <c r="G470" s="4" t="n">
        <v>12</v>
      </c>
      <c r="J470" s="11" t="n">
        <f aca="false">IF(C470="one_time",G470,H470)</f>
        <v>12</v>
      </c>
      <c r="K470" s="11" t="n">
        <f aca="false">IF(C470="one_time",G470+1,I470)</f>
        <v>13</v>
      </c>
      <c r="L470" s="11" t="n">
        <f aca="false">K470-J470</f>
        <v>1</v>
      </c>
    </row>
    <row r="471" customFormat="false" ht="15" hidden="false" customHeight="false" outlineLevel="0" collapsed="false">
      <c r="A471" s="4" t="s">
        <v>1453</v>
      </c>
      <c r="B471" s="4" t="s">
        <v>93</v>
      </c>
      <c r="C471" s="4" t="s">
        <v>982</v>
      </c>
      <c r="D471" s="4" t="s">
        <v>1011</v>
      </c>
      <c r="E471" s="4" t="n">
        <v>18200</v>
      </c>
      <c r="F471" s="4" t="s">
        <v>1012</v>
      </c>
      <c r="G471" s="4" t="n">
        <v>12</v>
      </c>
      <c r="J471" s="11" t="n">
        <f aca="false">IF(C471="one_time",G471,H471)</f>
        <v>12</v>
      </c>
      <c r="K471" s="11" t="n">
        <f aca="false">IF(C471="one_time",G471+1,I471)</f>
        <v>13</v>
      </c>
      <c r="L471" s="11" t="n">
        <f aca="false">K471-J471</f>
        <v>1</v>
      </c>
    </row>
    <row r="472" customFormat="false" ht="15" hidden="false" customHeight="false" outlineLevel="0" collapsed="false">
      <c r="A472" s="4" t="s">
        <v>1454</v>
      </c>
      <c r="B472" s="4" t="s">
        <v>93</v>
      </c>
      <c r="C472" s="4" t="s">
        <v>982</v>
      </c>
      <c r="D472" s="4" t="s">
        <v>1011</v>
      </c>
      <c r="E472" s="4" t="n">
        <v>16800</v>
      </c>
      <c r="F472" s="4" t="s">
        <v>1012</v>
      </c>
      <c r="G472" s="4" t="n">
        <v>10</v>
      </c>
      <c r="J472" s="11" t="n">
        <f aca="false">IF(C472="one_time",G472,H472)</f>
        <v>10</v>
      </c>
      <c r="K472" s="11" t="n">
        <f aca="false">IF(C472="one_time",G472+1,I472)</f>
        <v>11</v>
      </c>
      <c r="L472" s="11" t="n">
        <f aca="false">K472-J472</f>
        <v>1</v>
      </c>
    </row>
    <row r="473" customFormat="false" ht="15" hidden="false" customHeight="false" outlineLevel="0" collapsed="false">
      <c r="A473" s="4" t="s">
        <v>1455</v>
      </c>
      <c r="B473" s="4" t="s">
        <v>93</v>
      </c>
      <c r="C473" s="4" t="s">
        <v>982</v>
      </c>
      <c r="D473" s="4" t="s">
        <v>1011</v>
      </c>
      <c r="E473" s="4" t="n">
        <v>6400</v>
      </c>
      <c r="F473" s="4" t="s">
        <v>1012</v>
      </c>
      <c r="G473" s="4" t="n">
        <v>9</v>
      </c>
      <c r="J473" s="11" t="n">
        <f aca="false">IF(C473="one_time",G473,H473)</f>
        <v>9</v>
      </c>
      <c r="K473" s="11" t="n">
        <f aca="false">IF(C473="one_time",G473+1,I473)</f>
        <v>10</v>
      </c>
      <c r="L473" s="11" t="n">
        <f aca="false">K473-J473</f>
        <v>1</v>
      </c>
    </row>
    <row r="474" customFormat="false" ht="15" hidden="false" customHeight="false" outlineLevel="0" collapsed="false">
      <c r="A474" s="4" t="s">
        <v>1456</v>
      </c>
      <c r="B474" s="4" t="s">
        <v>93</v>
      </c>
      <c r="C474" s="4" t="s">
        <v>982</v>
      </c>
      <c r="D474" s="4" t="s">
        <v>1011</v>
      </c>
      <c r="E474" s="4" t="n">
        <v>12000</v>
      </c>
      <c r="F474" s="4" t="s">
        <v>1012</v>
      </c>
      <c r="G474" s="4" t="n">
        <v>12</v>
      </c>
      <c r="J474" s="11" t="n">
        <f aca="false">IF(C474="one_time",G474,H474)</f>
        <v>12</v>
      </c>
      <c r="K474" s="11" t="n">
        <f aca="false">IF(C474="one_time",G474+1,I474)</f>
        <v>13</v>
      </c>
      <c r="L474" s="11" t="n">
        <f aca="false">K474-J474</f>
        <v>1</v>
      </c>
    </row>
    <row r="475" customFormat="false" ht="15" hidden="false" customHeight="false" outlineLevel="0" collapsed="false">
      <c r="A475" s="4" t="s">
        <v>1457</v>
      </c>
      <c r="B475" s="4" t="s">
        <v>93</v>
      </c>
      <c r="C475" s="4" t="s">
        <v>982</v>
      </c>
      <c r="D475" s="4" t="s">
        <v>1011</v>
      </c>
      <c r="E475" s="4" t="n">
        <v>9600</v>
      </c>
      <c r="F475" s="4" t="s">
        <v>1012</v>
      </c>
      <c r="G475" s="4" t="n">
        <v>9</v>
      </c>
      <c r="J475" s="11" t="n">
        <f aca="false">IF(C475="one_time",G475,H475)</f>
        <v>9</v>
      </c>
      <c r="K475" s="11" t="n">
        <f aca="false">IF(C475="one_time",G475+1,I475)</f>
        <v>10</v>
      </c>
      <c r="L475" s="11" t="n">
        <f aca="false">K475-J475</f>
        <v>1</v>
      </c>
    </row>
    <row r="476" customFormat="false" ht="15" hidden="false" customHeight="false" outlineLevel="0" collapsed="false">
      <c r="A476" s="4" t="s">
        <v>1458</v>
      </c>
      <c r="B476" s="4" t="s">
        <v>93</v>
      </c>
      <c r="C476" s="4" t="s">
        <v>1034</v>
      </c>
      <c r="D476" s="4" t="s">
        <v>1011</v>
      </c>
      <c r="E476" s="4" t="n">
        <v>1400</v>
      </c>
      <c r="F476" s="4" t="s">
        <v>1012</v>
      </c>
      <c r="H476" s="4" t="n">
        <v>12</v>
      </c>
      <c r="I476" s="4" t="n">
        <v>18</v>
      </c>
      <c r="J476" s="11" t="n">
        <f aca="false">IF(C476="one_time",G476,H476)</f>
        <v>12</v>
      </c>
      <c r="K476" s="11" t="n">
        <f aca="false">IF(C476="one_time",G476+1,I476)</f>
        <v>18</v>
      </c>
      <c r="L476" s="11" t="n">
        <f aca="false">K476-J476</f>
        <v>6</v>
      </c>
    </row>
    <row r="477" customFormat="false" ht="15" hidden="false" customHeight="false" outlineLevel="0" collapsed="false">
      <c r="A477" s="4" t="s">
        <v>1459</v>
      </c>
      <c r="B477" s="4" t="s">
        <v>93</v>
      </c>
      <c r="C477" s="4" t="s">
        <v>1034</v>
      </c>
      <c r="D477" s="4" t="s">
        <v>1011</v>
      </c>
      <c r="E477" s="4" t="n">
        <v>1450</v>
      </c>
      <c r="F477" s="4" t="s">
        <v>1012</v>
      </c>
      <c r="H477" s="4" t="n">
        <v>18</v>
      </c>
      <c r="I477" s="4" t="n">
        <v>25</v>
      </c>
      <c r="J477" s="11" t="n">
        <f aca="false">IF(C477="one_time",G477,H477)</f>
        <v>18</v>
      </c>
      <c r="K477" s="11" t="n">
        <f aca="false">IF(C477="one_time",G477+1,I477)</f>
        <v>25</v>
      </c>
      <c r="L477" s="11" t="n">
        <f aca="false">K477-J477</f>
        <v>7</v>
      </c>
    </row>
    <row r="478" customFormat="false" ht="15" hidden="false" customHeight="false" outlineLevel="0" collapsed="false">
      <c r="A478" s="4" t="s">
        <v>1460</v>
      </c>
      <c r="B478" s="4" t="s">
        <v>93</v>
      </c>
      <c r="C478" s="4" t="s">
        <v>1034</v>
      </c>
      <c r="D478" s="4" t="s">
        <v>1011</v>
      </c>
      <c r="E478" s="4" t="n">
        <v>2450</v>
      </c>
      <c r="F478" s="4" t="s">
        <v>1012</v>
      </c>
      <c r="H478" s="4" t="n">
        <v>12</v>
      </c>
      <c r="I478" s="4" t="n">
        <v>18</v>
      </c>
      <c r="J478" s="11" t="n">
        <f aca="false">IF(C478="one_time",G478,H478)</f>
        <v>12</v>
      </c>
      <c r="K478" s="11" t="n">
        <f aca="false">IF(C478="one_time",G478+1,I478)</f>
        <v>18</v>
      </c>
      <c r="L478" s="11" t="n">
        <f aca="false">K478-J478</f>
        <v>6</v>
      </c>
    </row>
    <row r="479" customFormat="false" ht="15" hidden="false" customHeight="false" outlineLevel="0" collapsed="false">
      <c r="A479" s="4" t="s">
        <v>1461</v>
      </c>
      <c r="B479" s="4" t="s">
        <v>93</v>
      </c>
      <c r="C479" s="4" t="s">
        <v>1034</v>
      </c>
      <c r="D479" s="4" t="s">
        <v>1011</v>
      </c>
      <c r="E479" s="4" t="n">
        <v>2500</v>
      </c>
      <c r="F479" s="4" t="s">
        <v>1012</v>
      </c>
      <c r="H479" s="4" t="n">
        <v>18</v>
      </c>
      <c r="I479" s="4" t="n">
        <v>25</v>
      </c>
      <c r="J479" s="11" t="n">
        <f aca="false">IF(C479="one_time",G479,H479)</f>
        <v>18</v>
      </c>
      <c r="K479" s="11" t="n">
        <f aca="false">IF(C479="one_time",G479+1,I479)</f>
        <v>25</v>
      </c>
      <c r="L479" s="11" t="n">
        <f aca="false">K479-J479</f>
        <v>7</v>
      </c>
    </row>
    <row r="480" customFormat="false" ht="15" hidden="false" customHeight="false" outlineLevel="0" collapsed="false">
      <c r="A480" s="4" t="s">
        <v>1462</v>
      </c>
      <c r="B480" s="4" t="s">
        <v>93</v>
      </c>
      <c r="C480" s="4" t="s">
        <v>1034</v>
      </c>
      <c r="D480" s="4" t="s">
        <v>1011</v>
      </c>
      <c r="E480" s="4" t="n">
        <v>3150</v>
      </c>
      <c r="F480" s="4" t="s">
        <v>1012</v>
      </c>
      <c r="H480" s="4" t="n">
        <v>12</v>
      </c>
      <c r="I480" s="4" t="n">
        <v>18</v>
      </c>
      <c r="J480" s="11" t="n">
        <f aca="false">IF(C480="one_time",G480,H480)</f>
        <v>12</v>
      </c>
      <c r="K480" s="11" t="n">
        <f aca="false">IF(C480="one_time",G480+1,I480)</f>
        <v>18</v>
      </c>
      <c r="L480" s="11" t="n">
        <f aca="false">K480-J480</f>
        <v>6</v>
      </c>
    </row>
    <row r="481" customFormat="false" ht="15" hidden="false" customHeight="false" outlineLevel="0" collapsed="false">
      <c r="A481" s="4" t="s">
        <v>1463</v>
      </c>
      <c r="B481" s="4" t="s">
        <v>93</v>
      </c>
      <c r="C481" s="4" t="s">
        <v>1034</v>
      </c>
      <c r="D481" s="4" t="s">
        <v>1011</v>
      </c>
      <c r="E481" s="4" t="n">
        <v>3250</v>
      </c>
      <c r="F481" s="4" t="s">
        <v>1012</v>
      </c>
      <c r="H481" s="4" t="n">
        <v>18</v>
      </c>
      <c r="I481" s="4" t="n">
        <v>25</v>
      </c>
      <c r="J481" s="11" t="n">
        <f aca="false">IF(C481="one_time",G481,H481)</f>
        <v>18</v>
      </c>
      <c r="K481" s="11" t="n">
        <f aca="false">IF(C481="one_time",G481+1,I481)</f>
        <v>25</v>
      </c>
      <c r="L481" s="11" t="n">
        <f aca="false">K481-J481</f>
        <v>7</v>
      </c>
    </row>
    <row r="482" customFormat="false" ht="15" hidden="false" customHeight="false" outlineLevel="0" collapsed="false">
      <c r="A482" s="4" t="s">
        <v>1464</v>
      </c>
      <c r="B482" s="4" t="s">
        <v>94</v>
      </c>
      <c r="C482" s="4" t="s">
        <v>982</v>
      </c>
      <c r="D482" s="4" t="s">
        <v>1011</v>
      </c>
      <c r="E482" s="4" t="n">
        <v>15650</v>
      </c>
      <c r="F482" s="4" t="s">
        <v>1012</v>
      </c>
      <c r="G482" s="4" t="n">
        <v>14</v>
      </c>
      <c r="J482" s="11" t="n">
        <f aca="false">IF(C482="one_time",G482,H482)</f>
        <v>14</v>
      </c>
      <c r="K482" s="11" t="n">
        <f aca="false">IF(C482="one_time",G482+1,I482)</f>
        <v>15</v>
      </c>
      <c r="L482" s="11" t="n">
        <f aca="false">K482-J482</f>
        <v>1</v>
      </c>
    </row>
    <row r="483" customFormat="false" ht="15" hidden="false" customHeight="false" outlineLevel="0" collapsed="false">
      <c r="A483" s="4" t="s">
        <v>1465</v>
      </c>
      <c r="B483" s="4" t="s">
        <v>94</v>
      </c>
      <c r="C483" s="4" t="s">
        <v>982</v>
      </c>
      <c r="D483" s="4" t="s">
        <v>1011</v>
      </c>
      <c r="E483" s="4" t="n">
        <v>28150</v>
      </c>
      <c r="F483" s="4" t="s">
        <v>1012</v>
      </c>
      <c r="G483" s="4" t="n">
        <v>15</v>
      </c>
      <c r="J483" s="11" t="n">
        <f aca="false">IF(C483="one_time",G483,H483)</f>
        <v>15</v>
      </c>
      <c r="K483" s="11" t="n">
        <f aca="false">IF(C483="one_time",G483+1,I483)</f>
        <v>16</v>
      </c>
      <c r="L483" s="11" t="n">
        <f aca="false">K483-J483</f>
        <v>1</v>
      </c>
    </row>
    <row r="484" customFormat="false" ht="15" hidden="false" customHeight="false" outlineLevel="0" collapsed="false">
      <c r="A484" s="4" t="s">
        <v>1466</v>
      </c>
      <c r="B484" s="4" t="s">
        <v>94</v>
      </c>
      <c r="C484" s="4" t="s">
        <v>982</v>
      </c>
      <c r="D484" s="4" t="s">
        <v>1011</v>
      </c>
      <c r="E484" s="4" t="n">
        <v>31200</v>
      </c>
      <c r="F484" s="4" t="s">
        <v>1012</v>
      </c>
      <c r="G484" s="4" t="n">
        <v>16</v>
      </c>
      <c r="J484" s="11" t="n">
        <f aca="false">IF(C484="one_time",G484,H484)</f>
        <v>16</v>
      </c>
      <c r="K484" s="11" t="n">
        <f aca="false">IF(C484="one_time",G484+1,I484)</f>
        <v>17</v>
      </c>
      <c r="L484" s="11" t="n">
        <f aca="false">K484-J484</f>
        <v>1</v>
      </c>
    </row>
    <row r="485" customFormat="false" ht="15" hidden="false" customHeight="false" outlineLevel="0" collapsed="false">
      <c r="A485" s="4" t="s">
        <v>1467</v>
      </c>
      <c r="B485" s="4" t="s">
        <v>94</v>
      </c>
      <c r="C485" s="4" t="s">
        <v>982</v>
      </c>
      <c r="D485" s="4" t="s">
        <v>1011</v>
      </c>
      <c r="E485" s="4" t="n">
        <v>12950</v>
      </c>
      <c r="F485" s="4" t="s">
        <v>1012</v>
      </c>
      <c r="G485" s="4" t="n">
        <v>17</v>
      </c>
      <c r="J485" s="11" t="n">
        <f aca="false">IF(C485="one_time",G485,H485)</f>
        <v>17</v>
      </c>
      <c r="K485" s="11" t="n">
        <f aca="false">IF(C485="one_time",G485+1,I485)</f>
        <v>18</v>
      </c>
      <c r="L485" s="11" t="n">
        <f aca="false">K485-J485</f>
        <v>1</v>
      </c>
    </row>
    <row r="486" customFormat="false" ht="15" hidden="false" customHeight="false" outlineLevel="0" collapsed="false">
      <c r="A486" s="4" t="s">
        <v>1468</v>
      </c>
      <c r="B486" s="4" t="s">
        <v>94</v>
      </c>
      <c r="C486" s="4" t="s">
        <v>982</v>
      </c>
      <c r="D486" s="4" t="s">
        <v>1011</v>
      </c>
      <c r="E486" s="4" t="n">
        <v>14200</v>
      </c>
      <c r="F486" s="4" t="s">
        <v>1012</v>
      </c>
      <c r="G486" s="4" t="n">
        <v>14</v>
      </c>
      <c r="J486" s="11" t="n">
        <f aca="false">IF(C486="one_time",G486,H486)</f>
        <v>14</v>
      </c>
      <c r="K486" s="11" t="n">
        <f aca="false">IF(C486="one_time",G486+1,I486)</f>
        <v>15</v>
      </c>
      <c r="L486" s="11" t="n">
        <f aca="false">K486-J486</f>
        <v>1</v>
      </c>
    </row>
    <row r="487" customFormat="false" ht="15" hidden="false" customHeight="false" outlineLevel="0" collapsed="false">
      <c r="A487" s="4" t="s">
        <v>1469</v>
      </c>
      <c r="B487" s="4" t="s">
        <v>94</v>
      </c>
      <c r="C487" s="4" t="s">
        <v>982</v>
      </c>
      <c r="D487" s="4" t="s">
        <v>1011</v>
      </c>
      <c r="E487" s="4" t="n">
        <v>10350</v>
      </c>
      <c r="F487" s="4" t="s">
        <v>1012</v>
      </c>
      <c r="G487" s="4" t="n">
        <v>14</v>
      </c>
      <c r="J487" s="11" t="n">
        <f aca="false">IF(C487="one_time",G487,H487)</f>
        <v>14</v>
      </c>
      <c r="K487" s="11" t="n">
        <f aca="false">IF(C487="one_time",G487+1,I487)</f>
        <v>15</v>
      </c>
      <c r="L487" s="11" t="n">
        <f aca="false">K487-J487</f>
        <v>1</v>
      </c>
    </row>
    <row r="488" customFormat="false" ht="15" hidden="false" customHeight="false" outlineLevel="0" collapsed="false">
      <c r="A488" s="4" t="s">
        <v>1470</v>
      </c>
      <c r="B488" s="4" t="s">
        <v>94</v>
      </c>
      <c r="C488" s="4" t="s">
        <v>982</v>
      </c>
      <c r="D488" s="4" t="s">
        <v>1011</v>
      </c>
      <c r="E488" s="4" t="n">
        <v>22500</v>
      </c>
      <c r="F488" s="4" t="s">
        <v>1012</v>
      </c>
      <c r="G488" s="4" t="n">
        <v>15</v>
      </c>
      <c r="J488" s="11" t="n">
        <f aca="false">IF(C488="one_time",G488,H488)</f>
        <v>15</v>
      </c>
      <c r="K488" s="11" t="n">
        <f aca="false">IF(C488="one_time",G488+1,I488)</f>
        <v>16</v>
      </c>
      <c r="L488" s="11" t="n">
        <f aca="false">K488-J488</f>
        <v>1</v>
      </c>
    </row>
    <row r="489" customFormat="false" ht="15" hidden="false" customHeight="false" outlineLevel="0" collapsed="false">
      <c r="A489" s="4" t="s">
        <v>1471</v>
      </c>
      <c r="B489" s="4" t="s">
        <v>94</v>
      </c>
      <c r="C489" s="4" t="s">
        <v>982</v>
      </c>
      <c r="D489" s="4" t="s">
        <v>1011</v>
      </c>
      <c r="E489" s="4" t="n">
        <v>17500</v>
      </c>
      <c r="F489" s="4" t="s">
        <v>1012</v>
      </c>
      <c r="G489" s="4" t="n">
        <v>16</v>
      </c>
      <c r="J489" s="11" t="n">
        <f aca="false">IF(C489="one_time",G489,H489)</f>
        <v>16</v>
      </c>
      <c r="K489" s="11" t="n">
        <f aca="false">IF(C489="one_time",G489+1,I489)</f>
        <v>17</v>
      </c>
      <c r="L489" s="11" t="n">
        <f aca="false">K489-J489</f>
        <v>1</v>
      </c>
    </row>
    <row r="490" customFormat="false" ht="15" hidden="false" customHeight="false" outlineLevel="0" collapsed="false">
      <c r="A490" s="4" t="s">
        <v>1472</v>
      </c>
      <c r="B490" s="4" t="s">
        <v>94</v>
      </c>
      <c r="C490" s="4" t="s">
        <v>982</v>
      </c>
      <c r="D490" s="4" t="s">
        <v>1011</v>
      </c>
      <c r="E490" s="4" t="n">
        <v>37500</v>
      </c>
      <c r="F490" s="4" t="s">
        <v>1012</v>
      </c>
      <c r="G490" s="4" t="n">
        <v>15</v>
      </c>
      <c r="J490" s="11" t="n">
        <f aca="false">IF(C490="one_time",G490,H490)</f>
        <v>15</v>
      </c>
      <c r="K490" s="11" t="n">
        <f aca="false">IF(C490="one_time",G490+1,I490)</f>
        <v>16</v>
      </c>
      <c r="L490" s="11" t="n">
        <f aca="false">K490-J490</f>
        <v>1</v>
      </c>
    </row>
    <row r="491" customFormat="false" ht="15" hidden="false" customHeight="false" outlineLevel="0" collapsed="false">
      <c r="A491" s="4" t="s">
        <v>1473</v>
      </c>
      <c r="B491" s="4" t="s">
        <v>94</v>
      </c>
      <c r="C491" s="4" t="s">
        <v>982</v>
      </c>
      <c r="D491" s="4" t="s">
        <v>1011</v>
      </c>
      <c r="E491" s="4" t="n">
        <v>20000</v>
      </c>
      <c r="F491" s="4" t="s">
        <v>1012</v>
      </c>
      <c r="G491" s="4" t="n">
        <v>15</v>
      </c>
      <c r="J491" s="11" t="n">
        <f aca="false">IF(C491="one_time",G491,H491)</f>
        <v>15</v>
      </c>
      <c r="K491" s="11" t="n">
        <f aca="false">IF(C491="one_time",G491+1,I491)</f>
        <v>16</v>
      </c>
      <c r="L491" s="11" t="n">
        <f aca="false">K491-J491</f>
        <v>1</v>
      </c>
    </row>
    <row r="492" customFormat="false" ht="15" hidden="false" customHeight="false" outlineLevel="0" collapsed="false">
      <c r="A492" s="4" t="s">
        <v>1474</v>
      </c>
      <c r="B492" s="4" t="s">
        <v>94</v>
      </c>
      <c r="C492" s="4" t="s">
        <v>982</v>
      </c>
      <c r="D492" s="4" t="s">
        <v>1011</v>
      </c>
      <c r="E492" s="4" t="n">
        <v>15000</v>
      </c>
      <c r="F492" s="4" t="s">
        <v>1012</v>
      </c>
      <c r="G492" s="4" t="n">
        <v>0</v>
      </c>
      <c r="J492" s="11" t="n">
        <f aca="false">IF(C492="one_time",G492,H492)</f>
        <v>0</v>
      </c>
      <c r="K492" s="11" t="n">
        <f aca="false">IF(C492="one_time",G492+1,I492)</f>
        <v>1</v>
      </c>
      <c r="L492" s="11" t="n">
        <f aca="false">K492-J492</f>
        <v>1</v>
      </c>
    </row>
    <row r="493" customFormat="false" ht="15" hidden="false" customHeight="false" outlineLevel="0" collapsed="false">
      <c r="A493" s="4" t="s">
        <v>1475</v>
      </c>
      <c r="B493" s="4" t="s">
        <v>94</v>
      </c>
      <c r="C493" s="4" t="s">
        <v>982</v>
      </c>
      <c r="D493" s="4" t="s">
        <v>1011</v>
      </c>
      <c r="E493" s="4" t="n">
        <v>119300</v>
      </c>
      <c r="F493" s="4" t="s">
        <v>1012</v>
      </c>
      <c r="G493" s="4" t="n">
        <v>14</v>
      </c>
      <c r="J493" s="11" t="n">
        <f aca="false">IF(C493="one_time",G493,H493)</f>
        <v>14</v>
      </c>
      <c r="K493" s="11" t="n">
        <f aca="false">IF(C493="one_time",G493+1,I493)</f>
        <v>15</v>
      </c>
      <c r="L493" s="11" t="n">
        <f aca="false">K493-J493</f>
        <v>1</v>
      </c>
    </row>
    <row r="494" customFormat="false" ht="15" hidden="false" customHeight="false" outlineLevel="0" collapsed="false">
      <c r="A494" s="4" t="s">
        <v>1476</v>
      </c>
      <c r="B494" s="4" t="s">
        <v>94</v>
      </c>
      <c r="C494" s="4" t="s">
        <v>982</v>
      </c>
      <c r="D494" s="4" t="s">
        <v>1011</v>
      </c>
      <c r="E494" s="4" t="n">
        <v>143200</v>
      </c>
      <c r="F494" s="4" t="s">
        <v>1012</v>
      </c>
      <c r="G494" s="4" t="n">
        <v>16</v>
      </c>
      <c r="J494" s="11" t="n">
        <f aca="false">IF(C494="one_time",G494,H494)</f>
        <v>16</v>
      </c>
      <c r="K494" s="11" t="n">
        <f aca="false">IF(C494="one_time",G494+1,I494)</f>
        <v>17</v>
      </c>
      <c r="L494" s="11" t="n">
        <f aca="false">K494-J494</f>
        <v>1</v>
      </c>
    </row>
    <row r="495" customFormat="false" ht="15" hidden="false" customHeight="false" outlineLevel="0" collapsed="false">
      <c r="A495" s="4" t="s">
        <v>1477</v>
      </c>
      <c r="B495" s="4" t="s">
        <v>94</v>
      </c>
      <c r="C495" s="4" t="s">
        <v>982</v>
      </c>
      <c r="D495" s="4" t="s">
        <v>1011</v>
      </c>
      <c r="E495" s="4" t="n">
        <v>52250</v>
      </c>
      <c r="F495" s="4" t="s">
        <v>1012</v>
      </c>
      <c r="G495" s="4" t="n">
        <v>14</v>
      </c>
      <c r="J495" s="11" t="n">
        <f aca="false">IF(C495="one_time",G495,H495)</f>
        <v>14</v>
      </c>
      <c r="K495" s="11" t="n">
        <f aca="false">IF(C495="one_time",G495+1,I495)</f>
        <v>15</v>
      </c>
      <c r="L495" s="11" t="n">
        <f aca="false">K495-J495</f>
        <v>1</v>
      </c>
    </row>
    <row r="496" customFormat="false" ht="15" hidden="false" customHeight="false" outlineLevel="0" collapsed="false">
      <c r="A496" s="4" t="s">
        <v>1478</v>
      </c>
      <c r="B496" s="4" t="s">
        <v>94</v>
      </c>
      <c r="C496" s="4" t="s">
        <v>982</v>
      </c>
      <c r="D496" s="4" t="s">
        <v>1011</v>
      </c>
      <c r="E496" s="4" t="n">
        <v>60250</v>
      </c>
      <c r="F496" s="4" t="s">
        <v>1012</v>
      </c>
      <c r="G496" s="4" t="n">
        <v>15</v>
      </c>
      <c r="J496" s="11" t="n">
        <f aca="false">IF(C496="one_time",G496,H496)</f>
        <v>15</v>
      </c>
      <c r="K496" s="11" t="n">
        <f aca="false">IF(C496="one_time",G496+1,I496)</f>
        <v>16</v>
      </c>
      <c r="L496" s="11" t="n">
        <f aca="false">K496-J496</f>
        <v>1</v>
      </c>
    </row>
    <row r="497" customFormat="false" ht="15" hidden="false" customHeight="false" outlineLevel="0" collapsed="false">
      <c r="A497" s="4" t="s">
        <v>1479</v>
      </c>
      <c r="B497" s="4" t="s">
        <v>94</v>
      </c>
      <c r="C497" s="4" t="s">
        <v>982</v>
      </c>
      <c r="D497" s="4" t="s">
        <v>1011</v>
      </c>
      <c r="E497" s="4" t="n">
        <v>52500</v>
      </c>
      <c r="F497" s="4" t="s">
        <v>1012</v>
      </c>
      <c r="G497" s="4" t="n">
        <v>17</v>
      </c>
      <c r="J497" s="11" t="n">
        <f aca="false">IF(C497="one_time",G497,H497)</f>
        <v>17</v>
      </c>
      <c r="K497" s="11" t="n">
        <f aca="false">IF(C497="one_time",G497+1,I497)</f>
        <v>18</v>
      </c>
      <c r="L497" s="11" t="n">
        <f aca="false">K497-J497</f>
        <v>1</v>
      </c>
    </row>
    <row r="498" customFormat="false" ht="15" hidden="false" customHeight="false" outlineLevel="0" collapsed="false">
      <c r="A498" s="4" t="s">
        <v>1480</v>
      </c>
      <c r="B498" s="4" t="s">
        <v>94</v>
      </c>
      <c r="C498" s="4" t="s">
        <v>982</v>
      </c>
      <c r="D498" s="4" t="s">
        <v>1011</v>
      </c>
      <c r="E498" s="4" t="n">
        <v>35000</v>
      </c>
      <c r="F498" s="4" t="s">
        <v>1012</v>
      </c>
      <c r="G498" s="4" t="n">
        <v>15</v>
      </c>
      <c r="J498" s="11" t="n">
        <f aca="false">IF(C498="one_time",G498,H498)</f>
        <v>15</v>
      </c>
      <c r="K498" s="11" t="n">
        <f aca="false">IF(C498="one_time",G498+1,I498)</f>
        <v>16</v>
      </c>
      <c r="L498" s="11" t="n">
        <f aca="false">K498-J498</f>
        <v>1</v>
      </c>
    </row>
    <row r="499" customFormat="false" ht="15" hidden="false" customHeight="false" outlineLevel="0" collapsed="false">
      <c r="A499" s="4" t="s">
        <v>1481</v>
      </c>
      <c r="B499" s="4" t="s">
        <v>94</v>
      </c>
      <c r="C499" s="4" t="s">
        <v>982</v>
      </c>
      <c r="D499" s="4" t="s">
        <v>1011</v>
      </c>
      <c r="E499" s="4" t="n">
        <v>40000</v>
      </c>
      <c r="F499" s="4" t="s">
        <v>1012</v>
      </c>
      <c r="G499" s="4" t="n">
        <v>16</v>
      </c>
      <c r="J499" s="11" t="n">
        <f aca="false">IF(C499="one_time",G499,H499)</f>
        <v>16</v>
      </c>
      <c r="K499" s="11" t="n">
        <f aca="false">IF(C499="one_time",G499+1,I499)</f>
        <v>17</v>
      </c>
      <c r="L499" s="11" t="n">
        <f aca="false">K499-J499</f>
        <v>1</v>
      </c>
    </row>
    <row r="500" customFormat="false" ht="15" hidden="false" customHeight="false" outlineLevel="0" collapsed="false">
      <c r="A500" s="4" t="s">
        <v>1482</v>
      </c>
      <c r="B500" s="4" t="s">
        <v>94</v>
      </c>
      <c r="C500" s="4" t="s">
        <v>982</v>
      </c>
      <c r="D500" s="4" t="s">
        <v>1011</v>
      </c>
      <c r="E500" s="4" t="n">
        <v>14100</v>
      </c>
      <c r="F500" s="4" t="s">
        <v>1012</v>
      </c>
      <c r="G500" s="4" t="n">
        <v>17</v>
      </c>
      <c r="J500" s="11" t="n">
        <f aca="false">IF(C500="one_time",G500,H500)</f>
        <v>17</v>
      </c>
      <c r="K500" s="11" t="n">
        <f aca="false">IF(C500="one_time",G500+1,I500)</f>
        <v>18</v>
      </c>
      <c r="L500" s="11" t="n">
        <f aca="false">K500-J500</f>
        <v>1</v>
      </c>
    </row>
    <row r="501" customFormat="false" ht="15" hidden="false" customHeight="false" outlineLevel="0" collapsed="false">
      <c r="A501" s="4" t="s">
        <v>1483</v>
      </c>
      <c r="B501" s="4" t="s">
        <v>94</v>
      </c>
      <c r="C501" s="4" t="s">
        <v>982</v>
      </c>
      <c r="D501" s="4" t="s">
        <v>1011</v>
      </c>
      <c r="E501" s="4" t="n">
        <v>22950</v>
      </c>
      <c r="F501" s="4" t="s">
        <v>1012</v>
      </c>
      <c r="G501" s="4" t="n">
        <v>17</v>
      </c>
      <c r="J501" s="11" t="n">
        <f aca="false">IF(C501="one_time",G501,H501)</f>
        <v>17</v>
      </c>
      <c r="K501" s="11" t="n">
        <f aca="false">IF(C501="one_time",G501+1,I501)</f>
        <v>18</v>
      </c>
      <c r="L501" s="11" t="n">
        <f aca="false">K501-J501</f>
        <v>1</v>
      </c>
    </row>
    <row r="502" customFormat="false" ht="15" hidden="false" customHeight="false" outlineLevel="0" collapsed="false">
      <c r="A502" s="4" t="s">
        <v>1484</v>
      </c>
      <c r="B502" s="4" t="s">
        <v>94</v>
      </c>
      <c r="C502" s="4" t="s">
        <v>982</v>
      </c>
      <c r="D502" s="4" t="s">
        <v>1011</v>
      </c>
      <c r="E502" s="4" t="n">
        <v>22950</v>
      </c>
      <c r="F502" s="4" t="s">
        <v>1012</v>
      </c>
      <c r="G502" s="4" t="n">
        <v>16</v>
      </c>
      <c r="J502" s="11" t="n">
        <f aca="false">IF(C502="one_time",G502,H502)</f>
        <v>16</v>
      </c>
      <c r="K502" s="11" t="n">
        <f aca="false">IF(C502="one_time",G502+1,I502)</f>
        <v>17</v>
      </c>
      <c r="L502" s="11" t="n">
        <f aca="false">K502-J502</f>
        <v>1</v>
      </c>
    </row>
    <row r="503" customFormat="false" ht="15" hidden="false" customHeight="false" outlineLevel="0" collapsed="false">
      <c r="A503" s="4" t="s">
        <v>1485</v>
      </c>
      <c r="B503" s="4" t="s">
        <v>94</v>
      </c>
      <c r="C503" s="4" t="s">
        <v>1034</v>
      </c>
      <c r="D503" s="4" t="s">
        <v>1011</v>
      </c>
      <c r="E503" s="4" t="n">
        <v>3000</v>
      </c>
      <c r="F503" s="4" t="s">
        <v>1012</v>
      </c>
      <c r="H503" s="4" t="n">
        <v>17</v>
      </c>
      <c r="I503" s="4" t="n">
        <v>23</v>
      </c>
      <c r="J503" s="11" t="n">
        <f aca="false">IF(C503="one_time",G503,H503)</f>
        <v>17</v>
      </c>
      <c r="K503" s="11" t="n">
        <f aca="false">IF(C503="one_time",G503+1,I503)</f>
        <v>23</v>
      </c>
      <c r="L503" s="11" t="n">
        <f aca="false">K503-J503</f>
        <v>6</v>
      </c>
    </row>
    <row r="504" customFormat="false" ht="15" hidden="false" customHeight="false" outlineLevel="0" collapsed="false">
      <c r="A504" s="4" t="s">
        <v>1486</v>
      </c>
      <c r="B504" s="4" t="s">
        <v>94</v>
      </c>
      <c r="C504" s="4" t="s">
        <v>1034</v>
      </c>
      <c r="D504" s="4" t="s">
        <v>1011</v>
      </c>
      <c r="E504" s="4" t="n">
        <v>3000</v>
      </c>
      <c r="F504" s="4" t="s">
        <v>1012</v>
      </c>
      <c r="H504" s="4" t="n">
        <v>23</v>
      </c>
      <c r="I504" s="4" t="n">
        <v>29</v>
      </c>
      <c r="J504" s="11" t="n">
        <f aca="false">IF(C504="one_time",G504,H504)</f>
        <v>23</v>
      </c>
      <c r="K504" s="11" t="n">
        <f aca="false">IF(C504="one_time",G504+1,I504)</f>
        <v>29</v>
      </c>
      <c r="L504" s="11" t="n">
        <f aca="false">K504-J504</f>
        <v>6</v>
      </c>
    </row>
    <row r="505" customFormat="false" ht="15" hidden="false" customHeight="false" outlineLevel="0" collapsed="false">
      <c r="A505" s="4" t="s">
        <v>1487</v>
      </c>
      <c r="B505" s="4" t="s">
        <v>94</v>
      </c>
      <c r="C505" s="4" t="s">
        <v>1034</v>
      </c>
      <c r="D505" s="4" t="s">
        <v>1011</v>
      </c>
      <c r="E505" s="4" t="n">
        <v>5250</v>
      </c>
      <c r="F505" s="4" t="s">
        <v>1012</v>
      </c>
      <c r="H505" s="4" t="n">
        <v>17</v>
      </c>
      <c r="I505" s="4" t="n">
        <v>23</v>
      </c>
      <c r="J505" s="11" t="n">
        <f aca="false">IF(C505="one_time",G505,H505)</f>
        <v>17</v>
      </c>
      <c r="K505" s="11" t="n">
        <f aca="false">IF(C505="one_time",G505+1,I505)</f>
        <v>23</v>
      </c>
      <c r="L505" s="11" t="n">
        <f aca="false">K505-J505</f>
        <v>6</v>
      </c>
    </row>
    <row r="506" customFormat="false" ht="15" hidden="false" customHeight="false" outlineLevel="0" collapsed="false">
      <c r="A506" s="4" t="s">
        <v>1488</v>
      </c>
      <c r="B506" s="4" t="s">
        <v>94</v>
      </c>
      <c r="C506" s="4" t="s">
        <v>1034</v>
      </c>
      <c r="D506" s="4" t="s">
        <v>1011</v>
      </c>
      <c r="E506" s="4" t="n">
        <v>5450</v>
      </c>
      <c r="F506" s="4" t="s">
        <v>1012</v>
      </c>
      <c r="H506" s="4" t="n">
        <v>23</v>
      </c>
      <c r="I506" s="4" t="n">
        <v>29</v>
      </c>
      <c r="J506" s="11" t="n">
        <f aca="false">IF(C506="one_time",G506,H506)</f>
        <v>23</v>
      </c>
      <c r="K506" s="11" t="n">
        <f aca="false">IF(C506="one_time",G506+1,I506)</f>
        <v>29</v>
      </c>
      <c r="L506" s="11" t="n">
        <f aca="false">K506-J506</f>
        <v>6</v>
      </c>
    </row>
    <row r="507" customFormat="false" ht="15" hidden="false" customHeight="false" outlineLevel="0" collapsed="false">
      <c r="A507" s="4" t="s">
        <v>1489</v>
      </c>
      <c r="B507" s="4" t="s">
        <v>94</v>
      </c>
      <c r="C507" s="4" t="s">
        <v>1034</v>
      </c>
      <c r="D507" s="4" t="s">
        <v>1011</v>
      </c>
      <c r="E507" s="4" t="n">
        <v>6750</v>
      </c>
      <c r="F507" s="4" t="s">
        <v>1012</v>
      </c>
      <c r="H507" s="4" t="n">
        <v>17</v>
      </c>
      <c r="I507" s="4" t="n">
        <v>23</v>
      </c>
      <c r="J507" s="11" t="n">
        <f aca="false">IF(C507="one_time",G507,H507)</f>
        <v>17</v>
      </c>
      <c r="K507" s="11" t="n">
        <f aca="false">IF(C507="one_time",G507+1,I507)</f>
        <v>23</v>
      </c>
      <c r="L507" s="11" t="n">
        <f aca="false">K507-J507</f>
        <v>6</v>
      </c>
    </row>
    <row r="508" customFormat="false" ht="15" hidden="false" customHeight="false" outlineLevel="0" collapsed="false">
      <c r="A508" s="4" t="s">
        <v>1490</v>
      </c>
      <c r="B508" s="4" t="s">
        <v>94</v>
      </c>
      <c r="C508" s="4" t="s">
        <v>1034</v>
      </c>
      <c r="D508" s="4" t="s">
        <v>1011</v>
      </c>
      <c r="E508" s="4" t="n">
        <v>7100</v>
      </c>
      <c r="F508" s="4" t="s">
        <v>1012</v>
      </c>
      <c r="H508" s="4" t="n">
        <v>23</v>
      </c>
      <c r="I508" s="4" t="n">
        <v>29</v>
      </c>
      <c r="J508" s="11" t="n">
        <f aca="false">IF(C508="one_time",G508,H508)</f>
        <v>23</v>
      </c>
      <c r="K508" s="11" t="n">
        <f aca="false">IF(C508="one_time",G508+1,I508)</f>
        <v>29</v>
      </c>
      <c r="L508" s="11" t="n">
        <f aca="false">K508-J508</f>
        <v>6</v>
      </c>
    </row>
    <row r="509" customFormat="false" ht="15" hidden="false" customHeight="false" outlineLevel="0" collapsed="false">
      <c r="A509" s="4" t="s">
        <v>1491</v>
      </c>
      <c r="B509" s="4" t="s">
        <v>95</v>
      </c>
      <c r="C509" s="4" t="s">
        <v>982</v>
      </c>
      <c r="D509" s="4" t="s">
        <v>983</v>
      </c>
      <c r="E509" s="4" t="n">
        <v>419131.38</v>
      </c>
      <c r="G509" s="4" t="n">
        <v>0</v>
      </c>
      <c r="J509" s="11" t="n">
        <f aca="false">IF(C509="one_time",G509,H509)</f>
        <v>0</v>
      </c>
      <c r="K509" s="11" t="n">
        <f aca="false">IF(C509="one_time",G509+1,I509)</f>
        <v>1</v>
      </c>
      <c r="L509" s="11" t="n">
        <f aca="false">K509-J509</f>
        <v>1</v>
      </c>
    </row>
    <row r="510" customFormat="false" ht="15" hidden="false" customHeight="false" outlineLevel="0" collapsed="false">
      <c r="A510" s="4" t="s">
        <v>1492</v>
      </c>
      <c r="B510" s="4" t="s">
        <v>95</v>
      </c>
      <c r="C510" s="4" t="s">
        <v>982</v>
      </c>
      <c r="D510" s="4" t="s">
        <v>983</v>
      </c>
      <c r="E510" s="4" t="n">
        <v>269681.16</v>
      </c>
      <c r="G510" s="4" t="n">
        <v>1</v>
      </c>
      <c r="J510" s="11" t="n">
        <f aca="false">IF(C510="one_time",G510,H510)</f>
        <v>1</v>
      </c>
      <c r="K510" s="11" t="n">
        <f aca="false">IF(C510="one_time",G510+1,I510)</f>
        <v>2</v>
      </c>
      <c r="L510" s="11" t="n">
        <f aca="false">K510-J510</f>
        <v>1</v>
      </c>
    </row>
    <row r="511" customFormat="false" ht="15" hidden="false" customHeight="false" outlineLevel="0" collapsed="false">
      <c r="A511" s="4" t="s">
        <v>1493</v>
      </c>
      <c r="B511" s="4" t="s">
        <v>95</v>
      </c>
      <c r="C511" s="4" t="s">
        <v>982</v>
      </c>
      <c r="D511" s="4" t="s">
        <v>983</v>
      </c>
      <c r="E511" s="4" t="n">
        <v>13239.62</v>
      </c>
      <c r="G511" s="4" t="n">
        <v>2</v>
      </c>
      <c r="J511" s="11" t="n">
        <f aca="false">IF(C511="one_time",G511,H511)</f>
        <v>2</v>
      </c>
      <c r="K511" s="11" t="n">
        <f aca="false">IF(C511="one_time",G511+1,I511)</f>
        <v>3</v>
      </c>
      <c r="L511" s="11" t="n">
        <f aca="false">K511-J511</f>
        <v>1</v>
      </c>
    </row>
    <row r="512" customFormat="false" ht="15" hidden="false" customHeight="false" outlineLevel="0" collapsed="false">
      <c r="A512" s="4" t="s">
        <v>1494</v>
      </c>
      <c r="B512" s="4" t="s">
        <v>95</v>
      </c>
      <c r="C512" s="4" t="s">
        <v>982</v>
      </c>
      <c r="D512" s="4" t="s">
        <v>983</v>
      </c>
      <c r="E512" s="4" t="n">
        <v>12884.01</v>
      </c>
      <c r="G512" s="4" t="n">
        <v>3</v>
      </c>
      <c r="J512" s="11" t="n">
        <f aca="false">IF(C512="one_time",G512,H512)</f>
        <v>3</v>
      </c>
      <c r="K512" s="11" t="n">
        <f aca="false">IF(C512="one_time",G512+1,I512)</f>
        <v>4</v>
      </c>
      <c r="L512" s="11" t="n">
        <f aca="false">K512-J512</f>
        <v>1</v>
      </c>
    </row>
    <row r="513" customFormat="false" ht="15" hidden="false" customHeight="false" outlineLevel="0" collapsed="false">
      <c r="A513" s="4" t="s">
        <v>1495</v>
      </c>
      <c r="B513" s="4" t="s">
        <v>95</v>
      </c>
      <c r="C513" s="4" t="s">
        <v>982</v>
      </c>
      <c r="D513" s="4" t="s">
        <v>983</v>
      </c>
      <c r="E513" s="4" t="n">
        <v>13937.16</v>
      </c>
      <c r="G513" s="4" t="n">
        <v>4</v>
      </c>
      <c r="J513" s="11" t="n">
        <f aca="false">IF(C513="one_time",G513,H513)</f>
        <v>4</v>
      </c>
      <c r="K513" s="11" t="n">
        <f aca="false">IF(C513="one_time",G513+1,I513)</f>
        <v>5</v>
      </c>
      <c r="L513" s="11" t="n">
        <f aca="false">K513-J513</f>
        <v>1</v>
      </c>
    </row>
    <row r="514" customFormat="false" ht="15" hidden="false" customHeight="false" outlineLevel="0" collapsed="false">
      <c r="A514" s="4" t="s">
        <v>1496</v>
      </c>
      <c r="B514" s="4" t="s">
        <v>95</v>
      </c>
      <c r="C514" s="4" t="s">
        <v>982</v>
      </c>
      <c r="D514" s="4" t="s">
        <v>983</v>
      </c>
      <c r="E514" s="4" t="n">
        <v>13567.88</v>
      </c>
      <c r="G514" s="4" t="n">
        <v>5</v>
      </c>
      <c r="J514" s="11" t="n">
        <f aca="false">IF(C514="one_time",G514,H514)</f>
        <v>5</v>
      </c>
      <c r="K514" s="11" t="n">
        <f aca="false">IF(C514="one_time",G514+1,I514)</f>
        <v>6</v>
      </c>
      <c r="L514" s="11" t="n">
        <f aca="false">K514-J514</f>
        <v>1</v>
      </c>
    </row>
    <row r="515" customFormat="false" ht="15" hidden="false" customHeight="false" outlineLevel="0" collapsed="false">
      <c r="A515" s="4" t="s">
        <v>1497</v>
      </c>
      <c r="B515" s="4" t="s">
        <v>95</v>
      </c>
      <c r="C515" s="4" t="s">
        <v>982</v>
      </c>
      <c r="D515" s="4" t="s">
        <v>983</v>
      </c>
      <c r="E515" s="4" t="n">
        <v>14238.06</v>
      </c>
      <c r="G515" s="4" t="n">
        <v>6</v>
      </c>
      <c r="J515" s="11" t="n">
        <f aca="false">IF(C515="one_time",G515,H515)</f>
        <v>6</v>
      </c>
      <c r="K515" s="11" t="n">
        <f aca="false">IF(C515="one_time",G515+1,I515)</f>
        <v>7</v>
      </c>
      <c r="L515" s="11" t="n">
        <f aca="false">K515-J515</f>
        <v>1</v>
      </c>
    </row>
    <row r="516" customFormat="false" ht="15" hidden="false" customHeight="false" outlineLevel="0" collapsed="false">
      <c r="A516" s="4" t="s">
        <v>1498</v>
      </c>
      <c r="B516" s="4" t="s">
        <v>95</v>
      </c>
      <c r="C516" s="4" t="s">
        <v>982</v>
      </c>
      <c r="D516" s="4" t="s">
        <v>983</v>
      </c>
      <c r="E516" s="4" t="n">
        <v>13983.19</v>
      </c>
      <c r="G516" s="4" t="n">
        <v>7</v>
      </c>
      <c r="J516" s="11" t="n">
        <f aca="false">IF(C516="one_time",G516,H516)</f>
        <v>7</v>
      </c>
      <c r="K516" s="11" t="n">
        <f aca="false">IF(C516="one_time",G516+1,I516)</f>
        <v>8</v>
      </c>
      <c r="L516" s="11" t="n">
        <f aca="false">K516-J516</f>
        <v>1</v>
      </c>
    </row>
    <row r="517" customFormat="false" ht="15" hidden="false" customHeight="false" outlineLevel="0" collapsed="false">
      <c r="A517" s="4" t="s">
        <v>1499</v>
      </c>
      <c r="B517" s="4" t="s">
        <v>95</v>
      </c>
      <c r="C517" s="4" t="s">
        <v>982</v>
      </c>
      <c r="D517" s="4" t="s">
        <v>983</v>
      </c>
      <c r="E517" s="4" t="n">
        <v>14562.3</v>
      </c>
      <c r="G517" s="4" t="n">
        <v>8</v>
      </c>
      <c r="J517" s="11" t="n">
        <f aca="false">IF(C517="one_time",G517,H517)</f>
        <v>8</v>
      </c>
      <c r="K517" s="11" t="n">
        <f aca="false">IF(C517="one_time",G517+1,I517)</f>
        <v>9</v>
      </c>
      <c r="L517" s="11" t="n">
        <f aca="false">K517-J517</f>
        <v>1</v>
      </c>
    </row>
    <row r="518" customFormat="false" ht="15" hidden="false" customHeight="false" outlineLevel="0" collapsed="false">
      <c r="A518" s="4" t="s">
        <v>1500</v>
      </c>
      <c r="B518" s="4" t="s">
        <v>95</v>
      </c>
      <c r="C518" s="4" t="s">
        <v>982</v>
      </c>
      <c r="D518" s="4" t="s">
        <v>983</v>
      </c>
      <c r="E518" s="4" t="n">
        <v>140874.71</v>
      </c>
      <c r="G518" s="4" t="n">
        <v>0</v>
      </c>
      <c r="J518" s="11" t="n">
        <f aca="false">IF(C518="one_time",G518,H518)</f>
        <v>0</v>
      </c>
      <c r="K518" s="11" t="n">
        <f aca="false">IF(C518="one_time",G518+1,I518)</f>
        <v>1</v>
      </c>
      <c r="L518" s="11" t="n">
        <f aca="false">K518-J518</f>
        <v>1</v>
      </c>
    </row>
    <row r="519" customFormat="false" ht="15" hidden="false" customHeight="false" outlineLevel="0" collapsed="false">
      <c r="A519" s="4" t="s">
        <v>1501</v>
      </c>
      <c r="B519" s="4" t="s">
        <v>95</v>
      </c>
      <c r="C519" s="4" t="s">
        <v>982</v>
      </c>
      <c r="D519" s="4" t="s">
        <v>983</v>
      </c>
      <c r="E519" s="4" t="n">
        <v>86964.39</v>
      </c>
      <c r="G519" s="4" t="n">
        <v>1</v>
      </c>
      <c r="J519" s="11" t="n">
        <f aca="false">IF(C519="one_time",G519,H519)</f>
        <v>1</v>
      </c>
      <c r="K519" s="11" t="n">
        <f aca="false">IF(C519="one_time",G519+1,I519)</f>
        <v>2</v>
      </c>
      <c r="L519" s="11" t="n">
        <f aca="false">K519-J519</f>
        <v>1</v>
      </c>
    </row>
    <row r="520" customFormat="false" ht="15" hidden="false" customHeight="false" outlineLevel="0" collapsed="false">
      <c r="A520" s="4" t="s">
        <v>1502</v>
      </c>
      <c r="B520" s="4" t="s">
        <v>95</v>
      </c>
      <c r="C520" s="4" t="s">
        <v>982</v>
      </c>
      <c r="D520" s="4" t="s">
        <v>983</v>
      </c>
      <c r="E520" s="4" t="n">
        <v>4381.29</v>
      </c>
      <c r="G520" s="4" t="n">
        <v>2</v>
      </c>
      <c r="J520" s="11" t="n">
        <f aca="false">IF(C520="one_time",G520,H520)</f>
        <v>2</v>
      </c>
      <c r="K520" s="11" t="n">
        <f aca="false">IF(C520="one_time",G520+1,I520)</f>
        <v>3</v>
      </c>
      <c r="L520" s="11" t="n">
        <f aca="false">K520-J520</f>
        <v>1</v>
      </c>
    </row>
    <row r="521" customFormat="false" ht="15" hidden="false" customHeight="false" outlineLevel="0" collapsed="false">
      <c r="A521" s="4" t="s">
        <v>1503</v>
      </c>
      <c r="B521" s="4" t="s">
        <v>95</v>
      </c>
      <c r="C521" s="4" t="s">
        <v>982</v>
      </c>
      <c r="D521" s="4" t="s">
        <v>983</v>
      </c>
      <c r="E521" s="4" t="n">
        <v>4381.29</v>
      </c>
      <c r="G521" s="4" t="n">
        <v>3</v>
      </c>
      <c r="J521" s="11" t="n">
        <f aca="false">IF(C521="one_time",G521,H521)</f>
        <v>3</v>
      </c>
      <c r="K521" s="11" t="n">
        <f aca="false">IF(C521="one_time",G521+1,I521)</f>
        <v>4</v>
      </c>
      <c r="L521" s="11" t="n">
        <f aca="false">K521-J521</f>
        <v>1</v>
      </c>
    </row>
    <row r="522" customFormat="false" ht="15" hidden="false" customHeight="false" outlineLevel="0" collapsed="false">
      <c r="A522" s="4" t="s">
        <v>1504</v>
      </c>
      <c r="B522" s="4" t="s">
        <v>95</v>
      </c>
      <c r="C522" s="4" t="s">
        <v>982</v>
      </c>
      <c r="D522" s="4" t="s">
        <v>983</v>
      </c>
      <c r="E522" s="4" t="n">
        <v>4732.34</v>
      </c>
      <c r="G522" s="4" t="n">
        <v>4</v>
      </c>
      <c r="J522" s="11" t="n">
        <f aca="false">IF(C522="one_time",G522,H522)</f>
        <v>4</v>
      </c>
      <c r="K522" s="11" t="n">
        <f aca="false">IF(C522="one_time",G522+1,I522)</f>
        <v>5</v>
      </c>
      <c r="L522" s="11" t="n">
        <f aca="false">K522-J522</f>
        <v>1</v>
      </c>
    </row>
    <row r="523" customFormat="false" ht="15" hidden="false" customHeight="false" outlineLevel="0" collapsed="false">
      <c r="A523" s="4" t="s">
        <v>1505</v>
      </c>
      <c r="B523" s="4" t="s">
        <v>95</v>
      </c>
      <c r="C523" s="4" t="s">
        <v>982</v>
      </c>
      <c r="D523" s="4" t="s">
        <v>983</v>
      </c>
      <c r="E523" s="4" t="n">
        <v>4527.18</v>
      </c>
      <c r="G523" s="4" t="n">
        <v>5</v>
      </c>
      <c r="J523" s="11" t="n">
        <f aca="false">IF(C523="one_time",G523,H523)</f>
        <v>5</v>
      </c>
      <c r="K523" s="11" t="n">
        <f aca="false">IF(C523="one_time",G523+1,I523)</f>
        <v>6</v>
      </c>
      <c r="L523" s="11" t="n">
        <f aca="false">K523-J523</f>
        <v>1</v>
      </c>
    </row>
    <row r="524" customFormat="false" ht="15" hidden="false" customHeight="false" outlineLevel="0" collapsed="false">
      <c r="A524" s="4" t="s">
        <v>1506</v>
      </c>
      <c r="B524" s="4" t="s">
        <v>95</v>
      </c>
      <c r="C524" s="4" t="s">
        <v>982</v>
      </c>
      <c r="D524" s="4" t="s">
        <v>983</v>
      </c>
      <c r="E524" s="4" t="n">
        <v>4563.65</v>
      </c>
      <c r="G524" s="4" t="n">
        <v>6</v>
      </c>
      <c r="J524" s="11" t="n">
        <f aca="false">IF(C524="one_time",G524,H524)</f>
        <v>6</v>
      </c>
      <c r="K524" s="11" t="n">
        <f aca="false">IF(C524="one_time",G524+1,I524)</f>
        <v>7</v>
      </c>
      <c r="L524" s="11" t="n">
        <f aca="false">K524-J524</f>
        <v>1</v>
      </c>
    </row>
    <row r="525" customFormat="false" ht="15" hidden="false" customHeight="false" outlineLevel="0" collapsed="false">
      <c r="A525" s="4" t="s">
        <v>1507</v>
      </c>
      <c r="B525" s="4" t="s">
        <v>95</v>
      </c>
      <c r="C525" s="4" t="s">
        <v>982</v>
      </c>
      <c r="D525" s="4" t="s">
        <v>983</v>
      </c>
      <c r="E525" s="4" t="n">
        <v>4519.82</v>
      </c>
      <c r="G525" s="4" t="n">
        <v>7</v>
      </c>
      <c r="J525" s="11" t="n">
        <f aca="false">IF(C525="one_time",G525,H525)</f>
        <v>7</v>
      </c>
      <c r="K525" s="11" t="n">
        <f aca="false">IF(C525="one_time",G525+1,I525)</f>
        <v>8</v>
      </c>
      <c r="L525" s="11" t="n">
        <f aca="false">K525-J525</f>
        <v>1</v>
      </c>
    </row>
    <row r="526" customFormat="false" ht="15" hidden="false" customHeight="false" outlineLevel="0" collapsed="false">
      <c r="A526" s="4" t="s">
        <v>1508</v>
      </c>
      <c r="B526" s="4" t="s">
        <v>95</v>
      </c>
      <c r="C526" s="4" t="s">
        <v>982</v>
      </c>
      <c r="D526" s="4" t="s">
        <v>983</v>
      </c>
      <c r="E526" s="4" t="n">
        <v>4486.86</v>
      </c>
      <c r="G526" s="4" t="n">
        <v>8</v>
      </c>
      <c r="J526" s="11" t="n">
        <f aca="false">IF(C526="one_time",G526,H526)</f>
        <v>8</v>
      </c>
      <c r="K526" s="11" t="n">
        <f aca="false">IF(C526="one_time",G526+1,I526)</f>
        <v>9</v>
      </c>
      <c r="L526" s="11" t="n">
        <f aca="false">K526-J526</f>
        <v>1</v>
      </c>
    </row>
    <row r="527" customFormat="false" ht="15" hidden="false" customHeight="false" outlineLevel="0" collapsed="false">
      <c r="A527" s="4" t="s">
        <v>1509</v>
      </c>
      <c r="B527" s="4" t="s">
        <v>95</v>
      </c>
      <c r="C527" s="4" t="s">
        <v>982</v>
      </c>
      <c r="D527" s="4" t="s">
        <v>983</v>
      </c>
      <c r="E527" s="4" t="n">
        <v>382651.43</v>
      </c>
      <c r="G527" s="4" t="n">
        <v>0</v>
      </c>
      <c r="J527" s="11" t="n">
        <f aca="false">IF(C527="one_time",G527,H527)</f>
        <v>0</v>
      </c>
      <c r="K527" s="11" t="n">
        <f aca="false">IF(C527="one_time",G527+1,I527)</f>
        <v>1</v>
      </c>
      <c r="L527" s="11" t="n">
        <f aca="false">K527-J527</f>
        <v>1</v>
      </c>
    </row>
    <row r="528" customFormat="false" ht="15" hidden="false" customHeight="false" outlineLevel="0" collapsed="false">
      <c r="A528" s="4" t="s">
        <v>1510</v>
      </c>
      <c r="B528" s="4" t="s">
        <v>95</v>
      </c>
      <c r="C528" s="4" t="s">
        <v>982</v>
      </c>
      <c r="D528" s="4" t="s">
        <v>983</v>
      </c>
      <c r="E528" s="4" t="n">
        <v>230684.49</v>
      </c>
      <c r="G528" s="4" t="n">
        <v>1</v>
      </c>
      <c r="J528" s="11" t="n">
        <f aca="false">IF(C528="one_time",G528,H528)</f>
        <v>1</v>
      </c>
      <c r="K528" s="11" t="n">
        <f aca="false">IF(C528="one_time",G528+1,I528)</f>
        <v>2</v>
      </c>
      <c r="L528" s="11" t="n">
        <f aca="false">K528-J528</f>
        <v>1</v>
      </c>
    </row>
    <row r="529" customFormat="false" ht="15" hidden="false" customHeight="false" outlineLevel="0" collapsed="false">
      <c r="A529" s="4" t="s">
        <v>1511</v>
      </c>
      <c r="B529" s="4" t="s">
        <v>95</v>
      </c>
      <c r="C529" s="4" t="s">
        <v>982</v>
      </c>
      <c r="D529" s="4" t="s">
        <v>983</v>
      </c>
      <c r="E529" s="4" t="n">
        <v>12534.48</v>
      </c>
      <c r="G529" s="4" t="n">
        <v>2</v>
      </c>
      <c r="J529" s="11" t="n">
        <f aca="false">IF(C529="one_time",G529,H529)</f>
        <v>2</v>
      </c>
      <c r="K529" s="11" t="n">
        <f aca="false">IF(C529="one_time",G529+1,I529)</f>
        <v>3</v>
      </c>
      <c r="L529" s="11" t="n">
        <f aca="false">K529-J529</f>
        <v>1</v>
      </c>
    </row>
    <row r="530" customFormat="false" ht="15" hidden="false" customHeight="false" outlineLevel="0" collapsed="false">
      <c r="A530" s="4" t="s">
        <v>1512</v>
      </c>
      <c r="B530" s="4" t="s">
        <v>95</v>
      </c>
      <c r="C530" s="4" t="s">
        <v>982</v>
      </c>
      <c r="D530" s="4" t="s">
        <v>983</v>
      </c>
      <c r="E530" s="4" t="n">
        <v>12522.32</v>
      </c>
      <c r="G530" s="4" t="n">
        <v>3</v>
      </c>
      <c r="J530" s="11" t="n">
        <f aca="false">IF(C530="one_time",G530,H530)</f>
        <v>3</v>
      </c>
      <c r="K530" s="11" t="n">
        <f aca="false">IF(C530="one_time",G530+1,I530)</f>
        <v>4</v>
      </c>
      <c r="L530" s="11" t="n">
        <f aca="false">K530-J530</f>
        <v>1</v>
      </c>
    </row>
    <row r="531" customFormat="false" ht="15" hidden="false" customHeight="false" outlineLevel="0" collapsed="false">
      <c r="A531" s="4" t="s">
        <v>1513</v>
      </c>
      <c r="B531" s="4" t="s">
        <v>95</v>
      </c>
      <c r="C531" s="4" t="s">
        <v>982</v>
      </c>
      <c r="D531" s="4" t="s">
        <v>983</v>
      </c>
      <c r="E531" s="4" t="n">
        <v>11476.77</v>
      </c>
      <c r="G531" s="4" t="n">
        <v>4</v>
      </c>
      <c r="J531" s="11" t="n">
        <f aca="false">IF(C531="one_time",G531,H531)</f>
        <v>4</v>
      </c>
      <c r="K531" s="11" t="n">
        <f aca="false">IF(C531="one_time",G531+1,I531)</f>
        <v>5</v>
      </c>
      <c r="L531" s="11" t="n">
        <f aca="false">K531-J531</f>
        <v>1</v>
      </c>
    </row>
    <row r="532" customFormat="false" ht="15" hidden="false" customHeight="false" outlineLevel="0" collapsed="false">
      <c r="A532" s="4" t="s">
        <v>1514</v>
      </c>
      <c r="B532" s="4" t="s">
        <v>95</v>
      </c>
      <c r="C532" s="4" t="s">
        <v>982</v>
      </c>
      <c r="D532" s="4" t="s">
        <v>983</v>
      </c>
      <c r="E532" s="4" t="n">
        <v>12704.69</v>
      </c>
      <c r="G532" s="4" t="n">
        <v>5</v>
      </c>
      <c r="J532" s="11" t="n">
        <f aca="false">IF(C532="one_time",G532,H532)</f>
        <v>5</v>
      </c>
      <c r="K532" s="11" t="n">
        <f aca="false">IF(C532="one_time",G532+1,I532)</f>
        <v>6</v>
      </c>
      <c r="L532" s="11" t="n">
        <f aca="false">K532-J532</f>
        <v>1</v>
      </c>
    </row>
    <row r="533" customFormat="false" ht="15" hidden="false" customHeight="false" outlineLevel="0" collapsed="false">
      <c r="A533" s="4" t="s">
        <v>1515</v>
      </c>
      <c r="B533" s="4" t="s">
        <v>95</v>
      </c>
      <c r="C533" s="4" t="s">
        <v>982</v>
      </c>
      <c r="D533" s="4" t="s">
        <v>983</v>
      </c>
      <c r="E533" s="4" t="n">
        <v>12315.64</v>
      </c>
      <c r="G533" s="4" t="n">
        <v>6</v>
      </c>
      <c r="J533" s="11" t="n">
        <f aca="false">IF(C533="one_time",G533,H533)</f>
        <v>6</v>
      </c>
      <c r="K533" s="11" t="n">
        <f aca="false">IF(C533="one_time",G533+1,I533)</f>
        <v>7</v>
      </c>
      <c r="L533" s="11" t="n">
        <f aca="false">K533-J533</f>
        <v>1</v>
      </c>
    </row>
    <row r="534" customFormat="false" ht="15" hidden="false" customHeight="false" outlineLevel="0" collapsed="false">
      <c r="A534" s="4" t="s">
        <v>1516</v>
      </c>
      <c r="B534" s="4" t="s">
        <v>95</v>
      </c>
      <c r="C534" s="4" t="s">
        <v>982</v>
      </c>
      <c r="D534" s="4" t="s">
        <v>983</v>
      </c>
      <c r="E534" s="4" t="n">
        <v>13120.03</v>
      </c>
      <c r="G534" s="4" t="n">
        <v>7</v>
      </c>
      <c r="J534" s="11" t="n">
        <f aca="false">IF(C534="one_time",G534,H534)</f>
        <v>7</v>
      </c>
      <c r="K534" s="11" t="n">
        <f aca="false">IF(C534="one_time",G534+1,I534)</f>
        <v>8</v>
      </c>
      <c r="L534" s="11" t="n">
        <f aca="false">K534-J534</f>
        <v>1</v>
      </c>
    </row>
    <row r="535" customFormat="false" ht="15" hidden="false" customHeight="false" outlineLevel="0" collapsed="false">
      <c r="A535" s="4" t="s">
        <v>1517</v>
      </c>
      <c r="B535" s="4" t="s">
        <v>95</v>
      </c>
      <c r="C535" s="4" t="s">
        <v>982</v>
      </c>
      <c r="D535" s="4" t="s">
        <v>983</v>
      </c>
      <c r="E535" s="4" t="n">
        <v>12529.94</v>
      </c>
      <c r="G535" s="4" t="n">
        <v>8</v>
      </c>
      <c r="J535" s="11" t="n">
        <f aca="false">IF(C535="one_time",G535,H535)</f>
        <v>8</v>
      </c>
      <c r="K535" s="11" t="n">
        <f aca="false">IF(C535="one_time",G535+1,I535)</f>
        <v>9</v>
      </c>
      <c r="L535" s="11" t="n">
        <f aca="false">K535-J535</f>
        <v>1</v>
      </c>
    </row>
    <row r="536" customFormat="false" ht="15" hidden="false" customHeight="false" outlineLevel="0" collapsed="false">
      <c r="A536" s="4" t="s">
        <v>1518</v>
      </c>
      <c r="B536" s="4" t="s">
        <v>95</v>
      </c>
      <c r="C536" s="4" t="s">
        <v>982</v>
      </c>
      <c r="D536" s="4" t="s">
        <v>1011</v>
      </c>
      <c r="E536" s="4" t="n">
        <v>57800</v>
      </c>
      <c r="F536" s="4" t="s">
        <v>1519</v>
      </c>
      <c r="G536" s="4" t="n">
        <v>1</v>
      </c>
      <c r="J536" s="11" t="n">
        <f aca="false">IF(C536="one_time",G536,H536)</f>
        <v>1</v>
      </c>
      <c r="K536" s="11" t="n">
        <f aca="false">IF(C536="one_time",G536+1,I536)</f>
        <v>2</v>
      </c>
      <c r="L536" s="11" t="n">
        <f aca="false">K536-J536</f>
        <v>1</v>
      </c>
    </row>
    <row r="537" customFormat="false" ht="15" hidden="false" customHeight="false" outlineLevel="0" collapsed="false">
      <c r="A537" s="4" t="s">
        <v>1520</v>
      </c>
      <c r="B537" s="4" t="s">
        <v>95</v>
      </c>
      <c r="C537" s="4" t="s">
        <v>982</v>
      </c>
      <c r="D537" s="4" t="s">
        <v>1011</v>
      </c>
      <c r="E537" s="4" t="n">
        <v>72200</v>
      </c>
      <c r="F537" s="4" t="s">
        <v>1519</v>
      </c>
      <c r="G537" s="4" t="n">
        <v>1</v>
      </c>
      <c r="J537" s="11" t="n">
        <f aca="false">IF(C537="one_time",G537,H537)</f>
        <v>1</v>
      </c>
      <c r="K537" s="11" t="n">
        <f aca="false">IF(C537="one_time",G537+1,I537)</f>
        <v>2</v>
      </c>
      <c r="L537" s="11" t="n">
        <f aca="false">K537-J537</f>
        <v>1</v>
      </c>
    </row>
    <row r="538" customFormat="false" ht="15" hidden="false" customHeight="false" outlineLevel="0" collapsed="false">
      <c r="A538" s="4" t="s">
        <v>1521</v>
      </c>
      <c r="B538" s="4" t="s">
        <v>95</v>
      </c>
      <c r="C538" s="4" t="s">
        <v>982</v>
      </c>
      <c r="D538" s="4" t="s">
        <v>1011</v>
      </c>
      <c r="E538" s="4" t="n">
        <v>30450</v>
      </c>
      <c r="F538" s="4" t="s">
        <v>1519</v>
      </c>
      <c r="G538" s="4" t="n">
        <v>0</v>
      </c>
      <c r="J538" s="11" t="n">
        <f aca="false">IF(C538="one_time",G538,H538)</f>
        <v>0</v>
      </c>
      <c r="K538" s="11" t="n">
        <f aca="false">IF(C538="one_time",G538+1,I538)</f>
        <v>1</v>
      </c>
      <c r="L538" s="11" t="n">
        <f aca="false">K538-J538</f>
        <v>1</v>
      </c>
    </row>
    <row r="539" customFormat="false" ht="15" hidden="false" customHeight="false" outlineLevel="0" collapsed="false">
      <c r="A539" s="4" t="s">
        <v>1522</v>
      </c>
      <c r="B539" s="4" t="s">
        <v>95</v>
      </c>
      <c r="C539" s="4" t="s">
        <v>982</v>
      </c>
      <c r="D539" s="4" t="s">
        <v>1011</v>
      </c>
      <c r="E539" s="4" t="n">
        <v>20300</v>
      </c>
      <c r="F539" s="4" t="s">
        <v>1519</v>
      </c>
      <c r="G539" s="4" t="n">
        <v>1</v>
      </c>
      <c r="J539" s="11" t="n">
        <f aca="false">IF(C539="one_time",G539,H539)</f>
        <v>1</v>
      </c>
      <c r="K539" s="11" t="n">
        <f aca="false">IF(C539="one_time",G539+1,I539)</f>
        <v>2</v>
      </c>
      <c r="L539" s="11" t="n">
        <f aca="false">K539-J539</f>
        <v>1</v>
      </c>
    </row>
    <row r="540" customFormat="false" ht="15" hidden="false" customHeight="false" outlineLevel="0" collapsed="false">
      <c r="A540" s="4" t="s">
        <v>1523</v>
      </c>
      <c r="B540" s="4" t="s">
        <v>95</v>
      </c>
      <c r="C540" s="4" t="s">
        <v>982</v>
      </c>
      <c r="D540" s="4" t="s">
        <v>1011</v>
      </c>
      <c r="E540" s="4" t="n">
        <v>14250</v>
      </c>
      <c r="F540" s="4" t="s">
        <v>1519</v>
      </c>
      <c r="G540" s="4" t="n">
        <v>1</v>
      </c>
      <c r="J540" s="11" t="n">
        <f aca="false">IF(C540="one_time",G540,H540)</f>
        <v>1</v>
      </c>
      <c r="K540" s="11" t="n">
        <f aca="false">IF(C540="one_time",G540+1,I540)</f>
        <v>2</v>
      </c>
      <c r="L540" s="11" t="n">
        <f aca="false">K540-J540</f>
        <v>1</v>
      </c>
    </row>
    <row r="541" customFormat="false" ht="15" hidden="false" customHeight="false" outlineLevel="0" collapsed="false">
      <c r="A541" s="4" t="s">
        <v>1524</v>
      </c>
      <c r="B541" s="4" t="s">
        <v>95</v>
      </c>
      <c r="C541" s="4" t="s">
        <v>982</v>
      </c>
      <c r="D541" s="4" t="s">
        <v>1011</v>
      </c>
      <c r="E541" s="4" t="n">
        <v>39000</v>
      </c>
      <c r="F541" s="4" t="s">
        <v>1519</v>
      </c>
      <c r="G541" s="4" t="n">
        <v>0</v>
      </c>
      <c r="J541" s="11" t="n">
        <f aca="false">IF(C541="one_time",G541,H541)</f>
        <v>0</v>
      </c>
      <c r="K541" s="11" t="n">
        <f aca="false">IF(C541="one_time",G541+1,I541)</f>
        <v>1</v>
      </c>
      <c r="L541" s="11" t="n">
        <f aca="false">K541-J541</f>
        <v>1</v>
      </c>
    </row>
    <row r="542" customFormat="false" ht="15" hidden="false" customHeight="false" outlineLevel="0" collapsed="false">
      <c r="A542" s="4" t="s">
        <v>1525</v>
      </c>
      <c r="B542" s="4" t="s">
        <v>95</v>
      </c>
      <c r="C542" s="4" t="s">
        <v>982</v>
      </c>
      <c r="D542" s="4" t="s">
        <v>1011</v>
      </c>
      <c r="E542" s="4" t="n">
        <v>61200</v>
      </c>
      <c r="F542" s="4" t="s">
        <v>1519</v>
      </c>
      <c r="G542" s="4" t="n">
        <v>0</v>
      </c>
      <c r="J542" s="11" t="n">
        <f aca="false">IF(C542="one_time",G542,H542)</f>
        <v>0</v>
      </c>
      <c r="K542" s="11" t="n">
        <f aca="false">IF(C542="one_time",G542+1,I542)</f>
        <v>1</v>
      </c>
      <c r="L542" s="11" t="n">
        <f aca="false">K542-J542</f>
        <v>1</v>
      </c>
    </row>
    <row r="543" customFormat="false" ht="15" hidden="false" customHeight="false" outlineLevel="0" collapsed="false">
      <c r="A543" s="4" t="s">
        <v>1526</v>
      </c>
      <c r="B543" s="4" t="s">
        <v>95</v>
      </c>
      <c r="C543" s="4" t="s">
        <v>982</v>
      </c>
      <c r="D543" s="4" t="s">
        <v>1011</v>
      </c>
      <c r="E543" s="4" t="n">
        <v>68800</v>
      </c>
      <c r="F543" s="4" t="s">
        <v>1519</v>
      </c>
      <c r="G543" s="4" t="n">
        <v>0</v>
      </c>
      <c r="J543" s="11" t="n">
        <f aca="false">IF(C543="one_time",G543,H543)</f>
        <v>0</v>
      </c>
      <c r="K543" s="11" t="n">
        <f aca="false">IF(C543="one_time",G543+1,I543)</f>
        <v>1</v>
      </c>
      <c r="L543" s="11" t="n">
        <f aca="false">K543-J543</f>
        <v>1</v>
      </c>
    </row>
    <row r="544" customFormat="false" ht="15" hidden="false" customHeight="false" outlineLevel="0" collapsed="false">
      <c r="A544" s="4" t="s">
        <v>1527</v>
      </c>
      <c r="B544" s="4" t="s">
        <v>95</v>
      </c>
      <c r="C544" s="4" t="s">
        <v>982</v>
      </c>
      <c r="D544" s="4" t="s">
        <v>1011</v>
      </c>
      <c r="E544" s="4" t="n">
        <v>26000</v>
      </c>
      <c r="F544" s="4" t="s">
        <v>1519</v>
      </c>
      <c r="G544" s="4" t="n">
        <v>0</v>
      </c>
      <c r="J544" s="11" t="n">
        <f aca="false">IF(C544="one_time",G544,H544)</f>
        <v>0</v>
      </c>
      <c r="K544" s="11" t="n">
        <f aca="false">IF(C544="one_time",G544+1,I544)</f>
        <v>1</v>
      </c>
      <c r="L544" s="11" t="n">
        <f aca="false">K544-J544</f>
        <v>1</v>
      </c>
    </row>
    <row r="545" customFormat="false" ht="15" hidden="false" customHeight="false" outlineLevel="0" collapsed="false">
      <c r="A545" s="4" t="s">
        <v>1528</v>
      </c>
      <c r="B545" s="4" t="s">
        <v>95</v>
      </c>
      <c r="C545" s="4" t="s">
        <v>982</v>
      </c>
      <c r="D545" s="4" t="s">
        <v>1011</v>
      </c>
      <c r="E545" s="4" t="n">
        <v>119750</v>
      </c>
      <c r="F545" s="4" t="s">
        <v>1519</v>
      </c>
      <c r="G545" s="4" t="n">
        <v>0</v>
      </c>
      <c r="J545" s="11" t="n">
        <f aca="false">IF(C545="one_time",G545,H545)</f>
        <v>0</v>
      </c>
      <c r="K545" s="11" t="n">
        <f aca="false">IF(C545="one_time",G545+1,I545)</f>
        <v>1</v>
      </c>
      <c r="L545" s="11" t="n">
        <f aca="false">K545-J545</f>
        <v>1</v>
      </c>
    </row>
    <row r="546" customFormat="false" ht="15" hidden="false" customHeight="false" outlineLevel="0" collapsed="false">
      <c r="A546" s="4" t="s">
        <v>1529</v>
      </c>
      <c r="B546" s="4" t="s">
        <v>95</v>
      </c>
      <c r="C546" s="4" t="s">
        <v>982</v>
      </c>
      <c r="D546" s="4" t="s">
        <v>1011</v>
      </c>
      <c r="E546" s="4" t="n">
        <v>335250</v>
      </c>
      <c r="F546" s="4" t="s">
        <v>1519</v>
      </c>
      <c r="G546" s="4" t="n">
        <v>0</v>
      </c>
      <c r="J546" s="11" t="n">
        <f aca="false">IF(C546="one_time",G546,H546)</f>
        <v>0</v>
      </c>
      <c r="K546" s="11" t="n">
        <f aca="false">IF(C546="one_time",G546+1,I546)</f>
        <v>1</v>
      </c>
      <c r="L546" s="11" t="n">
        <f aca="false">K546-J546</f>
        <v>1</v>
      </c>
    </row>
    <row r="547" customFormat="false" ht="15" hidden="false" customHeight="false" outlineLevel="0" collapsed="false">
      <c r="A547" s="4" t="s">
        <v>1530</v>
      </c>
      <c r="B547" s="4" t="s">
        <v>95</v>
      </c>
      <c r="C547" s="4" t="s">
        <v>982</v>
      </c>
      <c r="D547" s="4" t="s">
        <v>1011</v>
      </c>
      <c r="E547" s="4" t="n">
        <v>65000</v>
      </c>
      <c r="F547" s="4" t="s">
        <v>1519</v>
      </c>
      <c r="G547" s="4" t="n">
        <v>1</v>
      </c>
      <c r="J547" s="11" t="n">
        <f aca="false">IF(C547="one_time",G547,H547)</f>
        <v>1</v>
      </c>
      <c r="K547" s="11" t="n">
        <f aca="false">IF(C547="one_time",G547+1,I547)</f>
        <v>2</v>
      </c>
      <c r="L547" s="11" t="n">
        <f aca="false">K547-J547</f>
        <v>1</v>
      </c>
    </row>
    <row r="548" customFormat="false" ht="15" hidden="false" customHeight="false" outlineLevel="0" collapsed="false">
      <c r="A548" s="4" t="s">
        <v>1531</v>
      </c>
      <c r="B548" s="4" t="s">
        <v>95</v>
      </c>
      <c r="C548" s="4" t="s">
        <v>982</v>
      </c>
      <c r="D548" s="4" t="s">
        <v>1011</v>
      </c>
      <c r="E548" s="4" t="n">
        <v>39000</v>
      </c>
      <c r="F548" s="4" t="s">
        <v>1519</v>
      </c>
      <c r="G548" s="4" t="n">
        <v>0</v>
      </c>
      <c r="J548" s="11" t="n">
        <f aca="false">IF(C548="one_time",G548,H548)</f>
        <v>0</v>
      </c>
      <c r="K548" s="11" t="n">
        <f aca="false">IF(C548="one_time",G548+1,I548)</f>
        <v>1</v>
      </c>
      <c r="L548" s="11" t="n">
        <f aca="false">K548-J548</f>
        <v>1</v>
      </c>
    </row>
    <row r="549" customFormat="false" ht="15" hidden="false" customHeight="false" outlineLevel="0" collapsed="false">
      <c r="A549" s="4" t="s">
        <v>1532</v>
      </c>
      <c r="B549" s="4" t="s">
        <v>95</v>
      </c>
      <c r="C549" s="4" t="s">
        <v>982</v>
      </c>
      <c r="D549" s="4" t="s">
        <v>1011</v>
      </c>
      <c r="E549" s="4" t="n">
        <v>91000</v>
      </c>
      <c r="F549" s="4" t="s">
        <v>1519</v>
      </c>
      <c r="G549" s="4" t="n">
        <v>0</v>
      </c>
      <c r="J549" s="11" t="n">
        <f aca="false">IF(C549="one_time",G549,H549)</f>
        <v>0</v>
      </c>
      <c r="K549" s="11" t="n">
        <f aca="false">IF(C549="one_time",G549+1,I549)</f>
        <v>1</v>
      </c>
      <c r="L549" s="11" t="n">
        <f aca="false">K549-J549</f>
        <v>1</v>
      </c>
    </row>
    <row r="550" customFormat="false" ht="15" hidden="false" customHeight="false" outlineLevel="0" collapsed="false">
      <c r="A550" s="4" t="s">
        <v>1533</v>
      </c>
      <c r="B550" s="4" t="s">
        <v>95</v>
      </c>
      <c r="C550" s="4" t="s">
        <v>982</v>
      </c>
      <c r="D550" s="4" t="s">
        <v>1011</v>
      </c>
      <c r="E550" s="4" t="n">
        <v>91000</v>
      </c>
      <c r="F550" s="4" t="s">
        <v>1519</v>
      </c>
      <c r="G550" s="4" t="n">
        <v>1</v>
      </c>
      <c r="J550" s="11" t="n">
        <f aca="false">IF(C550="one_time",G550,H550)</f>
        <v>1</v>
      </c>
      <c r="K550" s="11" t="n">
        <f aca="false">IF(C550="one_time",G550+1,I550)</f>
        <v>2</v>
      </c>
      <c r="L550" s="11" t="n">
        <f aca="false">K550-J550</f>
        <v>1</v>
      </c>
    </row>
    <row r="551" customFormat="false" ht="15" hidden="false" customHeight="false" outlineLevel="0" collapsed="false">
      <c r="A551" s="4" t="s">
        <v>1534</v>
      </c>
      <c r="B551" s="4" t="s">
        <v>95</v>
      </c>
      <c r="C551" s="4" t="s">
        <v>982</v>
      </c>
      <c r="D551" s="4" t="s">
        <v>1011</v>
      </c>
      <c r="E551" s="4" t="n">
        <v>43350</v>
      </c>
      <c r="F551" s="4" t="s">
        <v>1519</v>
      </c>
      <c r="G551" s="4" t="n">
        <v>1</v>
      </c>
      <c r="J551" s="11" t="n">
        <f aca="false">IF(C551="one_time",G551,H551)</f>
        <v>1</v>
      </c>
      <c r="K551" s="11" t="n">
        <f aca="false">IF(C551="one_time",G551+1,I551)</f>
        <v>2</v>
      </c>
      <c r="L551" s="11" t="n">
        <f aca="false">K551-J551</f>
        <v>1</v>
      </c>
    </row>
    <row r="552" customFormat="false" ht="15" hidden="false" customHeight="false" outlineLevel="0" collapsed="false">
      <c r="A552" s="4" t="s">
        <v>1535</v>
      </c>
      <c r="B552" s="4" t="s">
        <v>95</v>
      </c>
      <c r="C552" s="4" t="s">
        <v>982</v>
      </c>
      <c r="D552" s="4" t="s">
        <v>1011</v>
      </c>
      <c r="E552" s="4" t="n">
        <v>40000</v>
      </c>
      <c r="F552" s="4" t="s">
        <v>1519</v>
      </c>
      <c r="G552" s="4" t="n">
        <v>1</v>
      </c>
      <c r="J552" s="11" t="n">
        <f aca="false">IF(C552="one_time",G552,H552)</f>
        <v>1</v>
      </c>
      <c r="K552" s="11" t="n">
        <f aca="false">IF(C552="one_time",G552+1,I552)</f>
        <v>2</v>
      </c>
      <c r="L552" s="11" t="n">
        <f aca="false">K552-J552</f>
        <v>1</v>
      </c>
    </row>
    <row r="553" customFormat="false" ht="15" hidden="false" customHeight="false" outlineLevel="0" collapsed="false">
      <c r="A553" s="4" t="s">
        <v>1536</v>
      </c>
      <c r="B553" s="4" t="s">
        <v>95</v>
      </c>
      <c r="C553" s="4" t="s">
        <v>982</v>
      </c>
      <c r="D553" s="4" t="s">
        <v>1011</v>
      </c>
      <c r="E553" s="4" t="n">
        <v>46650</v>
      </c>
      <c r="F553" s="4" t="s">
        <v>1519</v>
      </c>
      <c r="G553" s="4" t="n">
        <v>1</v>
      </c>
      <c r="J553" s="11" t="n">
        <f aca="false">IF(C553="one_time",G553,H553)</f>
        <v>1</v>
      </c>
      <c r="K553" s="11" t="n">
        <f aca="false">IF(C553="one_time",G553+1,I553)</f>
        <v>2</v>
      </c>
      <c r="L553" s="11" t="n">
        <f aca="false">K553-J553</f>
        <v>1</v>
      </c>
    </row>
    <row r="554" customFormat="false" ht="15" hidden="false" customHeight="false" outlineLevel="0" collapsed="false">
      <c r="A554" s="4" t="s">
        <v>1537</v>
      </c>
      <c r="B554" s="4" t="s">
        <v>95</v>
      </c>
      <c r="C554" s="4" t="s">
        <v>982</v>
      </c>
      <c r="D554" s="4" t="s">
        <v>1011</v>
      </c>
      <c r="E554" s="4" t="n">
        <v>39000</v>
      </c>
      <c r="F554" s="4" t="s">
        <v>1519</v>
      </c>
      <c r="G554" s="4" t="n">
        <v>0</v>
      </c>
      <c r="J554" s="11" t="n">
        <f aca="false">IF(C554="one_time",G554,H554)</f>
        <v>0</v>
      </c>
      <c r="K554" s="11" t="n">
        <f aca="false">IF(C554="one_time",G554+1,I554)</f>
        <v>1</v>
      </c>
      <c r="L554" s="11" t="n">
        <f aca="false">K554-J554</f>
        <v>1</v>
      </c>
    </row>
    <row r="555" customFormat="false" ht="15" hidden="false" customHeight="false" outlineLevel="0" collapsed="false">
      <c r="A555" s="4" t="s">
        <v>1538</v>
      </c>
      <c r="B555" s="4" t="s">
        <v>95</v>
      </c>
      <c r="C555" s="4" t="s">
        <v>982</v>
      </c>
      <c r="D555" s="4" t="s">
        <v>1011</v>
      </c>
      <c r="E555" s="4" t="n">
        <v>19500</v>
      </c>
      <c r="F555" s="4" t="s">
        <v>1519</v>
      </c>
      <c r="G555" s="4" t="n">
        <v>0</v>
      </c>
      <c r="J555" s="11" t="n">
        <f aca="false">IF(C555="one_time",G555,H555)</f>
        <v>0</v>
      </c>
      <c r="K555" s="11" t="n">
        <f aca="false">IF(C555="one_time",G555+1,I555)</f>
        <v>1</v>
      </c>
      <c r="L555" s="11" t="n">
        <f aca="false">K555-J555</f>
        <v>1</v>
      </c>
    </row>
    <row r="556" customFormat="false" ht="15" hidden="false" customHeight="false" outlineLevel="0" collapsed="false">
      <c r="A556" s="4" t="s">
        <v>1539</v>
      </c>
      <c r="B556" s="4" t="s">
        <v>95</v>
      </c>
      <c r="C556" s="4" t="s">
        <v>982</v>
      </c>
      <c r="D556" s="4" t="s">
        <v>1011</v>
      </c>
      <c r="E556" s="4" t="n">
        <v>45500</v>
      </c>
      <c r="F556" s="4" t="s">
        <v>1519</v>
      </c>
      <c r="G556" s="4" t="n">
        <v>1</v>
      </c>
      <c r="J556" s="11" t="n">
        <f aca="false">IF(C556="one_time",G556,H556)</f>
        <v>1</v>
      </c>
      <c r="K556" s="11" t="n">
        <f aca="false">IF(C556="one_time",G556+1,I556)</f>
        <v>2</v>
      </c>
      <c r="L556" s="11" t="n">
        <f aca="false">K556-J556</f>
        <v>1</v>
      </c>
    </row>
    <row r="557" customFormat="false" ht="15" hidden="false" customHeight="false" outlineLevel="0" collapsed="false">
      <c r="A557" s="4" t="s">
        <v>1540</v>
      </c>
      <c r="B557" s="4" t="s">
        <v>95</v>
      </c>
      <c r="C557" s="4" t="s">
        <v>1034</v>
      </c>
      <c r="D557" s="4" t="s">
        <v>1011</v>
      </c>
      <c r="E557" s="4" t="n">
        <v>5200</v>
      </c>
      <c r="F557" s="4" t="s">
        <v>1519</v>
      </c>
      <c r="H557" s="4" t="n">
        <v>1</v>
      </c>
      <c r="I557" s="4" t="n">
        <v>7</v>
      </c>
      <c r="J557" s="11" t="n">
        <f aca="false">IF(C557="one_time",G557,H557)</f>
        <v>1</v>
      </c>
      <c r="K557" s="11" t="n">
        <f aca="false">IF(C557="one_time",G557+1,I557)</f>
        <v>7</v>
      </c>
      <c r="L557" s="11" t="n">
        <f aca="false">K557-J557</f>
        <v>6</v>
      </c>
    </row>
    <row r="558" customFormat="false" ht="15" hidden="false" customHeight="false" outlineLevel="0" collapsed="false">
      <c r="A558" s="4" t="s">
        <v>1541</v>
      </c>
      <c r="B558" s="4" t="s">
        <v>95</v>
      </c>
      <c r="C558" s="4" t="s">
        <v>1034</v>
      </c>
      <c r="D558" s="4" t="s">
        <v>1011</v>
      </c>
      <c r="E558" s="4" t="n">
        <v>5350</v>
      </c>
      <c r="F558" s="4" t="s">
        <v>1519</v>
      </c>
      <c r="H558" s="4" t="n">
        <v>7</v>
      </c>
      <c r="I558" s="4" t="n">
        <v>14</v>
      </c>
      <c r="J558" s="11" t="n">
        <f aca="false">IF(C558="one_time",G558,H558)</f>
        <v>7</v>
      </c>
      <c r="K558" s="11" t="n">
        <f aca="false">IF(C558="one_time",G558+1,I558)</f>
        <v>14</v>
      </c>
      <c r="L558" s="11" t="n">
        <f aca="false">K558-J558</f>
        <v>7</v>
      </c>
    </row>
    <row r="559" customFormat="false" ht="15" hidden="false" customHeight="false" outlineLevel="0" collapsed="false">
      <c r="A559" s="4" t="s">
        <v>1542</v>
      </c>
      <c r="B559" s="4" t="s">
        <v>95</v>
      </c>
      <c r="C559" s="4" t="s">
        <v>1034</v>
      </c>
      <c r="D559" s="4" t="s">
        <v>1011</v>
      </c>
      <c r="E559" s="4" t="n">
        <v>9100</v>
      </c>
      <c r="F559" s="4" t="s">
        <v>1519</v>
      </c>
      <c r="H559" s="4" t="n">
        <v>1</v>
      </c>
      <c r="I559" s="4" t="n">
        <v>7</v>
      </c>
      <c r="J559" s="11" t="n">
        <f aca="false">IF(C559="one_time",G559,H559)</f>
        <v>1</v>
      </c>
      <c r="K559" s="11" t="n">
        <f aca="false">IF(C559="one_time",G559+1,I559)</f>
        <v>7</v>
      </c>
      <c r="L559" s="11" t="n">
        <f aca="false">K559-J559</f>
        <v>6</v>
      </c>
    </row>
    <row r="560" customFormat="false" ht="15" hidden="false" customHeight="false" outlineLevel="0" collapsed="false">
      <c r="A560" s="4" t="s">
        <v>1543</v>
      </c>
      <c r="B560" s="4" t="s">
        <v>95</v>
      </c>
      <c r="C560" s="4" t="s">
        <v>1034</v>
      </c>
      <c r="D560" s="4" t="s">
        <v>1011</v>
      </c>
      <c r="E560" s="4" t="n">
        <v>9200</v>
      </c>
      <c r="F560" s="4" t="s">
        <v>1519</v>
      </c>
      <c r="H560" s="4" t="n">
        <v>7</v>
      </c>
      <c r="I560" s="4" t="n">
        <v>14</v>
      </c>
      <c r="J560" s="11" t="n">
        <f aca="false">IF(C560="one_time",G560,H560)</f>
        <v>7</v>
      </c>
      <c r="K560" s="11" t="n">
        <f aca="false">IF(C560="one_time",G560+1,I560)</f>
        <v>14</v>
      </c>
      <c r="L560" s="11" t="n">
        <f aca="false">K560-J560</f>
        <v>7</v>
      </c>
    </row>
    <row r="561" customFormat="false" ht="15" hidden="false" customHeight="false" outlineLevel="0" collapsed="false">
      <c r="A561" s="4" t="s">
        <v>1544</v>
      </c>
      <c r="B561" s="4" t="s">
        <v>95</v>
      </c>
      <c r="C561" s="4" t="s">
        <v>1034</v>
      </c>
      <c r="D561" s="4" t="s">
        <v>1011</v>
      </c>
      <c r="E561" s="4" t="n">
        <v>11700</v>
      </c>
      <c r="F561" s="4" t="s">
        <v>1519</v>
      </c>
      <c r="H561" s="4" t="n">
        <v>1</v>
      </c>
      <c r="I561" s="4" t="n">
        <v>7</v>
      </c>
      <c r="J561" s="11" t="n">
        <f aca="false">IF(C561="one_time",G561,H561)</f>
        <v>1</v>
      </c>
      <c r="K561" s="11" t="n">
        <f aca="false">IF(C561="one_time",G561+1,I561)</f>
        <v>7</v>
      </c>
      <c r="L561" s="11" t="n">
        <f aca="false">K561-J561</f>
        <v>6</v>
      </c>
    </row>
    <row r="562" customFormat="false" ht="15" hidden="false" customHeight="false" outlineLevel="0" collapsed="false">
      <c r="A562" s="4" t="s">
        <v>1545</v>
      </c>
      <c r="B562" s="4" t="s">
        <v>95</v>
      </c>
      <c r="C562" s="4" t="s">
        <v>1034</v>
      </c>
      <c r="D562" s="4" t="s">
        <v>1011</v>
      </c>
      <c r="E562" s="4" t="n">
        <v>12300</v>
      </c>
      <c r="F562" s="4" t="s">
        <v>1519</v>
      </c>
      <c r="H562" s="4" t="n">
        <v>7</v>
      </c>
      <c r="I562" s="4" t="n">
        <v>14</v>
      </c>
      <c r="J562" s="11" t="n">
        <f aca="false">IF(C562="one_time",G562,H562)</f>
        <v>7</v>
      </c>
      <c r="K562" s="11" t="n">
        <f aca="false">IF(C562="one_time",G562+1,I562)</f>
        <v>14</v>
      </c>
      <c r="L562" s="11" t="n">
        <f aca="false">K562-J562</f>
        <v>7</v>
      </c>
    </row>
    <row r="563" customFormat="false" ht="15" hidden="false" customHeight="false" outlineLevel="0" collapsed="false">
      <c r="A563" s="4" t="s">
        <v>1546</v>
      </c>
      <c r="B563" s="4" t="s">
        <v>96</v>
      </c>
      <c r="C563" s="4" t="s">
        <v>982</v>
      </c>
      <c r="D563" s="4" t="s">
        <v>983</v>
      </c>
      <c r="E563" s="4" t="n">
        <v>235002.68</v>
      </c>
      <c r="G563" s="4" t="n">
        <v>3</v>
      </c>
      <c r="J563" s="11" t="n">
        <f aca="false">IF(C563="one_time",G563,H563)</f>
        <v>3</v>
      </c>
      <c r="K563" s="11" t="n">
        <f aca="false">IF(C563="one_time",G563+1,I563)</f>
        <v>4</v>
      </c>
      <c r="L563" s="11" t="n">
        <f aca="false">K563-J563</f>
        <v>1</v>
      </c>
    </row>
    <row r="564" customFormat="false" ht="15" hidden="false" customHeight="false" outlineLevel="0" collapsed="false">
      <c r="A564" s="4" t="s">
        <v>1547</v>
      </c>
      <c r="B564" s="4" t="s">
        <v>96</v>
      </c>
      <c r="C564" s="4" t="s">
        <v>982</v>
      </c>
      <c r="D564" s="4" t="s">
        <v>983</v>
      </c>
      <c r="E564" s="4" t="n">
        <v>184088.06</v>
      </c>
      <c r="G564" s="4" t="n">
        <v>4</v>
      </c>
      <c r="J564" s="11" t="n">
        <f aca="false">IF(C564="one_time",G564,H564)</f>
        <v>4</v>
      </c>
      <c r="K564" s="11" t="n">
        <f aca="false">IF(C564="one_time",G564+1,I564)</f>
        <v>5</v>
      </c>
      <c r="L564" s="11" t="n">
        <f aca="false">K564-J564</f>
        <v>1</v>
      </c>
    </row>
    <row r="565" customFormat="false" ht="15" hidden="false" customHeight="false" outlineLevel="0" collapsed="false">
      <c r="A565" s="4" t="s">
        <v>1548</v>
      </c>
      <c r="B565" s="4" t="s">
        <v>96</v>
      </c>
      <c r="C565" s="4" t="s">
        <v>982</v>
      </c>
      <c r="D565" s="4" t="s">
        <v>983</v>
      </c>
      <c r="E565" s="4" t="n">
        <v>76869.98</v>
      </c>
      <c r="G565" s="4" t="n">
        <v>5</v>
      </c>
      <c r="J565" s="11" t="n">
        <f aca="false">IF(C565="one_time",G565,H565)</f>
        <v>5</v>
      </c>
      <c r="K565" s="11" t="n">
        <f aca="false">IF(C565="one_time",G565+1,I565)</f>
        <v>6</v>
      </c>
      <c r="L565" s="11" t="n">
        <f aca="false">K565-J565</f>
        <v>1</v>
      </c>
    </row>
    <row r="566" customFormat="false" ht="15" hidden="false" customHeight="false" outlineLevel="0" collapsed="false">
      <c r="A566" s="4" t="s">
        <v>1549</v>
      </c>
      <c r="B566" s="4" t="s">
        <v>96</v>
      </c>
      <c r="C566" s="4" t="s">
        <v>982</v>
      </c>
      <c r="D566" s="4" t="s">
        <v>983</v>
      </c>
      <c r="E566" s="4" t="n">
        <v>9491.98</v>
      </c>
      <c r="G566" s="4" t="n">
        <v>6</v>
      </c>
      <c r="J566" s="11" t="n">
        <f aca="false">IF(C566="one_time",G566,H566)</f>
        <v>6</v>
      </c>
      <c r="K566" s="11" t="n">
        <f aca="false">IF(C566="one_time",G566+1,I566)</f>
        <v>7</v>
      </c>
      <c r="L566" s="11" t="n">
        <f aca="false">K566-J566</f>
        <v>1</v>
      </c>
    </row>
    <row r="567" customFormat="false" ht="15" hidden="false" customHeight="false" outlineLevel="0" collapsed="false">
      <c r="A567" s="4" t="s">
        <v>1550</v>
      </c>
      <c r="B567" s="4" t="s">
        <v>96</v>
      </c>
      <c r="C567" s="4" t="s">
        <v>982</v>
      </c>
      <c r="D567" s="4" t="s">
        <v>983</v>
      </c>
      <c r="E567" s="4" t="n">
        <v>9004.48</v>
      </c>
      <c r="G567" s="4" t="n">
        <v>7</v>
      </c>
      <c r="J567" s="11" t="n">
        <f aca="false">IF(C567="one_time",G567,H567)</f>
        <v>7</v>
      </c>
      <c r="K567" s="11" t="n">
        <f aca="false">IF(C567="one_time",G567+1,I567)</f>
        <v>8</v>
      </c>
      <c r="L567" s="11" t="n">
        <f aca="false">K567-J567</f>
        <v>1</v>
      </c>
    </row>
    <row r="568" customFormat="false" ht="15" hidden="false" customHeight="false" outlineLevel="0" collapsed="false">
      <c r="A568" s="4" t="s">
        <v>1551</v>
      </c>
      <c r="B568" s="4" t="s">
        <v>96</v>
      </c>
      <c r="C568" s="4" t="s">
        <v>982</v>
      </c>
      <c r="D568" s="4" t="s">
        <v>983</v>
      </c>
      <c r="E568" s="4" t="n">
        <v>9874.34</v>
      </c>
      <c r="G568" s="4" t="n">
        <v>8</v>
      </c>
      <c r="J568" s="11" t="n">
        <f aca="false">IF(C568="one_time",G568,H568)</f>
        <v>8</v>
      </c>
      <c r="K568" s="11" t="n">
        <f aca="false">IF(C568="one_time",G568+1,I568)</f>
        <v>9</v>
      </c>
      <c r="L568" s="11" t="n">
        <f aca="false">K568-J568</f>
        <v>1</v>
      </c>
    </row>
    <row r="569" customFormat="false" ht="15" hidden="false" customHeight="false" outlineLevel="0" collapsed="false">
      <c r="A569" s="4" t="s">
        <v>1552</v>
      </c>
      <c r="B569" s="4" t="s">
        <v>96</v>
      </c>
      <c r="C569" s="4" t="s">
        <v>982</v>
      </c>
      <c r="D569" s="4" t="s">
        <v>983</v>
      </c>
      <c r="E569" s="4" t="n">
        <v>77179.99</v>
      </c>
      <c r="G569" s="4" t="n">
        <v>3</v>
      </c>
      <c r="J569" s="11" t="n">
        <f aca="false">IF(C569="one_time",G569,H569)</f>
        <v>3</v>
      </c>
      <c r="K569" s="11" t="n">
        <f aca="false">IF(C569="one_time",G569+1,I569)</f>
        <v>4</v>
      </c>
      <c r="L569" s="11" t="n">
        <f aca="false">K569-J569</f>
        <v>1</v>
      </c>
    </row>
    <row r="570" customFormat="false" ht="15" hidden="false" customHeight="false" outlineLevel="0" collapsed="false">
      <c r="A570" s="4" t="s">
        <v>1553</v>
      </c>
      <c r="B570" s="4" t="s">
        <v>96</v>
      </c>
      <c r="C570" s="4" t="s">
        <v>982</v>
      </c>
      <c r="D570" s="4" t="s">
        <v>983</v>
      </c>
      <c r="E570" s="4" t="n">
        <v>58400.35</v>
      </c>
      <c r="G570" s="4" t="n">
        <v>4</v>
      </c>
      <c r="J570" s="11" t="n">
        <f aca="false">IF(C570="one_time",G570,H570)</f>
        <v>4</v>
      </c>
      <c r="K570" s="11" t="n">
        <f aca="false">IF(C570="one_time",G570+1,I570)</f>
        <v>5</v>
      </c>
      <c r="L570" s="11" t="n">
        <f aca="false">K570-J570</f>
        <v>1</v>
      </c>
    </row>
    <row r="571" customFormat="false" ht="15" hidden="false" customHeight="false" outlineLevel="0" collapsed="false">
      <c r="A571" s="4" t="s">
        <v>1554</v>
      </c>
      <c r="B571" s="4" t="s">
        <v>96</v>
      </c>
      <c r="C571" s="4" t="s">
        <v>982</v>
      </c>
      <c r="D571" s="4" t="s">
        <v>983</v>
      </c>
      <c r="E571" s="4" t="n">
        <v>25422.55</v>
      </c>
      <c r="G571" s="4" t="n">
        <v>5</v>
      </c>
      <c r="J571" s="11" t="n">
        <f aca="false">IF(C571="one_time",G571,H571)</f>
        <v>5</v>
      </c>
      <c r="K571" s="11" t="n">
        <f aca="false">IF(C571="one_time",G571+1,I571)</f>
        <v>6</v>
      </c>
      <c r="L571" s="11" t="n">
        <f aca="false">K571-J571</f>
        <v>1</v>
      </c>
    </row>
    <row r="572" customFormat="false" ht="15" hidden="false" customHeight="false" outlineLevel="0" collapsed="false">
      <c r="A572" s="4" t="s">
        <v>1555</v>
      </c>
      <c r="B572" s="4" t="s">
        <v>96</v>
      </c>
      <c r="C572" s="4" t="s">
        <v>982</v>
      </c>
      <c r="D572" s="4" t="s">
        <v>983</v>
      </c>
      <c r="E572" s="4" t="n">
        <v>3358.36</v>
      </c>
      <c r="G572" s="4" t="n">
        <v>6</v>
      </c>
      <c r="J572" s="11" t="n">
        <f aca="false">IF(C572="one_time",G572,H572)</f>
        <v>6</v>
      </c>
      <c r="K572" s="11" t="n">
        <f aca="false">IF(C572="one_time",G572+1,I572)</f>
        <v>7</v>
      </c>
      <c r="L572" s="11" t="n">
        <f aca="false">K572-J572</f>
        <v>1</v>
      </c>
    </row>
    <row r="573" customFormat="false" ht="15" hidden="false" customHeight="false" outlineLevel="0" collapsed="false">
      <c r="A573" s="4" t="s">
        <v>1556</v>
      </c>
      <c r="B573" s="4" t="s">
        <v>96</v>
      </c>
      <c r="C573" s="4" t="s">
        <v>982</v>
      </c>
      <c r="D573" s="4" t="s">
        <v>983</v>
      </c>
      <c r="E573" s="4" t="n">
        <v>3272.33</v>
      </c>
      <c r="G573" s="4" t="n">
        <v>7</v>
      </c>
      <c r="J573" s="11" t="n">
        <f aca="false">IF(C573="one_time",G573,H573)</f>
        <v>7</v>
      </c>
      <c r="K573" s="11" t="n">
        <f aca="false">IF(C573="one_time",G573+1,I573)</f>
        <v>8</v>
      </c>
      <c r="L573" s="11" t="n">
        <f aca="false">K573-J573</f>
        <v>1</v>
      </c>
    </row>
    <row r="574" customFormat="false" ht="15" hidden="false" customHeight="false" outlineLevel="0" collapsed="false">
      <c r="A574" s="4" t="s">
        <v>1557</v>
      </c>
      <c r="B574" s="4" t="s">
        <v>96</v>
      </c>
      <c r="C574" s="4" t="s">
        <v>982</v>
      </c>
      <c r="D574" s="4" t="s">
        <v>983</v>
      </c>
      <c r="E574" s="4" t="n">
        <v>3230.9</v>
      </c>
      <c r="G574" s="4" t="n">
        <v>8</v>
      </c>
      <c r="J574" s="11" t="n">
        <f aca="false">IF(C574="one_time",G574,H574)</f>
        <v>8</v>
      </c>
      <c r="K574" s="11" t="n">
        <f aca="false">IF(C574="one_time",G574+1,I574)</f>
        <v>9</v>
      </c>
      <c r="L574" s="11" t="n">
        <f aca="false">K574-J574</f>
        <v>1</v>
      </c>
    </row>
    <row r="575" customFormat="false" ht="15" hidden="false" customHeight="false" outlineLevel="0" collapsed="false">
      <c r="A575" s="4" t="s">
        <v>1558</v>
      </c>
      <c r="B575" s="4" t="s">
        <v>96</v>
      </c>
      <c r="C575" s="4" t="s">
        <v>982</v>
      </c>
      <c r="D575" s="4" t="s">
        <v>983</v>
      </c>
      <c r="E575" s="4" t="n">
        <v>209712.06</v>
      </c>
      <c r="G575" s="4" t="n">
        <v>3</v>
      </c>
      <c r="J575" s="11" t="n">
        <f aca="false">IF(C575="one_time",G575,H575)</f>
        <v>3</v>
      </c>
      <c r="K575" s="11" t="n">
        <f aca="false">IF(C575="one_time",G575+1,I575)</f>
        <v>4</v>
      </c>
      <c r="L575" s="11" t="n">
        <f aca="false">K575-J575</f>
        <v>1</v>
      </c>
    </row>
    <row r="576" customFormat="false" ht="15" hidden="false" customHeight="false" outlineLevel="0" collapsed="false">
      <c r="A576" s="4" t="s">
        <v>1559</v>
      </c>
      <c r="B576" s="4" t="s">
        <v>96</v>
      </c>
      <c r="C576" s="4" t="s">
        <v>982</v>
      </c>
      <c r="D576" s="4" t="s">
        <v>983</v>
      </c>
      <c r="E576" s="4" t="n">
        <v>159442.22</v>
      </c>
      <c r="G576" s="4" t="n">
        <v>4</v>
      </c>
      <c r="J576" s="11" t="n">
        <f aca="false">IF(C576="one_time",G576,H576)</f>
        <v>4</v>
      </c>
      <c r="K576" s="11" t="n">
        <f aca="false">IF(C576="one_time",G576+1,I576)</f>
        <v>5</v>
      </c>
      <c r="L576" s="11" t="n">
        <f aca="false">K576-J576</f>
        <v>1</v>
      </c>
    </row>
    <row r="577" customFormat="false" ht="15" hidden="false" customHeight="false" outlineLevel="0" collapsed="false">
      <c r="A577" s="4" t="s">
        <v>1560</v>
      </c>
      <c r="B577" s="4" t="s">
        <v>96</v>
      </c>
      <c r="C577" s="4" t="s">
        <v>982</v>
      </c>
      <c r="D577" s="4" t="s">
        <v>983</v>
      </c>
      <c r="E577" s="4" t="n">
        <v>68261.94</v>
      </c>
      <c r="G577" s="4" t="n">
        <v>5</v>
      </c>
      <c r="J577" s="11" t="n">
        <f aca="false">IF(C577="one_time",G577,H577)</f>
        <v>5</v>
      </c>
      <c r="K577" s="11" t="n">
        <f aca="false">IF(C577="one_time",G577+1,I577)</f>
        <v>6</v>
      </c>
      <c r="L577" s="11" t="n">
        <f aca="false">K577-J577</f>
        <v>1</v>
      </c>
    </row>
    <row r="578" customFormat="false" ht="15" hidden="false" customHeight="false" outlineLevel="0" collapsed="false">
      <c r="A578" s="4" t="s">
        <v>1561</v>
      </c>
      <c r="B578" s="4" t="s">
        <v>96</v>
      </c>
      <c r="C578" s="4" t="s">
        <v>982</v>
      </c>
      <c r="D578" s="4" t="s">
        <v>983</v>
      </c>
      <c r="E578" s="4" t="n">
        <v>9057.58</v>
      </c>
      <c r="G578" s="4" t="n">
        <v>6</v>
      </c>
      <c r="J578" s="11" t="n">
        <f aca="false">IF(C578="one_time",G578,H578)</f>
        <v>6</v>
      </c>
      <c r="K578" s="11" t="n">
        <f aca="false">IF(C578="one_time",G578+1,I578)</f>
        <v>7</v>
      </c>
      <c r="L578" s="11" t="n">
        <f aca="false">K578-J578</f>
        <v>1</v>
      </c>
    </row>
    <row r="579" customFormat="false" ht="15" hidden="false" customHeight="false" outlineLevel="0" collapsed="false">
      <c r="A579" s="4" t="s">
        <v>1562</v>
      </c>
      <c r="B579" s="4" t="s">
        <v>96</v>
      </c>
      <c r="C579" s="4" t="s">
        <v>982</v>
      </c>
      <c r="D579" s="4" t="s">
        <v>983</v>
      </c>
      <c r="E579" s="4" t="n">
        <v>7986.99</v>
      </c>
      <c r="G579" s="4" t="n">
        <v>7</v>
      </c>
      <c r="J579" s="11" t="n">
        <f aca="false">IF(C579="one_time",G579,H579)</f>
        <v>7</v>
      </c>
      <c r="K579" s="11" t="n">
        <f aca="false">IF(C579="one_time",G579+1,I579)</f>
        <v>8</v>
      </c>
      <c r="L579" s="11" t="n">
        <f aca="false">K579-J579</f>
        <v>1</v>
      </c>
    </row>
    <row r="580" customFormat="false" ht="15" hidden="false" customHeight="false" outlineLevel="0" collapsed="false">
      <c r="A580" s="4" t="s">
        <v>1563</v>
      </c>
      <c r="B580" s="4" t="s">
        <v>96</v>
      </c>
      <c r="C580" s="4" t="s">
        <v>982</v>
      </c>
      <c r="D580" s="4" t="s">
        <v>983</v>
      </c>
      <c r="E580" s="4" t="n">
        <v>8284.38</v>
      </c>
      <c r="G580" s="4" t="n">
        <v>8</v>
      </c>
      <c r="J580" s="11" t="n">
        <f aca="false">IF(C580="one_time",G580,H580)</f>
        <v>8</v>
      </c>
      <c r="K580" s="11" t="n">
        <f aca="false">IF(C580="one_time",G580+1,I580)</f>
        <v>9</v>
      </c>
      <c r="L580" s="11" t="n">
        <f aca="false">K580-J580</f>
        <v>1</v>
      </c>
    </row>
    <row r="581" customFormat="false" ht="15" hidden="false" customHeight="false" outlineLevel="0" collapsed="false">
      <c r="A581" s="4" t="s">
        <v>1564</v>
      </c>
      <c r="B581" s="4" t="s">
        <v>96</v>
      </c>
      <c r="C581" s="4" t="s">
        <v>982</v>
      </c>
      <c r="D581" s="4" t="s">
        <v>1011</v>
      </c>
      <c r="E581" s="4" t="n">
        <v>23750</v>
      </c>
      <c r="F581" s="4" t="s">
        <v>1519</v>
      </c>
      <c r="G581" s="4" t="n">
        <v>5</v>
      </c>
      <c r="J581" s="11" t="n">
        <f aca="false">IF(C581="one_time",G581,H581)</f>
        <v>5</v>
      </c>
      <c r="K581" s="11" t="n">
        <f aca="false">IF(C581="one_time",G581+1,I581)</f>
        <v>6</v>
      </c>
      <c r="L581" s="11" t="n">
        <f aca="false">K581-J581</f>
        <v>1</v>
      </c>
    </row>
    <row r="582" customFormat="false" ht="15" hidden="false" customHeight="false" outlineLevel="0" collapsed="false">
      <c r="A582" s="4" t="s">
        <v>1565</v>
      </c>
      <c r="B582" s="4" t="s">
        <v>96</v>
      </c>
      <c r="C582" s="4" t="s">
        <v>982</v>
      </c>
      <c r="D582" s="4" t="s">
        <v>1011</v>
      </c>
      <c r="E582" s="4" t="n">
        <v>23750</v>
      </c>
      <c r="F582" s="4" t="s">
        <v>1519</v>
      </c>
      <c r="G582" s="4" t="n">
        <v>3</v>
      </c>
      <c r="J582" s="11" t="n">
        <f aca="false">IF(C582="one_time",G582,H582)</f>
        <v>3</v>
      </c>
      <c r="K582" s="11" t="n">
        <f aca="false">IF(C582="one_time",G582+1,I582)</f>
        <v>4</v>
      </c>
      <c r="L582" s="11" t="n">
        <f aca="false">K582-J582</f>
        <v>1</v>
      </c>
    </row>
    <row r="583" customFormat="false" ht="15" hidden="false" customHeight="false" outlineLevel="0" collapsed="false">
      <c r="A583" s="4" t="s">
        <v>1566</v>
      </c>
      <c r="B583" s="4" t="s">
        <v>96</v>
      </c>
      <c r="C583" s="4" t="s">
        <v>982</v>
      </c>
      <c r="D583" s="4" t="s">
        <v>1011</v>
      </c>
      <c r="E583" s="4" t="n">
        <v>47500</v>
      </c>
      <c r="F583" s="4" t="s">
        <v>1519</v>
      </c>
      <c r="G583" s="4" t="n">
        <v>5</v>
      </c>
      <c r="J583" s="11" t="n">
        <f aca="false">IF(C583="one_time",G583,H583)</f>
        <v>5</v>
      </c>
      <c r="K583" s="11" t="n">
        <f aca="false">IF(C583="one_time",G583+1,I583)</f>
        <v>6</v>
      </c>
      <c r="L583" s="11" t="n">
        <f aca="false">K583-J583</f>
        <v>1</v>
      </c>
    </row>
    <row r="584" customFormat="false" ht="15" hidden="false" customHeight="false" outlineLevel="0" collapsed="false">
      <c r="A584" s="4" t="s">
        <v>1567</v>
      </c>
      <c r="B584" s="4" t="s">
        <v>96</v>
      </c>
      <c r="C584" s="4" t="s">
        <v>982</v>
      </c>
      <c r="D584" s="4" t="s">
        <v>1011</v>
      </c>
      <c r="E584" s="4" t="n">
        <v>11100</v>
      </c>
      <c r="F584" s="4" t="s">
        <v>1519</v>
      </c>
      <c r="G584" s="4" t="n">
        <v>5</v>
      </c>
      <c r="J584" s="11" t="n">
        <f aca="false">IF(C584="one_time",G584,H584)</f>
        <v>5</v>
      </c>
      <c r="K584" s="11" t="n">
        <f aca="false">IF(C584="one_time",G584+1,I584)</f>
        <v>6</v>
      </c>
      <c r="L584" s="11" t="n">
        <f aca="false">K584-J584</f>
        <v>1</v>
      </c>
    </row>
    <row r="585" customFormat="false" ht="15" hidden="false" customHeight="false" outlineLevel="0" collapsed="false">
      <c r="A585" s="4" t="s">
        <v>1568</v>
      </c>
      <c r="B585" s="4" t="s">
        <v>96</v>
      </c>
      <c r="C585" s="4" t="s">
        <v>982</v>
      </c>
      <c r="D585" s="4" t="s">
        <v>1011</v>
      </c>
      <c r="E585" s="4" t="n">
        <v>20600</v>
      </c>
      <c r="F585" s="4" t="s">
        <v>1519</v>
      </c>
      <c r="G585" s="4" t="n">
        <v>5</v>
      </c>
      <c r="J585" s="11" t="n">
        <f aca="false">IF(C585="one_time",G585,H585)</f>
        <v>5</v>
      </c>
      <c r="K585" s="11" t="n">
        <f aca="false">IF(C585="one_time",G585+1,I585)</f>
        <v>6</v>
      </c>
      <c r="L585" s="11" t="n">
        <f aca="false">K585-J585</f>
        <v>1</v>
      </c>
    </row>
    <row r="586" customFormat="false" ht="15" hidden="false" customHeight="false" outlineLevel="0" collapsed="false">
      <c r="A586" s="4" t="s">
        <v>1569</v>
      </c>
      <c r="B586" s="4" t="s">
        <v>96</v>
      </c>
      <c r="C586" s="4" t="s">
        <v>982</v>
      </c>
      <c r="D586" s="4" t="s">
        <v>1011</v>
      </c>
      <c r="E586" s="4" t="n">
        <v>15800</v>
      </c>
      <c r="F586" s="4" t="s">
        <v>1519</v>
      </c>
      <c r="G586" s="4" t="n">
        <v>3</v>
      </c>
      <c r="J586" s="11" t="n">
        <f aca="false">IF(C586="one_time",G586,H586)</f>
        <v>3</v>
      </c>
      <c r="K586" s="11" t="n">
        <f aca="false">IF(C586="one_time",G586+1,I586)</f>
        <v>4</v>
      </c>
      <c r="L586" s="11" t="n">
        <f aca="false">K586-J586</f>
        <v>1</v>
      </c>
    </row>
    <row r="587" customFormat="false" ht="15" hidden="false" customHeight="false" outlineLevel="0" collapsed="false">
      <c r="A587" s="4" t="s">
        <v>1570</v>
      </c>
      <c r="B587" s="4" t="s">
        <v>96</v>
      </c>
      <c r="C587" s="4" t="s">
        <v>982</v>
      </c>
      <c r="D587" s="4" t="s">
        <v>1011</v>
      </c>
      <c r="E587" s="4" t="n">
        <v>28500</v>
      </c>
      <c r="F587" s="4" t="s">
        <v>1519</v>
      </c>
      <c r="G587" s="4" t="n">
        <v>3</v>
      </c>
      <c r="J587" s="11" t="n">
        <f aca="false">IF(C587="one_time",G587,H587)</f>
        <v>3</v>
      </c>
      <c r="K587" s="11" t="n">
        <f aca="false">IF(C587="one_time",G587+1,I587)</f>
        <v>4</v>
      </c>
      <c r="L587" s="11" t="n">
        <f aca="false">K587-J587</f>
        <v>1</v>
      </c>
    </row>
    <row r="588" customFormat="false" ht="15" hidden="false" customHeight="false" outlineLevel="0" collapsed="false">
      <c r="A588" s="4" t="s">
        <v>1571</v>
      </c>
      <c r="B588" s="4" t="s">
        <v>96</v>
      </c>
      <c r="C588" s="4" t="s">
        <v>982</v>
      </c>
      <c r="D588" s="4" t="s">
        <v>1011</v>
      </c>
      <c r="E588" s="4" t="n">
        <v>95000</v>
      </c>
      <c r="F588" s="4" t="s">
        <v>1519</v>
      </c>
      <c r="G588" s="4" t="n">
        <v>3</v>
      </c>
      <c r="J588" s="11" t="n">
        <f aca="false">IF(C588="one_time",G588,H588)</f>
        <v>3</v>
      </c>
      <c r="K588" s="11" t="n">
        <f aca="false">IF(C588="one_time",G588+1,I588)</f>
        <v>4</v>
      </c>
      <c r="L588" s="11" t="n">
        <f aca="false">K588-J588</f>
        <v>1</v>
      </c>
    </row>
    <row r="589" customFormat="false" ht="15" hidden="false" customHeight="false" outlineLevel="0" collapsed="false">
      <c r="A589" s="4" t="s">
        <v>1572</v>
      </c>
      <c r="B589" s="4" t="s">
        <v>96</v>
      </c>
      <c r="C589" s="4" t="s">
        <v>982</v>
      </c>
      <c r="D589" s="4" t="s">
        <v>1011</v>
      </c>
      <c r="E589" s="4" t="n">
        <v>19000</v>
      </c>
      <c r="F589" s="4" t="s">
        <v>1519</v>
      </c>
      <c r="G589" s="4" t="n">
        <v>0</v>
      </c>
      <c r="J589" s="11" t="n">
        <f aca="false">IF(C589="one_time",G589,H589)</f>
        <v>0</v>
      </c>
      <c r="K589" s="11" t="n">
        <f aca="false">IF(C589="one_time",G589+1,I589)</f>
        <v>1</v>
      </c>
      <c r="L589" s="11" t="n">
        <f aca="false">K589-J589</f>
        <v>1</v>
      </c>
    </row>
    <row r="590" customFormat="false" ht="15" hidden="false" customHeight="false" outlineLevel="0" collapsed="false">
      <c r="A590" s="4" t="s">
        <v>1573</v>
      </c>
      <c r="B590" s="4" t="s">
        <v>96</v>
      </c>
      <c r="C590" s="4" t="s">
        <v>982</v>
      </c>
      <c r="D590" s="4" t="s">
        <v>1011</v>
      </c>
      <c r="E590" s="4" t="n">
        <v>103200</v>
      </c>
      <c r="F590" s="4" t="s">
        <v>1519</v>
      </c>
      <c r="G590" s="4" t="n">
        <v>4</v>
      </c>
      <c r="J590" s="11" t="n">
        <f aca="false">IF(C590="one_time",G590,H590)</f>
        <v>4</v>
      </c>
      <c r="K590" s="11" t="n">
        <f aca="false">IF(C590="one_time",G590+1,I590)</f>
        <v>5</v>
      </c>
      <c r="L590" s="11" t="n">
        <f aca="false">K590-J590</f>
        <v>1</v>
      </c>
    </row>
    <row r="591" customFormat="false" ht="15" hidden="false" customHeight="false" outlineLevel="0" collapsed="false">
      <c r="A591" s="4" t="s">
        <v>1574</v>
      </c>
      <c r="B591" s="4" t="s">
        <v>96</v>
      </c>
      <c r="C591" s="4" t="s">
        <v>982</v>
      </c>
      <c r="D591" s="4" t="s">
        <v>1011</v>
      </c>
      <c r="E591" s="4" t="n">
        <v>80250</v>
      </c>
      <c r="F591" s="4" t="s">
        <v>1519</v>
      </c>
      <c r="G591" s="4" t="n">
        <v>3</v>
      </c>
      <c r="J591" s="11" t="n">
        <f aca="false">IF(C591="one_time",G591,H591)</f>
        <v>3</v>
      </c>
      <c r="K591" s="11" t="n">
        <f aca="false">IF(C591="one_time",G591+1,I591)</f>
        <v>4</v>
      </c>
      <c r="L591" s="11" t="n">
        <f aca="false">K591-J591</f>
        <v>1</v>
      </c>
    </row>
    <row r="592" customFormat="false" ht="15" hidden="false" customHeight="false" outlineLevel="0" collapsed="false">
      <c r="A592" s="4" t="s">
        <v>1575</v>
      </c>
      <c r="B592" s="4" t="s">
        <v>96</v>
      </c>
      <c r="C592" s="4" t="s">
        <v>982</v>
      </c>
      <c r="D592" s="4" t="s">
        <v>1011</v>
      </c>
      <c r="E592" s="4" t="n">
        <v>149050</v>
      </c>
      <c r="F592" s="4" t="s">
        <v>1519</v>
      </c>
      <c r="G592" s="4" t="n">
        <v>3</v>
      </c>
      <c r="J592" s="11" t="n">
        <f aca="false">IF(C592="one_time",G592,H592)</f>
        <v>3</v>
      </c>
      <c r="K592" s="11" t="n">
        <f aca="false">IF(C592="one_time",G592+1,I592)</f>
        <v>4</v>
      </c>
      <c r="L592" s="11" t="n">
        <f aca="false">K592-J592</f>
        <v>1</v>
      </c>
    </row>
    <row r="593" customFormat="false" ht="15" hidden="false" customHeight="false" outlineLevel="0" collapsed="false">
      <c r="A593" s="4" t="s">
        <v>1576</v>
      </c>
      <c r="B593" s="4" t="s">
        <v>96</v>
      </c>
      <c r="C593" s="4" t="s">
        <v>982</v>
      </c>
      <c r="D593" s="4" t="s">
        <v>1011</v>
      </c>
      <c r="E593" s="4" t="n">
        <v>80150</v>
      </c>
      <c r="F593" s="4" t="s">
        <v>1519</v>
      </c>
      <c r="G593" s="4" t="n">
        <v>4</v>
      </c>
      <c r="J593" s="11" t="n">
        <f aca="false">IF(C593="one_time",G593,H593)</f>
        <v>4</v>
      </c>
      <c r="K593" s="11" t="n">
        <f aca="false">IF(C593="one_time",G593+1,I593)</f>
        <v>5</v>
      </c>
      <c r="L593" s="11" t="n">
        <f aca="false">K593-J593</f>
        <v>1</v>
      </c>
    </row>
    <row r="594" customFormat="false" ht="15" hidden="false" customHeight="false" outlineLevel="0" collapsed="false">
      <c r="A594" s="4" t="s">
        <v>1577</v>
      </c>
      <c r="B594" s="4" t="s">
        <v>96</v>
      </c>
      <c r="C594" s="4" t="s">
        <v>982</v>
      </c>
      <c r="D594" s="4" t="s">
        <v>1011</v>
      </c>
      <c r="E594" s="4" t="n">
        <v>62350</v>
      </c>
      <c r="F594" s="4" t="s">
        <v>1519</v>
      </c>
      <c r="G594" s="4" t="n">
        <v>4</v>
      </c>
      <c r="J594" s="11" t="n">
        <f aca="false">IF(C594="one_time",G594,H594)</f>
        <v>4</v>
      </c>
      <c r="K594" s="11" t="n">
        <f aca="false">IF(C594="one_time",G594+1,I594)</f>
        <v>5</v>
      </c>
      <c r="L594" s="11" t="n">
        <f aca="false">K594-J594</f>
        <v>1</v>
      </c>
    </row>
    <row r="595" customFormat="false" ht="15" hidden="false" customHeight="false" outlineLevel="0" collapsed="false">
      <c r="A595" s="4" t="s">
        <v>1578</v>
      </c>
      <c r="B595" s="4" t="s">
        <v>96</v>
      </c>
      <c r="C595" s="4" t="s">
        <v>982</v>
      </c>
      <c r="D595" s="4" t="s">
        <v>1011</v>
      </c>
      <c r="E595" s="4" t="n">
        <v>20300</v>
      </c>
      <c r="F595" s="4" t="s">
        <v>1519</v>
      </c>
      <c r="G595" s="4" t="n">
        <v>4</v>
      </c>
      <c r="J595" s="11" t="n">
        <f aca="false">IF(C595="one_time",G595,H595)</f>
        <v>4</v>
      </c>
      <c r="K595" s="11" t="n">
        <f aca="false">IF(C595="one_time",G595+1,I595)</f>
        <v>5</v>
      </c>
      <c r="L595" s="11" t="n">
        <f aca="false">K595-J595</f>
        <v>1</v>
      </c>
    </row>
    <row r="596" customFormat="false" ht="15" hidden="false" customHeight="false" outlineLevel="0" collapsed="false">
      <c r="A596" s="4" t="s">
        <v>1579</v>
      </c>
      <c r="B596" s="4" t="s">
        <v>96</v>
      </c>
      <c r="C596" s="4" t="s">
        <v>982</v>
      </c>
      <c r="D596" s="4" t="s">
        <v>1011</v>
      </c>
      <c r="E596" s="4" t="n">
        <v>27700</v>
      </c>
      <c r="F596" s="4" t="s">
        <v>1519</v>
      </c>
      <c r="G596" s="4" t="n">
        <v>5</v>
      </c>
      <c r="J596" s="11" t="n">
        <f aca="false">IF(C596="one_time",G596,H596)</f>
        <v>5</v>
      </c>
      <c r="K596" s="11" t="n">
        <f aca="false">IF(C596="one_time",G596+1,I596)</f>
        <v>6</v>
      </c>
      <c r="L596" s="11" t="n">
        <f aca="false">K596-J596</f>
        <v>1</v>
      </c>
    </row>
    <row r="597" customFormat="false" ht="15" hidden="false" customHeight="false" outlineLevel="0" collapsed="false">
      <c r="A597" s="4" t="s">
        <v>1580</v>
      </c>
      <c r="B597" s="4" t="s">
        <v>96</v>
      </c>
      <c r="C597" s="4" t="s">
        <v>982</v>
      </c>
      <c r="D597" s="4" t="s">
        <v>1011</v>
      </c>
      <c r="E597" s="4" t="n">
        <v>18500</v>
      </c>
      <c r="F597" s="4" t="s">
        <v>1519</v>
      </c>
      <c r="G597" s="4" t="n">
        <v>4</v>
      </c>
      <c r="J597" s="11" t="n">
        <f aca="false">IF(C597="one_time",G597,H597)</f>
        <v>4</v>
      </c>
      <c r="K597" s="11" t="n">
        <f aca="false">IF(C597="one_time",G597+1,I597)</f>
        <v>5</v>
      </c>
      <c r="L597" s="11" t="n">
        <f aca="false">K597-J597</f>
        <v>1</v>
      </c>
    </row>
    <row r="598" customFormat="false" ht="15" hidden="false" customHeight="false" outlineLevel="0" collapsed="false">
      <c r="A598" s="4" t="s">
        <v>1581</v>
      </c>
      <c r="B598" s="4" t="s">
        <v>96</v>
      </c>
      <c r="C598" s="4" t="s">
        <v>982</v>
      </c>
      <c r="D598" s="4" t="s">
        <v>1011</v>
      </c>
      <c r="E598" s="4" t="n">
        <v>95000</v>
      </c>
      <c r="F598" s="4" t="s">
        <v>1519</v>
      </c>
      <c r="G598" s="4" t="n">
        <v>3</v>
      </c>
      <c r="J598" s="11" t="n">
        <f aca="false">IF(C598="one_time",G598,H598)</f>
        <v>3</v>
      </c>
      <c r="K598" s="11" t="n">
        <f aca="false">IF(C598="one_time",G598+1,I598)</f>
        <v>4</v>
      </c>
      <c r="L598" s="11" t="n">
        <f aca="false">K598-J598</f>
        <v>1</v>
      </c>
    </row>
    <row r="599" customFormat="false" ht="15" hidden="false" customHeight="false" outlineLevel="0" collapsed="false">
      <c r="A599" s="4" t="s">
        <v>1582</v>
      </c>
      <c r="B599" s="4" t="s">
        <v>96</v>
      </c>
      <c r="C599" s="4" t="s">
        <v>982</v>
      </c>
      <c r="D599" s="4" t="s">
        <v>1011</v>
      </c>
      <c r="E599" s="4" t="n">
        <v>76000</v>
      </c>
      <c r="F599" s="4" t="s">
        <v>1519</v>
      </c>
      <c r="G599" s="4" t="n">
        <v>4</v>
      </c>
      <c r="J599" s="11" t="n">
        <f aca="false">IF(C599="one_time",G599,H599)</f>
        <v>4</v>
      </c>
      <c r="K599" s="11" t="n">
        <f aca="false">IF(C599="one_time",G599+1,I599)</f>
        <v>5</v>
      </c>
      <c r="L599" s="11" t="n">
        <f aca="false">K599-J599</f>
        <v>1</v>
      </c>
    </row>
    <row r="600" customFormat="false" ht="15" hidden="false" customHeight="false" outlineLevel="0" collapsed="false">
      <c r="A600" s="4" t="s">
        <v>1583</v>
      </c>
      <c r="B600" s="4" t="s">
        <v>96</v>
      </c>
      <c r="C600" s="4" t="s">
        <v>1034</v>
      </c>
      <c r="D600" s="4" t="s">
        <v>1011</v>
      </c>
      <c r="E600" s="4" t="n">
        <v>3800</v>
      </c>
      <c r="F600" s="4" t="s">
        <v>1519</v>
      </c>
      <c r="H600" s="4" t="n">
        <v>5</v>
      </c>
      <c r="I600" s="4" t="n">
        <v>11</v>
      </c>
      <c r="J600" s="11" t="n">
        <f aca="false">IF(C600="one_time",G600,H600)</f>
        <v>5</v>
      </c>
      <c r="K600" s="11" t="n">
        <f aca="false">IF(C600="one_time",G600+1,I600)</f>
        <v>11</v>
      </c>
      <c r="L600" s="11" t="n">
        <f aca="false">K600-J600</f>
        <v>6</v>
      </c>
    </row>
    <row r="601" customFormat="false" ht="15" hidden="false" customHeight="false" outlineLevel="0" collapsed="false">
      <c r="A601" s="4" t="s">
        <v>1584</v>
      </c>
      <c r="B601" s="4" t="s">
        <v>96</v>
      </c>
      <c r="C601" s="4" t="s">
        <v>1034</v>
      </c>
      <c r="D601" s="4" t="s">
        <v>1011</v>
      </c>
      <c r="E601" s="4" t="n">
        <v>4050</v>
      </c>
      <c r="F601" s="4" t="s">
        <v>1519</v>
      </c>
      <c r="H601" s="4" t="n">
        <v>11</v>
      </c>
      <c r="I601" s="4" t="n">
        <v>18</v>
      </c>
      <c r="J601" s="11" t="n">
        <f aca="false">IF(C601="one_time",G601,H601)</f>
        <v>11</v>
      </c>
      <c r="K601" s="11" t="n">
        <f aca="false">IF(C601="one_time",G601+1,I601)</f>
        <v>18</v>
      </c>
      <c r="L601" s="11" t="n">
        <f aca="false">K601-J601</f>
        <v>7</v>
      </c>
    </row>
    <row r="602" customFormat="false" ht="15" hidden="false" customHeight="false" outlineLevel="0" collapsed="false">
      <c r="A602" s="4" t="s">
        <v>1585</v>
      </c>
      <c r="B602" s="4" t="s">
        <v>96</v>
      </c>
      <c r="C602" s="4" t="s">
        <v>1034</v>
      </c>
      <c r="D602" s="4" t="s">
        <v>1011</v>
      </c>
      <c r="E602" s="4" t="n">
        <v>6650</v>
      </c>
      <c r="F602" s="4" t="s">
        <v>1519</v>
      </c>
      <c r="H602" s="4" t="n">
        <v>5</v>
      </c>
      <c r="I602" s="4" t="n">
        <v>11</v>
      </c>
      <c r="J602" s="11" t="n">
        <f aca="false">IF(C602="one_time",G602,H602)</f>
        <v>5</v>
      </c>
      <c r="K602" s="11" t="n">
        <f aca="false">IF(C602="one_time",G602+1,I602)</f>
        <v>11</v>
      </c>
      <c r="L602" s="11" t="n">
        <f aca="false">K602-J602</f>
        <v>6</v>
      </c>
    </row>
    <row r="603" customFormat="false" ht="15" hidden="false" customHeight="false" outlineLevel="0" collapsed="false">
      <c r="A603" s="4" t="s">
        <v>1586</v>
      </c>
      <c r="B603" s="4" t="s">
        <v>96</v>
      </c>
      <c r="C603" s="4" t="s">
        <v>1034</v>
      </c>
      <c r="D603" s="4" t="s">
        <v>1011</v>
      </c>
      <c r="E603" s="4" t="n">
        <v>6700</v>
      </c>
      <c r="F603" s="4" t="s">
        <v>1519</v>
      </c>
      <c r="H603" s="4" t="n">
        <v>11</v>
      </c>
      <c r="I603" s="4" t="n">
        <v>18</v>
      </c>
      <c r="J603" s="11" t="n">
        <f aca="false">IF(C603="one_time",G603,H603)</f>
        <v>11</v>
      </c>
      <c r="K603" s="11" t="n">
        <f aca="false">IF(C603="one_time",G603+1,I603)</f>
        <v>18</v>
      </c>
      <c r="L603" s="11" t="n">
        <f aca="false">K603-J603</f>
        <v>7</v>
      </c>
    </row>
    <row r="604" customFormat="false" ht="15" hidden="false" customHeight="false" outlineLevel="0" collapsed="false">
      <c r="A604" s="4" t="s">
        <v>1587</v>
      </c>
      <c r="B604" s="4" t="s">
        <v>96</v>
      </c>
      <c r="C604" s="4" t="s">
        <v>1034</v>
      </c>
      <c r="D604" s="4" t="s">
        <v>1011</v>
      </c>
      <c r="E604" s="4" t="n">
        <v>8550</v>
      </c>
      <c r="F604" s="4" t="s">
        <v>1519</v>
      </c>
      <c r="H604" s="4" t="n">
        <v>5</v>
      </c>
      <c r="I604" s="4" t="n">
        <v>11</v>
      </c>
      <c r="J604" s="11" t="n">
        <f aca="false">IF(C604="one_time",G604,H604)</f>
        <v>5</v>
      </c>
      <c r="K604" s="11" t="n">
        <f aca="false">IF(C604="one_time",G604+1,I604)</f>
        <v>11</v>
      </c>
      <c r="L604" s="11" t="n">
        <f aca="false">K604-J604</f>
        <v>6</v>
      </c>
    </row>
    <row r="605" customFormat="false" ht="15" hidden="false" customHeight="false" outlineLevel="0" collapsed="false">
      <c r="A605" s="4" t="s">
        <v>1588</v>
      </c>
      <c r="B605" s="4" t="s">
        <v>96</v>
      </c>
      <c r="C605" s="4" t="s">
        <v>1034</v>
      </c>
      <c r="D605" s="4" t="s">
        <v>1011</v>
      </c>
      <c r="E605" s="4" t="n">
        <v>8700</v>
      </c>
      <c r="F605" s="4" t="s">
        <v>1519</v>
      </c>
      <c r="H605" s="4" t="n">
        <v>11</v>
      </c>
      <c r="I605" s="4" t="n">
        <v>18</v>
      </c>
      <c r="J605" s="11" t="n">
        <f aca="false">IF(C605="one_time",G605,H605)</f>
        <v>11</v>
      </c>
      <c r="K605" s="11" t="n">
        <f aca="false">IF(C605="one_time",G605+1,I605)</f>
        <v>18</v>
      </c>
      <c r="L605" s="11" t="n">
        <f aca="false">K605-J605</f>
        <v>7</v>
      </c>
    </row>
    <row r="606" customFormat="false" ht="15" hidden="false" customHeight="false" outlineLevel="0" collapsed="false">
      <c r="A606" s="4" t="s">
        <v>1589</v>
      </c>
      <c r="B606" s="4" t="s">
        <v>97</v>
      </c>
      <c r="C606" s="4" t="s">
        <v>982</v>
      </c>
      <c r="D606" s="4" t="s">
        <v>983</v>
      </c>
      <c r="E606" s="4" t="n">
        <v>269277.04</v>
      </c>
      <c r="G606" s="4" t="n">
        <v>2</v>
      </c>
      <c r="J606" s="11" t="n">
        <f aca="false">IF(C606="one_time",G606,H606)</f>
        <v>2</v>
      </c>
      <c r="K606" s="11" t="n">
        <f aca="false">IF(C606="one_time",G606+1,I606)</f>
        <v>3</v>
      </c>
      <c r="L606" s="11" t="n">
        <f aca="false">K606-J606</f>
        <v>1</v>
      </c>
    </row>
    <row r="607" customFormat="false" ht="15" hidden="false" customHeight="false" outlineLevel="0" collapsed="false">
      <c r="A607" s="4" t="s">
        <v>1590</v>
      </c>
      <c r="B607" s="4" t="s">
        <v>97</v>
      </c>
      <c r="C607" s="4" t="s">
        <v>982</v>
      </c>
      <c r="D607" s="4" t="s">
        <v>983</v>
      </c>
      <c r="E607" s="4" t="n">
        <v>54648</v>
      </c>
      <c r="G607" s="4" t="n">
        <v>3</v>
      </c>
      <c r="J607" s="11" t="n">
        <f aca="false">IF(C607="one_time",G607,H607)</f>
        <v>3</v>
      </c>
      <c r="K607" s="11" t="n">
        <f aca="false">IF(C607="one_time",G607+1,I607)</f>
        <v>4</v>
      </c>
      <c r="L607" s="11" t="n">
        <f aca="false">K607-J607</f>
        <v>1</v>
      </c>
    </row>
    <row r="608" customFormat="false" ht="15" hidden="false" customHeight="false" outlineLevel="0" collapsed="false">
      <c r="A608" s="4" t="s">
        <v>1591</v>
      </c>
      <c r="B608" s="4" t="s">
        <v>97</v>
      </c>
      <c r="C608" s="4" t="s">
        <v>982</v>
      </c>
      <c r="D608" s="4" t="s">
        <v>983</v>
      </c>
      <c r="E608" s="4" t="n">
        <v>119589.93</v>
      </c>
      <c r="G608" s="4" t="n">
        <v>4</v>
      </c>
      <c r="J608" s="11" t="n">
        <f aca="false">IF(C608="one_time",G608,H608)</f>
        <v>4</v>
      </c>
      <c r="K608" s="11" t="n">
        <f aca="false">IF(C608="one_time",G608+1,I608)</f>
        <v>5</v>
      </c>
      <c r="L608" s="11" t="n">
        <f aca="false">K608-J608</f>
        <v>1</v>
      </c>
    </row>
    <row r="609" customFormat="false" ht="15" hidden="false" customHeight="false" outlineLevel="0" collapsed="false">
      <c r="A609" s="4" t="s">
        <v>1592</v>
      </c>
      <c r="B609" s="4" t="s">
        <v>97</v>
      </c>
      <c r="C609" s="4" t="s">
        <v>982</v>
      </c>
      <c r="D609" s="4" t="s">
        <v>983</v>
      </c>
      <c r="E609" s="4" t="n">
        <v>15031.24</v>
      </c>
      <c r="G609" s="4" t="n">
        <v>5</v>
      </c>
      <c r="J609" s="11" t="n">
        <f aca="false">IF(C609="one_time",G609,H609)</f>
        <v>5</v>
      </c>
      <c r="K609" s="11" t="n">
        <f aca="false">IF(C609="one_time",G609+1,I609)</f>
        <v>6</v>
      </c>
      <c r="L609" s="11" t="n">
        <f aca="false">K609-J609</f>
        <v>1</v>
      </c>
    </row>
    <row r="610" customFormat="false" ht="15" hidden="false" customHeight="false" outlineLevel="0" collapsed="false">
      <c r="A610" s="4" t="s">
        <v>1593</v>
      </c>
      <c r="B610" s="4" t="s">
        <v>97</v>
      </c>
      <c r="C610" s="4" t="s">
        <v>982</v>
      </c>
      <c r="D610" s="4" t="s">
        <v>983</v>
      </c>
      <c r="E610" s="4" t="n">
        <v>14003.82</v>
      </c>
      <c r="G610" s="4" t="n">
        <v>6</v>
      </c>
      <c r="J610" s="11" t="n">
        <f aca="false">IF(C610="one_time",G610,H610)</f>
        <v>6</v>
      </c>
      <c r="K610" s="11" t="n">
        <f aca="false">IF(C610="one_time",G610+1,I610)</f>
        <v>7</v>
      </c>
      <c r="L610" s="11" t="n">
        <f aca="false">K610-J610</f>
        <v>1</v>
      </c>
    </row>
    <row r="611" customFormat="false" ht="15" hidden="false" customHeight="false" outlineLevel="0" collapsed="false">
      <c r="A611" s="4" t="s">
        <v>1594</v>
      </c>
      <c r="B611" s="4" t="s">
        <v>97</v>
      </c>
      <c r="C611" s="4" t="s">
        <v>982</v>
      </c>
      <c r="D611" s="4" t="s">
        <v>983</v>
      </c>
      <c r="E611" s="4" t="n">
        <v>13680.12</v>
      </c>
      <c r="G611" s="4" t="n">
        <v>7</v>
      </c>
      <c r="J611" s="11" t="n">
        <f aca="false">IF(C611="one_time",G611,H611)</f>
        <v>7</v>
      </c>
      <c r="K611" s="11" t="n">
        <f aca="false">IF(C611="one_time",G611+1,I611)</f>
        <v>8</v>
      </c>
      <c r="L611" s="11" t="n">
        <f aca="false">K611-J611</f>
        <v>1</v>
      </c>
    </row>
    <row r="612" customFormat="false" ht="15" hidden="false" customHeight="false" outlineLevel="0" collapsed="false">
      <c r="A612" s="4" t="s">
        <v>1595</v>
      </c>
      <c r="B612" s="4" t="s">
        <v>97</v>
      </c>
      <c r="C612" s="4" t="s">
        <v>982</v>
      </c>
      <c r="D612" s="4" t="s">
        <v>983</v>
      </c>
      <c r="E612" s="4" t="n">
        <v>14214.94</v>
      </c>
      <c r="G612" s="4" t="n">
        <v>8</v>
      </c>
      <c r="J612" s="11" t="n">
        <f aca="false">IF(C612="one_time",G612,H612)</f>
        <v>8</v>
      </c>
      <c r="K612" s="11" t="n">
        <f aca="false">IF(C612="one_time",G612+1,I612)</f>
        <v>9</v>
      </c>
      <c r="L612" s="11" t="n">
        <f aca="false">K612-J612</f>
        <v>1</v>
      </c>
    </row>
    <row r="613" customFormat="false" ht="15" hidden="false" customHeight="false" outlineLevel="0" collapsed="false">
      <c r="A613" s="4" t="s">
        <v>1596</v>
      </c>
      <c r="B613" s="4" t="s">
        <v>97</v>
      </c>
      <c r="C613" s="4" t="s">
        <v>982</v>
      </c>
      <c r="D613" s="4" t="s">
        <v>983</v>
      </c>
      <c r="E613" s="4" t="n">
        <v>93546.31</v>
      </c>
      <c r="G613" s="4" t="n">
        <v>2</v>
      </c>
      <c r="J613" s="11" t="n">
        <f aca="false">IF(C613="one_time",G613,H613)</f>
        <v>2</v>
      </c>
      <c r="K613" s="11" t="n">
        <f aca="false">IF(C613="one_time",G613+1,I613)</f>
        <v>3</v>
      </c>
      <c r="L613" s="11" t="n">
        <f aca="false">K613-J613</f>
        <v>1</v>
      </c>
    </row>
    <row r="614" customFormat="false" ht="15" hidden="false" customHeight="false" outlineLevel="0" collapsed="false">
      <c r="A614" s="4" t="s">
        <v>1597</v>
      </c>
      <c r="B614" s="4" t="s">
        <v>97</v>
      </c>
      <c r="C614" s="4" t="s">
        <v>982</v>
      </c>
      <c r="D614" s="4" t="s">
        <v>983</v>
      </c>
      <c r="E614" s="4" t="n">
        <v>17882.44</v>
      </c>
      <c r="G614" s="4" t="n">
        <v>3</v>
      </c>
      <c r="J614" s="11" t="n">
        <f aca="false">IF(C614="one_time",G614,H614)</f>
        <v>3</v>
      </c>
      <c r="K614" s="11" t="n">
        <f aca="false">IF(C614="one_time",G614+1,I614)</f>
        <v>4</v>
      </c>
      <c r="L614" s="11" t="n">
        <f aca="false">K614-J614</f>
        <v>1</v>
      </c>
    </row>
    <row r="615" customFormat="false" ht="15" hidden="false" customHeight="false" outlineLevel="0" collapsed="false">
      <c r="A615" s="4" t="s">
        <v>1598</v>
      </c>
      <c r="B615" s="4" t="s">
        <v>97</v>
      </c>
      <c r="C615" s="4" t="s">
        <v>982</v>
      </c>
      <c r="D615" s="4" t="s">
        <v>983</v>
      </c>
      <c r="E615" s="4" t="n">
        <v>43498.77</v>
      </c>
      <c r="G615" s="4" t="n">
        <v>4</v>
      </c>
      <c r="J615" s="11" t="n">
        <f aca="false">IF(C615="one_time",G615,H615)</f>
        <v>4</v>
      </c>
      <c r="K615" s="11" t="n">
        <f aca="false">IF(C615="one_time",G615+1,I615)</f>
        <v>5</v>
      </c>
      <c r="L615" s="11" t="n">
        <f aca="false">K615-J615</f>
        <v>1</v>
      </c>
    </row>
    <row r="616" customFormat="false" ht="15" hidden="false" customHeight="false" outlineLevel="0" collapsed="false">
      <c r="A616" s="4" t="s">
        <v>1599</v>
      </c>
      <c r="B616" s="4" t="s">
        <v>97</v>
      </c>
      <c r="C616" s="4" t="s">
        <v>982</v>
      </c>
      <c r="D616" s="4" t="s">
        <v>983</v>
      </c>
      <c r="E616" s="4" t="n">
        <v>4677.32</v>
      </c>
      <c r="G616" s="4" t="n">
        <v>5</v>
      </c>
      <c r="J616" s="11" t="n">
        <f aca="false">IF(C616="one_time",G616,H616)</f>
        <v>5</v>
      </c>
      <c r="K616" s="11" t="n">
        <f aca="false">IF(C616="one_time",G616+1,I616)</f>
        <v>6</v>
      </c>
      <c r="L616" s="11" t="n">
        <f aca="false">K616-J616</f>
        <v>1</v>
      </c>
    </row>
    <row r="617" customFormat="false" ht="15" hidden="false" customHeight="false" outlineLevel="0" collapsed="false">
      <c r="A617" s="4" t="s">
        <v>1600</v>
      </c>
      <c r="B617" s="4" t="s">
        <v>97</v>
      </c>
      <c r="C617" s="4" t="s">
        <v>982</v>
      </c>
      <c r="D617" s="4" t="s">
        <v>983</v>
      </c>
      <c r="E617" s="4" t="n">
        <v>4438.06</v>
      </c>
      <c r="G617" s="4" t="n">
        <v>6</v>
      </c>
      <c r="J617" s="11" t="n">
        <f aca="false">IF(C617="one_time",G617,H617)</f>
        <v>6</v>
      </c>
      <c r="K617" s="11" t="n">
        <f aca="false">IF(C617="one_time",G617+1,I617)</f>
        <v>7</v>
      </c>
      <c r="L617" s="11" t="n">
        <f aca="false">K617-J617</f>
        <v>1</v>
      </c>
    </row>
    <row r="618" customFormat="false" ht="15" hidden="false" customHeight="false" outlineLevel="0" collapsed="false">
      <c r="A618" s="4" t="s">
        <v>1601</v>
      </c>
      <c r="B618" s="4" t="s">
        <v>97</v>
      </c>
      <c r="C618" s="4" t="s">
        <v>982</v>
      </c>
      <c r="D618" s="4" t="s">
        <v>983</v>
      </c>
      <c r="E618" s="4" t="n">
        <v>4916.58</v>
      </c>
      <c r="G618" s="4" t="n">
        <v>7</v>
      </c>
      <c r="J618" s="11" t="n">
        <f aca="false">IF(C618="one_time",G618,H618)</f>
        <v>7</v>
      </c>
      <c r="K618" s="11" t="n">
        <f aca="false">IF(C618="one_time",G618+1,I618)</f>
        <v>8</v>
      </c>
      <c r="L618" s="11" t="n">
        <f aca="false">K618-J618</f>
        <v>1</v>
      </c>
    </row>
    <row r="619" customFormat="false" ht="15" hidden="false" customHeight="false" outlineLevel="0" collapsed="false">
      <c r="A619" s="4" t="s">
        <v>1602</v>
      </c>
      <c r="B619" s="4" t="s">
        <v>97</v>
      </c>
      <c r="C619" s="4" t="s">
        <v>982</v>
      </c>
      <c r="D619" s="4" t="s">
        <v>983</v>
      </c>
      <c r="E619" s="4" t="n">
        <v>4855.59</v>
      </c>
      <c r="G619" s="4" t="n">
        <v>8</v>
      </c>
      <c r="J619" s="11" t="n">
        <f aca="false">IF(C619="one_time",G619,H619)</f>
        <v>8</v>
      </c>
      <c r="K619" s="11" t="n">
        <f aca="false">IF(C619="one_time",G619+1,I619)</f>
        <v>9</v>
      </c>
      <c r="L619" s="11" t="n">
        <f aca="false">K619-J619</f>
        <v>1</v>
      </c>
    </row>
    <row r="620" customFormat="false" ht="15" hidden="false" customHeight="false" outlineLevel="0" collapsed="false">
      <c r="A620" s="4" t="s">
        <v>1603</v>
      </c>
      <c r="B620" s="4" t="s">
        <v>97</v>
      </c>
      <c r="C620" s="4" t="s">
        <v>982</v>
      </c>
      <c r="D620" s="4" t="s">
        <v>983</v>
      </c>
      <c r="E620" s="4" t="n">
        <v>270160.74</v>
      </c>
      <c r="G620" s="4" t="n">
        <v>2</v>
      </c>
      <c r="J620" s="11" t="n">
        <f aca="false">IF(C620="one_time",G620,H620)</f>
        <v>2</v>
      </c>
      <c r="K620" s="11" t="n">
        <f aca="false">IF(C620="one_time",G620+1,I620)</f>
        <v>3</v>
      </c>
      <c r="L620" s="11" t="n">
        <f aca="false">K620-J620</f>
        <v>1</v>
      </c>
    </row>
    <row r="621" customFormat="false" ht="15" hidden="false" customHeight="false" outlineLevel="0" collapsed="false">
      <c r="A621" s="4" t="s">
        <v>1604</v>
      </c>
      <c r="B621" s="4" t="s">
        <v>97</v>
      </c>
      <c r="C621" s="4" t="s">
        <v>982</v>
      </c>
      <c r="D621" s="4" t="s">
        <v>983</v>
      </c>
      <c r="E621" s="4" t="n">
        <v>49416.08</v>
      </c>
      <c r="G621" s="4" t="n">
        <v>3</v>
      </c>
      <c r="J621" s="11" t="n">
        <f aca="false">IF(C621="one_time",G621,H621)</f>
        <v>3</v>
      </c>
      <c r="K621" s="11" t="n">
        <f aca="false">IF(C621="one_time",G621+1,I621)</f>
        <v>4</v>
      </c>
      <c r="L621" s="11" t="n">
        <f aca="false">K621-J621</f>
        <v>1</v>
      </c>
    </row>
    <row r="622" customFormat="false" ht="15" hidden="false" customHeight="false" outlineLevel="0" collapsed="false">
      <c r="A622" s="4" t="s">
        <v>1605</v>
      </c>
      <c r="B622" s="4" t="s">
        <v>97</v>
      </c>
      <c r="C622" s="4" t="s">
        <v>982</v>
      </c>
      <c r="D622" s="4" t="s">
        <v>983</v>
      </c>
      <c r="E622" s="4" t="n">
        <v>117574.92</v>
      </c>
      <c r="G622" s="4" t="n">
        <v>4</v>
      </c>
      <c r="J622" s="11" t="n">
        <f aca="false">IF(C622="one_time",G622,H622)</f>
        <v>4</v>
      </c>
      <c r="K622" s="11" t="n">
        <f aca="false">IF(C622="one_time",G622+1,I622)</f>
        <v>5</v>
      </c>
      <c r="L622" s="11" t="n">
        <f aca="false">K622-J622</f>
        <v>1</v>
      </c>
    </row>
    <row r="623" customFormat="false" ht="15" hidden="false" customHeight="false" outlineLevel="0" collapsed="false">
      <c r="A623" s="4" t="s">
        <v>1606</v>
      </c>
      <c r="B623" s="4" t="s">
        <v>97</v>
      </c>
      <c r="C623" s="4" t="s">
        <v>982</v>
      </c>
      <c r="D623" s="4" t="s">
        <v>983</v>
      </c>
      <c r="E623" s="4" t="n">
        <v>12122.57</v>
      </c>
      <c r="G623" s="4" t="n">
        <v>5</v>
      </c>
      <c r="J623" s="11" t="n">
        <f aca="false">IF(C623="one_time",G623,H623)</f>
        <v>5</v>
      </c>
      <c r="K623" s="11" t="n">
        <f aca="false">IF(C623="one_time",G623+1,I623)</f>
        <v>6</v>
      </c>
      <c r="L623" s="11" t="n">
        <f aca="false">K623-J623</f>
        <v>1</v>
      </c>
    </row>
    <row r="624" customFormat="false" ht="15" hidden="false" customHeight="false" outlineLevel="0" collapsed="false">
      <c r="A624" s="4" t="s">
        <v>1607</v>
      </c>
      <c r="B624" s="4" t="s">
        <v>97</v>
      </c>
      <c r="C624" s="4" t="s">
        <v>982</v>
      </c>
      <c r="D624" s="4" t="s">
        <v>983</v>
      </c>
      <c r="E624" s="4" t="n">
        <v>12197.64</v>
      </c>
      <c r="G624" s="4" t="n">
        <v>6</v>
      </c>
      <c r="J624" s="11" t="n">
        <f aca="false">IF(C624="one_time",G624,H624)</f>
        <v>6</v>
      </c>
      <c r="K624" s="11" t="n">
        <f aca="false">IF(C624="one_time",G624+1,I624)</f>
        <v>7</v>
      </c>
      <c r="L624" s="11" t="n">
        <f aca="false">K624-J624</f>
        <v>1</v>
      </c>
    </row>
    <row r="625" customFormat="false" ht="15" hidden="false" customHeight="false" outlineLevel="0" collapsed="false">
      <c r="A625" s="4" t="s">
        <v>1608</v>
      </c>
      <c r="B625" s="4" t="s">
        <v>97</v>
      </c>
      <c r="C625" s="4" t="s">
        <v>982</v>
      </c>
      <c r="D625" s="4" t="s">
        <v>983</v>
      </c>
      <c r="E625" s="4" t="n">
        <v>12347.76</v>
      </c>
      <c r="G625" s="4" t="n">
        <v>7</v>
      </c>
      <c r="J625" s="11" t="n">
        <f aca="false">IF(C625="one_time",G625,H625)</f>
        <v>7</v>
      </c>
      <c r="K625" s="11" t="n">
        <f aca="false">IF(C625="one_time",G625+1,I625)</f>
        <v>8</v>
      </c>
      <c r="L625" s="11" t="n">
        <f aca="false">K625-J625</f>
        <v>1</v>
      </c>
    </row>
    <row r="626" customFormat="false" ht="15" hidden="false" customHeight="false" outlineLevel="0" collapsed="false">
      <c r="A626" s="4" t="s">
        <v>1609</v>
      </c>
      <c r="B626" s="4" t="s">
        <v>97</v>
      </c>
      <c r="C626" s="4" t="s">
        <v>982</v>
      </c>
      <c r="D626" s="4" t="s">
        <v>983</v>
      </c>
      <c r="E626" s="4" t="n">
        <v>12622.99</v>
      </c>
      <c r="G626" s="4" t="n">
        <v>8</v>
      </c>
      <c r="J626" s="11" t="n">
        <f aca="false">IF(C626="one_time",G626,H626)</f>
        <v>8</v>
      </c>
      <c r="K626" s="11" t="n">
        <f aca="false">IF(C626="one_time",G626+1,I626)</f>
        <v>9</v>
      </c>
      <c r="L626" s="11" t="n">
        <f aca="false">K626-J626</f>
        <v>1</v>
      </c>
    </row>
    <row r="627" customFormat="false" ht="15" hidden="false" customHeight="false" outlineLevel="0" collapsed="false">
      <c r="A627" s="4" t="s">
        <v>1610</v>
      </c>
      <c r="B627" s="4" t="s">
        <v>97</v>
      </c>
      <c r="C627" s="4" t="s">
        <v>982</v>
      </c>
      <c r="D627" s="4" t="s">
        <v>1011</v>
      </c>
      <c r="E627" s="4" t="n">
        <v>46800</v>
      </c>
      <c r="F627" s="4" t="s">
        <v>1519</v>
      </c>
      <c r="G627" s="4" t="n">
        <v>4</v>
      </c>
      <c r="J627" s="11" t="n">
        <f aca="false">IF(C627="one_time",G627,H627)</f>
        <v>4</v>
      </c>
      <c r="K627" s="11" t="n">
        <f aca="false">IF(C627="one_time",G627+1,I627)</f>
        <v>5</v>
      </c>
      <c r="L627" s="11" t="n">
        <f aca="false">K627-J627</f>
        <v>1</v>
      </c>
    </row>
    <row r="628" customFormat="false" ht="15" hidden="false" customHeight="false" outlineLevel="0" collapsed="false">
      <c r="A628" s="4" t="s">
        <v>1611</v>
      </c>
      <c r="B628" s="4" t="s">
        <v>97</v>
      </c>
      <c r="C628" s="4" t="s">
        <v>982</v>
      </c>
      <c r="D628" s="4" t="s">
        <v>1011</v>
      </c>
      <c r="E628" s="4" t="n">
        <v>21600</v>
      </c>
      <c r="F628" s="4" t="s">
        <v>1519</v>
      </c>
      <c r="G628" s="4" t="n">
        <v>2</v>
      </c>
      <c r="J628" s="11" t="n">
        <f aca="false">IF(C628="one_time",G628,H628)</f>
        <v>2</v>
      </c>
      <c r="K628" s="11" t="n">
        <f aca="false">IF(C628="one_time",G628+1,I628)</f>
        <v>3</v>
      </c>
      <c r="L628" s="11" t="n">
        <f aca="false">K628-J628</f>
        <v>1</v>
      </c>
    </row>
    <row r="629" customFormat="false" ht="15" hidden="false" customHeight="false" outlineLevel="0" collapsed="false">
      <c r="A629" s="4" t="s">
        <v>1612</v>
      </c>
      <c r="B629" s="4" t="s">
        <v>97</v>
      </c>
      <c r="C629" s="4" t="s">
        <v>982</v>
      </c>
      <c r="D629" s="4" t="s">
        <v>1011</v>
      </c>
      <c r="E629" s="4" t="n">
        <v>21600</v>
      </c>
      <c r="F629" s="4" t="s">
        <v>1519</v>
      </c>
      <c r="G629" s="4" t="n">
        <v>2</v>
      </c>
      <c r="J629" s="11" t="n">
        <f aca="false">IF(C629="one_time",G629,H629)</f>
        <v>2</v>
      </c>
      <c r="K629" s="11" t="n">
        <f aca="false">IF(C629="one_time",G629+1,I629)</f>
        <v>3</v>
      </c>
      <c r="L629" s="11" t="n">
        <f aca="false">K629-J629</f>
        <v>1</v>
      </c>
    </row>
    <row r="630" customFormat="false" ht="15" hidden="false" customHeight="false" outlineLevel="0" collapsed="false">
      <c r="A630" s="4" t="s">
        <v>1613</v>
      </c>
      <c r="B630" s="4" t="s">
        <v>97</v>
      </c>
      <c r="C630" s="4" t="s">
        <v>982</v>
      </c>
      <c r="D630" s="4" t="s">
        <v>1011</v>
      </c>
      <c r="E630" s="4" t="n">
        <v>45000</v>
      </c>
      <c r="F630" s="4" t="s">
        <v>1519</v>
      </c>
      <c r="G630" s="4" t="n">
        <v>4</v>
      </c>
      <c r="J630" s="11" t="n">
        <f aca="false">IF(C630="one_time",G630,H630)</f>
        <v>4</v>
      </c>
      <c r="K630" s="11" t="n">
        <f aca="false">IF(C630="one_time",G630+1,I630)</f>
        <v>5</v>
      </c>
      <c r="L630" s="11" t="n">
        <f aca="false">K630-J630</f>
        <v>1</v>
      </c>
    </row>
    <row r="631" customFormat="false" ht="15" hidden="false" customHeight="false" outlineLevel="0" collapsed="false">
      <c r="A631" s="4" t="s">
        <v>1614</v>
      </c>
      <c r="B631" s="4" t="s">
        <v>97</v>
      </c>
      <c r="C631" s="4" t="s">
        <v>982</v>
      </c>
      <c r="D631" s="4" t="s">
        <v>1011</v>
      </c>
      <c r="E631" s="4" t="n">
        <v>9000</v>
      </c>
      <c r="F631" s="4" t="s">
        <v>1519</v>
      </c>
      <c r="G631" s="4" t="n">
        <v>3</v>
      </c>
      <c r="J631" s="11" t="n">
        <f aca="false">IF(C631="one_time",G631,H631)</f>
        <v>3</v>
      </c>
      <c r="K631" s="11" t="n">
        <f aca="false">IF(C631="one_time",G631+1,I631)</f>
        <v>4</v>
      </c>
      <c r="L631" s="11" t="n">
        <f aca="false">K631-J631</f>
        <v>1</v>
      </c>
    </row>
    <row r="632" customFormat="false" ht="15" hidden="false" customHeight="false" outlineLevel="0" collapsed="false">
      <c r="A632" s="4" t="s">
        <v>1615</v>
      </c>
      <c r="B632" s="4" t="s">
        <v>97</v>
      </c>
      <c r="C632" s="4" t="s">
        <v>982</v>
      </c>
      <c r="D632" s="4" t="s">
        <v>1011</v>
      </c>
      <c r="E632" s="4" t="n">
        <v>90000</v>
      </c>
      <c r="F632" s="4" t="s">
        <v>1519</v>
      </c>
      <c r="G632" s="4" t="n">
        <v>2</v>
      </c>
      <c r="J632" s="11" t="n">
        <f aca="false">IF(C632="one_time",G632,H632)</f>
        <v>2</v>
      </c>
      <c r="K632" s="11" t="n">
        <f aca="false">IF(C632="one_time",G632+1,I632)</f>
        <v>3</v>
      </c>
      <c r="L632" s="11" t="n">
        <f aca="false">K632-J632</f>
        <v>1</v>
      </c>
    </row>
    <row r="633" customFormat="false" ht="15" hidden="false" customHeight="false" outlineLevel="0" collapsed="false">
      <c r="A633" s="4" t="s">
        <v>1616</v>
      </c>
      <c r="B633" s="4" t="s">
        <v>97</v>
      </c>
      <c r="C633" s="4" t="s">
        <v>982</v>
      </c>
      <c r="D633" s="4" t="s">
        <v>1011</v>
      </c>
      <c r="E633" s="4" t="n">
        <v>18000</v>
      </c>
      <c r="F633" s="4" t="s">
        <v>1519</v>
      </c>
      <c r="G633" s="4" t="n">
        <v>0</v>
      </c>
      <c r="J633" s="11" t="n">
        <f aca="false">IF(C633="one_time",G633,H633)</f>
        <v>0</v>
      </c>
      <c r="K633" s="11" t="n">
        <f aca="false">IF(C633="one_time",G633+1,I633)</f>
        <v>1</v>
      </c>
      <c r="L633" s="11" t="n">
        <f aca="false">K633-J633</f>
        <v>1</v>
      </c>
    </row>
    <row r="634" customFormat="false" ht="15" hidden="false" customHeight="false" outlineLevel="0" collapsed="false">
      <c r="A634" s="4" t="s">
        <v>1617</v>
      </c>
      <c r="B634" s="4" t="s">
        <v>97</v>
      </c>
      <c r="C634" s="4" t="s">
        <v>982</v>
      </c>
      <c r="D634" s="4" t="s">
        <v>1011</v>
      </c>
      <c r="E634" s="4" t="n">
        <v>137800</v>
      </c>
      <c r="F634" s="4" t="s">
        <v>1519</v>
      </c>
      <c r="G634" s="4" t="n">
        <v>2</v>
      </c>
      <c r="J634" s="11" t="n">
        <f aca="false">IF(C634="one_time",G634,H634)</f>
        <v>2</v>
      </c>
      <c r="K634" s="11" t="n">
        <f aca="false">IF(C634="one_time",G634+1,I634)</f>
        <v>3</v>
      </c>
      <c r="L634" s="11" t="n">
        <f aca="false">K634-J634</f>
        <v>1</v>
      </c>
    </row>
    <row r="635" customFormat="false" ht="15" hidden="false" customHeight="false" outlineLevel="0" collapsed="false">
      <c r="A635" s="4" t="s">
        <v>1618</v>
      </c>
      <c r="B635" s="4" t="s">
        <v>97</v>
      </c>
      <c r="C635" s="4" t="s">
        <v>982</v>
      </c>
      <c r="D635" s="4" t="s">
        <v>1011</v>
      </c>
      <c r="E635" s="4" t="n">
        <v>78750</v>
      </c>
      <c r="F635" s="4" t="s">
        <v>1519</v>
      </c>
      <c r="G635" s="4" t="n">
        <v>4</v>
      </c>
      <c r="J635" s="11" t="n">
        <f aca="false">IF(C635="one_time",G635,H635)</f>
        <v>4</v>
      </c>
      <c r="K635" s="11" t="n">
        <f aca="false">IF(C635="one_time",G635+1,I635)</f>
        <v>5</v>
      </c>
      <c r="L635" s="11" t="n">
        <f aca="false">K635-J635</f>
        <v>1</v>
      </c>
    </row>
    <row r="636" customFormat="false" ht="15" hidden="false" customHeight="false" outlineLevel="0" collapsed="false">
      <c r="A636" s="4" t="s">
        <v>1619</v>
      </c>
      <c r="B636" s="4" t="s">
        <v>97</v>
      </c>
      <c r="C636" s="4" t="s">
        <v>982</v>
      </c>
      <c r="D636" s="4" t="s">
        <v>1011</v>
      </c>
      <c r="E636" s="4" t="n">
        <v>98450</v>
      </c>
      <c r="F636" s="4" t="s">
        <v>1519</v>
      </c>
      <c r="G636" s="4" t="n">
        <v>2</v>
      </c>
      <c r="J636" s="11" t="n">
        <f aca="false">IF(C636="one_time",G636,H636)</f>
        <v>2</v>
      </c>
      <c r="K636" s="11" t="n">
        <f aca="false">IF(C636="one_time",G636+1,I636)</f>
        <v>3</v>
      </c>
      <c r="L636" s="11" t="n">
        <f aca="false">K636-J636</f>
        <v>1</v>
      </c>
    </row>
    <row r="637" customFormat="false" ht="15" hidden="false" customHeight="false" outlineLevel="0" collapsed="false">
      <c r="A637" s="4" t="s">
        <v>1620</v>
      </c>
      <c r="B637" s="4" t="s">
        <v>97</v>
      </c>
      <c r="C637" s="4" t="s">
        <v>982</v>
      </c>
      <c r="D637" s="4" t="s">
        <v>1011</v>
      </c>
      <c r="E637" s="4" t="n">
        <v>76300</v>
      </c>
      <c r="F637" s="4" t="s">
        <v>1519</v>
      </c>
      <c r="G637" s="4" t="n">
        <v>2</v>
      </c>
      <c r="J637" s="11" t="n">
        <f aca="false">IF(C637="one_time",G637,H637)</f>
        <v>2</v>
      </c>
      <c r="K637" s="11" t="n">
        <f aca="false">IF(C637="one_time",G637+1,I637)</f>
        <v>3</v>
      </c>
      <c r="L637" s="11" t="n">
        <f aca="false">K637-J637</f>
        <v>1</v>
      </c>
    </row>
    <row r="638" customFormat="false" ht="15" hidden="false" customHeight="false" outlineLevel="0" collapsed="false">
      <c r="A638" s="4" t="s">
        <v>1621</v>
      </c>
      <c r="B638" s="4" t="s">
        <v>97</v>
      </c>
      <c r="C638" s="4" t="s">
        <v>982</v>
      </c>
      <c r="D638" s="4" t="s">
        <v>1011</v>
      </c>
      <c r="E638" s="4" t="n">
        <v>29350</v>
      </c>
      <c r="F638" s="4" t="s">
        <v>1519</v>
      </c>
      <c r="G638" s="4" t="n">
        <v>2</v>
      </c>
      <c r="J638" s="11" t="n">
        <f aca="false">IF(C638="one_time",G638,H638)</f>
        <v>2</v>
      </c>
      <c r="K638" s="11" t="n">
        <f aca="false">IF(C638="one_time",G638+1,I638)</f>
        <v>3</v>
      </c>
      <c r="L638" s="11" t="n">
        <f aca="false">K638-J638</f>
        <v>1</v>
      </c>
    </row>
    <row r="639" customFormat="false" ht="15" hidden="false" customHeight="false" outlineLevel="0" collapsed="false">
      <c r="A639" s="4" t="s">
        <v>1622</v>
      </c>
      <c r="B639" s="4" t="s">
        <v>97</v>
      </c>
      <c r="C639" s="4" t="s">
        <v>982</v>
      </c>
      <c r="D639" s="4" t="s">
        <v>1011</v>
      </c>
      <c r="E639" s="4" t="n">
        <v>29350</v>
      </c>
      <c r="F639" s="4" t="s">
        <v>1519</v>
      </c>
      <c r="G639" s="4" t="n">
        <v>4</v>
      </c>
      <c r="J639" s="11" t="n">
        <f aca="false">IF(C639="one_time",G639,H639)</f>
        <v>4</v>
      </c>
      <c r="K639" s="11" t="n">
        <f aca="false">IF(C639="one_time",G639+1,I639)</f>
        <v>5</v>
      </c>
      <c r="L639" s="11" t="n">
        <f aca="false">K639-J639</f>
        <v>1</v>
      </c>
    </row>
    <row r="640" customFormat="false" ht="15" hidden="false" customHeight="false" outlineLevel="0" collapsed="false">
      <c r="A640" s="4" t="s">
        <v>1623</v>
      </c>
      <c r="B640" s="4" t="s">
        <v>97</v>
      </c>
      <c r="C640" s="4" t="s">
        <v>982</v>
      </c>
      <c r="D640" s="4" t="s">
        <v>1011</v>
      </c>
      <c r="E640" s="4" t="n">
        <v>24400</v>
      </c>
      <c r="F640" s="4" t="s">
        <v>1519</v>
      </c>
      <c r="G640" s="4" t="n">
        <v>3</v>
      </c>
      <c r="J640" s="11" t="n">
        <f aca="false">IF(C640="one_time",G640,H640)</f>
        <v>3</v>
      </c>
      <c r="K640" s="11" t="n">
        <f aca="false">IF(C640="one_time",G640+1,I640)</f>
        <v>4</v>
      </c>
      <c r="L640" s="11" t="n">
        <f aca="false">K640-J640</f>
        <v>1</v>
      </c>
    </row>
    <row r="641" customFormat="false" ht="15" hidden="false" customHeight="false" outlineLevel="0" collapsed="false">
      <c r="A641" s="4" t="s">
        <v>1624</v>
      </c>
      <c r="B641" s="4" t="s">
        <v>97</v>
      </c>
      <c r="C641" s="4" t="s">
        <v>982</v>
      </c>
      <c r="D641" s="4" t="s">
        <v>1011</v>
      </c>
      <c r="E641" s="4" t="n">
        <v>24400</v>
      </c>
      <c r="F641" s="4" t="s">
        <v>1519</v>
      </c>
      <c r="G641" s="4" t="n">
        <v>4</v>
      </c>
      <c r="J641" s="11" t="n">
        <f aca="false">IF(C641="one_time",G641,H641)</f>
        <v>4</v>
      </c>
      <c r="K641" s="11" t="n">
        <f aca="false">IF(C641="one_time",G641+1,I641)</f>
        <v>5</v>
      </c>
      <c r="L641" s="11" t="n">
        <f aca="false">K641-J641</f>
        <v>1</v>
      </c>
    </row>
    <row r="642" customFormat="false" ht="15" hidden="false" customHeight="false" outlineLevel="0" collapsed="false">
      <c r="A642" s="4" t="s">
        <v>1625</v>
      </c>
      <c r="B642" s="4" t="s">
        <v>97</v>
      </c>
      <c r="C642" s="4" t="s">
        <v>982</v>
      </c>
      <c r="D642" s="4" t="s">
        <v>1011</v>
      </c>
      <c r="E642" s="4" t="n">
        <v>14200</v>
      </c>
      <c r="F642" s="4" t="s">
        <v>1519</v>
      </c>
      <c r="G642" s="4" t="n">
        <v>3</v>
      </c>
      <c r="J642" s="11" t="n">
        <f aca="false">IF(C642="one_time",G642,H642)</f>
        <v>3</v>
      </c>
      <c r="K642" s="11" t="n">
        <f aca="false">IF(C642="one_time",G642+1,I642)</f>
        <v>4</v>
      </c>
      <c r="L642" s="11" t="n">
        <f aca="false">K642-J642</f>
        <v>1</v>
      </c>
    </row>
    <row r="643" customFormat="false" ht="15" hidden="false" customHeight="false" outlineLevel="0" collapsed="false">
      <c r="A643" s="4" t="s">
        <v>1626</v>
      </c>
      <c r="B643" s="4" t="s">
        <v>97</v>
      </c>
      <c r="C643" s="4" t="s">
        <v>982</v>
      </c>
      <c r="D643" s="4" t="s">
        <v>1011</v>
      </c>
      <c r="E643" s="4" t="n">
        <v>90000</v>
      </c>
      <c r="F643" s="4" t="s">
        <v>1519</v>
      </c>
      <c r="G643" s="4" t="n">
        <v>2</v>
      </c>
      <c r="J643" s="11" t="n">
        <f aca="false">IF(C643="one_time",G643,H643)</f>
        <v>2</v>
      </c>
      <c r="K643" s="11" t="n">
        <f aca="false">IF(C643="one_time",G643+1,I643)</f>
        <v>3</v>
      </c>
      <c r="L643" s="11" t="n">
        <f aca="false">K643-J643</f>
        <v>1</v>
      </c>
    </row>
    <row r="644" customFormat="false" ht="15" hidden="false" customHeight="false" outlineLevel="0" collapsed="false">
      <c r="A644" s="4" t="s">
        <v>1627</v>
      </c>
      <c r="B644" s="4" t="s">
        <v>97</v>
      </c>
      <c r="C644" s="4" t="s">
        <v>982</v>
      </c>
      <c r="D644" s="4" t="s">
        <v>1011</v>
      </c>
      <c r="E644" s="4" t="n">
        <v>72000</v>
      </c>
      <c r="F644" s="4" t="s">
        <v>1519</v>
      </c>
      <c r="G644" s="4" t="n">
        <v>3</v>
      </c>
      <c r="J644" s="11" t="n">
        <f aca="false">IF(C644="one_time",G644,H644)</f>
        <v>3</v>
      </c>
      <c r="K644" s="11" t="n">
        <f aca="false">IF(C644="one_time",G644+1,I644)</f>
        <v>4</v>
      </c>
      <c r="L644" s="11" t="n">
        <f aca="false">K644-J644</f>
        <v>1</v>
      </c>
    </row>
    <row r="645" customFormat="false" ht="15" hidden="false" customHeight="false" outlineLevel="0" collapsed="false">
      <c r="A645" s="4" t="s">
        <v>1628</v>
      </c>
      <c r="B645" s="4" t="s">
        <v>97</v>
      </c>
      <c r="C645" s="4" t="s">
        <v>1034</v>
      </c>
      <c r="D645" s="4" t="s">
        <v>1011</v>
      </c>
      <c r="E645" s="4" t="n">
        <v>5600</v>
      </c>
      <c r="F645" s="4" t="s">
        <v>1519</v>
      </c>
      <c r="H645" s="4" t="n">
        <v>4</v>
      </c>
      <c r="I645" s="4" t="n">
        <v>10</v>
      </c>
      <c r="J645" s="11" t="n">
        <f aca="false">IF(C645="one_time",G645,H645)</f>
        <v>4</v>
      </c>
      <c r="K645" s="11" t="n">
        <f aca="false">IF(C645="one_time",G645+1,I645)</f>
        <v>10</v>
      </c>
      <c r="L645" s="11" t="n">
        <f aca="false">K645-J645</f>
        <v>6</v>
      </c>
    </row>
    <row r="646" customFormat="false" ht="15" hidden="false" customHeight="false" outlineLevel="0" collapsed="false">
      <c r="A646" s="4" t="s">
        <v>1629</v>
      </c>
      <c r="B646" s="4" t="s">
        <v>97</v>
      </c>
      <c r="C646" s="4" t="s">
        <v>1034</v>
      </c>
      <c r="D646" s="4" t="s">
        <v>1011</v>
      </c>
      <c r="E646" s="4" t="n">
        <v>5900</v>
      </c>
      <c r="F646" s="4" t="s">
        <v>1519</v>
      </c>
      <c r="H646" s="4" t="n">
        <v>10</v>
      </c>
      <c r="I646" s="4" t="n">
        <v>17</v>
      </c>
      <c r="J646" s="11" t="n">
        <f aca="false">IF(C646="one_time",G646,H646)</f>
        <v>10</v>
      </c>
      <c r="K646" s="11" t="n">
        <f aca="false">IF(C646="one_time",G646+1,I646)</f>
        <v>17</v>
      </c>
      <c r="L646" s="11" t="n">
        <f aca="false">K646-J646</f>
        <v>7</v>
      </c>
    </row>
    <row r="647" customFormat="false" ht="15" hidden="false" customHeight="false" outlineLevel="0" collapsed="false">
      <c r="A647" s="4" t="s">
        <v>1630</v>
      </c>
      <c r="B647" s="4" t="s">
        <v>97</v>
      </c>
      <c r="C647" s="4" t="s">
        <v>1034</v>
      </c>
      <c r="D647" s="4" t="s">
        <v>1011</v>
      </c>
      <c r="E647" s="4" t="n">
        <v>9800</v>
      </c>
      <c r="F647" s="4" t="s">
        <v>1519</v>
      </c>
      <c r="H647" s="4" t="n">
        <v>4</v>
      </c>
      <c r="I647" s="4" t="n">
        <v>10</v>
      </c>
      <c r="J647" s="11" t="n">
        <f aca="false">IF(C647="one_time",G647,H647)</f>
        <v>4</v>
      </c>
      <c r="K647" s="11" t="n">
        <f aca="false">IF(C647="one_time",G647+1,I647)</f>
        <v>10</v>
      </c>
      <c r="L647" s="11" t="n">
        <f aca="false">K647-J647</f>
        <v>6</v>
      </c>
    </row>
    <row r="648" customFormat="false" ht="15" hidden="false" customHeight="false" outlineLevel="0" collapsed="false">
      <c r="A648" s="4" t="s">
        <v>1631</v>
      </c>
      <c r="B648" s="4" t="s">
        <v>97</v>
      </c>
      <c r="C648" s="4" t="s">
        <v>1034</v>
      </c>
      <c r="D648" s="4" t="s">
        <v>1011</v>
      </c>
      <c r="E648" s="4" t="n">
        <v>10400</v>
      </c>
      <c r="F648" s="4" t="s">
        <v>1519</v>
      </c>
      <c r="H648" s="4" t="n">
        <v>10</v>
      </c>
      <c r="I648" s="4" t="n">
        <v>17</v>
      </c>
      <c r="J648" s="11" t="n">
        <f aca="false">IF(C648="one_time",G648,H648)</f>
        <v>10</v>
      </c>
      <c r="K648" s="11" t="n">
        <f aca="false">IF(C648="one_time",G648+1,I648)</f>
        <v>17</v>
      </c>
      <c r="L648" s="11" t="n">
        <f aca="false">K648-J648</f>
        <v>7</v>
      </c>
    </row>
    <row r="649" customFormat="false" ht="15" hidden="false" customHeight="false" outlineLevel="0" collapsed="false">
      <c r="A649" s="4" t="s">
        <v>1632</v>
      </c>
      <c r="B649" s="4" t="s">
        <v>97</v>
      </c>
      <c r="C649" s="4" t="s">
        <v>1034</v>
      </c>
      <c r="D649" s="4" t="s">
        <v>1011</v>
      </c>
      <c r="E649" s="4" t="n">
        <v>12600</v>
      </c>
      <c r="F649" s="4" t="s">
        <v>1519</v>
      </c>
      <c r="H649" s="4" t="n">
        <v>4</v>
      </c>
      <c r="I649" s="4" t="n">
        <v>10</v>
      </c>
      <c r="J649" s="11" t="n">
        <f aca="false">IF(C649="one_time",G649,H649)</f>
        <v>4</v>
      </c>
      <c r="K649" s="11" t="n">
        <f aca="false">IF(C649="one_time",G649+1,I649)</f>
        <v>10</v>
      </c>
      <c r="L649" s="11" t="n">
        <f aca="false">K649-J649</f>
        <v>6</v>
      </c>
    </row>
    <row r="650" customFormat="false" ht="15" hidden="false" customHeight="false" outlineLevel="0" collapsed="false">
      <c r="A650" s="4" t="s">
        <v>1633</v>
      </c>
      <c r="B650" s="4" t="s">
        <v>97</v>
      </c>
      <c r="C650" s="4" t="s">
        <v>1034</v>
      </c>
      <c r="D650" s="4" t="s">
        <v>1011</v>
      </c>
      <c r="E650" s="4" t="n">
        <v>12850</v>
      </c>
      <c r="F650" s="4" t="s">
        <v>1519</v>
      </c>
      <c r="H650" s="4" t="n">
        <v>10</v>
      </c>
      <c r="I650" s="4" t="n">
        <v>17</v>
      </c>
      <c r="J650" s="11" t="n">
        <f aca="false">IF(C650="one_time",G650,H650)</f>
        <v>10</v>
      </c>
      <c r="K650" s="11" t="n">
        <f aca="false">IF(C650="one_time",G650+1,I650)</f>
        <v>17</v>
      </c>
      <c r="L650" s="11" t="n">
        <f aca="false">K650-J650</f>
        <v>7</v>
      </c>
    </row>
    <row r="651" customFormat="false" ht="15" hidden="false" customHeight="false" outlineLevel="0" collapsed="false">
      <c r="A651" s="4" t="s">
        <v>1634</v>
      </c>
      <c r="B651" s="4" t="s">
        <v>98</v>
      </c>
      <c r="C651" s="4" t="s">
        <v>982</v>
      </c>
      <c r="D651" s="4" t="s">
        <v>983</v>
      </c>
      <c r="E651" s="4" t="n">
        <v>115343.39</v>
      </c>
      <c r="G651" s="4" t="n">
        <v>4</v>
      </c>
      <c r="J651" s="11" t="n">
        <f aca="false">IF(C651="one_time",G651,H651)</f>
        <v>4</v>
      </c>
      <c r="K651" s="11" t="n">
        <f aca="false">IF(C651="one_time",G651+1,I651)</f>
        <v>5</v>
      </c>
      <c r="L651" s="11" t="n">
        <f aca="false">K651-J651</f>
        <v>1</v>
      </c>
    </row>
    <row r="652" customFormat="false" ht="15" hidden="false" customHeight="false" outlineLevel="0" collapsed="false">
      <c r="A652" s="4" t="s">
        <v>1635</v>
      </c>
      <c r="B652" s="4" t="s">
        <v>98</v>
      </c>
      <c r="C652" s="4" t="s">
        <v>982</v>
      </c>
      <c r="D652" s="4" t="s">
        <v>983</v>
      </c>
      <c r="E652" s="4" t="n">
        <v>64988.97</v>
      </c>
      <c r="G652" s="4" t="n">
        <v>5</v>
      </c>
      <c r="J652" s="11" t="n">
        <f aca="false">IF(C652="one_time",G652,H652)</f>
        <v>5</v>
      </c>
      <c r="K652" s="11" t="n">
        <f aca="false">IF(C652="one_time",G652+1,I652)</f>
        <v>6</v>
      </c>
      <c r="L652" s="11" t="n">
        <f aca="false">K652-J652</f>
        <v>1</v>
      </c>
    </row>
    <row r="653" customFormat="false" ht="15" hidden="false" customHeight="false" outlineLevel="0" collapsed="false">
      <c r="A653" s="4" t="s">
        <v>1636</v>
      </c>
      <c r="B653" s="4" t="s">
        <v>98</v>
      </c>
      <c r="C653" s="4" t="s">
        <v>982</v>
      </c>
      <c r="D653" s="4" t="s">
        <v>983</v>
      </c>
      <c r="E653" s="4" t="n">
        <v>93776.49</v>
      </c>
      <c r="G653" s="4" t="n">
        <v>6</v>
      </c>
      <c r="J653" s="11" t="n">
        <f aca="false">IF(C653="one_time",G653,H653)</f>
        <v>6</v>
      </c>
      <c r="K653" s="11" t="n">
        <f aca="false">IF(C653="one_time",G653+1,I653)</f>
        <v>7</v>
      </c>
      <c r="L653" s="11" t="n">
        <f aca="false">K653-J653</f>
        <v>1</v>
      </c>
    </row>
    <row r="654" customFormat="false" ht="15" hidden="false" customHeight="false" outlineLevel="0" collapsed="false">
      <c r="A654" s="4" t="s">
        <v>1637</v>
      </c>
      <c r="B654" s="4" t="s">
        <v>98</v>
      </c>
      <c r="C654" s="4" t="s">
        <v>982</v>
      </c>
      <c r="D654" s="4" t="s">
        <v>983</v>
      </c>
      <c r="E654" s="4" t="n">
        <v>5347.42</v>
      </c>
      <c r="G654" s="4" t="n">
        <v>7</v>
      </c>
      <c r="J654" s="11" t="n">
        <f aca="false">IF(C654="one_time",G654,H654)</f>
        <v>7</v>
      </c>
      <c r="K654" s="11" t="n">
        <f aca="false">IF(C654="one_time",G654+1,I654)</f>
        <v>8</v>
      </c>
      <c r="L654" s="11" t="n">
        <f aca="false">K654-J654</f>
        <v>1</v>
      </c>
    </row>
    <row r="655" customFormat="false" ht="15" hidden="false" customHeight="false" outlineLevel="0" collapsed="false">
      <c r="A655" s="4" t="s">
        <v>1638</v>
      </c>
      <c r="B655" s="4" t="s">
        <v>98</v>
      </c>
      <c r="C655" s="4" t="s">
        <v>982</v>
      </c>
      <c r="D655" s="4" t="s">
        <v>983</v>
      </c>
      <c r="E655" s="4" t="n">
        <v>5258.56</v>
      </c>
      <c r="G655" s="4" t="n">
        <v>8</v>
      </c>
      <c r="J655" s="11" t="n">
        <f aca="false">IF(C655="one_time",G655,H655)</f>
        <v>8</v>
      </c>
      <c r="K655" s="11" t="n">
        <f aca="false">IF(C655="one_time",G655+1,I655)</f>
        <v>9</v>
      </c>
      <c r="L655" s="11" t="n">
        <f aca="false">K655-J655</f>
        <v>1</v>
      </c>
    </row>
    <row r="656" customFormat="false" ht="15" hidden="false" customHeight="false" outlineLevel="0" collapsed="false">
      <c r="A656" s="4" t="s">
        <v>1639</v>
      </c>
      <c r="B656" s="4" t="s">
        <v>98</v>
      </c>
      <c r="C656" s="4" t="s">
        <v>982</v>
      </c>
      <c r="D656" s="4" t="s">
        <v>983</v>
      </c>
      <c r="E656" s="4" t="n">
        <v>34370</v>
      </c>
      <c r="G656" s="4" t="n">
        <v>4</v>
      </c>
      <c r="J656" s="11" t="n">
        <f aca="false">IF(C656="one_time",G656,H656)</f>
        <v>4</v>
      </c>
      <c r="K656" s="11" t="n">
        <f aca="false">IF(C656="one_time",G656+1,I656)</f>
        <v>5</v>
      </c>
      <c r="L656" s="11" t="n">
        <f aca="false">K656-J656</f>
        <v>1</v>
      </c>
    </row>
    <row r="657" customFormat="false" ht="15" hidden="false" customHeight="false" outlineLevel="0" collapsed="false">
      <c r="A657" s="4" t="s">
        <v>1640</v>
      </c>
      <c r="B657" s="4" t="s">
        <v>98</v>
      </c>
      <c r="C657" s="4" t="s">
        <v>982</v>
      </c>
      <c r="D657" s="4" t="s">
        <v>983</v>
      </c>
      <c r="E657" s="4" t="n">
        <v>21551.44</v>
      </c>
      <c r="G657" s="4" t="n">
        <v>5</v>
      </c>
      <c r="J657" s="11" t="n">
        <f aca="false">IF(C657="one_time",G657,H657)</f>
        <v>5</v>
      </c>
      <c r="K657" s="11" t="n">
        <f aca="false">IF(C657="one_time",G657+1,I657)</f>
        <v>6</v>
      </c>
      <c r="L657" s="11" t="n">
        <f aca="false">K657-J657</f>
        <v>1</v>
      </c>
    </row>
    <row r="658" customFormat="false" ht="15" hidden="false" customHeight="false" outlineLevel="0" collapsed="false">
      <c r="A658" s="4" t="s">
        <v>1641</v>
      </c>
      <c r="B658" s="4" t="s">
        <v>98</v>
      </c>
      <c r="C658" s="4" t="s">
        <v>982</v>
      </c>
      <c r="D658" s="4" t="s">
        <v>983</v>
      </c>
      <c r="E658" s="4" t="n">
        <v>29540.64</v>
      </c>
      <c r="G658" s="4" t="n">
        <v>6</v>
      </c>
      <c r="J658" s="11" t="n">
        <f aca="false">IF(C658="one_time",G658,H658)</f>
        <v>6</v>
      </c>
      <c r="K658" s="11" t="n">
        <f aca="false">IF(C658="one_time",G658+1,I658)</f>
        <v>7</v>
      </c>
      <c r="L658" s="11" t="n">
        <f aca="false">K658-J658</f>
        <v>1</v>
      </c>
    </row>
    <row r="659" customFormat="false" ht="15" hidden="false" customHeight="false" outlineLevel="0" collapsed="false">
      <c r="A659" s="4" t="s">
        <v>1642</v>
      </c>
      <c r="B659" s="4" t="s">
        <v>98</v>
      </c>
      <c r="C659" s="4" t="s">
        <v>982</v>
      </c>
      <c r="D659" s="4" t="s">
        <v>983</v>
      </c>
      <c r="E659" s="4" t="n">
        <v>1803.38</v>
      </c>
      <c r="G659" s="4" t="n">
        <v>7</v>
      </c>
      <c r="J659" s="11" t="n">
        <f aca="false">IF(C659="one_time",G659,H659)</f>
        <v>7</v>
      </c>
      <c r="K659" s="11" t="n">
        <f aca="false">IF(C659="one_time",G659+1,I659)</f>
        <v>8</v>
      </c>
      <c r="L659" s="11" t="n">
        <f aca="false">K659-J659</f>
        <v>1</v>
      </c>
    </row>
    <row r="660" customFormat="false" ht="15" hidden="false" customHeight="false" outlineLevel="0" collapsed="false">
      <c r="A660" s="4" t="s">
        <v>1643</v>
      </c>
      <c r="B660" s="4" t="s">
        <v>98</v>
      </c>
      <c r="C660" s="4" t="s">
        <v>982</v>
      </c>
      <c r="D660" s="4" t="s">
        <v>983</v>
      </c>
      <c r="E660" s="4" t="n">
        <v>1806.86</v>
      </c>
      <c r="G660" s="4" t="n">
        <v>8</v>
      </c>
      <c r="J660" s="11" t="n">
        <f aca="false">IF(C660="one_time",G660,H660)</f>
        <v>8</v>
      </c>
      <c r="K660" s="11" t="n">
        <f aca="false">IF(C660="one_time",G660+1,I660)</f>
        <v>9</v>
      </c>
      <c r="L660" s="11" t="n">
        <f aca="false">K660-J660</f>
        <v>1</v>
      </c>
    </row>
    <row r="661" customFormat="false" ht="15" hidden="false" customHeight="false" outlineLevel="0" collapsed="false">
      <c r="A661" s="4" t="s">
        <v>1644</v>
      </c>
      <c r="B661" s="4" t="s">
        <v>98</v>
      </c>
      <c r="C661" s="4" t="s">
        <v>982</v>
      </c>
      <c r="D661" s="4" t="s">
        <v>983</v>
      </c>
      <c r="E661" s="4" t="n">
        <v>99323.47</v>
      </c>
      <c r="G661" s="4" t="n">
        <v>4</v>
      </c>
      <c r="J661" s="11" t="n">
        <f aca="false">IF(C661="one_time",G661,H661)</f>
        <v>4</v>
      </c>
      <c r="K661" s="11" t="n">
        <f aca="false">IF(C661="one_time",G661+1,I661)</f>
        <v>5</v>
      </c>
      <c r="L661" s="11" t="n">
        <f aca="false">K661-J661</f>
        <v>1</v>
      </c>
    </row>
    <row r="662" customFormat="false" ht="15" hidden="false" customHeight="false" outlineLevel="0" collapsed="false">
      <c r="A662" s="4" t="s">
        <v>1645</v>
      </c>
      <c r="B662" s="4" t="s">
        <v>98</v>
      </c>
      <c r="C662" s="4" t="s">
        <v>982</v>
      </c>
      <c r="D662" s="4" t="s">
        <v>983</v>
      </c>
      <c r="E662" s="4" t="n">
        <v>56340.13</v>
      </c>
      <c r="G662" s="4" t="n">
        <v>5</v>
      </c>
      <c r="J662" s="11" t="n">
        <f aca="false">IF(C662="one_time",G662,H662)</f>
        <v>5</v>
      </c>
      <c r="K662" s="11" t="n">
        <f aca="false">IF(C662="one_time",G662+1,I662)</f>
        <v>6</v>
      </c>
      <c r="L662" s="11" t="n">
        <f aca="false">K662-J662</f>
        <v>1</v>
      </c>
    </row>
    <row r="663" customFormat="false" ht="15" hidden="false" customHeight="false" outlineLevel="0" collapsed="false">
      <c r="A663" s="4" t="s">
        <v>1646</v>
      </c>
      <c r="B663" s="4" t="s">
        <v>98</v>
      </c>
      <c r="C663" s="4" t="s">
        <v>982</v>
      </c>
      <c r="D663" s="4" t="s">
        <v>983</v>
      </c>
      <c r="E663" s="4" t="n">
        <v>84562.62</v>
      </c>
      <c r="G663" s="4" t="n">
        <v>6</v>
      </c>
      <c r="J663" s="11" t="n">
        <f aca="false">IF(C663="one_time",G663,H663)</f>
        <v>6</v>
      </c>
      <c r="K663" s="11" t="n">
        <f aca="false">IF(C663="one_time",G663+1,I663)</f>
        <v>7</v>
      </c>
      <c r="L663" s="11" t="n">
        <f aca="false">K663-J663</f>
        <v>1</v>
      </c>
    </row>
    <row r="664" customFormat="false" ht="15" hidden="false" customHeight="false" outlineLevel="0" collapsed="false">
      <c r="A664" s="4" t="s">
        <v>1647</v>
      </c>
      <c r="B664" s="4" t="s">
        <v>98</v>
      </c>
      <c r="C664" s="4" t="s">
        <v>982</v>
      </c>
      <c r="D664" s="4" t="s">
        <v>983</v>
      </c>
      <c r="E664" s="4" t="n">
        <v>4627.81</v>
      </c>
      <c r="G664" s="4" t="n">
        <v>7</v>
      </c>
      <c r="J664" s="11" t="n">
        <f aca="false">IF(C664="one_time",G664,H664)</f>
        <v>7</v>
      </c>
      <c r="K664" s="11" t="n">
        <f aca="false">IF(C664="one_time",G664+1,I664)</f>
        <v>8</v>
      </c>
      <c r="L664" s="11" t="n">
        <f aca="false">K664-J664</f>
        <v>1</v>
      </c>
    </row>
    <row r="665" customFormat="false" ht="15" hidden="false" customHeight="false" outlineLevel="0" collapsed="false">
      <c r="A665" s="4" t="s">
        <v>1648</v>
      </c>
      <c r="B665" s="4" t="s">
        <v>98</v>
      </c>
      <c r="C665" s="4" t="s">
        <v>982</v>
      </c>
      <c r="D665" s="4" t="s">
        <v>983</v>
      </c>
      <c r="E665" s="4" t="n">
        <v>4753.26</v>
      </c>
      <c r="G665" s="4" t="n">
        <v>8</v>
      </c>
      <c r="J665" s="11" t="n">
        <f aca="false">IF(C665="one_time",G665,H665)</f>
        <v>8</v>
      </c>
      <c r="K665" s="11" t="n">
        <f aca="false">IF(C665="one_time",G665+1,I665)</f>
        <v>9</v>
      </c>
      <c r="L665" s="11" t="n">
        <f aca="false">K665-J665</f>
        <v>1</v>
      </c>
    </row>
    <row r="666" customFormat="false" ht="15" hidden="false" customHeight="false" outlineLevel="0" collapsed="false">
      <c r="A666" s="4" t="s">
        <v>1649</v>
      </c>
      <c r="B666" s="4" t="s">
        <v>98</v>
      </c>
      <c r="C666" s="4" t="s">
        <v>982</v>
      </c>
      <c r="D666" s="4" t="s">
        <v>1011</v>
      </c>
      <c r="E666" s="4" t="n">
        <v>33750</v>
      </c>
      <c r="F666" s="4" t="s">
        <v>1519</v>
      </c>
      <c r="G666" s="4" t="n">
        <v>4</v>
      </c>
      <c r="J666" s="11" t="n">
        <f aca="false">IF(C666="one_time",G666,H666)</f>
        <v>4</v>
      </c>
      <c r="K666" s="11" t="n">
        <f aca="false">IF(C666="one_time",G666+1,I666)</f>
        <v>5</v>
      </c>
      <c r="L666" s="11" t="n">
        <f aca="false">K666-J666</f>
        <v>1</v>
      </c>
    </row>
    <row r="667" customFormat="false" ht="15" hidden="false" customHeight="false" outlineLevel="0" collapsed="false">
      <c r="A667" s="4" t="s">
        <v>1650</v>
      </c>
      <c r="B667" s="4" t="s">
        <v>98</v>
      </c>
      <c r="C667" s="4" t="s">
        <v>982</v>
      </c>
      <c r="D667" s="4" t="s">
        <v>1011</v>
      </c>
      <c r="E667" s="4" t="n">
        <v>26250</v>
      </c>
      <c r="F667" s="4" t="s">
        <v>1519</v>
      </c>
      <c r="G667" s="4" t="n">
        <v>6</v>
      </c>
      <c r="J667" s="11" t="n">
        <f aca="false">IF(C667="one_time",G667,H667)</f>
        <v>6</v>
      </c>
      <c r="K667" s="11" t="n">
        <f aca="false">IF(C667="one_time",G667+1,I667)</f>
        <v>7</v>
      </c>
      <c r="L667" s="11" t="n">
        <f aca="false">K667-J667</f>
        <v>1</v>
      </c>
    </row>
    <row r="668" customFormat="false" ht="15" hidden="false" customHeight="false" outlineLevel="0" collapsed="false">
      <c r="A668" s="4" t="s">
        <v>1651</v>
      </c>
      <c r="B668" s="4" t="s">
        <v>98</v>
      </c>
      <c r="C668" s="4" t="s">
        <v>982</v>
      </c>
      <c r="D668" s="4" t="s">
        <v>1011</v>
      </c>
      <c r="E668" s="4" t="n">
        <v>30000</v>
      </c>
      <c r="F668" s="4" t="s">
        <v>1519</v>
      </c>
      <c r="G668" s="4" t="n">
        <v>5</v>
      </c>
      <c r="J668" s="11" t="n">
        <f aca="false">IF(C668="one_time",G668,H668)</f>
        <v>5</v>
      </c>
      <c r="K668" s="11" t="n">
        <f aca="false">IF(C668="one_time",G668+1,I668)</f>
        <v>6</v>
      </c>
      <c r="L668" s="11" t="n">
        <f aca="false">K668-J668</f>
        <v>1</v>
      </c>
    </row>
    <row r="669" customFormat="false" ht="15" hidden="false" customHeight="false" outlineLevel="0" collapsed="false">
      <c r="A669" s="4" t="s">
        <v>1652</v>
      </c>
      <c r="B669" s="4" t="s">
        <v>98</v>
      </c>
      <c r="C669" s="4" t="s">
        <v>982</v>
      </c>
      <c r="D669" s="4" t="s">
        <v>1011</v>
      </c>
      <c r="E669" s="4" t="n">
        <v>12000</v>
      </c>
      <c r="F669" s="4" t="s">
        <v>1519</v>
      </c>
      <c r="G669" s="4" t="n">
        <v>5</v>
      </c>
      <c r="J669" s="11" t="n">
        <f aca="false">IF(C669="one_time",G669,H669)</f>
        <v>5</v>
      </c>
      <c r="K669" s="11" t="n">
        <f aca="false">IF(C669="one_time",G669+1,I669)</f>
        <v>6</v>
      </c>
      <c r="L669" s="11" t="n">
        <f aca="false">K669-J669</f>
        <v>1</v>
      </c>
    </row>
    <row r="670" customFormat="false" ht="15" hidden="false" customHeight="false" outlineLevel="0" collapsed="false">
      <c r="A670" s="4" t="s">
        <v>1653</v>
      </c>
      <c r="B670" s="4" t="s">
        <v>98</v>
      </c>
      <c r="C670" s="4" t="s">
        <v>982</v>
      </c>
      <c r="D670" s="4" t="s">
        <v>1011</v>
      </c>
      <c r="E670" s="4" t="n">
        <v>21000</v>
      </c>
      <c r="F670" s="4" t="s">
        <v>1519</v>
      </c>
      <c r="G670" s="4" t="n">
        <v>6</v>
      </c>
      <c r="J670" s="11" t="n">
        <f aca="false">IF(C670="one_time",G670,H670)</f>
        <v>6</v>
      </c>
      <c r="K670" s="11" t="n">
        <f aca="false">IF(C670="one_time",G670+1,I670)</f>
        <v>7</v>
      </c>
      <c r="L670" s="11" t="n">
        <f aca="false">K670-J670</f>
        <v>1</v>
      </c>
    </row>
    <row r="671" customFormat="false" ht="15" hidden="false" customHeight="false" outlineLevel="0" collapsed="false">
      <c r="A671" s="4" t="s">
        <v>1654</v>
      </c>
      <c r="B671" s="4" t="s">
        <v>98</v>
      </c>
      <c r="C671" s="4" t="s">
        <v>982</v>
      </c>
      <c r="D671" s="4" t="s">
        <v>1011</v>
      </c>
      <c r="E671" s="4" t="n">
        <v>19500</v>
      </c>
      <c r="F671" s="4" t="s">
        <v>1519</v>
      </c>
      <c r="G671" s="4" t="n">
        <v>4</v>
      </c>
      <c r="J671" s="11" t="n">
        <f aca="false">IF(C671="one_time",G671,H671)</f>
        <v>4</v>
      </c>
      <c r="K671" s="11" t="n">
        <f aca="false">IF(C671="one_time",G671+1,I671)</f>
        <v>5</v>
      </c>
      <c r="L671" s="11" t="n">
        <f aca="false">K671-J671</f>
        <v>1</v>
      </c>
    </row>
    <row r="672" customFormat="false" ht="15" hidden="false" customHeight="false" outlineLevel="0" collapsed="false">
      <c r="A672" s="4" t="s">
        <v>1655</v>
      </c>
      <c r="B672" s="4" t="s">
        <v>98</v>
      </c>
      <c r="C672" s="4" t="s">
        <v>982</v>
      </c>
      <c r="D672" s="4" t="s">
        <v>1011</v>
      </c>
      <c r="E672" s="4" t="n">
        <v>19500</v>
      </c>
      <c r="F672" s="4" t="s">
        <v>1519</v>
      </c>
      <c r="G672" s="4" t="n">
        <v>4</v>
      </c>
      <c r="J672" s="11" t="n">
        <f aca="false">IF(C672="one_time",G672,H672)</f>
        <v>4</v>
      </c>
      <c r="K672" s="11" t="n">
        <f aca="false">IF(C672="one_time",G672+1,I672)</f>
        <v>5</v>
      </c>
      <c r="L672" s="11" t="n">
        <f aca="false">K672-J672</f>
        <v>1</v>
      </c>
    </row>
    <row r="673" customFormat="false" ht="15" hidden="false" customHeight="false" outlineLevel="0" collapsed="false">
      <c r="A673" s="4" t="s">
        <v>1656</v>
      </c>
      <c r="B673" s="4" t="s">
        <v>98</v>
      </c>
      <c r="C673" s="4" t="s">
        <v>982</v>
      </c>
      <c r="D673" s="4" t="s">
        <v>1011</v>
      </c>
      <c r="E673" s="4" t="n">
        <v>12000</v>
      </c>
      <c r="F673" s="4" t="s">
        <v>1519</v>
      </c>
      <c r="G673" s="4" t="n">
        <v>0</v>
      </c>
      <c r="J673" s="11" t="n">
        <f aca="false">IF(C673="one_time",G673,H673)</f>
        <v>0</v>
      </c>
      <c r="K673" s="11" t="n">
        <f aca="false">IF(C673="one_time",G673+1,I673)</f>
        <v>1</v>
      </c>
      <c r="L673" s="11" t="n">
        <f aca="false">K673-J673</f>
        <v>1</v>
      </c>
    </row>
    <row r="674" customFormat="false" ht="15" hidden="false" customHeight="false" outlineLevel="0" collapsed="false">
      <c r="A674" s="4" t="s">
        <v>1657</v>
      </c>
      <c r="B674" s="4" t="s">
        <v>98</v>
      </c>
      <c r="C674" s="4" t="s">
        <v>982</v>
      </c>
      <c r="D674" s="4" t="s">
        <v>1011</v>
      </c>
      <c r="E674" s="4" t="n">
        <v>58350</v>
      </c>
      <c r="F674" s="4" t="s">
        <v>1519</v>
      </c>
      <c r="G674" s="4" t="n">
        <v>6</v>
      </c>
      <c r="J674" s="11" t="n">
        <f aca="false">IF(C674="one_time",G674,H674)</f>
        <v>6</v>
      </c>
      <c r="K674" s="11" t="n">
        <f aca="false">IF(C674="one_time",G674+1,I674)</f>
        <v>7</v>
      </c>
      <c r="L674" s="11" t="n">
        <f aca="false">K674-J674</f>
        <v>1</v>
      </c>
    </row>
    <row r="675" customFormat="false" ht="15" hidden="false" customHeight="false" outlineLevel="0" collapsed="false">
      <c r="A675" s="4" t="s">
        <v>1658</v>
      </c>
      <c r="B675" s="4" t="s">
        <v>98</v>
      </c>
      <c r="C675" s="4" t="s">
        <v>982</v>
      </c>
      <c r="D675" s="4" t="s">
        <v>1011</v>
      </c>
      <c r="E675" s="4" t="n">
        <v>70000</v>
      </c>
      <c r="F675" s="4" t="s">
        <v>1519</v>
      </c>
      <c r="G675" s="4" t="n">
        <v>4</v>
      </c>
      <c r="J675" s="11" t="n">
        <f aca="false">IF(C675="one_time",G675,H675)</f>
        <v>4</v>
      </c>
      <c r="K675" s="11" t="n">
        <f aca="false">IF(C675="one_time",G675+1,I675)</f>
        <v>5</v>
      </c>
      <c r="L675" s="11" t="n">
        <f aca="false">K675-J675</f>
        <v>1</v>
      </c>
    </row>
    <row r="676" customFormat="false" ht="15" hidden="false" customHeight="false" outlineLevel="0" collapsed="false">
      <c r="A676" s="4" t="s">
        <v>1659</v>
      </c>
      <c r="B676" s="4" t="s">
        <v>98</v>
      </c>
      <c r="C676" s="4" t="s">
        <v>982</v>
      </c>
      <c r="D676" s="4" t="s">
        <v>1011</v>
      </c>
      <c r="E676" s="4" t="n">
        <v>81650</v>
      </c>
      <c r="F676" s="4" t="s">
        <v>1519</v>
      </c>
      <c r="G676" s="4" t="n">
        <v>5</v>
      </c>
      <c r="J676" s="11" t="n">
        <f aca="false">IF(C676="one_time",G676,H676)</f>
        <v>5</v>
      </c>
      <c r="K676" s="11" t="n">
        <f aca="false">IF(C676="one_time",G676+1,I676)</f>
        <v>6</v>
      </c>
      <c r="L676" s="11" t="n">
        <f aca="false">K676-J676</f>
        <v>1</v>
      </c>
    </row>
    <row r="677" customFormat="false" ht="15" hidden="false" customHeight="false" outlineLevel="0" collapsed="false">
      <c r="A677" s="4" t="s">
        <v>1660</v>
      </c>
      <c r="B677" s="4" t="s">
        <v>98</v>
      </c>
      <c r="C677" s="4" t="s">
        <v>982</v>
      </c>
      <c r="D677" s="4" t="s">
        <v>1011</v>
      </c>
      <c r="E677" s="4" t="n">
        <v>30000</v>
      </c>
      <c r="F677" s="4" t="s">
        <v>1519</v>
      </c>
      <c r="G677" s="4" t="n">
        <v>6</v>
      </c>
      <c r="J677" s="11" t="n">
        <f aca="false">IF(C677="one_time",G677,H677)</f>
        <v>6</v>
      </c>
      <c r="K677" s="11" t="n">
        <f aca="false">IF(C677="one_time",G677+1,I677)</f>
        <v>7</v>
      </c>
      <c r="L677" s="11" t="n">
        <f aca="false">K677-J677</f>
        <v>1</v>
      </c>
    </row>
    <row r="678" customFormat="false" ht="15" hidden="false" customHeight="false" outlineLevel="0" collapsed="false">
      <c r="A678" s="4" t="s">
        <v>1661</v>
      </c>
      <c r="B678" s="4" t="s">
        <v>98</v>
      </c>
      <c r="C678" s="4" t="s">
        <v>982</v>
      </c>
      <c r="D678" s="4" t="s">
        <v>1011</v>
      </c>
      <c r="E678" s="4" t="n">
        <v>60000</v>
      </c>
      <c r="F678" s="4" t="s">
        <v>1519</v>
      </c>
      <c r="G678" s="4" t="n">
        <v>6</v>
      </c>
      <c r="J678" s="11" t="n">
        <f aca="false">IF(C678="one_time",G678,H678)</f>
        <v>6</v>
      </c>
      <c r="K678" s="11" t="n">
        <f aca="false">IF(C678="one_time",G678+1,I678)</f>
        <v>7</v>
      </c>
      <c r="L678" s="11" t="n">
        <f aca="false">K678-J678</f>
        <v>1</v>
      </c>
    </row>
    <row r="679" customFormat="false" ht="15" hidden="false" customHeight="false" outlineLevel="0" collapsed="false">
      <c r="A679" s="4" t="s">
        <v>1662</v>
      </c>
      <c r="B679" s="4" t="s">
        <v>98</v>
      </c>
      <c r="C679" s="4" t="s">
        <v>982</v>
      </c>
      <c r="D679" s="4" t="s">
        <v>1011</v>
      </c>
      <c r="E679" s="4" t="n">
        <v>42000</v>
      </c>
      <c r="F679" s="4" t="s">
        <v>1519</v>
      </c>
      <c r="G679" s="4" t="n">
        <v>5</v>
      </c>
      <c r="J679" s="11" t="n">
        <f aca="false">IF(C679="one_time",G679,H679)</f>
        <v>5</v>
      </c>
      <c r="K679" s="11" t="n">
        <f aca="false">IF(C679="one_time",G679+1,I679)</f>
        <v>6</v>
      </c>
      <c r="L679" s="11" t="n">
        <f aca="false">K679-J679</f>
        <v>1</v>
      </c>
    </row>
    <row r="680" customFormat="false" ht="15" hidden="false" customHeight="false" outlineLevel="0" collapsed="false">
      <c r="A680" s="4" t="s">
        <v>1663</v>
      </c>
      <c r="B680" s="4" t="s">
        <v>98</v>
      </c>
      <c r="C680" s="4" t="s">
        <v>982</v>
      </c>
      <c r="D680" s="4" t="s">
        <v>1011</v>
      </c>
      <c r="E680" s="4" t="n">
        <v>18450</v>
      </c>
      <c r="F680" s="4" t="s">
        <v>1519</v>
      </c>
      <c r="G680" s="4" t="n">
        <v>4</v>
      </c>
      <c r="J680" s="11" t="n">
        <f aca="false">IF(C680="one_time",G680,H680)</f>
        <v>4</v>
      </c>
      <c r="K680" s="11" t="n">
        <f aca="false">IF(C680="one_time",G680+1,I680)</f>
        <v>5</v>
      </c>
      <c r="L680" s="11" t="n">
        <f aca="false">K680-J680</f>
        <v>1</v>
      </c>
    </row>
    <row r="681" customFormat="false" ht="15" hidden="false" customHeight="false" outlineLevel="0" collapsed="false">
      <c r="A681" s="4" t="s">
        <v>1664</v>
      </c>
      <c r="B681" s="4" t="s">
        <v>98</v>
      </c>
      <c r="C681" s="4" t="s">
        <v>982</v>
      </c>
      <c r="D681" s="4" t="s">
        <v>1011</v>
      </c>
      <c r="E681" s="4" t="n">
        <v>16150</v>
      </c>
      <c r="F681" s="4" t="s">
        <v>1519</v>
      </c>
      <c r="G681" s="4" t="n">
        <v>4</v>
      </c>
      <c r="J681" s="11" t="n">
        <f aca="false">IF(C681="one_time",G681,H681)</f>
        <v>4</v>
      </c>
      <c r="K681" s="11" t="n">
        <f aca="false">IF(C681="one_time",G681+1,I681)</f>
        <v>5</v>
      </c>
      <c r="L681" s="11" t="n">
        <f aca="false">K681-J681</f>
        <v>1</v>
      </c>
    </row>
    <row r="682" customFormat="false" ht="15" hidden="false" customHeight="false" outlineLevel="0" collapsed="false">
      <c r="A682" s="4" t="s">
        <v>1665</v>
      </c>
      <c r="B682" s="4" t="s">
        <v>98</v>
      </c>
      <c r="C682" s="4" t="s">
        <v>982</v>
      </c>
      <c r="D682" s="4" t="s">
        <v>1011</v>
      </c>
      <c r="E682" s="4" t="n">
        <v>25400</v>
      </c>
      <c r="F682" s="4" t="s">
        <v>1519</v>
      </c>
      <c r="G682" s="4" t="n">
        <v>4</v>
      </c>
      <c r="J682" s="11" t="n">
        <f aca="false">IF(C682="one_time",G682,H682)</f>
        <v>4</v>
      </c>
      <c r="K682" s="11" t="n">
        <f aca="false">IF(C682="one_time",G682+1,I682)</f>
        <v>5</v>
      </c>
      <c r="L682" s="11" t="n">
        <f aca="false">K682-J682</f>
        <v>1</v>
      </c>
    </row>
    <row r="683" customFormat="false" ht="15" hidden="false" customHeight="false" outlineLevel="0" collapsed="false">
      <c r="A683" s="4" t="s">
        <v>1666</v>
      </c>
      <c r="B683" s="4" t="s">
        <v>98</v>
      </c>
      <c r="C683" s="4" t="s">
        <v>982</v>
      </c>
      <c r="D683" s="4" t="s">
        <v>1011</v>
      </c>
      <c r="E683" s="4" t="n">
        <v>48000</v>
      </c>
      <c r="F683" s="4" t="s">
        <v>1519</v>
      </c>
      <c r="G683" s="4" t="n">
        <v>4</v>
      </c>
      <c r="J683" s="11" t="n">
        <f aca="false">IF(C683="one_time",G683,H683)</f>
        <v>4</v>
      </c>
      <c r="K683" s="11" t="n">
        <f aca="false">IF(C683="one_time",G683+1,I683)</f>
        <v>5</v>
      </c>
      <c r="L683" s="11" t="n">
        <f aca="false">K683-J683</f>
        <v>1</v>
      </c>
    </row>
    <row r="684" customFormat="false" ht="15" hidden="false" customHeight="false" outlineLevel="0" collapsed="false">
      <c r="A684" s="4" t="s">
        <v>1667</v>
      </c>
      <c r="B684" s="4" t="s">
        <v>98</v>
      </c>
      <c r="C684" s="4" t="s">
        <v>1034</v>
      </c>
      <c r="D684" s="4" t="s">
        <v>1011</v>
      </c>
      <c r="E684" s="4" t="n">
        <v>2400</v>
      </c>
      <c r="F684" s="4" t="s">
        <v>1519</v>
      </c>
      <c r="H684" s="4" t="n">
        <v>6</v>
      </c>
      <c r="I684" s="4" t="n">
        <v>12</v>
      </c>
      <c r="J684" s="11" t="n">
        <f aca="false">IF(C684="one_time",G684,H684)</f>
        <v>6</v>
      </c>
      <c r="K684" s="11" t="n">
        <f aca="false">IF(C684="one_time",G684+1,I684)</f>
        <v>12</v>
      </c>
      <c r="L684" s="11" t="n">
        <f aca="false">K684-J684</f>
        <v>6</v>
      </c>
    </row>
    <row r="685" customFormat="false" ht="15" hidden="false" customHeight="false" outlineLevel="0" collapsed="false">
      <c r="A685" s="4" t="s">
        <v>1668</v>
      </c>
      <c r="B685" s="4" t="s">
        <v>98</v>
      </c>
      <c r="C685" s="4" t="s">
        <v>1034</v>
      </c>
      <c r="D685" s="4" t="s">
        <v>1011</v>
      </c>
      <c r="E685" s="4" t="n">
        <v>2550</v>
      </c>
      <c r="F685" s="4" t="s">
        <v>1519</v>
      </c>
      <c r="H685" s="4" t="n">
        <v>12</v>
      </c>
      <c r="I685" s="4" t="n">
        <v>19</v>
      </c>
      <c r="J685" s="11" t="n">
        <f aca="false">IF(C685="one_time",G685,H685)</f>
        <v>12</v>
      </c>
      <c r="K685" s="11" t="n">
        <f aca="false">IF(C685="one_time",G685+1,I685)</f>
        <v>19</v>
      </c>
      <c r="L685" s="11" t="n">
        <f aca="false">K685-J685</f>
        <v>7</v>
      </c>
    </row>
    <row r="686" customFormat="false" ht="15" hidden="false" customHeight="false" outlineLevel="0" collapsed="false">
      <c r="A686" s="4" t="s">
        <v>1669</v>
      </c>
      <c r="B686" s="4" t="s">
        <v>98</v>
      </c>
      <c r="C686" s="4" t="s">
        <v>1034</v>
      </c>
      <c r="D686" s="4" t="s">
        <v>1011</v>
      </c>
      <c r="E686" s="4" t="n">
        <v>4200</v>
      </c>
      <c r="F686" s="4" t="s">
        <v>1519</v>
      </c>
      <c r="H686" s="4" t="n">
        <v>6</v>
      </c>
      <c r="I686" s="4" t="n">
        <v>12</v>
      </c>
      <c r="J686" s="11" t="n">
        <f aca="false">IF(C686="one_time",G686,H686)</f>
        <v>6</v>
      </c>
      <c r="K686" s="11" t="n">
        <f aca="false">IF(C686="one_time",G686+1,I686)</f>
        <v>12</v>
      </c>
      <c r="L686" s="11" t="n">
        <f aca="false">K686-J686</f>
        <v>6</v>
      </c>
    </row>
    <row r="687" customFormat="false" ht="15" hidden="false" customHeight="false" outlineLevel="0" collapsed="false">
      <c r="A687" s="4" t="s">
        <v>1670</v>
      </c>
      <c r="B687" s="4" t="s">
        <v>98</v>
      </c>
      <c r="C687" s="4" t="s">
        <v>1034</v>
      </c>
      <c r="D687" s="4" t="s">
        <v>1011</v>
      </c>
      <c r="E687" s="4" t="n">
        <v>4300</v>
      </c>
      <c r="F687" s="4" t="s">
        <v>1519</v>
      </c>
      <c r="H687" s="4" t="n">
        <v>12</v>
      </c>
      <c r="I687" s="4" t="n">
        <v>19</v>
      </c>
      <c r="J687" s="11" t="n">
        <f aca="false">IF(C687="one_time",G687,H687)</f>
        <v>12</v>
      </c>
      <c r="K687" s="11" t="n">
        <f aca="false">IF(C687="one_time",G687+1,I687)</f>
        <v>19</v>
      </c>
      <c r="L687" s="11" t="n">
        <f aca="false">K687-J687</f>
        <v>7</v>
      </c>
    </row>
    <row r="688" customFormat="false" ht="15" hidden="false" customHeight="false" outlineLevel="0" collapsed="false">
      <c r="A688" s="4" t="s">
        <v>1671</v>
      </c>
      <c r="B688" s="4" t="s">
        <v>98</v>
      </c>
      <c r="C688" s="4" t="s">
        <v>1034</v>
      </c>
      <c r="D688" s="4" t="s">
        <v>1011</v>
      </c>
      <c r="E688" s="4" t="n">
        <v>5400</v>
      </c>
      <c r="F688" s="4" t="s">
        <v>1519</v>
      </c>
      <c r="H688" s="4" t="n">
        <v>6</v>
      </c>
      <c r="I688" s="4" t="n">
        <v>12</v>
      </c>
      <c r="J688" s="11" t="n">
        <f aca="false">IF(C688="one_time",G688,H688)</f>
        <v>6</v>
      </c>
      <c r="K688" s="11" t="n">
        <f aca="false">IF(C688="one_time",G688+1,I688)</f>
        <v>12</v>
      </c>
      <c r="L688" s="11" t="n">
        <f aca="false">K688-J688</f>
        <v>6</v>
      </c>
    </row>
    <row r="689" customFormat="false" ht="15" hidden="false" customHeight="false" outlineLevel="0" collapsed="false">
      <c r="A689" s="4" t="s">
        <v>1672</v>
      </c>
      <c r="B689" s="4" t="s">
        <v>98</v>
      </c>
      <c r="C689" s="4" t="s">
        <v>1034</v>
      </c>
      <c r="D689" s="4" t="s">
        <v>1011</v>
      </c>
      <c r="E689" s="4" t="n">
        <v>5450</v>
      </c>
      <c r="F689" s="4" t="s">
        <v>1519</v>
      </c>
      <c r="H689" s="4" t="n">
        <v>12</v>
      </c>
      <c r="I689" s="4" t="n">
        <v>19</v>
      </c>
      <c r="J689" s="11" t="n">
        <f aca="false">IF(C689="one_time",G689,H689)</f>
        <v>12</v>
      </c>
      <c r="K689" s="11" t="n">
        <f aca="false">IF(C689="one_time",G689+1,I689)</f>
        <v>19</v>
      </c>
      <c r="L689" s="11" t="n">
        <f aca="false">K689-J689</f>
        <v>7</v>
      </c>
    </row>
    <row r="690" customFormat="false" ht="15" hidden="false" customHeight="false" outlineLevel="0" collapsed="false">
      <c r="A690" s="4" t="s">
        <v>1673</v>
      </c>
      <c r="B690" s="4" t="s">
        <v>99</v>
      </c>
      <c r="C690" s="4" t="s">
        <v>982</v>
      </c>
      <c r="D690" s="4" t="s">
        <v>1011</v>
      </c>
      <c r="E690" s="4" t="n">
        <v>15000</v>
      </c>
      <c r="F690" s="4" t="s">
        <v>1519</v>
      </c>
      <c r="G690" s="4" t="n">
        <v>12</v>
      </c>
      <c r="J690" s="11" t="n">
        <f aca="false">IF(C690="one_time",G690,H690)</f>
        <v>12</v>
      </c>
      <c r="K690" s="11" t="n">
        <f aca="false">IF(C690="one_time",G690+1,I690)</f>
        <v>13</v>
      </c>
      <c r="L690" s="11" t="n">
        <f aca="false">K690-J690</f>
        <v>1</v>
      </c>
    </row>
    <row r="691" customFormat="false" ht="15" hidden="false" customHeight="false" outlineLevel="0" collapsed="false">
      <c r="A691" s="4" t="s">
        <v>1674</v>
      </c>
      <c r="B691" s="4" t="s">
        <v>99</v>
      </c>
      <c r="C691" s="4" t="s">
        <v>982</v>
      </c>
      <c r="D691" s="4" t="s">
        <v>1011</v>
      </c>
      <c r="E691" s="4" t="n">
        <v>25000</v>
      </c>
      <c r="F691" s="4" t="s">
        <v>1519</v>
      </c>
      <c r="G691" s="4" t="n">
        <v>13</v>
      </c>
      <c r="J691" s="11" t="n">
        <f aca="false">IF(C691="one_time",G691,H691)</f>
        <v>13</v>
      </c>
      <c r="K691" s="11" t="n">
        <f aca="false">IF(C691="one_time",G691+1,I691)</f>
        <v>14</v>
      </c>
      <c r="L691" s="11" t="n">
        <f aca="false">K691-J691</f>
        <v>1</v>
      </c>
    </row>
    <row r="692" customFormat="false" ht="15" hidden="false" customHeight="false" outlineLevel="0" collapsed="false">
      <c r="A692" s="4" t="s">
        <v>1675</v>
      </c>
      <c r="B692" s="4" t="s">
        <v>99</v>
      </c>
      <c r="C692" s="4" t="s">
        <v>982</v>
      </c>
      <c r="D692" s="4" t="s">
        <v>1011</v>
      </c>
      <c r="E692" s="4" t="n">
        <v>20000</v>
      </c>
      <c r="F692" s="4" t="s">
        <v>1519</v>
      </c>
      <c r="G692" s="4" t="n">
        <v>10</v>
      </c>
      <c r="J692" s="11" t="n">
        <f aca="false">IF(C692="one_time",G692,H692)</f>
        <v>10</v>
      </c>
      <c r="K692" s="11" t="n">
        <f aca="false">IF(C692="one_time",G692+1,I692)</f>
        <v>11</v>
      </c>
      <c r="L692" s="11" t="n">
        <f aca="false">K692-J692</f>
        <v>1</v>
      </c>
    </row>
    <row r="693" customFormat="false" ht="15" hidden="false" customHeight="false" outlineLevel="0" collapsed="false">
      <c r="A693" s="4" t="s">
        <v>1676</v>
      </c>
      <c r="B693" s="4" t="s">
        <v>99</v>
      </c>
      <c r="C693" s="4" t="s">
        <v>982</v>
      </c>
      <c r="D693" s="4" t="s">
        <v>1011</v>
      </c>
      <c r="E693" s="4" t="n">
        <v>12000</v>
      </c>
      <c r="F693" s="4" t="s">
        <v>1519</v>
      </c>
      <c r="G693" s="4" t="n">
        <v>13</v>
      </c>
      <c r="J693" s="11" t="n">
        <f aca="false">IF(C693="one_time",G693,H693)</f>
        <v>13</v>
      </c>
      <c r="K693" s="11" t="n">
        <f aca="false">IF(C693="one_time",G693+1,I693)</f>
        <v>14</v>
      </c>
      <c r="L693" s="11" t="n">
        <f aca="false">K693-J693</f>
        <v>1</v>
      </c>
    </row>
    <row r="694" customFormat="false" ht="15" hidden="false" customHeight="false" outlineLevel="0" collapsed="false">
      <c r="A694" s="4" t="s">
        <v>1677</v>
      </c>
      <c r="B694" s="4" t="s">
        <v>99</v>
      </c>
      <c r="C694" s="4" t="s">
        <v>982</v>
      </c>
      <c r="D694" s="4" t="s">
        <v>1011</v>
      </c>
      <c r="E694" s="4" t="n">
        <v>40000</v>
      </c>
      <c r="F694" s="4" t="s">
        <v>1519</v>
      </c>
      <c r="G694" s="4" t="n">
        <v>10</v>
      </c>
      <c r="J694" s="11" t="n">
        <f aca="false">IF(C694="one_time",G694,H694)</f>
        <v>10</v>
      </c>
      <c r="K694" s="11" t="n">
        <f aca="false">IF(C694="one_time",G694+1,I694)</f>
        <v>11</v>
      </c>
      <c r="L694" s="11" t="n">
        <f aca="false">K694-J694</f>
        <v>1</v>
      </c>
    </row>
    <row r="695" customFormat="false" ht="15" hidden="false" customHeight="false" outlineLevel="0" collapsed="false">
      <c r="A695" s="4" t="s">
        <v>1678</v>
      </c>
      <c r="B695" s="4" t="s">
        <v>99</v>
      </c>
      <c r="C695" s="4" t="s">
        <v>982</v>
      </c>
      <c r="D695" s="4" t="s">
        <v>1011</v>
      </c>
      <c r="E695" s="4" t="n">
        <v>8000</v>
      </c>
      <c r="F695" s="4" t="s">
        <v>1519</v>
      </c>
      <c r="G695" s="4" t="n">
        <v>0</v>
      </c>
      <c r="J695" s="11" t="n">
        <f aca="false">IF(C695="one_time",G695,H695)</f>
        <v>0</v>
      </c>
      <c r="K695" s="11" t="n">
        <f aca="false">IF(C695="one_time",G695+1,I695)</f>
        <v>1</v>
      </c>
      <c r="L695" s="11" t="n">
        <f aca="false">K695-J695</f>
        <v>1</v>
      </c>
    </row>
    <row r="696" customFormat="false" ht="15" hidden="false" customHeight="false" outlineLevel="0" collapsed="false">
      <c r="A696" s="4" t="s">
        <v>1679</v>
      </c>
      <c r="B696" s="4" t="s">
        <v>99</v>
      </c>
      <c r="C696" s="4" t="s">
        <v>982</v>
      </c>
      <c r="D696" s="4" t="s">
        <v>1011</v>
      </c>
      <c r="E696" s="4" t="n">
        <v>57050</v>
      </c>
      <c r="F696" s="4" t="s">
        <v>1519</v>
      </c>
      <c r="G696" s="4" t="n">
        <v>10</v>
      </c>
      <c r="J696" s="11" t="n">
        <f aca="false">IF(C696="one_time",G696,H696)</f>
        <v>10</v>
      </c>
      <c r="K696" s="11" t="n">
        <f aca="false">IF(C696="one_time",G696+1,I696)</f>
        <v>11</v>
      </c>
      <c r="L696" s="11" t="n">
        <f aca="false">K696-J696</f>
        <v>1</v>
      </c>
    </row>
    <row r="697" customFormat="false" ht="15" hidden="false" customHeight="false" outlineLevel="0" collapsed="false">
      <c r="A697" s="4" t="s">
        <v>1680</v>
      </c>
      <c r="B697" s="4" t="s">
        <v>99</v>
      </c>
      <c r="C697" s="4" t="s">
        <v>982</v>
      </c>
      <c r="D697" s="4" t="s">
        <v>1011</v>
      </c>
      <c r="E697" s="4" t="n">
        <v>31100</v>
      </c>
      <c r="F697" s="4" t="s">
        <v>1519</v>
      </c>
      <c r="G697" s="4" t="n">
        <v>11</v>
      </c>
      <c r="J697" s="11" t="n">
        <f aca="false">IF(C697="one_time",G697,H697)</f>
        <v>11</v>
      </c>
      <c r="K697" s="11" t="n">
        <f aca="false">IF(C697="one_time",G697+1,I697)</f>
        <v>12</v>
      </c>
      <c r="L697" s="11" t="n">
        <f aca="false">K697-J697</f>
        <v>1</v>
      </c>
    </row>
    <row r="698" customFormat="false" ht="15" hidden="false" customHeight="false" outlineLevel="0" collapsed="false">
      <c r="A698" s="4" t="s">
        <v>1681</v>
      </c>
      <c r="B698" s="4" t="s">
        <v>99</v>
      </c>
      <c r="C698" s="4" t="s">
        <v>982</v>
      </c>
      <c r="D698" s="4" t="s">
        <v>1011</v>
      </c>
      <c r="E698" s="4" t="n">
        <v>51850</v>
      </c>
      <c r="F698" s="4" t="s">
        <v>1519</v>
      </c>
      <c r="G698" s="4" t="n">
        <v>11</v>
      </c>
      <c r="J698" s="11" t="n">
        <f aca="false">IF(C698="one_time",G698,H698)</f>
        <v>11</v>
      </c>
      <c r="K698" s="11" t="n">
        <f aca="false">IF(C698="one_time",G698+1,I698)</f>
        <v>12</v>
      </c>
      <c r="L698" s="11" t="n">
        <f aca="false">K698-J698</f>
        <v>1</v>
      </c>
    </row>
    <row r="699" customFormat="false" ht="15" hidden="false" customHeight="false" outlineLevel="0" collapsed="false">
      <c r="A699" s="4" t="s">
        <v>1682</v>
      </c>
      <c r="B699" s="4" t="s">
        <v>99</v>
      </c>
      <c r="C699" s="4" t="s">
        <v>982</v>
      </c>
      <c r="D699" s="4" t="s">
        <v>1011</v>
      </c>
      <c r="E699" s="4" t="n">
        <v>38200</v>
      </c>
      <c r="F699" s="4" t="s">
        <v>1519</v>
      </c>
      <c r="G699" s="4" t="n">
        <v>13</v>
      </c>
      <c r="J699" s="11" t="n">
        <f aca="false">IF(C699="one_time",G699,H699)</f>
        <v>13</v>
      </c>
      <c r="K699" s="11" t="n">
        <f aca="false">IF(C699="one_time",G699+1,I699)</f>
        <v>14</v>
      </c>
      <c r="L699" s="11" t="n">
        <f aca="false">K699-J699</f>
        <v>1</v>
      </c>
    </row>
    <row r="700" customFormat="false" ht="15" hidden="false" customHeight="false" outlineLevel="0" collapsed="false">
      <c r="A700" s="4" t="s">
        <v>1683</v>
      </c>
      <c r="B700" s="4" t="s">
        <v>99</v>
      </c>
      <c r="C700" s="4" t="s">
        <v>982</v>
      </c>
      <c r="D700" s="4" t="s">
        <v>1011</v>
      </c>
      <c r="E700" s="4" t="n">
        <v>21800</v>
      </c>
      <c r="F700" s="4" t="s">
        <v>1519</v>
      </c>
      <c r="G700" s="4" t="n">
        <v>11</v>
      </c>
      <c r="J700" s="11" t="n">
        <f aca="false">IF(C700="one_time",G700,H700)</f>
        <v>11</v>
      </c>
      <c r="K700" s="11" t="n">
        <f aca="false">IF(C700="one_time",G700+1,I700)</f>
        <v>12</v>
      </c>
      <c r="L700" s="11" t="n">
        <f aca="false">K700-J700</f>
        <v>1</v>
      </c>
    </row>
    <row r="701" customFormat="false" ht="15" hidden="false" customHeight="false" outlineLevel="0" collapsed="false">
      <c r="A701" s="4" t="s">
        <v>1684</v>
      </c>
      <c r="B701" s="4" t="s">
        <v>99</v>
      </c>
      <c r="C701" s="4" t="s">
        <v>982</v>
      </c>
      <c r="D701" s="4" t="s">
        <v>1011</v>
      </c>
      <c r="E701" s="4" t="n">
        <v>28000</v>
      </c>
      <c r="F701" s="4" t="s">
        <v>1519</v>
      </c>
      <c r="G701" s="4" t="n">
        <v>10</v>
      </c>
      <c r="J701" s="11" t="n">
        <f aca="false">IF(C701="one_time",G701,H701)</f>
        <v>10</v>
      </c>
      <c r="K701" s="11" t="n">
        <f aca="false">IF(C701="one_time",G701+1,I701)</f>
        <v>11</v>
      </c>
      <c r="L701" s="11" t="n">
        <f aca="false">K701-J701</f>
        <v>1</v>
      </c>
    </row>
    <row r="702" customFormat="false" ht="15" hidden="false" customHeight="false" outlineLevel="0" collapsed="false">
      <c r="A702" s="4" t="s">
        <v>1685</v>
      </c>
      <c r="B702" s="4" t="s">
        <v>99</v>
      </c>
      <c r="C702" s="4" t="s">
        <v>982</v>
      </c>
      <c r="D702" s="4" t="s">
        <v>1011</v>
      </c>
      <c r="E702" s="4" t="n">
        <v>17600</v>
      </c>
      <c r="F702" s="4" t="s">
        <v>1519</v>
      </c>
      <c r="G702" s="4" t="n">
        <v>13</v>
      </c>
      <c r="J702" s="11" t="n">
        <f aca="false">IF(C702="one_time",G702,H702)</f>
        <v>13</v>
      </c>
      <c r="K702" s="11" t="n">
        <f aca="false">IF(C702="one_time",G702+1,I702)</f>
        <v>14</v>
      </c>
      <c r="L702" s="11" t="n">
        <f aca="false">K702-J702</f>
        <v>1</v>
      </c>
    </row>
    <row r="703" customFormat="false" ht="15" hidden="false" customHeight="false" outlineLevel="0" collapsed="false">
      <c r="A703" s="4" t="s">
        <v>1686</v>
      </c>
      <c r="B703" s="4" t="s">
        <v>99</v>
      </c>
      <c r="C703" s="4" t="s">
        <v>982</v>
      </c>
      <c r="D703" s="4" t="s">
        <v>1011</v>
      </c>
      <c r="E703" s="4" t="n">
        <v>22400</v>
      </c>
      <c r="F703" s="4" t="s">
        <v>1519</v>
      </c>
      <c r="G703" s="4" t="n">
        <v>11</v>
      </c>
      <c r="J703" s="11" t="n">
        <f aca="false">IF(C703="one_time",G703,H703)</f>
        <v>11</v>
      </c>
      <c r="K703" s="11" t="n">
        <f aca="false">IF(C703="one_time",G703+1,I703)</f>
        <v>12</v>
      </c>
      <c r="L703" s="11" t="n">
        <f aca="false">K703-J703</f>
        <v>1</v>
      </c>
    </row>
    <row r="704" customFormat="false" ht="15" hidden="false" customHeight="false" outlineLevel="0" collapsed="false">
      <c r="A704" s="4" t="s">
        <v>1687</v>
      </c>
      <c r="B704" s="4" t="s">
        <v>99</v>
      </c>
      <c r="C704" s="4" t="s">
        <v>982</v>
      </c>
      <c r="D704" s="4" t="s">
        <v>1011</v>
      </c>
      <c r="E704" s="4" t="n">
        <v>32000</v>
      </c>
      <c r="F704" s="4" t="s">
        <v>1519</v>
      </c>
      <c r="G704" s="4" t="n">
        <v>11</v>
      </c>
      <c r="J704" s="11" t="n">
        <f aca="false">IF(C704="one_time",G704,H704)</f>
        <v>11</v>
      </c>
      <c r="K704" s="11" t="n">
        <f aca="false">IF(C704="one_time",G704+1,I704)</f>
        <v>12</v>
      </c>
      <c r="L704" s="11" t="n">
        <f aca="false">K704-J704</f>
        <v>1</v>
      </c>
    </row>
    <row r="705" customFormat="false" ht="15" hidden="false" customHeight="false" outlineLevel="0" collapsed="false">
      <c r="A705" s="4" t="s">
        <v>1688</v>
      </c>
      <c r="B705" s="4" t="s">
        <v>99</v>
      </c>
      <c r="C705" s="4" t="s">
        <v>1034</v>
      </c>
      <c r="D705" s="4" t="s">
        <v>1011</v>
      </c>
      <c r="E705" s="4" t="n">
        <v>1600</v>
      </c>
      <c r="F705" s="4" t="s">
        <v>1519</v>
      </c>
      <c r="H705" s="4" t="n">
        <v>13</v>
      </c>
      <c r="I705" s="4" t="n">
        <v>19</v>
      </c>
      <c r="J705" s="11" t="n">
        <f aca="false">IF(C705="one_time",G705,H705)</f>
        <v>13</v>
      </c>
      <c r="K705" s="11" t="n">
        <f aca="false">IF(C705="one_time",G705+1,I705)</f>
        <v>19</v>
      </c>
      <c r="L705" s="11" t="n">
        <f aca="false">K705-J705</f>
        <v>6</v>
      </c>
    </row>
    <row r="706" customFormat="false" ht="15" hidden="false" customHeight="false" outlineLevel="0" collapsed="false">
      <c r="A706" s="4" t="s">
        <v>1689</v>
      </c>
      <c r="B706" s="4" t="s">
        <v>99</v>
      </c>
      <c r="C706" s="4" t="s">
        <v>1034</v>
      </c>
      <c r="D706" s="4" t="s">
        <v>1011</v>
      </c>
      <c r="E706" s="4" t="n">
        <v>1650</v>
      </c>
      <c r="F706" s="4" t="s">
        <v>1519</v>
      </c>
      <c r="H706" s="4" t="n">
        <v>19</v>
      </c>
      <c r="I706" s="4" t="n">
        <v>26</v>
      </c>
      <c r="J706" s="11" t="n">
        <f aca="false">IF(C706="one_time",G706,H706)</f>
        <v>19</v>
      </c>
      <c r="K706" s="11" t="n">
        <f aca="false">IF(C706="one_time",G706+1,I706)</f>
        <v>26</v>
      </c>
      <c r="L706" s="11" t="n">
        <f aca="false">K706-J706</f>
        <v>7</v>
      </c>
    </row>
    <row r="707" customFormat="false" ht="15" hidden="false" customHeight="false" outlineLevel="0" collapsed="false">
      <c r="A707" s="4" t="s">
        <v>1690</v>
      </c>
      <c r="B707" s="4" t="s">
        <v>99</v>
      </c>
      <c r="C707" s="4" t="s">
        <v>1034</v>
      </c>
      <c r="D707" s="4" t="s">
        <v>1011</v>
      </c>
      <c r="E707" s="4" t="n">
        <v>2800</v>
      </c>
      <c r="F707" s="4" t="s">
        <v>1519</v>
      </c>
      <c r="H707" s="4" t="n">
        <v>13</v>
      </c>
      <c r="I707" s="4" t="n">
        <v>19</v>
      </c>
      <c r="J707" s="11" t="n">
        <f aca="false">IF(C707="one_time",G707,H707)</f>
        <v>13</v>
      </c>
      <c r="K707" s="11" t="n">
        <f aca="false">IF(C707="one_time",G707+1,I707)</f>
        <v>19</v>
      </c>
      <c r="L707" s="11" t="n">
        <f aca="false">K707-J707</f>
        <v>6</v>
      </c>
    </row>
    <row r="708" customFormat="false" ht="15" hidden="false" customHeight="false" outlineLevel="0" collapsed="false">
      <c r="A708" s="4" t="s">
        <v>1691</v>
      </c>
      <c r="B708" s="4" t="s">
        <v>99</v>
      </c>
      <c r="C708" s="4" t="s">
        <v>1034</v>
      </c>
      <c r="D708" s="4" t="s">
        <v>1011</v>
      </c>
      <c r="E708" s="4" t="n">
        <v>2850</v>
      </c>
      <c r="F708" s="4" t="s">
        <v>1519</v>
      </c>
      <c r="H708" s="4" t="n">
        <v>19</v>
      </c>
      <c r="I708" s="4" t="n">
        <v>26</v>
      </c>
      <c r="J708" s="11" t="n">
        <f aca="false">IF(C708="one_time",G708,H708)</f>
        <v>19</v>
      </c>
      <c r="K708" s="11" t="n">
        <f aca="false">IF(C708="one_time",G708+1,I708)</f>
        <v>26</v>
      </c>
      <c r="L708" s="11" t="n">
        <f aca="false">K708-J708</f>
        <v>7</v>
      </c>
    </row>
    <row r="709" customFormat="false" ht="15" hidden="false" customHeight="false" outlineLevel="0" collapsed="false">
      <c r="A709" s="4" t="s">
        <v>1692</v>
      </c>
      <c r="B709" s="4" t="s">
        <v>99</v>
      </c>
      <c r="C709" s="4" t="s">
        <v>1034</v>
      </c>
      <c r="D709" s="4" t="s">
        <v>1011</v>
      </c>
      <c r="E709" s="4" t="n">
        <v>3600</v>
      </c>
      <c r="F709" s="4" t="s">
        <v>1519</v>
      </c>
      <c r="H709" s="4" t="n">
        <v>13</v>
      </c>
      <c r="I709" s="4" t="n">
        <v>19</v>
      </c>
      <c r="J709" s="11" t="n">
        <f aca="false">IF(C709="one_time",G709,H709)</f>
        <v>13</v>
      </c>
      <c r="K709" s="11" t="n">
        <f aca="false">IF(C709="one_time",G709+1,I709)</f>
        <v>19</v>
      </c>
      <c r="L709" s="11" t="n">
        <f aca="false">K709-J709</f>
        <v>6</v>
      </c>
    </row>
    <row r="710" customFormat="false" ht="15" hidden="false" customHeight="false" outlineLevel="0" collapsed="false">
      <c r="A710" s="4" t="s">
        <v>1693</v>
      </c>
      <c r="B710" s="4" t="s">
        <v>99</v>
      </c>
      <c r="C710" s="4" t="s">
        <v>1034</v>
      </c>
      <c r="D710" s="4" t="s">
        <v>1011</v>
      </c>
      <c r="E710" s="4" t="n">
        <v>3650</v>
      </c>
      <c r="F710" s="4" t="s">
        <v>1519</v>
      </c>
      <c r="H710" s="4" t="n">
        <v>19</v>
      </c>
      <c r="I710" s="4" t="n">
        <v>26</v>
      </c>
      <c r="J710" s="11" t="n">
        <f aca="false">IF(C710="one_time",G710,H710)</f>
        <v>19</v>
      </c>
      <c r="K710" s="11" t="n">
        <f aca="false">IF(C710="one_time",G710+1,I710)</f>
        <v>26</v>
      </c>
      <c r="L710" s="11" t="n">
        <f aca="false">K710-J710</f>
        <v>7</v>
      </c>
    </row>
    <row r="711" customFormat="false" ht="15" hidden="false" customHeight="false" outlineLevel="0" collapsed="false">
      <c r="A711" s="4" t="s">
        <v>1694</v>
      </c>
      <c r="B711" s="4" t="s">
        <v>100</v>
      </c>
      <c r="C711" s="4" t="s">
        <v>982</v>
      </c>
      <c r="D711" s="4" t="s">
        <v>1011</v>
      </c>
      <c r="E711" s="4" t="n">
        <v>26900</v>
      </c>
      <c r="F711" s="4" t="s">
        <v>1519</v>
      </c>
      <c r="G711" s="4" t="n">
        <v>15</v>
      </c>
      <c r="J711" s="11" t="n">
        <f aca="false">IF(C711="one_time",G711,H711)</f>
        <v>15</v>
      </c>
      <c r="K711" s="11" t="n">
        <f aca="false">IF(C711="one_time",G711+1,I711)</f>
        <v>16</v>
      </c>
      <c r="L711" s="11" t="n">
        <f aca="false">K711-J711</f>
        <v>1</v>
      </c>
    </row>
    <row r="712" customFormat="false" ht="15" hidden="false" customHeight="false" outlineLevel="0" collapsed="false">
      <c r="A712" s="4" t="s">
        <v>1695</v>
      </c>
      <c r="B712" s="4" t="s">
        <v>100</v>
      </c>
      <c r="C712" s="4" t="s">
        <v>982</v>
      </c>
      <c r="D712" s="4" t="s">
        <v>1011</v>
      </c>
      <c r="E712" s="4" t="n">
        <v>23100</v>
      </c>
      <c r="F712" s="4" t="s">
        <v>1519</v>
      </c>
      <c r="G712" s="4" t="n">
        <v>15</v>
      </c>
      <c r="J712" s="11" t="n">
        <f aca="false">IF(C712="one_time",G712,H712)</f>
        <v>15</v>
      </c>
      <c r="K712" s="11" t="n">
        <f aca="false">IF(C712="one_time",G712+1,I712)</f>
        <v>16</v>
      </c>
      <c r="L712" s="11" t="n">
        <f aca="false">K712-J712</f>
        <v>1</v>
      </c>
    </row>
    <row r="713" customFormat="false" ht="15" hidden="false" customHeight="false" outlineLevel="0" collapsed="false">
      <c r="A713" s="4" t="s">
        <v>1696</v>
      </c>
      <c r="B713" s="4" t="s">
        <v>100</v>
      </c>
      <c r="C713" s="4" t="s">
        <v>982</v>
      </c>
      <c r="D713" s="4" t="s">
        <v>1011</v>
      </c>
      <c r="E713" s="4" t="n">
        <v>8700</v>
      </c>
      <c r="F713" s="4" t="s">
        <v>1519</v>
      </c>
      <c r="G713" s="4" t="n">
        <v>18</v>
      </c>
      <c r="J713" s="11" t="n">
        <f aca="false">IF(C713="one_time",G713,H713)</f>
        <v>18</v>
      </c>
      <c r="K713" s="11" t="n">
        <f aca="false">IF(C713="one_time",G713+1,I713)</f>
        <v>19</v>
      </c>
      <c r="L713" s="11" t="n">
        <f aca="false">K713-J713</f>
        <v>1</v>
      </c>
    </row>
    <row r="714" customFormat="false" ht="15" hidden="false" customHeight="false" outlineLevel="0" collapsed="false">
      <c r="A714" s="4" t="s">
        <v>1697</v>
      </c>
      <c r="B714" s="4" t="s">
        <v>100</v>
      </c>
      <c r="C714" s="4" t="s">
        <v>982</v>
      </c>
      <c r="D714" s="4" t="s">
        <v>1011</v>
      </c>
      <c r="E714" s="4" t="n">
        <v>16300</v>
      </c>
      <c r="F714" s="4" t="s">
        <v>1519</v>
      </c>
      <c r="G714" s="4" t="n">
        <v>17</v>
      </c>
      <c r="J714" s="11" t="n">
        <f aca="false">IF(C714="one_time",G714,H714)</f>
        <v>17</v>
      </c>
      <c r="K714" s="11" t="n">
        <f aca="false">IF(C714="one_time",G714+1,I714)</f>
        <v>18</v>
      </c>
      <c r="L714" s="11" t="n">
        <f aca="false">K714-J714</f>
        <v>1</v>
      </c>
    </row>
    <row r="715" customFormat="false" ht="15" hidden="false" customHeight="false" outlineLevel="0" collapsed="false">
      <c r="A715" s="4" t="s">
        <v>1698</v>
      </c>
      <c r="B715" s="4" t="s">
        <v>100</v>
      </c>
      <c r="C715" s="4" t="s">
        <v>982</v>
      </c>
      <c r="D715" s="4" t="s">
        <v>1011</v>
      </c>
      <c r="E715" s="4" t="n">
        <v>5000</v>
      </c>
      <c r="F715" s="4" t="s">
        <v>1519</v>
      </c>
      <c r="G715" s="4" t="n">
        <v>15</v>
      </c>
      <c r="J715" s="11" t="n">
        <f aca="false">IF(C715="one_time",G715,H715)</f>
        <v>15</v>
      </c>
      <c r="K715" s="11" t="n">
        <f aca="false">IF(C715="one_time",G715+1,I715)</f>
        <v>16</v>
      </c>
      <c r="L715" s="11" t="n">
        <f aca="false">K715-J715</f>
        <v>1</v>
      </c>
    </row>
    <row r="716" customFormat="false" ht="15" hidden="false" customHeight="false" outlineLevel="0" collapsed="false">
      <c r="A716" s="4" t="s">
        <v>1699</v>
      </c>
      <c r="B716" s="4" t="s">
        <v>100</v>
      </c>
      <c r="C716" s="4" t="s">
        <v>982</v>
      </c>
      <c r="D716" s="4" t="s">
        <v>1011</v>
      </c>
      <c r="E716" s="4" t="n">
        <v>25000</v>
      </c>
      <c r="F716" s="4" t="s">
        <v>1519</v>
      </c>
      <c r="G716" s="4" t="n">
        <v>17</v>
      </c>
      <c r="J716" s="11" t="n">
        <f aca="false">IF(C716="one_time",G716,H716)</f>
        <v>17</v>
      </c>
      <c r="K716" s="11" t="n">
        <f aca="false">IF(C716="one_time",G716+1,I716)</f>
        <v>18</v>
      </c>
      <c r="L716" s="11" t="n">
        <f aca="false">K716-J716</f>
        <v>1</v>
      </c>
    </row>
    <row r="717" customFormat="false" ht="15" hidden="false" customHeight="false" outlineLevel="0" collapsed="false">
      <c r="A717" s="4" t="s">
        <v>1700</v>
      </c>
      <c r="B717" s="4" t="s">
        <v>100</v>
      </c>
      <c r="C717" s="4" t="s">
        <v>982</v>
      </c>
      <c r="D717" s="4" t="s">
        <v>1011</v>
      </c>
      <c r="E717" s="4" t="n">
        <v>25000</v>
      </c>
      <c r="F717" s="4" t="s">
        <v>1519</v>
      </c>
      <c r="G717" s="4" t="n">
        <v>18</v>
      </c>
      <c r="J717" s="11" t="n">
        <f aca="false">IF(C717="one_time",G717,H717)</f>
        <v>18</v>
      </c>
      <c r="K717" s="11" t="n">
        <f aca="false">IF(C717="one_time",G717+1,I717)</f>
        <v>19</v>
      </c>
      <c r="L717" s="11" t="n">
        <f aca="false">K717-J717</f>
        <v>1</v>
      </c>
    </row>
    <row r="718" customFormat="false" ht="15" hidden="false" customHeight="false" outlineLevel="0" collapsed="false">
      <c r="A718" s="4" t="s">
        <v>1701</v>
      </c>
      <c r="B718" s="4" t="s">
        <v>100</v>
      </c>
      <c r="C718" s="4" t="s">
        <v>982</v>
      </c>
      <c r="D718" s="4" t="s">
        <v>1011</v>
      </c>
      <c r="E718" s="4" t="n">
        <v>10000</v>
      </c>
      <c r="F718" s="4" t="s">
        <v>1519</v>
      </c>
      <c r="G718" s="4" t="n">
        <v>0</v>
      </c>
      <c r="J718" s="11" t="n">
        <f aca="false">IF(C718="one_time",G718,H718)</f>
        <v>0</v>
      </c>
      <c r="K718" s="11" t="n">
        <f aca="false">IF(C718="one_time",G718+1,I718)</f>
        <v>1</v>
      </c>
      <c r="L718" s="11" t="n">
        <f aca="false">K718-J718</f>
        <v>1</v>
      </c>
    </row>
    <row r="719" customFormat="false" ht="15" hidden="false" customHeight="false" outlineLevel="0" collapsed="false">
      <c r="A719" s="4" t="s">
        <v>1702</v>
      </c>
      <c r="B719" s="4" t="s">
        <v>100</v>
      </c>
      <c r="C719" s="4" t="s">
        <v>982</v>
      </c>
      <c r="D719" s="4" t="s">
        <v>1011</v>
      </c>
      <c r="E719" s="4" t="n">
        <v>87500</v>
      </c>
      <c r="F719" s="4" t="s">
        <v>1519</v>
      </c>
      <c r="G719" s="4" t="n">
        <v>18</v>
      </c>
      <c r="J719" s="11" t="n">
        <f aca="false">IF(C719="one_time",G719,H719)</f>
        <v>18</v>
      </c>
      <c r="K719" s="11" t="n">
        <f aca="false">IF(C719="one_time",G719+1,I719)</f>
        <v>19</v>
      </c>
      <c r="L719" s="11" t="n">
        <f aca="false">K719-J719</f>
        <v>1</v>
      </c>
    </row>
    <row r="720" customFormat="false" ht="15" hidden="false" customHeight="false" outlineLevel="0" collapsed="false">
      <c r="A720" s="4" t="s">
        <v>1703</v>
      </c>
      <c r="B720" s="4" t="s">
        <v>100</v>
      </c>
      <c r="C720" s="4" t="s">
        <v>982</v>
      </c>
      <c r="D720" s="4" t="s">
        <v>1011</v>
      </c>
      <c r="E720" s="4" t="n">
        <v>87500</v>
      </c>
      <c r="F720" s="4" t="s">
        <v>1519</v>
      </c>
      <c r="G720" s="4" t="n">
        <v>16</v>
      </c>
      <c r="J720" s="11" t="n">
        <f aca="false">IF(C720="one_time",G720,H720)</f>
        <v>16</v>
      </c>
      <c r="K720" s="11" t="n">
        <f aca="false">IF(C720="one_time",G720+1,I720)</f>
        <v>17</v>
      </c>
      <c r="L720" s="11" t="n">
        <f aca="false">K720-J720</f>
        <v>1</v>
      </c>
    </row>
    <row r="721" customFormat="false" ht="15" hidden="false" customHeight="false" outlineLevel="0" collapsed="false">
      <c r="A721" s="4" t="s">
        <v>1704</v>
      </c>
      <c r="B721" s="4" t="s">
        <v>100</v>
      </c>
      <c r="C721" s="4" t="s">
        <v>982</v>
      </c>
      <c r="D721" s="4" t="s">
        <v>1011</v>
      </c>
      <c r="E721" s="4" t="n">
        <v>30000</v>
      </c>
      <c r="F721" s="4" t="s">
        <v>1519</v>
      </c>
      <c r="G721" s="4" t="n">
        <v>17</v>
      </c>
      <c r="J721" s="11" t="n">
        <f aca="false">IF(C721="one_time",G721,H721)</f>
        <v>17</v>
      </c>
      <c r="K721" s="11" t="n">
        <f aca="false">IF(C721="one_time",G721+1,I721)</f>
        <v>18</v>
      </c>
      <c r="L721" s="11" t="n">
        <f aca="false">K721-J721</f>
        <v>1</v>
      </c>
    </row>
    <row r="722" customFormat="false" ht="15" hidden="false" customHeight="false" outlineLevel="0" collapsed="false">
      <c r="A722" s="4" t="s">
        <v>1705</v>
      </c>
      <c r="B722" s="4" t="s">
        <v>100</v>
      </c>
      <c r="C722" s="4" t="s">
        <v>982</v>
      </c>
      <c r="D722" s="4" t="s">
        <v>1011</v>
      </c>
      <c r="E722" s="4" t="n">
        <v>45000</v>
      </c>
      <c r="F722" s="4" t="s">
        <v>1519</v>
      </c>
      <c r="G722" s="4" t="n">
        <v>18</v>
      </c>
      <c r="J722" s="11" t="n">
        <f aca="false">IF(C722="one_time",G722,H722)</f>
        <v>18</v>
      </c>
      <c r="K722" s="11" t="n">
        <f aca="false">IF(C722="one_time",G722+1,I722)</f>
        <v>19</v>
      </c>
      <c r="L722" s="11" t="n">
        <f aca="false">K722-J722</f>
        <v>1</v>
      </c>
    </row>
    <row r="723" customFormat="false" ht="15" hidden="false" customHeight="false" outlineLevel="0" collapsed="false">
      <c r="A723" s="4" t="s">
        <v>1706</v>
      </c>
      <c r="B723" s="4" t="s">
        <v>100</v>
      </c>
      <c r="C723" s="4" t="s">
        <v>982</v>
      </c>
      <c r="D723" s="4" t="s">
        <v>1011</v>
      </c>
      <c r="E723" s="4" t="n">
        <v>15150</v>
      </c>
      <c r="F723" s="4" t="s">
        <v>1519</v>
      </c>
      <c r="G723" s="4" t="n">
        <v>16</v>
      </c>
      <c r="J723" s="11" t="n">
        <f aca="false">IF(C723="one_time",G723,H723)</f>
        <v>16</v>
      </c>
      <c r="K723" s="11" t="n">
        <f aca="false">IF(C723="one_time",G723+1,I723)</f>
        <v>17</v>
      </c>
      <c r="L723" s="11" t="n">
        <f aca="false">K723-J723</f>
        <v>1</v>
      </c>
    </row>
    <row r="724" customFormat="false" ht="15" hidden="false" customHeight="false" outlineLevel="0" collapsed="false">
      <c r="A724" s="4" t="s">
        <v>1707</v>
      </c>
      <c r="B724" s="4" t="s">
        <v>100</v>
      </c>
      <c r="C724" s="4" t="s">
        <v>982</v>
      </c>
      <c r="D724" s="4" t="s">
        <v>1011</v>
      </c>
      <c r="E724" s="4" t="n">
        <v>14000</v>
      </c>
      <c r="F724" s="4" t="s">
        <v>1519</v>
      </c>
      <c r="G724" s="4" t="n">
        <v>17</v>
      </c>
      <c r="J724" s="11" t="n">
        <f aca="false">IF(C724="one_time",G724,H724)</f>
        <v>17</v>
      </c>
      <c r="K724" s="11" t="n">
        <f aca="false">IF(C724="one_time",G724+1,I724)</f>
        <v>18</v>
      </c>
      <c r="L724" s="11" t="n">
        <f aca="false">K724-J724</f>
        <v>1</v>
      </c>
    </row>
    <row r="725" customFormat="false" ht="15" hidden="false" customHeight="false" outlineLevel="0" collapsed="false">
      <c r="A725" s="4" t="s">
        <v>1708</v>
      </c>
      <c r="B725" s="4" t="s">
        <v>100</v>
      </c>
      <c r="C725" s="4" t="s">
        <v>982</v>
      </c>
      <c r="D725" s="4" t="s">
        <v>1011</v>
      </c>
      <c r="E725" s="4" t="n">
        <v>5850</v>
      </c>
      <c r="F725" s="4" t="s">
        <v>1519</v>
      </c>
      <c r="G725" s="4" t="n">
        <v>15</v>
      </c>
      <c r="J725" s="11" t="n">
        <f aca="false">IF(C725="one_time",G725,H725)</f>
        <v>15</v>
      </c>
      <c r="K725" s="11" t="n">
        <f aca="false">IF(C725="one_time",G725+1,I725)</f>
        <v>16</v>
      </c>
      <c r="L725" s="11" t="n">
        <f aca="false">K725-J725</f>
        <v>1</v>
      </c>
    </row>
    <row r="726" customFormat="false" ht="15" hidden="false" customHeight="false" outlineLevel="0" collapsed="false">
      <c r="A726" s="4" t="s">
        <v>1709</v>
      </c>
      <c r="B726" s="4" t="s">
        <v>100</v>
      </c>
      <c r="C726" s="4" t="s">
        <v>982</v>
      </c>
      <c r="D726" s="4" t="s">
        <v>1011</v>
      </c>
      <c r="E726" s="4" t="n">
        <v>26800</v>
      </c>
      <c r="F726" s="4" t="s">
        <v>1519</v>
      </c>
      <c r="G726" s="4" t="n">
        <v>15</v>
      </c>
      <c r="J726" s="11" t="n">
        <f aca="false">IF(C726="one_time",G726,H726)</f>
        <v>15</v>
      </c>
      <c r="K726" s="11" t="n">
        <f aca="false">IF(C726="one_time",G726+1,I726)</f>
        <v>16</v>
      </c>
      <c r="L726" s="11" t="n">
        <f aca="false">K726-J726</f>
        <v>1</v>
      </c>
    </row>
    <row r="727" customFormat="false" ht="15" hidden="false" customHeight="false" outlineLevel="0" collapsed="false">
      <c r="A727" s="4" t="s">
        <v>1710</v>
      </c>
      <c r="B727" s="4" t="s">
        <v>100</v>
      </c>
      <c r="C727" s="4" t="s">
        <v>982</v>
      </c>
      <c r="D727" s="4" t="s">
        <v>1011</v>
      </c>
      <c r="E727" s="4" t="n">
        <v>12500</v>
      </c>
      <c r="F727" s="4" t="s">
        <v>1519</v>
      </c>
      <c r="G727" s="4" t="n">
        <v>17</v>
      </c>
      <c r="J727" s="11" t="n">
        <f aca="false">IF(C727="one_time",G727,H727)</f>
        <v>17</v>
      </c>
      <c r="K727" s="11" t="n">
        <f aca="false">IF(C727="one_time",G727+1,I727)</f>
        <v>18</v>
      </c>
      <c r="L727" s="11" t="n">
        <f aca="false">K727-J727</f>
        <v>1</v>
      </c>
    </row>
    <row r="728" customFormat="false" ht="15" hidden="false" customHeight="false" outlineLevel="0" collapsed="false">
      <c r="A728" s="4" t="s">
        <v>1711</v>
      </c>
      <c r="B728" s="4" t="s">
        <v>100</v>
      </c>
      <c r="C728" s="4" t="s">
        <v>982</v>
      </c>
      <c r="D728" s="4" t="s">
        <v>1011</v>
      </c>
      <c r="E728" s="4" t="n">
        <v>10700</v>
      </c>
      <c r="F728" s="4" t="s">
        <v>1519</v>
      </c>
      <c r="G728" s="4" t="n">
        <v>18</v>
      </c>
      <c r="J728" s="11" t="n">
        <f aca="false">IF(C728="one_time",G728,H728)</f>
        <v>18</v>
      </c>
      <c r="K728" s="11" t="n">
        <f aca="false">IF(C728="one_time",G728+1,I728)</f>
        <v>19</v>
      </c>
      <c r="L728" s="11" t="n">
        <f aca="false">K728-J728</f>
        <v>1</v>
      </c>
    </row>
    <row r="729" customFormat="false" ht="15" hidden="false" customHeight="false" outlineLevel="0" collapsed="false">
      <c r="A729" s="4" t="s">
        <v>1712</v>
      </c>
      <c r="B729" s="4" t="s">
        <v>100</v>
      </c>
      <c r="C729" s="4" t="s">
        <v>982</v>
      </c>
      <c r="D729" s="4" t="s">
        <v>1011</v>
      </c>
      <c r="E729" s="4" t="n">
        <v>16950</v>
      </c>
      <c r="F729" s="4" t="s">
        <v>1519</v>
      </c>
      <c r="G729" s="4" t="n">
        <v>16</v>
      </c>
      <c r="J729" s="11" t="n">
        <f aca="false">IF(C729="one_time",G729,H729)</f>
        <v>16</v>
      </c>
      <c r="K729" s="11" t="n">
        <f aca="false">IF(C729="one_time",G729+1,I729)</f>
        <v>17</v>
      </c>
      <c r="L729" s="11" t="n">
        <f aca="false">K729-J729</f>
        <v>1</v>
      </c>
    </row>
    <row r="730" customFormat="false" ht="15" hidden="false" customHeight="false" outlineLevel="0" collapsed="false">
      <c r="A730" s="4" t="s">
        <v>1713</v>
      </c>
      <c r="B730" s="4" t="s">
        <v>100</v>
      </c>
      <c r="C730" s="4" t="s">
        <v>982</v>
      </c>
      <c r="D730" s="4" t="s">
        <v>1011</v>
      </c>
      <c r="E730" s="4" t="n">
        <v>9700</v>
      </c>
      <c r="F730" s="4" t="s">
        <v>1519</v>
      </c>
      <c r="G730" s="4" t="n">
        <v>16</v>
      </c>
      <c r="J730" s="11" t="n">
        <f aca="false">IF(C730="one_time",G730,H730)</f>
        <v>16</v>
      </c>
      <c r="K730" s="11" t="n">
        <f aca="false">IF(C730="one_time",G730+1,I730)</f>
        <v>17</v>
      </c>
      <c r="L730" s="11" t="n">
        <f aca="false">K730-J730</f>
        <v>1</v>
      </c>
    </row>
    <row r="731" customFormat="false" ht="15" hidden="false" customHeight="false" outlineLevel="0" collapsed="false">
      <c r="A731" s="4" t="s">
        <v>1714</v>
      </c>
      <c r="B731" s="4" t="s">
        <v>100</v>
      </c>
      <c r="C731" s="4" t="s">
        <v>982</v>
      </c>
      <c r="D731" s="4" t="s">
        <v>1011</v>
      </c>
      <c r="E731" s="4" t="n">
        <v>13350</v>
      </c>
      <c r="F731" s="4" t="s">
        <v>1519</v>
      </c>
      <c r="G731" s="4" t="n">
        <v>17</v>
      </c>
      <c r="J731" s="11" t="n">
        <f aca="false">IF(C731="one_time",G731,H731)</f>
        <v>17</v>
      </c>
      <c r="K731" s="11" t="n">
        <f aca="false">IF(C731="one_time",G731+1,I731)</f>
        <v>18</v>
      </c>
      <c r="L731" s="11" t="n">
        <f aca="false">K731-J731</f>
        <v>1</v>
      </c>
    </row>
    <row r="732" customFormat="false" ht="15" hidden="false" customHeight="false" outlineLevel="0" collapsed="false">
      <c r="A732" s="4" t="s">
        <v>1715</v>
      </c>
      <c r="B732" s="4" t="s">
        <v>100</v>
      </c>
      <c r="C732" s="4" t="s">
        <v>1034</v>
      </c>
      <c r="D732" s="4" t="s">
        <v>1011</v>
      </c>
      <c r="E732" s="4" t="n">
        <v>2000</v>
      </c>
      <c r="F732" s="4" t="s">
        <v>1519</v>
      </c>
      <c r="H732" s="4" t="n">
        <v>18</v>
      </c>
      <c r="I732" s="4" t="n">
        <v>24</v>
      </c>
      <c r="J732" s="11" t="n">
        <f aca="false">IF(C732="one_time",G732,H732)</f>
        <v>18</v>
      </c>
      <c r="K732" s="11" t="n">
        <f aca="false">IF(C732="one_time",G732+1,I732)</f>
        <v>24</v>
      </c>
      <c r="L732" s="11" t="n">
        <f aca="false">K732-J732</f>
        <v>6</v>
      </c>
    </row>
    <row r="733" customFormat="false" ht="15" hidden="false" customHeight="false" outlineLevel="0" collapsed="false">
      <c r="A733" s="4" t="s">
        <v>1716</v>
      </c>
      <c r="B733" s="4" t="s">
        <v>100</v>
      </c>
      <c r="C733" s="4" t="s">
        <v>1034</v>
      </c>
      <c r="D733" s="4" t="s">
        <v>1011</v>
      </c>
      <c r="E733" s="4" t="n">
        <v>2100</v>
      </c>
      <c r="F733" s="4" t="s">
        <v>1519</v>
      </c>
      <c r="H733" s="4" t="n">
        <v>24</v>
      </c>
      <c r="I733" s="4" t="n">
        <v>29</v>
      </c>
      <c r="J733" s="11" t="n">
        <f aca="false">IF(C733="one_time",G733,H733)</f>
        <v>24</v>
      </c>
      <c r="K733" s="11" t="n">
        <f aca="false">IF(C733="one_time",G733+1,I733)</f>
        <v>29</v>
      </c>
      <c r="L733" s="11" t="n">
        <f aca="false">K733-J733</f>
        <v>5</v>
      </c>
    </row>
    <row r="734" customFormat="false" ht="15" hidden="false" customHeight="false" outlineLevel="0" collapsed="false">
      <c r="A734" s="4" t="s">
        <v>1717</v>
      </c>
      <c r="B734" s="4" t="s">
        <v>100</v>
      </c>
      <c r="C734" s="4" t="s">
        <v>1034</v>
      </c>
      <c r="D734" s="4" t="s">
        <v>1011</v>
      </c>
      <c r="E734" s="4" t="n">
        <v>3500</v>
      </c>
      <c r="F734" s="4" t="s">
        <v>1519</v>
      </c>
      <c r="H734" s="4" t="n">
        <v>18</v>
      </c>
      <c r="I734" s="4" t="n">
        <v>24</v>
      </c>
      <c r="J734" s="11" t="n">
        <f aca="false">IF(C734="one_time",G734,H734)</f>
        <v>18</v>
      </c>
      <c r="K734" s="11" t="n">
        <f aca="false">IF(C734="one_time",G734+1,I734)</f>
        <v>24</v>
      </c>
      <c r="L734" s="11" t="n">
        <f aca="false">K734-J734</f>
        <v>6</v>
      </c>
    </row>
    <row r="735" customFormat="false" ht="15" hidden="false" customHeight="false" outlineLevel="0" collapsed="false">
      <c r="A735" s="4" t="s">
        <v>1718</v>
      </c>
      <c r="B735" s="4" t="s">
        <v>100</v>
      </c>
      <c r="C735" s="4" t="s">
        <v>1034</v>
      </c>
      <c r="D735" s="4" t="s">
        <v>1011</v>
      </c>
      <c r="E735" s="4" t="n">
        <v>3650</v>
      </c>
      <c r="F735" s="4" t="s">
        <v>1519</v>
      </c>
      <c r="H735" s="4" t="n">
        <v>24</v>
      </c>
      <c r="I735" s="4" t="n">
        <v>29</v>
      </c>
      <c r="J735" s="11" t="n">
        <f aca="false">IF(C735="one_time",G735,H735)</f>
        <v>24</v>
      </c>
      <c r="K735" s="11" t="n">
        <f aca="false">IF(C735="one_time",G735+1,I735)</f>
        <v>29</v>
      </c>
      <c r="L735" s="11" t="n">
        <f aca="false">K735-J735</f>
        <v>5</v>
      </c>
    </row>
    <row r="736" customFormat="false" ht="15" hidden="false" customHeight="false" outlineLevel="0" collapsed="false">
      <c r="A736" s="4" t="s">
        <v>1719</v>
      </c>
      <c r="B736" s="4" t="s">
        <v>100</v>
      </c>
      <c r="C736" s="4" t="s">
        <v>1034</v>
      </c>
      <c r="D736" s="4" t="s">
        <v>1011</v>
      </c>
      <c r="E736" s="4" t="n">
        <v>4500</v>
      </c>
      <c r="F736" s="4" t="s">
        <v>1519</v>
      </c>
      <c r="H736" s="4" t="n">
        <v>18</v>
      </c>
      <c r="I736" s="4" t="n">
        <v>24</v>
      </c>
      <c r="J736" s="11" t="n">
        <f aca="false">IF(C736="one_time",G736,H736)</f>
        <v>18</v>
      </c>
      <c r="K736" s="11" t="n">
        <f aca="false">IF(C736="one_time",G736+1,I736)</f>
        <v>24</v>
      </c>
      <c r="L736" s="11" t="n">
        <f aca="false">K736-J736</f>
        <v>6</v>
      </c>
    </row>
    <row r="737" customFormat="false" ht="15" hidden="false" customHeight="false" outlineLevel="0" collapsed="false">
      <c r="A737" s="4" t="s">
        <v>1720</v>
      </c>
      <c r="B737" s="4" t="s">
        <v>100</v>
      </c>
      <c r="C737" s="4" t="s">
        <v>1034</v>
      </c>
      <c r="D737" s="4" t="s">
        <v>1011</v>
      </c>
      <c r="E737" s="4" t="n">
        <v>4600</v>
      </c>
      <c r="F737" s="4" t="s">
        <v>1519</v>
      </c>
      <c r="H737" s="4" t="n">
        <v>24</v>
      </c>
      <c r="I737" s="4" t="n">
        <v>29</v>
      </c>
      <c r="J737" s="11" t="n">
        <f aca="false">IF(C737="one_time",G737,H737)</f>
        <v>24</v>
      </c>
      <c r="K737" s="11" t="n">
        <f aca="false">IF(C737="one_time",G737+1,I737)</f>
        <v>29</v>
      </c>
      <c r="L737" s="11" t="n">
        <f aca="false">K737-J737</f>
        <v>5</v>
      </c>
    </row>
    <row r="738" customFormat="false" ht="15" hidden="false" customHeight="false" outlineLevel="0" collapsed="false">
      <c r="A738" s="4" t="s">
        <v>1721</v>
      </c>
      <c r="B738" s="4" t="s">
        <v>101</v>
      </c>
      <c r="C738" s="4" t="s">
        <v>982</v>
      </c>
      <c r="D738" s="4" t="s">
        <v>1011</v>
      </c>
      <c r="E738" s="4" t="n">
        <v>34000</v>
      </c>
      <c r="G738" s="4" t="n">
        <v>10</v>
      </c>
      <c r="J738" s="11" t="n">
        <f aca="false">IF(C738="one_time",G738,H738)</f>
        <v>10</v>
      </c>
      <c r="K738" s="11" t="n">
        <f aca="false">IF(C738="one_time",G738+1,I738)</f>
        <v>11</v>
      </c>
      <c r="L738" s="11" t="n">
        <f aca="false">K738-J738</f>
        <v>1</v>
      </c>
    </row>
    <row r="739" customFormat="false" ht="15" hidden="false" customHeight="false" outlineLevel="0" collapsed="false">
      <c r="A739" s="4" t="s">
        <v>1722</v>
      </c>
      <c r="B739" s="4" t="s">
        <v>101</v>
      </c>
      <c r="C739" s="4" t="s">
        <v>982</v>
      </c>
      <c r="D739" s="4" t="s">
        <v>1011</v>
      </c>
      <c r="E739" s="4" t="n">
        <v>20400</v>
      </c>
      <c r="G739" s="4" t="n">
        <v>10</v>
      </c>
      <c r="J739" s="11" t="n">
        <f aca="false">IF(C739="one_time",G739,H739)</f>
        <v>10</v>
      </c>
      <c r="K739" s="11" t="n">
        <f aca="false">IF(C739="one_time",G739+1,I739)</f>
        <v>11</v>
      </c>
      <c r="L739" s="11" t="n">
        <f aca="false">K739-J739</f>
        <v>1</v>
      </c>
    </row>
    <row r="740" customFormat="false" ht="15" hidden="false" customHeight="false" outlineLevel="0" collapsed="false">
      <c r="A740" s="4" t="s">
        <v>1723</v>
      </c>
      <c r="B740" s="4" t="s">
        <v>101</v>
      </c>
      <c r="C740" s="4" t="s">
        <v>982</v>
      </c>
      <c r="D740" s="4" t="s">
        <v>1011</v>
      </c>
      <c r="E740" s="4" t="n">
        <v>30600</v>
      </c>
      <c r="G740" s="4" t="n">
        <v>12</v>
      </c>
      <c r="J740" s="11" t="n">
        <f aca="false">IF(C740="one_time",G740,H740)</f>
        <v>12</v>
      </c>
      <c r="K740" s="11" t="n">
        <f aca="false">IF(C740="one_time",G740+1,I740)</f>
        <v>13</v>
      </c>
      <c r="L740" s="11" t="n">
        <f aca="false">K740-J740</f>
        <v>1</v>
      </c>
    </row>
    <row r="741" customFormat="false" ht="15" hidden="false" customHeight="false" outlineLevel="0" collapsed="false">
      <c r="A741" s="4" t="s">
        <v>1724</v>
      </c>
      <c r="B741" s="4" t="s">
        <v>101</v>
      </c>
      <c r="C741" s="4" t="s">
        <v>982</v>
      </c>
      <c r="D741" s="4" t="s">
        <v>1011</v>
      </c>
      <c r="E741" s="4" t="n">
        <v>13750</v>
      </c>
      <c r="G741" s="4" t="n">
        <v>14</v>
      </c>
      <c r="J741" s="11" t="n">
        <f aca="false">IF(C741="one_time",G741,H741)</f>
        <v>14</v>
      </c>
      <c r="K741" s="11" t="n">
        <f aca="false">IF(C741="one_time",G741+1,I741)</f>
        <v>15</v>
      </c>
      <c r="L741" s="11" t="n">
        <f aca="false">K741-J741</f>
        <v>1</v>
      </c>
    </row>
    <row r="742" customFormat="false" ht="15" hidden="false" customHeight="false" outlineLevel="0" collapsed="false">
      <c r="A742" s="4" t="s">
        <v>1725</v>
      </c>
      <c r="B742" s="4" t="s">
        <v>101</v>
      </c>
      <c r="C742" s="4" t="s">
        <v>982</v>
      </c>
      <c r="D742" s="4" t="s">
        <v>1011</v>
      </c>
      <c r="E742" s="4" t="n">
        <v>11250</v>
      </c>
      <c r="G742" s="4" t="n">
        <v>11</v>
      </c>
      <c r="J742" s="11" t="n">
        <f aca="false">IF(C742="one_time",G742,H742)</f>
        <v>11</v>
      </c>
      <c r="K742" s="11" t="n">
        <f aca="false">IF(C742="one_time",G742+1,I742)</f>
        <v>12</v>
      </c>
      <c r="L742" s="11" t="n">
        <f aca="false">K742-J742</f>
        <v>1</v>
      </c>
    </row>
    <row r="743" customFormat="false" ht="15" hidden="false" customHeight="false" outlineLevel="0" collapsed="false">
      <c r="A743" s="4" t="s">
        <v>1726</v>
      </c>
      <c r="B743" s="4" t="s">
        <v>101</v>
      </c>
      <c r="C743" s="4" t="s">
        <v>982</v>
      </c>
      <c r="D743" s="4" t="s">
        <v>1011</v>
      </c>
      <c r="E743" s="4" t="n">
        <v>17500</v>
      </c>
      <c r="G743" s="4" t="n">
        <v>9</v>
      </c>
      <c r="J743" s="11" t="n">
        <f aca="false">IF(C743="one_time",G743,H743)</f>
        <v>9</v>
      </c>
      <c r="K743" s="11" t="n">
        <f aca="false">IF(C743="one_time",G743+1,I743)</f>
        <v>10</v>
      </c>
      <c r="L743" s="11" t="n">
        <f aca="false">K743-J743</f>
        <v>1</v>
      </c>
    </row>
    <row r="744" customFormat="false" ht="15" hidden="false" customHeight="false" outlineLevel="0" collapsed="false">
      <c r="A744" s="4" t="s">
        <v>1727</v>
      </c>
      <c r="B744" s="4" t="s">
        <v>101</v>
      </c>
      <c r="C744" s="4" t="s">
        <v>982</v>
      </c>
      <c r="D744" s="4" t="s">
        <v>1011</v>
      </c>
      <c r="E744" s="4" t="n">
        <v>25250</v>
      </c>
      <c r="G744" s="4" t="n">
        <v>14</v>
      </c>
      <c r="J744" s="11" t="n">
        <f aca="false">IF(C744="one_time",G744,H744)</f>
        <v>14</v>
      </c>
      <c r="K744" s="11" t="n">
        <f aca="false">IF(C744="one_time",G744+1,I744)</f>
        <v>15</v>
      </c>
      <c r="L744" s="11" t="n">
        <f aca="false">K744-J744</f>
        <v>1</v>
      </c>
    </row>
    <row r="745" customFormat="false" ht="15" hidden="false" customHeight="false" outlineLevel="0" collapsed="false">
      <c r="A745" s="4" t="s">
        <v>1728</v>
      </c>
      <c r="B745" s="4" t="s">
        <v>101</v>
      </c>
      <c r="C745" s="4" t="s">
        <v>982</v>
      </c>
      <c r="D745" s="4" t="s">
        <v>1011</v>
      </c>
      <c r="E745" s="4" t="n">
        <v>34450</v>
      </c>
      <c r="G745" s="4" t="n">
        <v>9</v>
      </c>
      <c r="J745" s="11" t="n">
        <f aca="false">IF(C745="one_time",G745,H745)</f>
        <v>9</v>
      </c>
      <c r="K745" s="11" t="n">
        <f aca="false">IF(C745="one_time",G745+1,I745)</f>
        <v>10</v>
      </c>
      <c r="L745" s="11" t="n">
        <f aca="false">K745-J745</f>
        <v>1</v>
      </c>
    </row>
    <row r="746" customFormat="false" ht="15" hidden="false" customHeight="false" outlineLevel="0" collapsed="false">
      <c r="A746" s="4" t="s">
        <v>1729</v>
      </c>
      <c r="B746" s="4" t="s">
        <v>101</v>
      </c>
      <c r="C746" s="4" t="s">
        <v>982</v>
      </c>
      <c r="D746" s="4" t="s">
        <v>1011</v>
      </c>
      <c r="E746" s="4" t="n">
        <v>25300</v>
      </c>
      <c r="G746" s="4" t="n">
        <v>12</v>
      </c>
      <c r="J746" s="11" t="n">
        <f aca="false">IF(C746="one_time",G746,H746)</f>
        <v>12</v>
      </c>
      <c r="K746" s="11" t="n">
        <f aca="false">IF(C746="one_time",G746+1,I746)</f>
        <v>13</v>
      </c>
      <c r="L746" s="11" t="n">
        <f aca="false">K746-J746</f>
        <v>1</v>
      </c>
    </row>
    <row r="747" customFormat="false" ht="15" hidden="false" customHeight="false" outlineLevel="0" collapsed="false">
      <c r="A747" s="4" t="s">
        <v>1730</v>
      </c>
      <c r="B747" s="4" t="s">
        <v>101</v>
      </c>
      <c r="C747" s="4" t="s">
        <v>982</v>
      </c>
      <c r="D747" s="4" t="s">
        <v>1011</v>
      </c>
      <c r="E747" s="4" t="n">
        <v>17000</v>
      </c>
      <c r="G747" s="4" t="n">
        <v>0</v>
      </c>
      <c r="J747" s="11" t="n">
        <f aca="false">IF(C747="one_time",G747,H747)</f>
        <v>0</v>
      </c>
      <c r="K747" s="11" t="n">
        <f aca="false">IF(C747="one_time",G747+1,I747)</f>
        <v>1</v>
      </c>
      <c r="L747" s="11" t="n">
        <f aca="false">K747-J747</f>
        <v>1</v>
      </c>
    </row>
    <row r="748" customFormat="false" ht="15" hidden="false" customHeight="false" outlineLevel="0" collapsed="false">
      <c r="A748" s="4" t="s">
        <v>1731</v>
      </c>
      <c r="B748" s="4" t="s">
        <v>101</v>
      </c>
      <c r="C748" s="4" t="s">
        <v>982</v>
      </c>
      <c r="D748" s="4" t="s">
        <v>1011</v>
      </c>
      <c r="E748" s="4" t="n">
        <v>105550</v>
      </c>
      <c r="G748" s="4" t="n">
        <v>13</v>
      </c>
      <c r="J748" s="11" t="n">
        <f aca="false">IF(C748="one_time",G748,H748)</f>
        <v>13</v>
      </c>
      <c r="K748" s="11" t="n">
        <f aca="false">IF(C748="one_time",G748+1,I748)</f>
        <v>14</v>
      </c>
      <c r="L748" s="11" t="n">
        <f aca="false">K748-J748</f>
        <v>1</v>
      </c>
    </row>
    <row r="749" customFormat="false" ht="15" hidden="false" customHeight="false" outlineLevel="0" collapsed="false">
      <c r="A749" s="4" t="s">
        <v>1732</v>
      </c>
      <c r="B749" s="4" t="s">
        <v>101</v>
      </c>
      <c r="C749" s="4" t="s">
        <v>982</v>
      </c>
      <c r="D749" s="4" t="s">
        <v>1011</v>
      </c>
      <c r="E749" s="4" t="n">
        <v>115150</v>
      </c>
      <c r="G749" s="4" t="n">
        <v>13</v>
      </c>
      <c r="J749" s="11" t="n">
        <f aca="false">IF(C749="one_time",G749,H749)</f>
        <v>13</v>
      </c>
      <c r="K749" s="11" t="n">
        <f aca="false">IF(C749="one_time",G749+1,I749)</f>
        <v>14</v>
      </c>
      <c r="L749" s="11" t="n">
        <f aca="false">K749-J749</f>
        <v>1</v>
      </c>
    </row>
    <row r="750" customFormat="false" ht="15" hidden="false" customHeight="false" outlineLevel="0" collapsed="false">
      <c r="A750" s="4" t="s">
        <v>1733</v>
      </c>
      <c r="B750" s="4" t="s">
        <v>101</v>
      </c>
      <c r="C750" s="4" t="s">
        <v>982</v>
      </c>
      <c r="D750" s="4" t="s">
        <v>1011</v>
      </c>
      <c r="E750" s="4" t="n">
        <v>76800</v>
      </c>
      <c r="G750" s="4" t="n">
        <v>12</v>
      </c>
      <c r="J750" s="11" t="n">
        <f aca="false">IF(C750="one_time",G750,H750)</f>
        <v>12</v>
      </c>
      <c r="K750" s="11" t="n">
        <f aca="false">IF(C750="one_time",G750+1,I750)</f>
        <v>13</v>
      </c>
      <c r="L750" s="11" t="n">
        <f aca="false">K750-J750</f>
        <v>1</v>
      </c>
    </row>
    <row r="751" customFormat="false" ht="15" hidden="false" customHeight="false" outlineLevel="0" collapsed="false">
      <c r="A751" s="4" t="s">
        <v>1734</v>
      </c>
      <c r="B751" s="4" t="s">
        <v>101</v>
      </c>
      <c r="C751" s="4" t="s">
        <v>982</v>
      </c>
      <c r="D751" s="4" t="s">
        <v>1011</v>
      </c>
      <c r="E751" s="4" t="n">
        <v>42500</v>
      </c>
      <c r="G751" s="4" t="n">
        <v>10</v>
      </c>
      <c r="J751" s="11" t="n">
        <f aca="false">IF(C751="one_time",G751,H751)</f>
        <v>10</v>
      </c>
      <c r="K751" s="11" t="n">
        <f aca="false">IF(C751="one_time",G751+1,I751)</f>
        <v>11</v>
      </c>
      <c r="L751" s="11" t="n">
        <f aca="false">K751-J751</f>
        <v>1</v>
      </c>
    </row>
    <row r="752" customFormat="false" ht="15" hidden="false" customHeight="false" outlineLevel="0" collapsed="false">
      <c r="A752" s="4" t="s">
        <v>1735</v>
      </c>
      <c r="B752" s="4" t="s">
        <v>101</v>
      </c>
      <c r="C752" s="4" t="s">
        <v>982</v>
      </c>
      <c r="D752" s="4" t="s">
        <v>1011</v>
      </c>
      <c r="E752" s="4" t="n">
        <v>34750</v>
      </c>
      <c r="G752" s="4" t="n">
        <v>14</v>
      </c>
      <c r="J752" s="11" t="n">
        <f aca="false">IF(C752="one_time",G752,H752)</f>
        <v>14</v>
      </c>
      <c r="K752" s="11" t="n">
        <f aca="false">IF(C752="one_time",G752+1,I752)</f>
        <v>15</v>
      </c>
      <c r="L752" s="11" t="n">
        <f aca="false">K752-J752</f>
        <v>1</v>
      </c>
    </row>
    <row r="753" customFormat="false" ht="15" hidden="false" customHeight="false" outlineLevel="0" collapsed="false">
      <c r="A753" s="4" t="s">
        <v>1736</v>
      </c>
      <c r="B753" s="4" t="s">
        <v>101</v>
      </c>
      <c r="C753" s="4" t="s">
        <v>982</v>
      </c>
      <c r="D753" s="4" t="s">
        <v>1011</v>
      </c>
      <c r="E753" s="4" t="n">
        <v>50250</v>
      </c>
      <c r="G753" s="4" t="n">
        <v>12</v>
      </c>
      <c r="J753" s="11" t="n">
        <f aca="false">IF(C753="one_time",G753,H753)</f>
        <v>12</v>
      </c>
      <c r="K753" s="11" t="n">
        <f aca="false">IF(C753="one_time",G753+1,I753)</f>
        <v>13</v>
      </c>
      <c r="L753" s="11" t="n">
        <f aca="false">K753-J753</f>
        <v>1</v>
      </c>
    </row>
    <row r="754" customFormat="false" ht="15" hidden="false" customHeight="false" outlineLevel="0" collapsed="false">
      <c r="A754" s="4" t="s">
        <v>1737</v>
      </c>
      <c r="B754" s="4" t="s">
        <v>101</v>
      </c>
      <c r="C754" s="4" t="s">
        <v>982</v>
      </c>
      <c r="D754" s="4" t="s">
        <v>1011</v>
      </c>
      <c r="E754" s="4" t="n">
        <v>20400</v>
      </c>
      <c r="G754" s="4" t="n">
        <v>12</v>
      </c>
      <c r="J754" s="11" t="n">
        <f aca="false">IF(C754="one_time",G754,H754)</f>
        <v>12</v>
      </c>
      <c r="K754" s="11" t="n">
        <f aca="false">IF(C754="one_time",G754+1,I754)</f>
        <v>13</v>
      </c>
      <c r="L754" s="11" t="n">
        <f aca="false">K754-J754</f>
        <v>1</v>
      </c>
    </row>
    <row r="755" customFormat="false" ht="15" hidden="false" customHeight="false" outlineLevel="0" collapsed="false">
      <c r="A755" s="4" t="s">
        <v>1738</v>
      </c>
      <c r="B755" s="4" t="s">
        <v>101</v>
      </c>
      <c r="C755" s="4" t="s">
        <v>982</v>
      </c>
      <c r="D755" s="4" t="s">
        <v>1011</v>
      </c>
      <c r="E755" s="4" t="n">
        <v>22100</v>
      </c>
      <c r="G755" s="4" t="n">
        <v>14</v>
      </c>
      <c r="J755" s="11" t="n">
        <f aca="false">IF(C755="one_time",G755,H755)</f>
        <v>14</v>
      </c>
      <c r="K755" s="11" t="n">
        <f aca="false">IF(C755="one_time",G755+1,I755)</f>
        <v>15</v>
      </c>
      <c r="L755" s="11" t="n">
        <f aca="false">K755-J755</f>
        <v>1</v>
      </c>
    </row>
    <row r="756" customFormat="false" ht="15" hidden="false" customHeight="false" outlineLevel="0" collapsed="false">
      <c r="A756" s="4" t="s">
        <v>1739</v>
      </c>
      <c r="B756" s="4" t="s">
        <v>101</v>
      </c>
      <c r="C756" s="4" t="s">
        <v>982</v>
      </c>
      <c r="D756" s="4" t="s">
        <v>1011</v>
      </c>
      <c r="E756" s="4" t="n">
        <v>17000</v>
      </c>
      <c r="G756" s="4" t="n">
        <v>13</v>
      </c>
      <c r="J756" s="11" t="n">
        <f aca="false">IF(C756="one_time",G756,H756)</f>
        <v>13</v>
      </c>
      <c r="K756" s="11" t="n">
        <f aca="false">IF(C756="one_time",G756+1,I756)</f>
        <v>14</v>
      </c>
      <c r="L756" s="11" t="n">
        <f aca="false">K756-J756</f>
        <v>1</v>
      </c>
    </row>
    <row r="757" customFormat="false" ht="15" hidden="false" customHeight="false" outlineLevel="0" collapsed="false">
      <c r="A757" s="4" t="s">
        <v>1740</v>
      </c>
      <c r="B757" s="4" t="s">
        <v>101</v>
      </c>
      <c r="C757" s="4" t="s">
        <v>982</v>
      </c>
      <c r="D757" s="4" t="s">
        <v>1011</v>
      </c>
      <c r="E757" s="4" t="n">
        <v>35000</v>
      </c>
      <c r="G757" s="4" t="n">
        <v>11</v>
      </c>
      <c r="J757" s="11" t="n">
        <f aca="false">IF(C757="one_time",G757,H757)</f>
        <v>11</v>
      </c>
      <c r="K757" s="11" t="n">
        <f aca="false">IF(C757="one_time",G757+1,I757)</f>
        <v>12</v>
      </c>
      <c r="L757" s="11" t="n">
        <f aca="false">K757-J757</f>
        <v>1</v>
      </c>
    </row>
    <row r="758" customFormat="false" ht="15" hidden="false" customHeight="false" outlineLevel="0" collapsed="false">
      <c r="A758" s="4" t="s">
        <v>1741</v>
      </c>
      <c r="B758" s="4" t="s">
        <v>101</v>
      </c>
      <c r="C758" s="4" t="s">
        <v>982</v>
      </c>
      <c r="D758" s="4" t="s">
        <v>1011</v>
      </c>
      <c r="E758" s="4" t="n">
        <v>50000</v>
      </c>
      <c r="G758" s="4" t="n">
        <v>14</v>
      </c>
      <c r="J758" s="11" t="n">
        <f aca="false">IF(C758="one_time",G758,H758)</f>
        <v>14</v>
      </c>
      <c r="K758" s="11" t="n">
        <f aca="false">IF(C758="one_time",G758+1,I758)</f>
        <v>15</v>
      </c>
      <c r="L758" s="11" t="n">
        <f aca="false">K758-J758</f>
        <v>1</v>
      </c>
    </row>
    <row r="759" customFormat="false" ht="15" hidden="false" customHeight="false" outlineLevel="0" collapsed="false">
      <c r="A759" s="4" t="s">
        <v>1742</v>
      </c>
      <c r="B759" s="4" t="s">
        <v>101</v>
      </c>
      <c r="C759" s="4" t="s">
        <v>982</v>
      </c>
      <c r="D759" s="4" t="s">
        <v>1011</v>
      </c>
      <c r="E759" s="4" t="n">
        <v>17500</v>
      </c>
      <c r="G759" s="4" t="n">
        <v>14</v>
      </c>
      <c r="J759" s="11" t="n">
        <f aca="false">IF(C759="one_time",G759,H759)</f>
        <v>14</v>
      </c>
      <c r="K759" s="11" t="n">
        <f aca="false">IF(C759="one_time",G759+1,I759)</f>
        <v>15</v>
      </c>
      <c r="L759" s="11" t="n">
        <f aca="false">K759-J759</f>
        <v>1</v>
      </c>
    </row>
    <row r="760" customFormat="false" ht="15" hidden="false" customHeight="false" outlineLevel="0" collapsed="false">
      <c r="A760" s="4" t="s">
        <v>1743</v>
      </c>
      <c r="B760" s="4" t="s">
        <v>101</v>
      </c>
      <c r="C760" s="4" t="s">
        <v>982</v>
      </c>
      <c r="D760" s="4" t="s">
        <v>1011</v>
      </c>
      <c r="E760" s="4" t="n">
        <v>25250</v>
      </c>
      <c r="G760" s="4" t="n">
        <v>10</v>
      </c>
      <c r="J760" s="11" t="n">
        <f aca="false">IF(C760="one_time",G760,H760)</f>
        <v>10</v>
      </c>
      <c r="K760" s="11" t="n">
        <f aca="false">IF(C760="one_time",G760+1,I760)</f>
        <v>11</v>
      </c>
      <c r="L760" s="11" t="n">
        <f aca="false">K760-J760</f>
        <v>1</v>
      </c>
    </row>
    <row r="761" customFormat="false" ht="15" hidden="false" customHeight="false" outlineLevel="0" collapsed="false">
      <c r="A761" s="4" t="s">
        <v>1744</v>
      </c>
      <c r="B761" s="4" t="s">
        <v>101</v>
      </c>
      <c r="C761" s="4" t="s">
        <v>982</v>
      </c>
      <c r="D761" s="4" t="s">
        <v>1011</v>
      </c>
      <c r="E761" s="4" t="n">
        <v>25250</v>
      </c>
      <c r="G761" s="4" t="n">
        <v>11</v>
      </c>
      <c r="J761" s="11" t="n">
        <f aca="false">IF(C761="one_time",G761,H761)</f>
        <v>11</v>
      </c>
      <c r="K761" s="11" t="n">
        <f aca="false">IF(C761="one_time",G761+1,I761)</f>
        <v>12</v>
      </c>
      <c r="L761" s="11" t="n">
        <f aca="false">K761-J761</f>
        <v>1</v>
      </c>
    </row>
    <row r="762" customFormat="false" ht="15" hidden="false" customHeight="false" outlineLevel="0" collapsed="false">
      <c r="A762" s="4" t="s">
        <v>1745</v>
      </c>
      <c r="B762" s="4" t="s">
        <v>101</v>
      </c>
      <c r="C762" s="4" t="s">
        <v>1034</v>
      </c>
      <c r="D762" s="4" t="s">
        <v>1011</v>
      </c>
      <c r="E762" s="4" t="n">
        <v>3400</v>
      </c>
      <c r="H762" s="4" t="n">
        <v>14</v>
      </c>
      <c r="I762" s="4" t="n">
        <v>20</v>
      </c>
      <c r="J762" s="11" t="n">
        <f aca="false">IF(C762="one_time",G762,H762)</f>
        <v>14</v>
      </c>
      <c r="K762" s="11" t="n">
        <f aca="false">IF(C762="one_time",G762+1,I762)</f>
        <v>20</v>
      </c>
      <c r="L762" s="11" t="n">
        <f aca="false">K762-J762</f>
        <v>6</v>
      </c>
    </row>
    <row r="763" customFormat="false" ht="15" hidden="false" customHeight="false" outlineLevel="0" collapsed="false">
      <c r="A763" s="4" t="s">
        <v>1746</v>
      </c>
      <c r="B763" s="4" t="s">
        <v>101</v>
      </c>
      <c r="C763" s="4" t="s">
        <v>1034</v>
      </c>
      <c r="D763" s="4" t="s">
        <v>1011</v>
      </c>
      <c r="E763" s="4" t="n">
        <v>3550</v>
      </c>
      <c r="H763" s="4" t="n">
        <v>20</v>
      </c>
      <c r="I763" s="4" t="n">
        <v>27</v>
      </c>
      <c r="J763" s="11" t="n">
        <f aca="false">IF(C763="one_time",G763,H763)</f>
        <v>20</v>
      </c>
      <c r="K763" s="11" t="n">
        <f aca="false">IF(C763="one_time",G763+1,I763)</f>
        <v>27</v>
      </c>
      <c r="L763" s="11" t="n">
        <f aca="false">K763-J763</f>
        <v>7</v>
      </c>
    </row>
    <row r="764" customFormat="false" ht="15" hidden="false" customHeight="false" outlineLevel="0" collapsed="false">
      <c r="A764" s="4" t="s">
        <v>1747</v>
      </c>
      <c r="B764" s="4" t="s">
        <v>101</v>
      </c>
      <c r="C764" s="4" t="s">
        <v>1034</v>
      </c>
      <c r="D764" s="4" t="s">
        <v>1011</v>
      </c>
      <c r="E764" s="4" t="n">
        <v>5950</v>
      </c>
      <c r="H764" s="4" t="n">
        <v>14</v>
      </c>
      <c r="I764" s="4" t="n">
        <v>20</v>
      </c>
      <c r="J764" s="11" t="n">
        <f aca="false">IF(C764="one_time",G764,H764)</f>
        <v>14</v>
      </c>
      <c r="K764" s="11" t="n">
        <f aca="false">IF(C764="one_time",G764+1,I764)</f>
        <v>20</v>
      </c>
      <c r="L764" s="11" t="n">
        <f aca="false">K764-J764</f>
        <v>6</v>
      </c>
    </row>
    <row r="765" customFormat="false" ht="15" hidden="false" customHeight="false" outlineLevel="0" collapsed="false">
      <c r="A765" s="4" t="s">
        <v>1748</v>
      </c>
      <c r="B765" s="4" t="s">
        <v>101</v>
      </c>
      <c r="C765" s="4" t="s">
        <v>1034</v>
      </c>
      <c r="D765" s="4" t="s">
        <v>1011</v>
      </c>
      <c r="E765" s="4" t="n">
        <v>6200</v>
      </c>
      <c r="H765" s="4" t="n">
        <v>20</v>
      </c>
      <c r="I765" s="4" t="n">
        <v>27</v>
      </c>
      <c r="J765" s="11" t="n">
        <f aca="false">IF(C765="one_time",G765,H765)</f>
        <v>20</v>
      </c>
      <c r="K765" s="11" t="n">
        <f aca="false">IF(C765="one_time",G765+1,I765)</f>
        <v>27</v>
      </c>
      <c r="L765" s="11" t="n">
        <f aca="false">K765-J765</f>
        <v>7</v>
      </c>
    </row>
    <row r="766" customFormat="false" ht="15" hidden="false" customHeight="false" outlineLevel="0" collapsed="false">
      <c r="A766" s="4" t="s">
        <v>1749</v>
      </c>
      <c r="B766" s="4" t="s">
        <v>101</v>
      </c>
      <c r="C766" s="4" t="s">
        <v>1034</v>
      </c>
      <c r="D766" s="4" t="s">
        <v>1011</v>
      </c>
      <c r="E766" s="4" t="n">
        <v>7650</v>
      </c>
      <c r="H766" s="4" t="n">
        <v>14</v>
      </c>
      <c r="I766" s="4" t="n">
        <v>20</v>
      </c>
      <c r="J766" s="11" t="n">
        <f aca="false">IF(C766="one_time",G766,H766)</f>
        <v>14</v>
      </c>
      <c r="K766" s="11" t="n">
        <f aca="false">IF(C766="one_time",G766+1,I766)</f>
        <v>20</v>
      </c>
      <c r="L766" s="11" t="n">
        <f aca="false">K766-J766</f>
        <v>6</v>
      </c>
    </row>
    <row r="767" customFormat="false" ht="15" hidden="false" customHeight="false" outlineLevel="0" collapsed="false">
      <c r="A767" s="4" t="s">
        <v>1750</v>
      </c>
      <c r="B767" s="4" t="s">
        <v>101</v>
      </c>
      <c r="C767" s="4" t="s">
        <v>1034</v>
      </c>
      <c r="D767" s="4" t="s">
        <v>1011</v>
      </c>
      <c r="E767" s="4" t="n">
        <v>8050</v>
      </c>
      <c r="H767" s="4" t="n">
        <v>20</v>
      </c>
      <c r="I767" s="4" t="n">
        <v>27</v>
      </c>
      <c r="J767" s="11" t="n">
        <f aca="false">IF(C767="one_time",G767,H767)</f>
        <v>20</v>
      </c>
      <c r="K767" s="11" t="n">
        <f aca="false">IF(C767="one_time",G767+1,I767)</f>
        <v>27</v>
      </c>
      <c r="L767" s="11" t="n">
        <f aca="false">K767-J767</f>
        <v>7</v>
      </c>
    </row>
    <row r="768" customFormat="false" ht="15" hidden="false" customHeight="false" outlineLevel="0" collapsed="false">
      <c r="A768" s="4" t="s">
        <v>1751</v>
      </c>
      <c r="B768" s="4" t="s">
        <v>102</v>
      </c>
      <c r="C768" s="4" t="s">
        <v>982</v>
      </c>
      <c r="D768" s="4" t="s">
        <v>1011</v>
      </c>
      <c r="E768" s="4" t="n">
        <v>30000</v>
      </c>
      <c r="G768" s="4" t="n">
        <v>16</v>
      </c>
      <c r="J768" s="11" t="n">
        <f aca="false">IF(C768="one_time",G768,H768)</f>
        <v>16</v>
      </c>
      <c r="K768" s="11" t="n">
        <f aca="false">IF(C768="one_time",G768+1,I768)</f>
        <v>17</v>
      </c>
      <c r="L768" s="11" t="n">
        <f aca="false">K768-J768</f>
        <v>1</v>
      </c>
    </row>
    <row r="769" customFormat="false" ht="15" hidden="false" customHeight="false" outlineLevel="0" collapsed="false">
      <c r="A769" s="4" t="s">
        <v>1752</v>
      </c>
      <c r="B769" s="4" t="s">
        <v>102</v>
      </c>
      <c r="C769" s="4" t="s">
        <v>982</v>
      </c>
      <c r="D769" s="4" t="s">
        <v>1011</v>
      </c>
      <c r="E769" s="4" t="n">
        <v>20000</v>
      </c>
      <c r="G769" s="4" t="n">
        <v>16</v>
      </c>
      <c r="J769" s="11" t="n">
        <f aca="false">IF(C769="one_time",G769,H769)</f>
        <v>16</v>
      </c>
      <c r="K769" s="11" t="n">
        <f aca="false">IF(C769="one_time",G769+1,I769)</f>
        <v>17</v>
      </c>
      <c r="L769" s="11" t="n">
        <f aca="false">K769-J769</f>
        <v>1</v>
      </c>
    </row>
    <row r="770" customFormat="false" ht="15" hidden="false" customHeight="false" outlineLevel="0" collapsed="false">
      <c r="A770" s="4" t="s">
        <v>1753</v>
      </c>
      <c r="B770" s="4" t="s">
        <v>102</v>
      </c>
      <c r="C770" s="4" t="s">
        <v>982</v>
      </c>
      <c r="D770" s="4" t="s">
        <v>1011</v>
      </c>
      <c r="E770" s="4" t="n">
        <v>20000</v>
      </c>
      <c r="G770" s="4" t="n">
        <v>12</v>
      </c>
      <c r="J770" s="11" t="n">
        <f aca="false">IF(C770="one_time",G770,H770)</f>
        <v>12</v>
      </c>
      <c r="K770" s="11" t="n">
        <f aca="false">IF(C770="one_time",G770+1,I770)</f>
        <v>13</v>
      </c>
      <c r="L770" s="11" t="n">
        <f aca="false">K770-J770</f>
        <v>1</v>
      </c>
    </row>
    <row r="771" customFormat="false" ht="15" hidden="false" customHeight="false" outlineLevel="0" collapsed="false">
      <c r="A771" s="4" t="s">
        <v>1754</v>
      </c>
      <c r="B771" s="4" t="s">
        <v>102</v>
      </c>
      <c r="C771" s="4" t="s">
        <v>982</v>
      </c>
      <c r="D771" s="4" t="s">
        <v>1011</v>
      </c>
      <c r="E771" s="4" t="n">
        <v>35000</v>
      </c>
      <c r="G771" s="4" t="n">
        <v>16</v>
      </c>
      <c r="J771" s="11" t="n">
        <f aca="false">IF(C771="one_time",G771,H771)</f>
        <v>16</v>
      </c>
      <c r="K771" s="11" t="n">
        <f aca="false">IF(C771="one_time",G771+1,I771)</f>
        <v>17</v>
      </c>
      <c r="L771" s="11" t="n">
        <f aca="false">K771-J771</f>
        <v>1</v>
      </c>
    </row>
    <row r="772" customFormat="false" ht="15" hidden="false" customHeight="false" outlineLevel="0" collapsed="false">
      <c r="A772" s="4" t="s">
        <v>1755</v>
      </c>
      <c r="B772" s="4" t="s">
        <v>102</v>
      </c>
      <c r="C772" s="4" t="s">
        <v>982</v>
      </c>
      <c r="D772" s="4" t="s">
        <v>1011</v>
      </c>
      <c r="E772" s="4" t="n">
        <v>35000</v>
      </c>
      <c r="G772" s="4" t="n">
        <v>13</v>
      </c>
      <c r="J772" s="11" t="n">
        <f aca="false">IF(C772="one_time",G772,H772)</f>
        <v>13</v>
      </c>
      <c r="K772" s="11" t="n">
        <f aca="false">IF(C772="one_time",G772+1,I772)</f>
        <v>14</v>
      </c>
      <c r="L772" s="11" t="n">
        <f aca="false">K772-J772</f>
        <v>1</v>
      </c>
    </row>
    <row r="773" customFormat="false" ht="15" hidden="false" customHeight="false" outlineLevel="0" collapsed="false">
      <c r="A773" s="4" t="s">
        <v>1756</v>
      </c>
      <c r="B773" s="4" t="s">
        <v>102</v>
      </c>
      <c r="C773" s="4" t="s">
        <v>982</v>
      </c>
      <c r="D773" s="4" t="s">
        <v>1011</v>
      </c>
      <c r="E773" s="4" t="n">
        <v>35000</v>
      </c>
      <c r="G773" s="4" t="n">
        <v>14</v>
      </c>
      <c r="J773" s="11" t="n">
        <f aca="false">IF(C773="one_time",G773,H773)</f>
        <v>14</v>
      </c>
      <c r="K773" s="11" t="n">
        <f aca="false">IF(C773="one_time",G773+1,I773)</f>
        <v>15</v>
      </c>
      <c r="L773" s="11" t="n">
        <f aca="false">K773-J773</f>
        <v>1</v>
      </c>
    </row>
    <row r="774" customFormat="false" ht="15" hidden="false" customHeight="false" outlineLevel="0" collapsed="false">
      <c r="A774" s="4" t="s">
        <v>1757</v>
      </c>
      <c r="B774" s="4" t="s">
        <v>102</v>
      </c>
      <c r="C774" s="4" t="s">
        <v>982</v>
      </c>
      <c r="D774" s="4" t="s">
        <v>1011</v>
      </c>
      <c r="E774" s="4" t="n">
        <v>14000</v>
      </c>
      <c r="G774" s="4" t="n">
        <v>0</v>
      </c>
      <c r="J774" s="11" t="n">
        <f aca="false">IF(C774="one_time",G774,H774)</f>
        <v>0</v>
      </c>
      <c r="K774" s="11" t="n">
        <f aca="false">IF(C774="one_time",G774+1,I774)</f>
        <v>1</v>
      </c>
      <c r="L774" s="11" t="n">
        <f aca="false">K774-J774</f>
        <v>1</v>
      </c>
    </row>
    <row r="775" customFormat="false" ht="15" hidden="false" customHeight="false" outlineLevel="0" collapsed="false">
      <c r="A775" s="4" t="s">
        <v>1758</v>
      </c>
      <c r="B775" s="4" t="s">
        <v>102</v>
      </c>
      <c r="C775" s="4" t="s">
        <v>982</v>
      </c>
      <c r="D775" s="4" t="s">
        <v>1011</v>
      </c>
      <c r="E775" s="4" t="n">
        <v>84200</v>
      </c>
      <c r="G775" s="4" t="n">
        <v>16</v>
      </c>
      <c r="J775" s="11" t="n">
        <f aca="false">IF(C775="one_time",G775,H775)</f>
        <v>16</v>
      </c>
      <c r="K775" s="11" t="n">
        <f aca="false">IF(C775="one_time",G775+1,I775)</f>
        <v>17</v>
      </c>
      <c r="L775" s="11" t="n">
        <f aca="false">K775-J775</f>
        <v>1</v>
      </c>
    </row>
    <row r="776" customFormat="false" ht="15" hidden="false" customHeight="false" outlineLevel="0" collapsed="false">
      <c r="A776" s="4" t="s">
        <v>1759</v>
      </c>
      <c r="B776" s="4" t="s">
        <v>102</v>
      </c>
      <c r="C776" s="4" t="s">
        <v>982</v>
      </c>
      <c r="D776" s="4" t="s">
        <v>1011</v>
      </c>
      <c r="E776" s="4" t="n">
        <v>99550</v>
      </c>
      <c r="G776" s="4" t="n">
        <v>12</v>
      </c>
      <c r="J776" s="11" t="n">
        <f aca="false">IF(C776="one_time",G776,H776)</f>
        <v>12</v>
      </c>
      <c r="K776" s="11" t="n">
        <f aca="false">IF(C776="one_time",G776+1,I776)</f>
        <v>13</v>
      </c>
      <c r="L776" s="11" t="n">
        <f aca="false">K776-J776</f>
        <v>1</v>
      </c>
    </row>
    <row r="777" customFormat="false" ht="15" hidden="false" customHeight="false" outlineLevel="0" collapsed="false">
      <c r="A777" s="4" t="s">
        <v>1760</v>
      </c>
      <c r="B777" s="4" t="s">
        <v>102</v>
      </c>
      <c r="C777" s="4" t="s">
        <v>982</v>
      </c>
      <c r="D777" s="4" t="s">
        <v>1011</v>
      </c>
      <c r="E777" s="4" t="n">
        <v>61250</v>
      </c>
      <c r="G777" s="4" t="n">
        <v>13</v>
      </c>
      <c r="J777" s="11" t="n">
        <f aca="false">IF(C777="one_time",G777,H777)</f>
        <v>13</v>
      </c>
      <c r="K777" s="11" t="n">
        <f aca="false">IF(C777="one_time",G777+1,I777)</f>
        <v>14</v>
      </c>
      <c r="L777" s="11" t="n">
        <f aca="false">K777-J777</f>
        <v>1</v>
      </c>
    </row>
    <row r="778" customFormat="false" ht="15" hidden="false" customHeight="false" outlineLevel="0" collapsed="false">
      <c r="A778" s="4" t="s">
        <v>1761</v>
      </c>
      <c r="B778" s="4" t="s">
        <v>102</v>
      </c>
      <c r="C778" s="4" t="s">
        <v>982</v>
      </c>
      <c r="D778" s="4" t="s">
        <v>1011</v>
      </c>
      <c r="E778" s="4" t="n">
        <v>42800</v>
      </c>
      <c r="G778" s="4" t="n">
        <v>12</v>
      </c>
      <c r="J778" s="11" t="n">
        <f aca="false">IF(C778="one_time",G778,H778)</f>
        <v>12</v>
      </c>
      <c r="K778" s="11" t="n">
        <f aca="false">IF(C778="one_time",G778+1,I778)</f>
        <v>13</v>
      </c>
      <c r="L778" s="11" t="n">
        <f aca="false">K778-J778</f>
        <v>1</v>
      </c>
    </row>
    <row r="779" customFormat="false" ht="15" hidden="false" customHeight="false" outlineLevel="0" collapsed="false">
      <c r="A779" s="4" t="s">
        <v>1762</v>
      </c>
      <c r="B779" s="4" t="s">
        <v>102</v>
      </c>
      <c r="C779" s="4" t="s">
        <v>982</v>
      </c>
      <c r="D779" s="4" t="s">
        <v>1011</v>
      </c>
      <c r="E779" s="4" t="n">
        <v>31100</v>
      </c>
      <c r="G779" s="4" t="n">
        <v>16</v>
      </c>
      <c r="J779" s="11" t="n">
        <f aca="false">IF(C779="one_time",G779,H779)</f>
        <v>16</v>
      </c>
      <c r="K779" s="11" t="n">
        <f aca="false">IF(C779="one_time",G779+1,I779)</f>
        <v>17</v>
      </c>
      <c r="L779" s="11" t="n">
        <f aca="false">K779-J779</f>
        <v>1</v>
      </c>
    </row>
    <row r="780" customFormat="false" ht="15" hidden="false" customHeight="false" outlineLevel="0" collapsed="false">
      <c r="A780" s="4" t="s">
        <v>1763</v>
      </c>
      <c r="B780" s="4" t="s">
        <v>102</v>
      </c>
      <c r="C780" s="4" t="s">
        <v>982</v>
      </c>
      <c r="D780" s="4" t="s">
        <v>1011</v>
      </c>
      <c r="E780" s="4" t="n">
        <v>31100</v>
      </c>
      <c r="G780" s="4" t="n">
        <v>13</v>
      </c>
      <c r="J780" s="11" t="n">
        <f aca="false">IF(C780="one_time",G780,H780)</f>
        <v>13</v>
      </c>
      <c r="K780" s="11" t="n">
        <f aca="false">IF(C780="one_time",G780+1,I780)</f>
        <v>14</v>
      </c>
      <c r="L780" s="11" t="n">
        <f aca="false">K780-J780</f>
        <v>1</v>
      </c>
    </row>
    <row r="781" customFormat="false" ht="15" hidden="false" customHeight="false" outlineLevel="0" collapsed="false">
      <c r="A781" s="4" t="s">
        <v>1764</v>
      </c>
      <c r="B781" s="4" t="s">
        <v>102</v>
      </c>
      <c r="C781" s="4" t="s">
        <v>982</v>
      </c>
      <c r="D781" s="4" t="s">
        <v>1011</v>
      </c>
      <c r="E781" s="4" t="n">
        <v>11050</v>
      </c>
      <c r="G781" s="4" t="n">
        <v>16</v>
      </c>
      <c r="J781" s="11" t="n">
        <f aca="false">IF(C781="one_time",G781,H781)</f>
        <v>16</v>
      </c>
      <c r="K781" s="11" t="n">
        <f aca="false">IF(C781="one_time",G781+1,I781)</f>
        <v>17</v>
      </c>
      <c r="L781" s="11" t="n">
        <f aca="false">K781-J781</f>
        <v>1</v>
      </c>
    </row>
    <row r="782" customFormat="false" ht="15" hidden="false" customHeight="false" outlineLevel="0" collapsed="false">
      <c r="A782" s="4" t="s">
        <v>1765</v>
      </c>
      <c r="B782" s="4" t="s">
        <v>102</v>
      </c>
      <c r="C782" s="4" t="s">
        <v>982</v>
      </c>
      <c r="D782" s="4" t="s">
        <v>1011</v>
      </c>
      <c r="E782" s="4" t="n">
        <v>23700</v>
      </c>
      <c r="G782" s="4" t="n">
        <v>13</v>
      </c>
      <c r="J782" s="11" t="n">
        <f aca="false">IF(C782="one_time",G782,H782)</f>
        <v>13</v>
      </c>
      <c r="K782" s="11" t="n">
        <f aca="false">IF(C782="one_time",G782+1,I782)</f>
        <v>14</v>
      </c>
      <c r="L782" s="11" t="n">
        <f aca="false">K782-J782</f>
        <v>1</v>
      </c>
    </row>
    <row r="783" customFormat="false" ht="15" hidden="false" customHeight="false" outlineLevel="0" collapsed="false">
      <c r="A783" s="4" t="s">
        <v>1766</v>
      </c>
      <c r="B783" s="4" t="s">
        <v>102</v>
      </c>
      <c r="C783" s="4" t="s">
        <v>982</v>
      </c>
      <c r="D783" s="4" t="s">
        <v>1011</v>
      </c>
      <c r="E783" s="4" t="n">
        <v>14250</v>
      </c>
      <c r="G783" s="4" t="n">
        <v>14</v>
      </c>
      <c r="J783" s="11" t="n">
        <f aca="false">IF(C783="one_time",G783,H783)</f>
        <v>14</v>
      </c>
      <c r="K783" s="11" t="n">
        <f aca="false">IF(C783="one_time",G783+1,I783)</f>
        <v>15</v>
      </c>
      <c r="L783" s="11" t="n">
        <f aca="false">K783-J783</f>
        <v>1</v>
      </c>
    </row>
    <row r="784" customFormat="false" ht="15" hidden="false" customHeight="false" outlineLevel="0" collapsed="false">
      <c r="A784" s="4" t="s">
        <v>1767</v>
      </c>
      <c r="B784" s="4" t="s">
        <v>102</v>
      </c>
      <c r="C784" s="4" t="s">
        <v>982</v>
      </c>
      <c r="D784" s="4" t="s">
        <v>1011</v>
      </c>
      <c r="E784" s="4" t="n">
        <v>70000</v>
      </c>
      <c r="G784" s="4" t="n">
        <v>16</v>
      </c>
      <c r="J784" s="11" t="n">
        <f aca="false">IF(C784="one_time",G784,H784)</f>
        <v>16</v>
      </c>
      <c r="K784" s="11" t="n">
        <f aca="false">IF(C784="one_time",G784+1,I784)</f>
        <v>17</v>
      </c>
      <c r="L784" s="11" t="n">
        <f aca="false">K784-J784</f>
        <v>1</v>
      </c>
    </row>
    <row r="785" customFormat="false" ht="15" hidden="false" customHeight="false" outlineLevel="0" collapsed="false">
      <c r="A785" s="4" t="s">
        <v>1768</v>
      </c>
      <c r="B785" s="4" t="s">
        <v>102</v>
      </c>
      <c r="C785" s="4" t="s">
        <v>982</v>
      </c>
      <c r="D785" s="4" t="s">
        <v>1011</v>
      </c>
      <c r="E785" s="4" t="n">
        <v>16250</v>
      </c>
      <c r="G785" s="4" t="n">
        <v>16</v>
      </c>
      <c r="J785" s="11" t="n">
        <f aca="false">IF(C785="one_time",G785,H785)</f>
        <v>16</v>
      </c>
      <c r="K785" s="11" t="n">
        <f aca="false">IF(C785="one_time",G785+1,I785)</f>
        <v>17</v>
      </c>
      <c r="L785" s="11" t="n">
        <f aca="false">K785-J785</f>
        <v>1</v>
      </c>
    </row>
    <row r="786" customFormat="false" ht="15" hidden="false" customHeight="false" outlineLevel="0" collapsed="false">
      <c r="A786" s="4" t="s">
        <v>1769</v>
      </c>
      <c r="B786" s="4" t="s">
        <v>102</v>
      </c>
      <c r="C786" s="4" t="s">
        <v>982</v>
      </c>
      <c r="D786" s="4" t="s">
        <v>1011</v>
      </c>
      <c r="E786" s="4" t="n">
        <v>23500</v>
      </c>
      <c r="G786" s="4" t="n">
        <v>13</v>
      </c>
      <c r="J786" s="11" t="n">
        <f aca="false">IF(C786="one_time",G786,H786)</f>
        <v>13</v>
      </c>
      <c r="K786" s="11" t="n">
        <f aca="false">IF(C786="one_time",G786+1,I786)</f>
        <v>14</v>
      </c>
      <c r="L786" s="11" t="n">
        <f aca="false">K786-J786</f>
        <v>1</v>
      </c>
    </row>
    <row r="787" customFormat="false" ht="15" hidden="false" customHeight="false" outlineLevel="0" collapsed="false">
      <c r="A787" s="4" t="s">
        <v>1770</v>
      </c>
      <c r="B787" s="4" t="s">
        <v>102</v>
      </c>
      <c r="C787" s="4" t="s">
        <v>982</v>
      </c>
      <c r="D787" s="4" t="s">
        <v>1011</v>
      </c>
      <c r="E787" s="4" t="n">
        <v>16250</v>
      </c>
      <c r="G787" s="4" t="n">
        <v>14</v>
      </c>
      <c r="J787" s="11" t="n">
        <f aca="false">IF(C787="one_time",G787,H787)</f>
        <v>14</v>
      </c>
      <c r="K787" s="11" t="n">
        <f aca="false">IF(C787="one_time",G787+1,I787)</f>
        <v>15</v>
      </c>
      <c r="L787" s="11" t="n">
        <f aca="false">K787-J787</f>
        <v>1</v>
      </c>
    </row>
    <row r="788" customFormat="false" ht="15" hidden="false" customHeight="false" outlineLevel="0" collapsed="false">
      <c r="A788" s="4" t="s">
        <v>1771</v>
      </c>
      <c r="B788" s="4" t="s">
        <v>102</v>
      </c>
      <c r="C788" s="4" t="s">
        <v>1034</v>
      </c>
      <c r="D788" s="4" t="s">
        <v>1011</v>
      </c>
      <c r="E788" s="4" t="n">
        <v>2800</v>
      </c>
      <c r="H788" s="4" t="n">
        <v>16</v>
      </c>
      <c r="I788" s="4" t="n">
        <v>22</v>
      </c>
      <c r="J788" s="11" t="n">
        <f aca="false">IF(C788="one_time",G788,H788)</f>
        <v>16</v>
      </c>
      <c r="K788" s="11" t="n">
        <f aca="false">IF(C788="one_time",G788+1,I788)</f>
        <v>22</v>
      </c>
      <c r="L788" s="11" t="n">
        <f aca="false">K788-J788</f>
        <v>6</v>
      </c>
    </row>
    <row r="789" customFormat="false" ht="15" hidden="false" customHeight="false" outlineLevel="0" collapsed="false">
      <c r="A789" s="4" t="s">
        <v>1772</v>
      </c>
      <c r="B789" s="4" t="s">
        <v>102</v>
      </c>
      <c r="C789" s="4" t="s">
        <v>1034</v>
      </c>
      <c r="D789" s="4" t="s">
        <v>1011</v>
      </c>
      <c r="E789" s="4" t="n">
        <v>2800</v>
      </c>
      <c r="H789" s="4" t="n">
        <v>22</v>
      </c>
      <c r="I789" s="4" t="n">
        <v>29</v>
      </c>
      <c r="J789" s="11" t="n">
        <f aca="false">IF(C789="one_time",G789,H789)</f>
        <v>22</v>
      </c>
      <c r="K789" s="11" t="n">
        <f aca="false">IF(C789="one_time",G789+1,I789)</f>
        <v>29</v>
      </c>
      <c r="L789" s="11" t="n">
        <f aca="false">K789-J789</f>
        <v>7</v>
      </c>
    </row>
    <row r="790" customFormat="false" ht="15" hidden="false" customHeight="false" outlineLevel="0" collapsed="false">
      <c r="A790" s="4" t="s">
        <v>1773</v>
      </c>
      <c r="B790" s="4" t="s">
        <v>102</v>
      </c>
      <c r="C790" s="4" t="s">
        <v>1034</v>
      </c>
      <c r="D790" s="4" t="s">
        <v>1011</v>
      </c>
      <c r="E790" s="4" t="n">
        <v>4900</v>
      </c>
      <c r="H790" s="4" t="n">
        <v>16</v>
      </c>
      <c r="I790" s="4" t="n">
        <v>22</v>
      </c>
      <c r="J790" s="11" t="n">
        <f aca="false">IF(C790="one_time",G790,H790)</f>
        <v>16</v>
      </c>
      <c r="K790" s="11" t="n">
        <f aca="false">IF(C790="one_time",G790+1,I790)</f>
        <v>22</v>
      </c>
      <c r="L790" s="11" t="n">
        <f aca="false">K790-J790</f>
        <v>6</v>
      </c>
    </row>
    <row r="791" customFormat="false" ht="15" hidden="false" customHeight="false" outlineLevel="0" collapsed="false">
      <c r="A791" s="4" t="s">
        <v>1774</v>
      </c>
      <c r="B791" s="4" t="s">
        <v>102</v>
      </c>
      <c r="C791" s="4" t="s">
        <v>1034</v>
      </c>
      <c r="D791" s="4" t="s">
        <v>1011</v>
      </c>
      <c r="E791" s="4" t="n">
        <v>5050</v>
      </c>
      <c r="H791" s="4" t="n">
        <v>22</v>
      </c>
      <c r="I791" s="4" t="n">
        <v>29</v>
      </c>
      <c r="J791" s="11" t="n">
        <f aca="false">IF(C791="one_time",G791,H791)</f>
        <v>22</v>
      </c>
      <c r="K791" s="11" t="n">
        <f aca="false">IF(C791="one_time",G791+1,I791)</f>
        <v>29</v>
      </c>
      <c r="L791" s="11" t="n">
        <f aca="false">K791-J791</f>
        <v>7</v>
      </c>
    </row>
    <row r="792" customFormat="false" ht="15" hidden="false" customHeight="false" outlineLevel="0" collapsed="false">
      <c r="A792" s="4" t="s">
        <v>1775</v>
      </c>
      <c r="B792" s="4" t="s">
        <v>102</v>
      </c>
      <c r="C792" s="4" t="s">
        <v>1034</v>
      </c>
      <c r="D792" s="4" t="s">
        <v>1011</v>
      </c>
      <c r="E792" s="4" t="n">
        <v>6300</v>
      </c>
      <c r="H792" s="4" t="n">
        <v>16</v>
      </c>
      <c r="I792" s="4" t="n">
        <v>22</v>
      </c>
      <c r="J792" s="11" t="n">
        <f aca="false">IF(C792="one_time",G792,H792)</f>
        <v>16</v>
      </c>
      <c r="K792" s="11" t="n">
        <f aca="false">IF(C792="one_time",G792+1,I792)</f>
        <v>22</v>
      </c>
      <c r="L792" s="11" t="n">
        <f aca="false">K792-J792</f>
        <v>6</v>
      </c>
    </row>
    <row r="793" customFormat="false" ht="15" hidden="false" customHeight="false" outlineLevel="0" collapsed="false">
      <c r="A793" s="4" t="s">
        <v>1776</v>
      </c>
      <c r="B793" s="4" t="s">
        <v>102</v>
      </c>
      <c r="C793" s="4" t="s">
        <v>1034</v>
      </c>
      <c r="D793" s="4" t="s">
        <v>1011</v>
      </c>
      <c r="E793" s="4" t="n">
        <v>6700</v>
      </c>
      <c r="H793" s="4" t="n">
        <v>22</v>
      </c>
      <c r="I793" s="4" t="n">
        <v>29</v>
      </c>
      <c r="J793" s="11" t="n">
        <f aca="false">IF(C793="one_time",G793,H793)</f>
        <v>22</v>
      </c>
      <c r="K793" s="11" t="n">
        <f aca="false">IF(C793="one_time",G793+1,I793)</f>
        <v>29</v>
      </c>
      <c r="L793" s="11" t="n">
        <f aca="false">K793-J793</f>
        <v>7</v>
      </c>
    </row>
    <row r="794" customFormat="false" ht="15" hidden="false" customHeight="false" outlineLevel="0" collapsed="false">
      <c r="A794" s="4" t="s">
        <v>1777</v>
      </c>
      <c r="B794" s="4" t="s">
        <v>103</v>
      </c>
      <c r="C794" s="4" t="s">
        <v>982</v>
      </c>
      <c r="D794" s="4" t="s">
        <v>1011</v>
      </c>
      <c r="E794" s="4" t="n">
        <v>8000</v>
      </c>
      <c r="G794" s="4" t="n">
        <v>16</v>
      </c>
      <c r="J794" s="11" t="n">
        <f aca="false">IF(C794="one_time",G794,H794)</f>
        <v>16</v>
      </c>
      <c r="K794" s="11" t="n">
        <f aca="false">IF(C794="one_time",G794+1,I794)</f>
        <v>17</v>
      </c>
      <c r="L794" s="11" t="n">
        <f aca="false">K794-J794</f>
        <v>1</v>
      </c>
    </row>
    <row r="795" customFormat="false" ht="15" hidden="false" customHeight="false" outlineLevel="0" collapsed="false">
      <c r="A795" s="4" t="s">
        <v>1778</v>
      </c>
      <c r="B795" s="4" t="s">
        <v>103</v>
      </c>
      <c r="C795" s="4" t="s">
        <v>982</v>
      </c>
      <c r="D795" s="4" t="s">
        <v>1011</v>
      </c>
      <c r="E795" s="4" t="n">
        <v>14000</v>
      </c>
      <c r="G795" s="4" t="n">
        <v>19</v>
      </c>
      <c r="J795" s="11" t="n">
        <f aca="false">IF(C795="one_time",G795,H795)</f>
        <v>19</v>
      </c>
      <c r="K795" s="11" t="n">
        <f aca="false">IF(C795="one_time",G795+1,I795)</f>
        <v>20</v>
      </c>
      <c r="L795" s="11" t="n">
        <f aca="false">K795-J795</f>
        <v>1</v>
      </c>
    </row>
    <row r="796" customFormat="false" ht="15" hidden="false" customHeight="false" outlineLevel="0" collapsed="false">
      <c r="A796" s="4" t="s">
        <v>1779</v>
      </c>
      <c r="B796" s="4" t="s">
        <v>103</v>
      </c>
      <c r="C796" s="4" t="s">
        <v>982</v>
      </c>
      <c r="D796" s="4" t="s">
        <v>1011</v>
      </c>
      <c r="E796" s="4" t="n">
        <v>8000</v>
      </c>
      <c r="G796" s="4" t="n">
        <v>19</v>
      </c>
      <c r="J796" s="11" t="n">
        <f aca="false">IF(C796="one_time",G796,H796)</f>
        <v>19</v>
      </c>
      <c r="K796" s="11" t="n">
        <f aca="false">IF(C796="one_time",G796+1,I796)</f>
        <v>20</v>
      </c>
      <c r="L796" s="11" t="n">
        <f aca="false">K796-J796</f>
        <v>1</v>
      </c>
    </row>
    <row r="797" customFormat="false" ht="15" hidden="false" customHeight="false" outlineLevel="0" collapsed="false">
      <c r="A797" s="4" t="s">
        <v>1780</v>
      </c>
      <c r="B797" s="4" t="s">
        <v>103</v>
      </c>
      <c r="C797" s="4" t="s">
        <v>982</v>
      </c>
      <c r="D797" s="4" t="s">
        <v>1011</v>
      </c>
      <c r="E797" s="4" t="n">
        <v>15000</v>
      </c>
      <c r="G797" s="4" t="n">
        <v>16</v>
      </c>
      <c r="J797" s="11" t="n">
        <f aca="false">IF(C797="one_time",G797,H797)</f>
        <v>16</v>
      </c>
      <c r="K797" s="11" t="n">
        <f aca="false">IF(C797="one_time",G797+1,I797)</f>
        <v>17</v>
      </c>
      <c r="L797" s="11" t="n">
        <f aca="false">K797-J797</f>
        <v>1</v>
      </c>
    </row>
    <row r="798" customFormat="false" ht="15" hidden="false" customHeight="false" outlineLevel="0" collapsed="false">
      <c r="A798" s="4" t="s">
        <v>1781</v>
      </c>
      <c r="B798" s="4" t="s">
        <v>103</v>
      </c>
      <c r="C798" s="4" t="s">
        <v>982</v>
      </c>
      <c r="D798" s="4" t="s">
        <v>1011</v>
      </c>
      <c r="E798" s="4" t="n">
        <v>7500</v>
      </c>
      <c r="G798" s="4" t="n">
        <v>19</v>
      </c>
      <c r="J798" s="11" t="n">
        <f aca="false">IF(C798="one_time",G798,H798)</f>
        <v>19</v>
      </c>
      <c r="K798" s="11" t="n">
        <f aca="false">IF(C798="one_time",G798+1,I798)</f>
        <v>20</v>
      </c>
      <c r="L798" s="11" t="n">
        <f aca="false">K798-J798</f>
        <v>1</v>
      </c>
    </row>
    <row r="799" customFormat="false" ht="15" hidden="false" customHeight="false" outlineLevel="0" collapsed="false">
      <c r="A799" s="4" t="s">
        <v>1782</v>
      </c>
      <c r="B799" s="4" t="s">
        <v>103</v>
      </c>
      <c r="C799" s="4" t="s">
        <v>982</v>
      </c>
      <c r="D799" s="4" t="s">
        <v>1011</v>
      </c>
      <c r="E799" s="4" t="n">
        <v>22500</v>
      </c>
      <c r="G799" s="4" t="n">
        <v>19</v>
      </c>
      <c r="J799" s="11" t="n">
        <f aca="false">IF(C799="one_time",G799,H799)</f>
        <v>19</v>
      </c>
      <c r="K799" s="11" t="n">
        <f aca="false">IF(C799="one_time",G799+1,I799)</f>
        <v>20</v>
      </c>
      <c r="L799" s="11" t="n">
        <f aca="false">K799-J799</f>
        <v>1</v>
      </c>
    </row>
    <row r="800" customFormat="false" ht="15" hidden="false" customHeight="false" outlineLevel="0" collapsed="false">
      <c r="A800" s="4" t="s">
        <v>1783</v>
      </c>
      <c r="B800" s="4" t="s">
        <v>103</v>
      </c>
      <c r="C800" s="4" t="s">
        <v>982</v>
      </c>
      <c r="D800" s="4" t="s">
        <v>1011</v>
      </c>
      <c r="E800" s="4" t="n">
        <v>6000</v>
      </c>
      <c r="G800" s="4" t="n">
        <v>0</v>
      </c>
      <c r="J800" s="11" t="n">
        <f aca="false">IF(C800="one_time",G800,H800)</f>
        <v>0</v>
      </c>
      <c r="K800" s="11" t="n">
        <f aca="false">IF(C800="one_time",G800+1,I800)</f>
        <v>1</v>
      </c>
      <c r="L800" s="11" t="n">
        <f aca="false">K800-J800</f>
        <v>1</v>
      </c>
    </row>
    <row r="801" customFormat="false" ht="15" hidden="false" customHeight="false" outlineLevel="0" collapsed="false">
      <c r="A801" s="4" t="s">
        <v>1784</v>
      </c>
      <c r="B801" s="4" t="s">
        <v>103</v>
      </c>
      <c r="C801" s="4" t="s">
        <v>982</v>
      </c>
      <c r="D801" s="4" t="s">
        <v>1011</v>
      </c>
      <c r="E801" s="4" t="n">
        <v>64600</v>
      </c>
      <c r="G801" s="4" t="n">
        <v>17</v>
      </c>
      <c r="J801" s="11" t="n">
        <f aca="false">IF(C801="one_time",G801,H801)</f>
        <v>17</v>
      </c>
      <c r="K801" s="11" t="n">
        <f aca="false">IF(C801="one_time",G801+1,I801)</f>
        <v>18</v>
      </c>
      <c r="L801" s="11" t="n">
        <f aca="false">K801-J801</f>
        <v>1</v>
      </c>
    </row>
    <row r="802" customFormat="false" ht="15" hidden="false" customHeight="false" outlineLevel="0" collapsed="false">
      <c r="A802" s="4" t="s">
        <v>1785</v>
      </c>
      <c r="B802" s="4" t="s">
        <v>103</v>
      </c>
      <c r="C802" s="4" t="s">
        <v>982</v>
      </c>
      <c r="D802" s="4" t="s">
        <v>1011</v>
      </c>
      <c r="E802" s="4" t="n">
        <v>40400</v>
      </c>
      <c r="G802" s="4" t="n">
        <v>16</v>
      </c>
      <c r="J802" s="11" t="n">
        <f aca="false">IF(C802="one_time",G802,H802)</f>
        <v>16</v>
      </c>
      <c r="K802" s="11" t="n">
        <f aca="false">IF(C802="one_time",G802+1,I802)</f>
        <v>17</v>
      </c>
      <c r="L802" s="11" t="n">
        <f aca="false">K802-J802</f>
        <v>1</v>
      </c>
    </row>
    <row r="803" customFormat="false" ht="15" hidden="false" customHeight="false" outlineLevel="0" collapsed="false">
      <c r="A803" s="4" t="s">
        <v>1786</v>
      </c>
      <c r="B803" s="4" t="s">
        <v>103</v>
      </c>
      <c r="C803" s="4" t="s">
        <v>982</v>
      </c>
      <c r="D803" s="4" t="s">
        <v>1011</v>
      </c>
      <c r="E803" s="4" t="n">
        <v>17600</v>
      </c>
      <c r="G803" s="4" t="n">
        <v>17</v>
      </c>
      <c r="J803" s="11" t="n">
        <f aca="false">IF(C803="one_time",G803,H803)</f>
        <v>17</v>
      </c>
      <c r="K803" s="11" t="n">
        <f aca="false">IF(C803="one_time",G803+1,I803)</f>
        <v>18</v>
      </c>
      <c r="L803" s="11" t="n">
        <f aca="false">K803-J803</f>
        <v>1</v>
      </c>
    </row>
    <row r="804" customFormat="false" ht="15" hidden="false" customHeight="false" outlineLevel="0" collapsed="false">
      <c r="A804" s="4" t="s">
        <v>1787</v>
      </c>
      <c r="B804" s="4" t="s">
        <v>103</v>
      </c>
      <c r="C804" s="4" t="s">
        <v>982</v>
      </c>
      <c r="D804" s="4" t="s">
        <v>1011</v>
      </c>
      <c r="E804" s="4" t="n">
        <v>27400</v>
      </c>
      <c r="G804" s="4" t="n">
        <v>16</v>
      </c>
      <c r="J804" s="11" t="n">
        <f aca="false">IF(C804="one_time",G804,H804)</f>
        <v>16</v>
      </c>
      <c r="K804" s="11" t="n">
        <f aca="false">IF(C804="one_time",G804+1,I804)</f>
        <v>17</v>
      </c>
      <c r="L804" s="11" t="n">
        <f aca="false">K804-J804</f>
        <v>1</v>
      </c>
    </row>
    <row r="805" customFormat="false" ht="15" hidden="false" customHeight="false" outlineLevel="0" collapsed="false">
      <c r="A805" s="4" t="s">
        <v>1788</v>
      </c>
      <c r="B805" s="4" t="s">
        <v>103</v>
      </c>
      <c r="C805" s="4" t="s">
        <v>982</v>
      </c>
      <c r="D805" s="4" t="s">
        <v>1011</v>
      </c>
      <c r="E805" s="4" t="n">
        <v>9750</v>
      </c>
      <c r="G805" s="4" t="n">
        <v>18</v>
      </c>
      <c r="J805" s="11" t="n">
        <f aca="false">IF(C805="one_time",G805,H805)</f>
        <v>18</v>
      </c>
      <c r="K805" s="11" t="n">
        <f aca="false">IF(C805="one_time",G805+1,I805)</f>
        <v>19</v>
      </c>
      <c r="L805" s="11" t="n">
        <f aca="false">K805-J805</f>
        <v>1</v>
      </c>
    </row>
    <row r="806" customFormat="false" ht="15" hidden="false" customHeight="false" outlineLevel="0" collapsed="false">
      <c r="A806" s="4" t="s">
        <v>1789</v>
      </c>
      <c r="B806" s="4" t="s">
        <v>103</v>
      </c>
      <c r="C806" s="4" t="s">
        <v>982</v>
      </c>
      <c r="D806" s="4" t="s">
        <v>1011</v>
      </c>
      <c r="E806" s="4" t="n">
        <v>4500</v>
      </c>
      <c r="G806" s="4" t="n">
        <v>17</v>
      </c>
      <c r="J806" s="11" t="n">
        <f aca="false">IF(C806="one_time",G806,H806)</f>
        <v>17</v>
      </c>
      <c r="K806" s="11" t="n">
        <f aca="false">IF(C806="one_time",G806+1,I806)</f>
        <v>18</v>
      </c>
      <c r="L806" s="11" t="n">
        <f aca="false">K806-J806</f>
        <v>1</v>
      </c>
    </row>
    <row r="807" customFormat="false" ht="15" hidden="false" customHeight="false" outlineLevel="0" collapsed="false">
      <c r="A807" s="4" t="s">
        <v>1790</v>
      </c>
      <c r="B807" s="4" t="s">
        <v>103</v>
      </c>
      <c r="C807" s="4" t="s">
        <v>982</v>
      </c>
      <c r="D807" s="4" t="s">
        <v>1011</v>
      </c>
      <c r="E807" s="4" t="n">
        <v>6750</v>
      </c>
      <c r="G807" s="4" t="n">
        <v>19</v>
      </c>
      <c r="J807" s="11" t="n">
        <f aca="false">IF(C807="one_time",G807,H807)</f>
        <v>19</v>
      </c>
      <c r="K807" s="11" t="n">
        <f aca="false">IF(C807="one_time",G807+1,I807)</f>
        <v>20</v>
      </c>
      <c r="L807" s="11" t="n">
        <f aca="false">K807-J807</f>
        <v>1</v>
      </c>
    </row>
    <row r="808" customFormat="false" ht="15" hidden="false" customHeight="false" outlineLevel="0" collapsed="false">
      <c r="A808" s="4" t="s">
        <v>1791</v>
      </c>
      <c r="B808" s="4" t="s">
        <v>103</v>
      </c>
      <c r="C808" s="4" t="s">
        <v>982</v>
      </c>
      <c r="D808" s="4" t="s">
        <v>1011</v>
      </c>
      <c r="E808" s="4" t="n">
        <v>13150</v>
      </c>
      <c r="G808" s="4" t="n">
        <v>18</v>
      </c>
      <c r="J808" s="11" t="n">
        <f aca="false">IF(C808="one_time",G808,H808)</f>
        <v>18</v>
      </c>
      <c r="K808" s="11" t="n">
        <f aca="false">IF(C808="one_time",G808+1,I808)</f>
        <v>19</v>
      </c>
      <c r="L808" s="11" t="n">
        <f aca="false">K808-J808</f>
        <v>1</v>
      </c>
    </row>
    <row r="809" customFormat="false" ht="15" hidden="false" customHeight="false" outlineLevel="0" collapsed="false">
      <c r="A809" s="4" t="s">
        <v>1792</v>
      </c>
      <c r="B809" s="4" t="s">
        <v>103</v>
      </c>
      <c r="C809" s="4" t="s">
        <v>982</v>
      </c>
      <c r="D809" s="4" t="s">
        <v>1011</v>
      </c>
      <c r="E809" s="4" t="n">
        <v>16850</v>
      </c>
      <c r="G809" s="4" t="n">
        <v>17</v>
      </c>
      <c r="J809" s="11" t="n">
        <f aca="false">IF(C809="one_time",G809,H809)</f>
        <v>17</v>
      </c>
      <c r="K809" s="11" t="n">
        <f aca="false">IF(C809="one_time",G809+1,I809)</f>
        <v>18</v>
      </c>
      <c r="L809" s="11" t="n">
        <f aca="false">K809-J809</f>
        <v>1</v>
      </c>
    </row>
    <row r="810" customFormat="false" ht="15" hidden="false" customHeight="false" outlineLevel="0" collapsed="false">
      <c r="A810" s="4" t="s">
        <v>1793</v>
      </c>
      <c r="B810" s="4" t="s">
        <v>103</v>
      </c>
      <c r="C810" s="4" t="s">
        <v>982</v>
      </c>
      <c r="D810" s="4" t="s">
        <v>1011</v>
      </c>
      <c r="E810" s="4" t="n">
        <v>9600</v>
      </c>
      <c r="G810" s="4" t="n">
        <v>18</v>
      </c>
      <c r="J810" s="11" t="n">
        <f aca="false">IF(C810="one_time",G810,H810)</f>
        <v>18</v>
      </c>
      <c r="K810" s="11" t="n">
        <f aca="false">IF(C810="one_time",G810+1,I810)</f>
        <v>19</v>
      </c>
      <c r="L810" s="11" t="n">
        <f aca="false">K810-J810</f>
        <v>1</v>
      </c>
    </row>
    <row r="811" customFormat="false" ht="15" hidden="false" customHeight="false" outlineLevel="0" collapsed="false">
      <c r="A811" s="4" t="s">
        <v>1794</v>
      </c>
      <c r="B811" s="4" t="s">
        <v>103</v>
      </c>
      <c r="C811" s="4" t="s">
        <v>982</v>
      </c>
      <c r="D811" s="4" t="s">
        <v>1011</v>
      </c>
      <c r="E811" s="4" t="n">
        <v>14400</v>
      </c>
      <c r="G811" s="4" t="n">
        <v>17</v>
      </c>
      <c r="J811" s="11" t="n">
        <f aca="false">IF(C811="one_time",G811,H811)</f>
        <v>17</v>
      </c>
      <c r="K811" s="11" t="n">
        <f aca="false">IF(C811="one_time",G811+1,I811)</f>
        <v>18</v>
      </c>
      <c r="L811" s="11" t="n">
        <f aca="false">K811-J811</f>
        <v>1</v>
      </c>
    </row>
    <row r="812" customFormat="false" ht="15" hidden="false" customHeight="false" outlineLevel="0" collapsed="false">
      <c r="A812" s="4" t="s">
        <v>1795</v>
      </c>
      <c r="B812" s="4" t="s">
        <v>103</v>
      </c>
      <c r="C812" s="4" t="s">
        <v>1034</v>
      </c>
      <c r="D812" s="4" t="s">
        <v>1011</v>
      </c>
      <c r="E812" s="4" t="n">
        <v>1200</v>
      </c>
      <c r="H812" s="4" t="n">
        <v>19</v>
      </c>
      <c r="I812" s="4" t="n">
        <v>25</v>
      </c>
      <c r="J812" s="11" t="n">
        <f aca="false">IF(C812="one_time",G812,H812)</f>
        <v>19</v>
      </c>
      <c r="K812" s="11" t="n">
        <f aca="false">IF(C812="one_time",G812+1,I812)</f>
        <v>25</v>
      </c>
      <c r="L812" s="11" t="n">
        <f aca="false">K812-J812</f>
        <v>6</v>
      </c>
    </row>
    <row r="813" customFormat="false" ht="15" hidden="false" customHeight="false" outlineLevel="0" collapsed="false">
      <c r="A813" s="4" t="s">
        <v>1796</v>
      </c>
      <c r="B813" s="4" t="s">
        <v>103</v>
      </c>
      <c r="C813" s="4" t="s">
        <v>1034</v>
      </c>
      <c r="D813" s="4" t="s">
        <v>1011</v>
      </c>
      <c r="E813" s="4" t="n">
        <v>1250</v>
      </c>
      <c r="H813" s="4" t="n">
        <v>25</v>
      </c>
      <c r="I813" s="4" t="n">
        <v>31</v>
      </c>
      <c r="J813" s="11" t="n">
        <f aca="false">IF(C813="one_time",G813,H813)</f>
        <v>25</v>
      </c>
      <c r="K813" s="11" t="n">
        <f aca="false">IF(C813="one_time",G813+1,I813)</f>
        <v>31</v>
      </c>
      <c r="L813" s="11" t="n">
        <f aca="false">K813-J813</f>
        <v>6</v>
      </c>
    </row>
    <row r="814" customFormat="false" ht="15" hidden="false" customHeight="false" outlineLevel="0" collapsed="false">
      <c r="A814" s="4" t="s">
        <v>1797</v>
      </c>
      <c r="B814" s="4" t="s">
        <v>103</v>
      </c>
      <c r="C814" s="4" t="s">
        <v>1034</v>
      </c>
      <c r="D814" s="4" t="s">
        <v>1011</v>
      </c>
      <c r="E814" s="4" t="n">
        <v>2100</v>
      </c>
      <c r="H814" s="4" t="n">
        <v>19</v>
      </c>
      <c r="I814" s="4" t="n">
        <v>25</v>
      </c>
      <c r="J814" s="11" t="n">
        <f aca="false">IF(C814="one_time",G814,H814)</f>
        <v>19</v>
      </c>
      <c r="K814" s="11" t="n">
        <f aca="false">IF(C814="one_time",G814+1,I814)</f>
        <v>25</v>
      </c>
      <c r="L814" s="11" t="n">
        <f aca="false">K814-J814</f>
        <v>6</v>
      </c>
    </row>
    <row r="815" customFormat="false" ht="15" hidden="false" customHeight="false" outlineLevel="0" collapsed="false">
      <c r="A815" s="4" t="s">
        <v>1798</v>
      </c>
      <c r="B815" s="4" t="s">
        <v>103</v>
      </c>
      <c r="C815" s="4" t="s">
        <v>1034</v>
      </c>
      <c r="D815" s="4" t="s">
        <v>1011</v>
      </c>
      <c r="E815" s="4" t="n">
        <v>2150</v>
      </c>
      <c r="H815" s="4" t="n">
        <v>25</v>
      </c>
      <c r="I815" s="4" t="n">
        <v>31</v>
      </c>
      <c r="J815" s="11" t="n">
        <f aca="false">IF(C815="one_time",G815,H815)</f>
        <v>25</v>
      </c>
      <c r="K815" s="11" t="n">
        <f aca="false">IF(C815="one_time",G815+1,I815)</f>
        <v>31</v>
      </c>
      <c r="L815" s="11" t="n">
        <f aca="false">K815-J815</f>
        <v>6</v>
      </c>
    </row>
    <row r="816" customFormat="false" ht="15" hidden="false" customHeight="false" outlineLevel="0" collapsed="false">
      <c r="A816" s="4" t="s">
        <v>1799</v>
      </c>
      <c r="B816" s="4" t="s">
        <v>103</v>
      </c>
      <c r="C816" s="4" t="s">
        <v>1034</v>
      </c>
      <c r="D816" s="4" t="s">
        <v>1011</v>
      </c>
      <c r="E816" s="4" t="n">
        <v>2700</v>
      </c>
      <c r="H816" s="4" t="n">
        <v>19</v>
      </c>
      <c r="I816" s="4" t="n">
        <v>25</v>
      </c>
      <c r="J816" s="11" t="n">
        <f aca="false">IF(C816="one_time",G816,H816)</f>
        <v>19</v>
      </c>
      <c r="K816" s="11" t="n">
        <f aca="false">IF(C816="one_time",G816+1,I816)</f>
        <v>25</v>
      </c>
      <c r="L816" s="11" t="n">
        <f aca="false">K816-J816</f>
        <v>6</v>
      </c>
    </row>
    <row r="817" customFormat="false" ht="15" hidden="false" customHeight="false" outlineLevel="0" collapsed="false">
      <c r="A817" s="4" t="s">
        <v>1800</v>
      </c>
      <c r="B817" s="4" t="s">
        <v>103</v>
      </c>
      <c r="C817" s="4" t="s">
        <v>1034</v>
      </c>
      <c r="D817" s="4" t="s">
        <v>1011</v>
      </c>
      <c r="E817" s="4" t="n">
        <v>2800</v>
      </c>
      <c r="H817" s="4" t="n">
        <v>25</v>
      </c>
      <c r="I817" s="4" t="n">
        <v>31</v>
      </c>
      <c r="J817" s="11" t="n">
        <f aca="false">IF(C817="one_time",G817,H817)</f>
        <v>25</v>
      </c>
      <c r="K817" s="11" t="n">
        <f aca="false">IF(C817="one_time",G817+1,I817)</f>
        <v>31</v>
      </c>
      <c r="L817" s="11" t="n">
        <f aca="false">K817-J817</f>
        <v>6</v>
      </c>
    </row>
    <row r="818" customFormat="false" ht="15" hidden="false" customHeight="false" outlineLevel="0" collapsed="false">
      <c r="A818" s="4" t="s">
        <v>1801</v>
      </c>
      <c r="B818" s="4" t="s">
        <v>104</v>
      </c>
      <c r="C818" s="4" t="s">
        <v>982</v>
      </c>
      <c r="D818" s="4" t="s">
        <v>1011</v>
      </c>
      <c r="E818" s="4" t="n">
        <v>18850</v>
      </c>
      <c r="G818" s="4" t="n">
        <v>21</v>
      </c>
      <c r="J818" s="11" t="n">
        <f aca="false">IF(C818="one_time",G818,H818)</f>
        <v>21</v>
      </c>
      <c r="K818" s="11" t="n">
        <f aca="false">IF(C818="one_time",G818+1,I818)</f>
        <v>22</v>
      </c>
      <c r="L818" s="11" t="n">
        <f aca="false">K818-J818</f>
        <v>1</v>
      </c>
    </row>
    <row r="819" customFormat="false" ht="15" hidden="false" customHeight="false" outlineLevel="0" collapsed="false">
      <c r="A819" s="4" t="s">
        <v>1802</v>
      </c>
      <c r="B819" s="4" t="s">
        <v>104</v>
      </c>
      <c r="C819" s="4" t="s">
        <v>982</v>
      </c>
      <c r="D819" s="4" t="s">
        <v>1011</v>
      </c>
      <c r="E819" s="4" t="n">
        <v>15700</v>
      </c>
      <c r="G819" s="4" t="n">
        <v>23</v>
      </c>
      <c r="J819" s="11" t="n">
        <f aca="false">IF(C819="one_time",G819,H819)</f>
        <v>23</v>
      </c>
      <c r="K819" s="11" t="n">
        <f aca="false">IF(C819="one_time",G819+1,I819)</f>
        <v>24</v>
      </c>
      <c r="L819" s="11" t="n">
        <f aca="false">K819-J819</f>
        <v>1</v>
      </c>
    </row>
    <row r="820" customFormat="false" ht="15" hidden="false" customHeight="false" outlineLevel="0" collapsed="false">
      <c r="A820" s="4" t="s">
        <v>1803</v>
      </c>
      <c r="B820" s="4" t="s">
        <v>104</v>
      </c>
      <c r="C820" s="4" t="s">
        <v>982</v>
      </c>
      <c r="D820" s="4" t="s">
        <v>1011</v>
      </c>
      <c r="E820" s="4" t="n">
        <v>20450</v>
      </c>
      <c r="G820" s="4" t="n">
        <v>22</v>
      </c>
      <c r="J820" s="11" t="n">
        <f aca="false">IF(C820="one_time",G820,H820)</f>
        <v>22</v>
      </c>
      <c r="K820" s="11" t="n">
        <f aca="false">IF(C820="one_time",G820+1,I820)</f>
        <v>23</v>
      </c>
      <c r="L820" s="11" t="n">
        <f aca="false">K820-J820</f>
        <v>1</v>
      </c>
    </row>
    <row r="821" customFormat="false" ht="15" hidden="false" customHeight="false" outlineLevel="0" collapsed="false">
      <c r="A821" s="4" t="s">
        <v>1804</v>
      </c>
      <c r="B821" s="4" t="s">
        <v>104</v>
      </c>
      <c r="C821" s="4" t="s">
        <v>982</v>
      </c>
      <c r="D821" s="4" t="s">
        <v>1011</v>
      </c>
      <c r="E821" s="4" t="n">
        <v>27500</v>
      </c>
      <c r="G821" s="4" t="n">
        <v>21</v>
      </c>
      <c r="J821" s="11" t="n">
        <f aca="false">IF(C821="one_time",G821,H821)</f>
        <v>21</v>
      </c>
      <c r="K821" s="11" t="n">
        <f aca="false">IF(C821="one_time",G821+1,I821)</f>
        <v>22</v>
      </c>
      <c r="L821" s="11" t="n">
        <f aca="false">K821-J821</f>
        <v>1</v>
      </c>
    </row>
    <row r="822" customFormat="false" ht="15" hidden="false" customHeight="false" outlineLevel="0" collapsed="false">
      <c r="A822" s="4" t="s">
        <v>1805</v>
      </c>
      <c r="B822" s="4" t="s">
        <v>104</v>
      </c>
      <c r="C822" s="4" t="s">
        <v>982</v>
      </c>
      <c r="D822" s="4" t="s">
        <v>1011</v>
      </c>
      <c r="E822" s="4" t="n">
        <v>30550</v>
      </c>
      <c r="G822" s="4" t="n">
        <v>22</v>
      </c>
      <c r="J822" s="11" t="n">
        <f aca="false">IF(C822="one_time",G822,H822)</f>
        <v>22</v>
      </c>
      <c r="K822" s="11" t="n">
        <f aca="false">IF(C822="one_time",G822+1,I822)</f>
        <v>23</v>
      </c>
      <c r="L822" s="11" t="n">
        <f aca="false">K822-J822</f>
        <v>1</v>
      </c>
    </row>
    <row r="823" customFormat="false" ht="15" hidden="false" customHeight="false" outlineLevel="0" collapsed="false">
      <c r="A823" s="4" t="s">
        <v>1806</v>
      </c>
      <c r="B823" s="4" t="s">
        <v>104</v>
      </c>
      <c r="C823" s="4" t="s">
        <v>982</v>
      </c>
      <c r="D823" s="4" t="s">
        <v>1011</v>
      </c>
      <c r="E823" s="4" t="n">
        <v>24450</v>
      </c>
      <c r="G823" s="4" t="n">
        <v>22</v>
      </c>
      <c r="J823" s="11" t="n">
        <f aca="false">IF(C823="one_time",G823,H823)</f>
        <v>22</v>
      </c>
      <c r="K823" s="11" t="n">
        <f aca="false">IF(C823="one_time",G823+1,I823)</f>
        <v>23</v>
      </c>
      <c r="L823" s="11" t="n">
        <f aca="false">K823-J823</f>
        <v>1</v>
      </c>
    </row>
    <row r="824" customFormat="false" ht="15" hidden="false" customHeight="false" outlineLevel="0" collapsed="false">
      <c r="A824" s="4" t="s">
        <v>1807</v>
      </c>
      <c r="B824" s="4" t="s">
        <v>104</v>
      </c>
      <c r="C824" s="4" t="s">
        <v>982</v>
      </c>
      <c r="D824" s="4" t="s">
        <v>1011</v>
      </c>
      <c r="E824" s="4" t="n">
        <v>11000</v>
      </c>
      <c r="G824" s="4" t="n">
        <v>0</v>
      </c>
      <c r="J824" s="11" t="n">
        <f aca="false">IF(C824="one_time",G824,H824)</f>
        <v>0</v>
      </c>
      <c r="K824" s="11" t="n">
        <f aca="false">IF(C824="one_time",G824+1,I824)</f>
        <v>1</v>
      </c>
      <c r="L824" s="11" t="n">
        <f aca="false">K824-J824</f>
        <v>1</v>
      </c>
    </row>
    <row r="825" customFormat="false" ht="15" hidden="false" customHeight="false" outlineLevel="0" collapsed="false">
      <c r="A825" s="4" t="s">
        <v>1808</v>
      </c>
      <c r="B825" s="4" t="s">
        <v>104</v>
      </c>
      <c r="C825" s="4" t="s">
        <v>982</v>
      </c>
      <c r="D825" s="4" t="s">
        <v>1011</v>
      </c>
      <c r="E825" s="4" t="n">
        <v>56600</v>
      </c>
      <c r="G825" s="4" t="n">
        <v>23</v>
      </c>
      <c r="J825" s="11" t="n">
        <f aca="false">IF(C825="one_time",G825,H825)</f>
        <v>23</v>
      </c>
      <c r="K825" s="11" t="n">
        <f aca="false">IF(C825="one_time",G825+1,I825)</f>
        <v>24</v>
      </c>
      <c r="L825" s="11" t="n">
        <f aca="false">K825-J825</f>
        <v>1</v>
      </c>
    </row>
    <row r="826" customFormat="false" ht="15" hidden="false" customHeight="false" outlineLevel="0" collapsed="false">
      <c r="A826" s="4" t="s">
        <v>1809</v>
      </c>
      <c r="B826" s="4" t="s">
        <v>104</v>
      </c>
      <c r="C826" s="4" t="s">
        <v>982</v>
      </c>
      <c r="D826" s="4" t="s">
        <v>1011</v>
      </c>
      <c r="E826" s="4" t="n">
        <v>67950</v>
      </c>
      <c r="G826" s="4" t="n">
        <v>22</v>
      </c>
      <c r="J826" s="11" t="n">
        <f aca="false">IF(C826="one_time",G826,H826)</f>
        <v>22</v>
      </c>
      <c r="K826" s="11" t="n">
        <f aca="false">IF(C826="one_time",G826+1,I826)</f>
        <v>23</v>
      </c>
      <c r="L826" s="11" t="n">
        <f aca="false">K826-J826</f>
        <v>1</v>
      </c>
    </row>
    <row r="827" customFormat="false" ht="15" hidden="false" customHeight="false" outlineLevel="0" collapsed="false">
      <c r="A827" s="4" t="s">
        <v>1810</v>
      </c>
      <c r="B827" s="4" t="s">
        <v>104</v>
      </c>
      <c r="C827" s="4" t="s">
        <v>982</v>
      </c>
      <c r="D827" s="4" t="s">
        <v>1011</v>
      </c>
      <c r="E827" s="4" t="n">
        <v>67950</v>
      </c>
      <c r="G827" s="4" t="n">
        <v>22</v>
      </c>
      <c r="J827" s="11" t="n">
        <f aca="false">IF(C827="one_time",G827,H827)</f>
        <v>22</v>
      </c>
      <c r="K827" s="11" t="n">
        <f aca="false">IF(C827="one_time",G827+1,I827)</f>
        <v>23</v>
      </c>
      <c r="L827" s="11" t="n">
        <f aca="false">K827-J827</f>
        <v>1</v>
      </c>
    </row>
    <row r="828" customFormat="false" ht="15" hidden="false" customHeight="false" outlineLevel="0" collapsed="false">
      <c r="A828" s="4" t="s">
        <v>1811</v>
      </c>
      <c r="B828" s="4" t="s">
        <v>104</v>
      </c>
      <c r="C828" s="4" t="s">
        <v>982</v>
      </c>
      <c r="D828" s="4" t="s">
        <v>1011</v>
      </c>
      <c r="E828" s="4" t="n">
        <v>25600</v>
      </c>
      <c r="G828" s="4" t="n">
        <v>23</v>
      </c>
      <c r="J828" s="11" t="n">
        <f aca="false">IF(C828="one_time",G828,H828)</f>
        <v>23</v>
      </c>
      <c r="K828" s="11" t="n">
        <f aca="false">IF(C828="one_time",G828+1,I828)</f>
        <v>24</v>
      </c>
      <c r="L828" s="11" t="n">
        <f aca="false">K828-J828</f>
        <v>1</v>
      </c>
    </row>
    <row r="829" customFormat="false" ht="15" hidden="false" customHeight="false" outlineLevel="0" collapsed="false">
      <c r="A829" s="4" t="s">
        <v>1812</v>
      </c>
      <c r="B829" s="4" t="s">
        <v>104</v>
      </c>
      <c r="C829" s="4" t="s">
        <v>982</v>
      </c>
      <c r="D829" s="4" t="s">
        <v>1011</v>
      </c>
      <c r="E829" s="4" t="n">
        <v>19900</v>
      </c>
      <c r="G829" s="4" t="n">
        <v>21</v>
      </c>
      <c r="J829" s="11" t="n">
        <f aca="false">IF(C829="one_time",G829,H829)</f>
        <v>21</v>
      </c>
      <c r="K829" s="11" t="n">
        <f aca="false">IF(C829="one_time",G829+1,I829)</f>
        <v>22</v>
      </c>
      <c r="L829" s="11" t="n">
        <f aca="false">K829-J829</f>
        <v>1</v>
      </c>
    </row>
    <row r="830" customFormat="false" ht="15" hidden="false" customHeight="false" outlineLevel="0" collapsed="false">
      <c r="A830" s="4" t="s">
        <v>1813</v>
      </c>
      <c r="B830" s="4" t="s">
        <v>104</v>
      </c>
      <c r="C830" s="4" t="s">
        <v>982</v>
      </c>
      <c r="D830" s="4" t="s">
        <v>1011</v>
      </c>
      <c r="E830" s="4" t="n">
        <v>37000</v>
      </c>
      <c r="G830" s="4" t="n">
        <v>20</v>
      </c>
      <c r="J830" s="11" t="n">
        <f aca="false">IF(C830="one_time",G830,H830)</f>
        <v>20</v>
      </c>
      <c r="K830" s="11" t="n">
        <f aca="false">IF(C830="one_time",G830+1,I830)</f>
        <v>21</v>
      </c>
      <c r="L830" s="11" t="n">
        <f aca="false">K830-J830</f>
        <v>1</v>
      </c>
    </row>
    <row r="831" customFormat="false" ht="15" hidden="false" customHeight="false" outlineLevel="0" collapsed="false">
      <c r="A831" s="4" t="s">
        <v>1814</v>
      </c>
      <c r="B831" s="4" t="s">
        <v>104</v>
      </c>
      <c r="C831" s="4" t="s">
        <v>982</v>
      </c>
      <c r="D831" s="4" t="s">
        <v>1011</v>
      </c>
      <c r="E831" s="4" t="n">
        <v>16850</v>
      </c>
      <c r="G831" s="4" t="n">
        <v>23</v>
      </c>
      <c r="J831" s="11" t="n">
        <f aca="false">IF(C831="one_time",G831,H831)</f>
        <v>23</v>
      </c>
      <c r="K831" s="11" t="n">
        <f aca="false">IF(C831="one_time",G831+1,I831)</f>
        <v>24</v>
      </c>
      <c r="L831" s="11" t="n">
        <f aca="false">K831-J831</f>
        <v>1</v>
      </c>
    </row>
    <row r="832" customFormat="false" ht="15" hidden="false" customHeight="false" outlineLevel="0" collapsed="false">
      <c r="A832" s="4" t="s">
        <v>1815</v>
      </c>
      <c r="B832" s="4" t="s">
        <v>104</v>
      </c>
      <c r="C832" s="4" t="s">
        <v>982</v>
      </c>
      <c r="D832" s="4" t="s">
        <v>1011</v>
      </c>
      <c r="E832" s="4" t="n">
        <v>21650</v>
      </c>
      <c r="G832" s="4" t="n">
        <v>18</v>
      </c>
      <c r="J832" s="11" t="n">
        <f aca="false">IF(C832="one_time",G832,H832)</f>
        <v>18</v>
      </c>
      <c r="K832" s="11" t="n">
        <f aca="false">IF(C832="one_time",G832+1,I832)</f>
        <v>19</v>
      </c>
      <c r="L832" s="11" t="n">
        <f aca="false">K832-J832</f>
        <v>1</v>
      </c>
    </row>
    <row r="833" customFormat="false" ht="15" hidden="false" customHeight="false" outlineLevel="0" collapsed="false">
      <c r="A833" s="4" t="s">
        <v>1816</v>
      </c>
      <c r="B833" s="4" t="s">
        <v>104</v>
      </c>
      <c r="C833" s="4" t="s">
        <v>982</v>
      </c>
      <c r="D833" s="4" t="s">
        <v>1011</v>
      </c>
      <c r="E833" s="4" t="n">
        <v>27500</v>
      </c>
      <c r="G833" s="4" t="n">
        <v>24</v>
      </c>
      <c r="J833" s="11" t="n">
        <f aca="false">IF(C833="one_time",G833,H833)</f>
        <v>24</v>
      </c>
      <c r="K833" s="11" t="n">
        <f aca="false">IF(C833="one_time",G833+1,I833)</f>
        <v>25</v>
      </c>
      <c r="L833" s="11" t="n">
        <f aca="false">K833-J833</f>
        <v>1</v>
      </c>
    </row>
    <row r="834" customFormat="false" ht="15" hidden="false" customHeight="false" outlineLevel="0" collapsed="false">
      <c r="A834" s="4" t="s">
        <v>1817</v>
      </c>
      <c r="B834" s="4" t="s">
        <v>104</v>
      </c>
      <c r="C834" s="4" t="s">
        <v>982</v>
      </c>
      <c r="D834" s="4" t="s">
        <v>1011</v>
      </c>
      <c r="E834" s="4" t="n">
        <v>27500</v>
      </c>
      <c r="G834" s="4" t="n">
        <v>24</v>
      </c>
      <c r="J834" s="11" t="n">
        <f aca="false">IF(C834="one_time",G834,H834)</f>
        <v>24</v>
      </c>
      <c r="K834" s="11" t="n">
        <f aca="false">IF(C834="one_time",G834+1,I834)</f>
        <v>25</v>
      </c>
      <c r="L834" s="11" t="n">
        <f aca="false">K834-J834</f>
        <v>1</v>
      </c>
    </row>
    <row r="835" customFormat="false" ht="15" hidden="false" customHeight="false" outlineLevel="0" collapsed="false">
      <c r="A835" s="4" t="s">
        <v>1818</v>
      </c>
      <c r="B835" s="4" t="s">
        <v>104</v>
      </c>
      <c r="C835" s="4" t="s">
        <v>982</v>
      </c>
      <c r="D835" s="4" t="s">
        <v>1011</v>
      </c>
      <c r="E835" s="4" t="n">
        <v>18000</v>
      </c>
      <c r="G835" s="4" t="n">
        <v>23</v>
      </c>
      <c r="J835" s="11" t="n">
        <f aca="false">IF(C835="one_time",G835,H835)</f>
        <v>23</v>
      </c>
      <c r="K835" s="11" t="n">
        <f aca="false">IF(C835="one_time",G835+1,I835)</f>
        <v>24</v>
      </c>
      <c r="L835" s="11" t="n">
        <f aca="false">K835-J835</f>
        <v>1</v>
      </c>
    </row>
    <row r="836" customFormat="false" ht="15" hidden="false" customHeight="false" outlineLevel="0" collapsed="false">
      <c r="A836" s="4" t="s">
        <v>1819</v>
      </c>
      <c r="B836" s="4" t="s">
        <v>104</v>
      </c>
      <c r="C836" s="4" t="s">
        <v>982</v>
      </c>
      <c r="D836" s="4" t="s">
        <v>1011</v>
      </c>
      <c r="E836" s="4" t="n">
        <v>12000</v>
      </c>
      <c r="G836" s="4" t="n">
        <v>18</v>
      </c>
      <c r="J836" s="11" t="n">
        <f aca="false">IF(C836="one_time",G836,H836)</f>
        <v>18</v>
      </c>
      <c r="K836" s="11" t="n">
        <f aca="false">IF(C836="one_time",G836+1,I836)</f>
        <v>19</v>
      </c>
      <c r="L836" s="11" t="n">
        <f aca="false">K836-J836</f>
        <v>1</v>
      </c>
    </row>
    <row r="837" customFormat="false" ht="15" hidden="false" customHeight="false" outlineLevel="0" collapsed="false">
      <c r="A837" s="4" t="s">
        <v>1820</v>
      </c>
      <c r="B837" s="4" t="s">
        <v>104</v>
      </c>
      <c r="C837" s="4" t="s">
        <v>982</v>
      </c>
      <c r="D837" s="4" t="s">
        <v>1011</v>
      </c>
      <c r="E837" s="4" t="n">
        <v>14000</v>
      </c>
      <c r="G837" s="4" t="n">
        <v>20</v>
      </c>
      <c r="J837" s="11" t="n">
        <f aca="false">IF(C837="one_time",G837,H837)</f>
        <v>20</v>
      </c>
      <c r="K837" s="11" t="n">
        <f aca="false">IF(C837="one_time",G837+1,I837)</f>
        <v>21</v>
      </c>
      <c r="L837" s="11" t="n">
        <f aca="false">K837-J837</f>
        <v>1</v>
      </c>
    </row>
    <row r="838" customFormat="false" ht="15" hidden="false" customHeight="false" outlineLevel="0" collapsed="false">
      <c r="A838" s="4" t="s">
        <v>1821</v>
      </c>
      <c r="B838" s="4" t="s">
        <v>104</v>
      </c>
      <c r="C838" s="4" t="s">
        <v>1034</v>
      </c>
      <c r="D838" s="4" t="s">
        <v>1011</v>
      </c>
      <c r="E838" s="4" t="n">
        <v>2200</v>
      </c>
      <c r="H838" s="4" t="n">
        <v>24</v>
      </c>
      <c r="I838" s="4" t="n">
        <v>30</v>
      </c>
      <c r="J838" s="11" t="n">
        <f aca="false">IF(C838="one_time",G838,H838)</f>
        <v>24</v>
      </c>
      <c r="K838" s="11" t="n">
        <f aca="false">IF(C838="one_time",G838+1,I838)</f>
        <v>30</v>
      </c>
      <c r="L838" s="11" t="n">
        <f aca="false">K838-J838</f>
        <v>6</v>
      </c>
    </row>
    <row r="839" customFormat="false" ht="15" hidden="false" customHeight="false" outlineLevel="0" collapsed="false">
      <c r="A839" s="4" t="s">
        <v>1822</v>
      </c>
      <c r="B839" s="4" t="s">
        <v>104</v>
      </c>
      <c r="C839" s="4" t="s">
        <v>1034</v>
      </c>
      <c r="D839" s="4" t="s">
        <v>1011</v>
      </c>
      <c r="E839" s="4" t="n">
        <v>2200</v>
      </c>
      <c r="H839" s="4" t="n">
        <v>30</v>
      </c>
      <c r="I839" s="4" t="n">
        <v>35</v>
      </c>
      <c r="J839" s="11" t="n">
        <f aca="false">IF(C839="one_time",G839,H839)</f>
        <v>30</v>
      </c>
      <c r="K839" s="11" t="n">
        <f aca="false">IF(C839="one_time",G839+1,I839)</f>
        <v>35</v>
      </c>
      <c r="L839" s="11" t="n">
        <f aca="false">K839-J839</f>
        <v>5</v>
      </c>
    </row>
    <row r="840" customFormat="false" ht="15" hidden="false" customHeight="false" outlineLevel="0" collapsed="false">
      <c r="A840" s="4" t="s">
        <v>1823</v>
      </c>
      <c r="B840" s="4" t="s">
        <v>104</v>
      </c>
      <c r="C840" s="4" t="s">
        <v>1034</v>
      </c>
      <c r="D840" s="4" t="s">
        <v>1011</v>
      </c>
      <c r="E840" s="4" t="n">
        <v>3850</v>
      </c>
      <c r="H840" s="4" t="n">
        <v>24</v>
      </c>
      <c r="I840" s="4" t="n">
        <v>30</v>
      </c>
      <c r="J840" s="11" t="n">
        <f aca="false">IF(C840="one_time",G840,H840)</f>
        <v>24</v>
      </c>
      <c r="K840" s="11" t="n">
        <f aca="false">IF(C840="one_time",G840+1,I840)</f>
        <v>30</v>
      </c>
      <c r="L840" s="11" t="n">
        <f aca="false">K840-J840</f>
        <v>6</v>
      </c>
    </row>
    <row r="841" customFormat="false" ht="15" hidden="false" customHeight="false" outlineLevel="0" collapsed="false">
      <c r="A841" s="4" t="s">
        <v>1824</v>
      </c>
      <c r="B841" s="4" t="s">
        <v>104</v>
      </c>
      <c r="C841" s="4" t="s">
        <v>1034</v>
      </c>
      <c r="D841" s="4" t="s">
        <v>1011</v>
      </c>
      <c r="E841" s="4" t="n">
        <v>4050</v>
      </c>
      <c r="H841" s="4" t="n">
        <v>30</v>
      </c>
      <c r="I841" s="4" t="n">
        <v>35</v>
      </c>
      <c r="J841" s="11" t="n">
        <f aca="false">IF(C841="one_time",G841,H841)</f>
        <v>30</v>
      </c>
      <c r="K841" s="11" t="n">
        <f aca="false">IF(C841="one_time",G841+1,I841)</f>
        <v>35</v>
      </c>
      <c r="L841" s="11" t="n">
        <f aca="false">K841-J841</f>
        <v>5</v>
      </c>
    </row>
    <row r="842" customFormat="false" ht="15" hidden="false" customHeight="false" outlineLevel="0" collapsed="false">
      <c r="A842" s="4" t="s">
        <v>1825</v>
      </c>
      <c r="B842" s="4" t="s">
        <v>104</v>
      </c>
      <c r="C842" s="4" t="s">
        <v>1034</v>
      </c>
      <c r="D842" s="4" t="s">
        <v>1011</v>
      </c>
      <c r="E842" s="4" t="n">
        <v>4950</v>
      </c>
      <c r="H842" s="4" t="n">
        <v>24</v>
      </c>
      <c r="I842" s="4" t="n">
        <v>30</v>
      </c>
      <c r="J842" s="11" t="n">
        <f aca="false">IF(C842="one_time",G842,H842)</f>
        <v>24</v>
      </c>
      <c r="K842" s="11" t="n">
        <f aca="false">IF(C842="one_time",G842+1,I842)</f>
        <v>30</v>
      </c>
      <c r="L842" s="11" t="n">
        <f aca="false">K842-J842</f>
        <v>6</v>
      </c>
    </row>
    <row r="843" customFormat="false" ht="15" hidden="false" customHeight="false" outlineLevel="0" collapsed="false">
      <c r="A843" s="4" t="s">
        <v>1826</v>
      </c>
      <c r="B843" s="4" t="s">
        <v>104</v>
      </c>
      <c r="C843" s="4" t="s">
        <v>1034</v>
      </c>
      <c r="D843" s="4" t="s">
        <v>1011</v>
      </c>
      <c r="E843" s="4" t="n">
        <v>5150</v>
      </c>
      <c r="H843" s="4" t="n">
        <v>30</v>
      </c>
      <c r="I843" s="4" t="n">
        <v>35</v>
      </c>
      <c r="J843" s="11" t="n">
        <f aca="false">IF(C843="one_time",G843,H843)</f>
        <v>30</v>
      </c>
      <c r="K843" s="11" t="n">
        <f aca="false">IF(C843="one_time",G843+1,I843)</f>
        <v>35</v>
      </c>
      <c r="L843" s="11" t="n">
        <f aca="false">K843-J843</f>
        <v>5</v>
      </c>
    </row>
    <row r="844" customFormat="false" ht="15" hidden="false" customHeight="false" outlineLevel="0" collapsed="false">
      <c r="A844" s="4" t="s">
        <v>1827</v>
      </c>
      <c r="B844" s="4" t="s">
        <v>105</v>
      </c>
      <c r="C844" s="4" t="s">
        <v>982</v>
      </c>
      <c r="D844" s="4" t="s">
        <v>983</v>
      </c>
      <c r="E844" s="4" t="n">
        <v>232798.94</v>
      </c>
      <c r="G844" s="4" t="n">
        <v>6</v>
      </c>
      <c r="J844" s="11" t="n">
        <f aca="false">IF(C844="one_time",G844,H844)</f>
        <v>6</v>
      </c>
      <c r="K844" s="11" t="n">
        <f aca="false">IF(C844="one_time",G844+1,I844)</f>
        <v>7</v>
      </c>
      <c r="L844" s="11" t="n">
        <f aca="false">K844-J844</f>
        <v>1</v>
      </c>
    </row>
    <row r="845" customFormat="false" ht="15" hidden="false" customHeight="false" outlineLevel="0" collapsed="false">
      <c r="A845" s="4" t="s">
        <v>1828</v>
      </c>
      <c r="B845" s="4" t="s">
        <v>105</v>
      </c>
      <c r="C845" s="4" t="s">
        <v>982</v>
      </c>
      <c r="D845" s="4" t="s">
        <v>983</v>
      </c>
      <c r="E845" s="4" t="n">
        <v>233019.07</v>
      </c>
      <c r="G845" s="4" t="n">
        <v>8</v>
      </c>
      <c r="J845" s="11" t="n">
        <f aca="false">IF(C845="one_time",G845,H845)</f>
        <v>8</v>
      </c>
      <c r="K845" s="11" t="n">
        <f aca="false">IF(C845="one_time",G845+1,I845)</f>
        <v>9</v>
      </c>
      <c r="L845" s="11" t="n">
        <f aca="false">K845-J845</f>
        <v>1</v>
      </c>
    </row>
    <row r="846" customFormat="false" ht="15" hidden="false" customHeight="false" outlineLevel="0" collapsed="false">
      <c r="A846" s="4" t="s">
        <v>1829</v>
      </c>
      <c r="B846" s="4" t="s">
        <v>105</v>
      </c>
      <c r="C846" s="4" t="s">
        <v>982</v>
      </c>
      <c r="D846" s="4" t="s">
        <v>983</v>
      </c>
      <c r="E846" s="4" t="n">
        <v>80980.54</v>
      </c>
      <c r="G846" s="4" t="n">
        <v>6</v>
      </c>
      <c r="J846" s="11" t="n">
        <f aca="false">IF(C846="one_time",G846,H846)</f>
        <v>6</v>
      </c>
      <c r="K846" s="11" t="n">
        <f aca="false">IF(C846="one_time",G846+1,I846)</f>
        <v>7</v>
      </c>
      <c r="L846" s="11" t="n">
        <f aca="false">K846-J846</f>
        <v>1</v>
      </c>
    </row>
    <row r="847" customFormat="false" ht="15" hidden="false" customHeight="false" outlineLevel="0" collapsed="false">
      <c r="A847" s="4" t="s">
        <v>1830</v>
      </c>
      <c r="B847" s="4" t="s">
        <v>105</v>
      </c>
      <c r="C847" s="4" t="s">
        <v>982</v>
      </c>
      <c r="D847" s="4" t="s">
        <v>983</v>
      </c>
      <c r="E847" s="4" t="n">
        <v>81873.79</v>
      </c>
      <c r="G847" s="4" t="n">
        <v>8</v>
      </c>
      <c r="J847" s="11" t="n">
        <f aca="false">IF(C847="one_time",G847,H847)</f>
        <v>8</v>
      </c>
      <c r="K847" s="11" t="n">
        <f aca="false">IF(C847="one_time",G847+1,I847)</f>
        <v>9</v>
      </c>
      <c r="L847" s="11" t="n">
        <f aca="false">K847-J847</f>
        <v>1</v>
      </c>
    </row>
    <row r="848" customFormat="false" ht="15" hidden="false" customHeight="false" outlineLevel="0" collapsed="false">
      <c r="A848" s="4" t="s">
        <v>1831</v>
      </c>
      <c r="B848" s="4" t="s">
        <v>105</v>
      </c>
      <c r="C848" s="4" t="s">
        <v>982</v>
      </c>
      <c r="D848" s="4" t="s">
        <v>983</v>
      </c>
      <c r="E848" s="4" t="n">
        <v>229686.37</v>
      </c>
      <c r="G848" s="4" t="n">
        <v>6</v>
      </c>
      <c r="J848" s="11" t="n">
        <f aca="false">IF(C848="one_time",G848,H848)</f>
        <v>6</v>
      </c>
      <c r="K848" s="11" t="n">
        <f aca="false">IF(C848="one_time",G848+1,I848)</f>
        <v>7</v>
      </c>
      <c r="L848" s="11" t="n">
        <f aca="false">K848-J848</f>
        <v>1</v>
      </c>
    </row>
    <row r="849" customFormat="false" ht="15" hidden="false" customHeight="false" outlineLevel="0" collapsed="false">
      <c r="A849" s="4" t="s">
        <v>1832</v>
      </c>
      <c r="B849" s="4" t="s">
        <v>105</v>
      </c>
      <c r="C849" s="4" t="s">
        <v>982</v>
      </c>
      <c r="D849" s="4" t="s">
        <v>983</v>
      </c>
      <c r="E849" s="4" t="n">
        <v>214596.09</v>
      </c>
      <c r="G849" s="4" t="n">
        <v>8</v>
      </c>
      <c r="J849" s="11" t="n">
        <f aca="false">IF(C849="one_time",G849,H849)</f>
        <v>8</v>
      </c>
      <c r="K849" s="11" t="n">
        <f aca="false">IF(C849="one_time",G849+1,I849)</f>
        <v>9</v>
      </c>
      <c r="L849" s="11" t="n">
        <f aca="false">K849-J849</f>
        <v>1</v>
      </c>
    </row>
    <row r="850" customFormat="false" ht="15" hidden="false" customHeight="false" outlineLevel="0" collapsed="false">
      <c r="A850" s="4" t="s">
        <v>1833</v>
      </c>
      <c r="B850" s="4" t="s">
        <v>105</v>
      </c>
      <c r="C850" s="4" t="s">
        <v>982</v>
      </c>
      <c r="D850" s="4" t="s">
        <v>1011</v>
      </c>
      <c r="E850" s="4" t="n">
        <v>130900</v>
      </c>
      <c r="G850" s="4" t="n">
        <v>9</v>
      </c>
      <c r="J850" s="11" t="n">
        <f aca="false">IF(C850="one_time",G850,H850)</f>
        <v>9</v>
      </c>
      <c r="K850" s="11" t="n">
        <f aca="false">IF(C850="one_time",G850+1,I850)</f>
        <v>10</v>
      </c>
      <c r="L850" s="11" t="n">
        <f aca="false">K850-J850</f>
        <v>1</v>
      </c>
    </row>
    <row r="851" customFormat="false" ht="15" hidden="false" customHeight="false" outlineLevel="0" collapsed="false">
      <c r="A851" s="4" t="s">
        <v>1834</v>
      </c>
      <c r="B851" s="4" t="s">
        <v>105</v>
      </c>
      <c r="C851" s="4" t="s">
        <v>982</v>
      </c>
      <c r="D851" s="4" t="s">
        <v>1011</v>
      </c>
      <c r="E851" s="4" t="n">
        <v>109100</v>
      </c>
      <c r="G851" s="4" t="n">
        <v>6</v>
      </c>
      <c r="J851" s="11" t="n">
        <f aca="false">IF(C851="one_time",G851,H851)</f>
        <v>6</v>
      </c>
      <c r="K851" s="11" t="n">
        <f aca="false">IF(C851="one_time",G851+1,I851)</f>
        <v>7</v>
      </c>
      <c r="L851" s="11" t="n">
        <f aca="false">K851-J851</f>
        <v>1</v>
      </c>
    </row>
    <row r="852" customFormat="false" ht="15" hidden="false" customHeight="false" outlineLevel="0" collapsed="false">
      <c r="A852" s="4" t="s">
        <v>1835</v>
      </c>
      <c r="B852" s="4" t="s">
        <v>105</v>
      </c>
      <c r="C852" s="4" t="s">
        <v>982</v>
      </c>
      <c r="D852" s="4" t="s">
        <v>1011</v>
      </c>
      <c r="E852" s="4" t="n">
        <v>60000</v>
      </c>
      <c r="G852" s="4" t="n">
        <v>10</v>
      </c>
      <c r="J852" s="11" t="n">
        <f aca="false">IF(C852="one_time",G852,H852)</f>
        <v>10</v>
      </c>
      <c r="K852" s="11" t="n">
        <f aca="false">IF(C852="one_time",G852+1,I852)</f>
        <v>11</v>
      </c>
      <c r="L852" s="11" t="n">
        <f aca="false">K852-J852</f>
        <v>1</v>
      </c>
    </row>
    <row r="853" customFormat="false" ht="15" hidden="false" customHeight="false" outlineLevel="0" collapsed="false">
      <c r="A853" s="4" t="s">
        <v>1836</v>
      </c>
      <c r="B853" s="4" t="s">
        <v>105</v>
      </c>
      <c r="C853" s="4" t="s">
        <v>982</v>
      </c>
      <c r="D853" s="4" t="s">
        <v>1011</v>
      </c>
      <c r="E853" s="4" t="n">
        <v>60000</v>
      </c>
      <c r="G853" s="4" t="n">
        <v>8</v>
      </c>
      <c r="J853" s="11" t="n">
        <f aca="false">IF(C853="one_time",G853,H853)</f>
        <v>8</v>
      </c>
      <c r="K853" s="11" t="n">
        <f aca="false">IF(C853="one_time",G853+1,I853)</f>
        <v>9</v>
      </c>
      <c r="L853" s="11" t="n">
        <f aca="false">K853-J853</f>
        <v>1</v>
      </c>
    </row>
    <row r="854" customFormat="false" ht="15" hidden="false" customHeight="false" outlineLevel="0" collapsed="false">
      <c r="A854" s="4" t="s">
        <v>1837</v>
      </c>
      <c r="B854" s="4" t="s">
        <v>105</v>
      </c>
      <c r="C854" s="4" t="s">
        <v>982</v>
      </c>
      <c r="D854" s="4" t="s">
        <v>1011</v>
      </c>
      <c r="E854" s="4" t="n">
        <v>51450</v>
      </c>
      <c r="G854" s="4" t="n">
        <v>12</v>
      </c>
      <c r="J854" s="11" t="n">
        <f aca="false">IF(C854="one_time",G854,H854)</f>
        <v>12</v>
      </c>
      <c r="K854" s="11" t="n">
        <f aca="false">IF(C854="one_time",G854+1,I854)</f>
        <v>13</v>
      </c>
      <c r="L854" s="11" t="n">
        <f aca="false">K854-J854</f>
        <v>1</v>
      </c>
    </row>
    <row r="855" customFormat="false" ht="15" hidden="false" customHeight="false" outlineLevel="0" collapsed="false">
      <c r="A855" s="4" t="s">
        <v>1838</v>
      </c>
      <c r="B855" s="4" t="s">
        <v>105</v>
      </c>
      <c r="C855" s="4" t="s">
        <v>982</v>
      </c>
      <c r="D855" s="4" t="s">
        <v>1011</v>
      </c>
      <c r="E855" s="4" t="n">
        <v>111450</v>
      </c>
      <c r="G855" s="4" t="n">
        <v>10</v>
      </c>
      <c r="J855" s="11" t="n">
        <f aca="false">IF(C855="one_time",G855,H855)</f>
        <v>10</v>
      </c>
      <c r="K855" s="11" t="n">
        <f aca="false">IF(C855="one_time",G855+1,I855)</f>
        <v>11</v>
      </c>
      <c r="L855" s="11" t="n">
        <f aca="false">K855-J855</f>
        <v>1</v>
      </c>
    </row>
    <row r="856" customFormat="false" ht="15" hidden="false" customHeight="false" outlineLevel="0" collapsed="false">
      <c r="A856" s="4" t="s">
        <v>1839</v>
      </c>
      <c r="B856" s="4" t="s">
        <v>105</v>
      </c>
      <c r="C856" s="4" t="s">
        <v>982</v>
      </c>
      <c r="D856" s="4" t="s">
        <v>1011</v>
      </c>
      <c r="E856" s="4" t="n">
        <v>77100</v>
      </c>
      <c r="G856" s="4" t="n">
        <v>12</v>
      </c>
      <c r="J856" s="11" t="n">
        <f aca="false">IF(C856="one_time",G856,H856)</f>
        <v>12</v>
      </c>
      <c r="K856" s="11" t="n">
        <f aca="false">IF(C856="one_time",G856+1,I856)</f>
        <v>13</v>
      </c>
      <c r="L856" s="11" t="n">
        <f aca="false">K856-J856</f>
        <v>1</v>
      </c>
    </row>
    <row r="857" customFormat="false" ht="15" hidden="false" customHeight="false" outlineLevel="0" collapsed="false">
      <c r="A857" s="4" t="s">
        <v>1840</v>
      </c>
      <c r="B857" s="4" t="s">
        <v>105</v>
      </c>
      <c r="C857" s="4" t="s">
        <v>982</v>
      </c>
      <c r="D857" s="4" t="s">
        <v>1011</v>
      </c>
      <c r="E857" s="4" t="n">
        <v>48000</v>
      </c>
      <c r="G857" s="4" t="n">
        <v>0</v>
      </c>
      <c r="J857" s="11" t="n">
        <f aca="false">IF(C857="one_time",G857,H857)</f>
        <v>0</v>
      </c>
      <c r="K857" s="11" t="n">
        <f aca="false">IF(C857="one_time",G857+1,I857)</f>
        <v>1</v>
      </c>
      <c r="L857" s="11" t="n">
        <f aca="false">K857-J857</f>
        <v>1</v>
      </c>
    </row>
    <row r="858" customFormat="false" ht="15" hidden="false" customHeight="false" outlineLevel="0" collapsed="false">
      <c r="A858" s="4" t="s">
        <v>1841</v>
      </c>
      <c r="B858" s="4" t="s">
        <v>105</v>
      </c>
      <c r="C858" s="4" t="s">
        <v>982</v>
      </c>
      <c r="D858" s="4" t="s">
        <v>1011</v>
      </c>
      <c r="E858" s="4" t="n">
        <v>420000</v>
      </c>
      <c r="G858" s="4" t="n">
        <v>8</v>
      </c>
      <c r="J858" s="11" t="n">
        <f aca="false">IF(C858="one_time",G858,H858)</f>
        <v>8</v>
      </c>
      <c r="K858" s="11" t="n">
        <f aca="false">IF(C858="one_time",G858+1,I858)</f>
        <v>9</v>
      </c>
      <c r="L858" s="11" t="n">
        <f aca="false">K858-J858</f>
        <v>1</v>
      </c>
    </row>
    <row r="859" customFormat="false" ht="15" hidden="false" customHeight="false" outlineLevel="0" collapsed="false">
      <c r="A859" s="4" t="s">
        <v>1842</v>
      </c>
      <c r="B859" s="4" t="s">
        <v>105</v>
      </c>
      <c r="C859" s="4" t="s">
        <v>982</v>
      </c>
      <c r="D859" s="4" t="s">
        <v>1011</v>
      </c>
      <c r="E859" s="4" t="n">
        <v>420000</v>
      </c>
      <c r="G859" s="4" t="n">
        <v>9</v>
      </c>
      <c r="J859" s="11" t="n">
        <f aca="false">IF(C859="one_time",G859,H859)</f>
        <v>9</v>
      </c>
      <c r="K859" s="11" t="n">
        <f aca="false">IF(C859="one_time",G859+1,I859)</f>
        <v>10</v>
      </c>
      <c r="L859" s="11" t="n">
        <f aca="false">K859-J859</f>
        <v>1</v>
      </c>
    </row>
    <row r="860" customFormat="false" ht="15" hidden="false" customHeight="false" outlineLevel="0" collapsed="false">
      <c r="A860" s="4" t="s">
        <v>1843</v>
      </c>
      <c r="B860" s="4" t="s">
        <v>105</v>
      </c>
      <c r="C860" s="4" t="s">
        <v>982</v>
      </c>
      <c r="D860" s="4" t="s">
        <v>1011</v>
      </c>
      <c r="E860" s="4" t="n">
        <v>156000</v>
      </c>
      <c r="G860" s="4" t="n">
        <v>12</v>
      </c>
      <c r="J860" s="11" t="n">
        <f aca="false">IF(C860="one_time",G860,H860)</f>
        <v>12</v>
      </c>
      <c r="K860" s="11" t="n">
        <f aca="false">IF(C860="one_time",G860+1,I860)</f>
        <v>13</v>
      </c>
      <c r="L860" s="11" t="n">
        <f aca="false">K860-J860</f>
        <v>1</v>
      </c>
    </row>
    <row r="861" customFormat="false" ht="15" hidden="false" customHeight="false" outlineLevel="0" collapsed="false">
      <c r="A861" s="4" t="s">
        <v>1844</v>
      </c>
      <c r="B861" s="4" t="s">
        <v>105</v>
      </c>
      <c r="C861" s="4" t="s">
        <v>982</v>
      </c>
      <c r="D861" s="4" t="s">
        <v>1011</v>
      </c>
      <c r="E861" s="4" t="n">
        <v>144000</v>
      </c>
      <c r="G861" s="4" t="n">
        <v>12</v>
      </c>
      <c r="J861" s="11" t="n">
        <f aca="false">IF(C861="one_time",G861,H861)</f>
        <v>12</v>
      </c>
      <c r="K861" s="11" t="n">
        <f aca="false">IF(C861="one_time",G861+1,I861)</f>
        <v>13</v>
      </c>
      <c r="L861" s="11" t="n">
        <f aca="false">K861-J861</f>
        <v>1</v>
      </c>
    </row>
    <row r="862" customFormat="false" ht="15" hidden="false" customHeight="false" outlineLevel="0" collapsed="false">
      <c r="A862" s="4" t="s">
        <v>1845</v>
      </c>
      <c r="B862" s="4" t="s">
        <v>105</v>
      </c>
      <c r="C862" s="4" t="s">
        <v>982</v>
      </c>
      <c r="D862" s="4" t="s">
        <v>1011</v>
      </c>
      <c r="E862" s="4" t="n">
        <v>60000</v>
      </c>
      <c r="G862" s="4" t="n">
        <v>9</v>
      </c>
      <c r="J862" s="11" t="n">
        <f aca="false">IF(C862="one_time",G862,H862)</f>
        <v>9</v>
      </c>
      <c r="K862" s="11" t="n">
        <f aca="false">IF(C862="one_time",G862+1,I862)</f>
        <v>10</v>
      </c>
      <c r="L862" s="11" t="n">
        <f aca="false">K862-J862</f>
        <v>1</v>
      </c>
    </row>
    <row r="863" customFormat="false" ht="15" hidden="false" customHeight="false" outlineLevel="0" collapsed="false">
      <c r="A863" s="4" t="s">
        <v>1846</v>
      </c>
      <c r="B863" s="4" t="s">
        <v>105</v>
      </c>
      <c r="C863" s="4" t="s">
        <v>982</v>
      </c>
      <c r="D863" s="4" t="s">
        <v>1011</v>
      </c>
      <c r="E863" s="4" t="n">
        <v>168000</v>
      </c>
      <c r="G863" s="4" t="n">
        <v>6</v>
      </c>
      <c r="J863" s="11" t="n">
        <f aca="false">IF(C863="one_time",G863,H863)</f>
        <v>6</v>
      </c>
      <c r="K863" s="11" t="n">
        <f aca="false">IF(C863="one_time",G863+1,I863)</f>
        <v>7</v>
      </c>
      <c r="L863" s="11" t="n">
        <f aca="false">K863-J863</f>
        <v>1</v>
      </c>
    </row>
    <row r="864" customFormat="false" ht="15" hidden="false" customHeight="false" outlineLevel="0" collapsed="false">
      <c r="A864" s="4" t="s">
        <v>1847</v>
      </c>
      <c r="B864" s="4" t="s">
        <v>105</v>
      </c>
      <c r="C864" s="4" t="s">
        <v>982</v>
      </c>
      <c r="D864" s="4" t="s">
        <v>1011</v>
      </c>
      <c r="E864" s="4" t="n">
        <v>240000</v>
      </c>
      <c r="G864" s="4" t="n">
        <v>11</v>
      </c>
      <c r="J864" s="11" t="n">
        <f aca="false">IF(C864="one_time",G864,H864)</f>
        <v>11</v>
      </c>
      <c r="K864" s="11" t="n">
        <f aca="false">IF(C864="one_time",G864+1,I864)</f>
        <v>12</v>
      </c>
      <c r="L864" s="11" t="n">
        <f aca="false">K864-J864</f>
        <v>1</v>
      </c>
    </row>
    <row r="865" customFormat="false" ht="15" hidden="false" customHeight="false" outlineLevel="0" collapsed="false">
      <c r="A865" s="4" t="s">
        <v>1848</v>
      </c>
      <c r="B865" s="4" t="s">
        <v>105</v>
      </c>
      <c r="C865" s="4" t="s">
        <v>982</v>
      </c>
      <c r="D865" s="4" t="s">
        <v>1011</v>
      </c>
      <c r="E865" s="4" t="n">
        <v>192000</v>
      </c>
      <c r="G865" s="4" t="n">
        <v>6</v>
      </c>
      <c r="J865" s="11" t="n">
        <f aca="false">IF(C865="one_time",G865,H865)</f>
        <v>6</v>
      </c>
      <c r="K865" s="11" t="n">
        <f aca="false">IF(C865="one_time",G865+1,I865)</f>
        <v>7</v>
      </c>
      <c r="L865" s="11" t="n">
        <f aca="false">K865-J865</f>
        <v>1</v>
      </c>
    </row>
    <row r="866" customFormat="false" ht="15" hidden="false" customHeight="false" outlineLevel="0" collapsed="false">
      <c r="A866" s="4" t="s">
        <v>1849</v>
      </c>
      <c r="B866" s="4" t="s">
        <v>105</v>
      </c>
      <c r="C866" s="4" t="s">
        <v>1034</v>
      </c>
      <c r="D866" s="4" t="s">
        <v>1011</v>
      </c>
      <c r="E866" s="4" t="n">
        <v>9000</v>
      </c>
      <c r="H866" s="4" t="n">
        <v>12</v>
      </c>
      <c r="I866" s="4" t="n">
        <v>18</v>
      </c>
      <c r="J866" s="11" t="n">
        <f aca="false">IF(C866="one_time",G866,H866)</f>
        <v>12</v>
      </c>
      <c r="K866" s="11" t="n">
        <f aca="false">IF(C866="one_time",G866+1,I866)</f>
        <v>18</v>
      </c>
      <c r="L866" s="11" t="n">
        <f aca="false">K866-J866</f>
        <v>6</v>
      </c>
    </row>
    <row r="867" customFormat="false" ht="15" hidden="false" customHeight="false" outlineLevel="0" collapsed="false">
      <c r="A867" s="4" t="s">
        <v>1850</v>
      </c>
      <c r="B867" s="4" t="s">
        <v>105</v>
      </c>
      <c r="C867" s="4" t="s">
        <v>1034</v>
      </c>
      <c r="D867" s="4" t="s">
        <v>1011</v>
      </c>
      <c r="E867" s="4" t="n">
        <v>9350</v>
      </c>
      <c r="H867" s="4" t="n">
        <v>18</v>
      </c>
      <c r="I867" s="4" t="n">
        <v>25</v>
      </c>
      <c r="J867" s="11" t="n">
        <f aca="false">IF(C867="one_time",G867,H867)</f>
        <v>18</v>
      </c>
      <c r="K867" s="11" t="n">
        <f aca="false">IF(C867="one_time",G867+1,I867)</f>
        <v>25</v>
      </c>
      <c r="L867" s="11" t="n">
        <f aca="false">K867-J867</f>
        <v>7</v>
      </c>
    </row>
    <row r="868" customFormat="false" ht="15" hidden="false" customHeight="false" outlineLevel="0" collapsed="false">
      <c r="A868" s="4" t="s">
        <v>1851</v>
      </c>
      <c r="B868" s="4" t="s">
        <v>105</v>
      </c>
      <c r="C868" s="4" t="s">
        <v>1034</v>
      </c>
      <c r="D868" s="4" t="s">
        <v>1011</v>
      </c>
      <c r="E868" s="4" t="n">
        <v>15750</v>
      </c>
      <c r="H868" s="4" t="n">
        <v>12</v>
      </c>
      <c r="I868" s="4" t="n">
        <v>18</v>
      </c>
      <c r="J868" s="11" t="n">
        <f aca="false">IF(C868="one_time",G868,H868)</f>
        <v>12</v>
      </c>
      <c r="K868" s="11" t="n">
        <f aca="false">IF(C868="one_time",G868+1,I868)</f>
        <v>18</v>
      </c>
      <c r="L868" s="11" t="n">
        <f aca="false">K868-J868</f>
        <v>6</v>
      </c>
    </row>
    <row r="869" customFormat="false" ht="15" hidden="false" customHeight="false" outlineLevel="0" collapsed="false">
      <c r="A869" s="4" t="s">
        <v>1852</v>
      </c>
      <c r="B869" s="4" t="s">
        <v>105</v>
      </c>
      <c r="C869" s="4" t="s">
        <v>1034</v>
      </c>
      <c r="D869" s="4" t="s">
        <v>1011</v>
      </c>
      <c r="E869" s="4" t="n">
        <v>16200</v>
      </c>
      <c r="H869" s="4" t="n">
        <v>18</v>
      </c>
      <c r="I869" s="4" t="n">
        <v>25</v>
      </c>
      <c r="J869" s="11" t="n">
        <f aca="false">IF(C869="one_time",G869,H869)</f>
        <v>18</v>
      </c>
      <c r="K869" s="11" t="n">
        <f aca="false">IF(C869="one_time",G869+1,I869)</f>
        <v>25</v>
      </c>
      <c r="L869" s="11" t="n">
        <f aca="false">K869-J869</f>
        <v>7</v>
      </c>
    </row>
    <row r="870" customFormat="false" ht="15" hidden="false" customHeight="false" outlineLevel="0" collapsed="false">
      <c r="A870" s="4" t="s">
        <v>1853</v>
      </c>
      <c r="B870" s="4" t="s">
        <v>105</v>
      </c>
      <c r="C870" s="4" t="s">
        <v>1034</v>
      </c>
      <c r="D870" s="4" t="s">
        <v>1011</v>
      </c>
      <c r="E870" s="4" t="n">
        <v>20250</v>
      </c>
      <c r="H870" s="4" t="n">
        <v>12</v>
      </c>
      <c r="I870" s="4" t="n">
        <v>18</v>
      </c>
      <c r="J870" s="11" t="n">
        <f aca="false">IF(C870="one_time",G870,H870)</f>
        <v>12</v>
      </c>
      <c r="K870" s="11" t="n">
        <f aca="false">IF(C870="one_time",G870+1,I870)</f>
        <v>18</v>
      </c>
      <c r="L870" s="11" t="n">
        <f aca="false">K870-J870</f>
        <v>6</v>
      </c>
    </row>
    <row r="871" customFormat="false" ht="15" hidden="false" customHeight="false" outlineLevel="0" collapsed="false">
      <c r="A871" s="4" t="s">
        <v>1854</v>
      </c>
      <c r="B871" s="4" t="s">
        <v>105</v>
      </c>
      <c r="C871" s="4" t="s">
        <v>1034</v>
      </c>
      <c r="D871" s="4" t="s">
        <v>1011</v>
      </c>
      <c r="E871" s="4" t="n">
        <v>21250</v>
      </c>
      <c r="H871" s="4" t="n">
        <v>18</v>
      </c>
      <c r="I871" s="4" t="n">
        <v>25</v>
      </c>
      <c r="J871" s="11" t="n">
        <f aca="false">IF(C871="one_time",G871,H871)</f>
        <v>18</v>
      </c>
      <c r="K871" s="11" t="n">
        <f aca="false">IF(C871="one_time",G871+1,I871)</f>
        <v>25</v>
      </c>
      <c r="L871" s="11" t="n">
        <f aca="false">K871-J871</f>
        <v>7</v>
      </c>
    </row>
    <row r="872" customFormat="false" ht="15" hidden="false" customHeight="false" outlineLevel="0" collapsed="false">
      <c r="A872" s="4" t="s">
        <v>1855</v>
      </c>
      <c r="B872" s="4" t="s">
        <v>106</v>
      </c>
      <c r="C872" s="4" t="s">
        <v>982</v>
      </c>
      <c r="D872" s="4" t="s">
        <v>983</v>
      </c>
      <c r="E872" s="4" t="n">
        <v>105883.61</v>
      </c>
      <c r="G872" s="4" t="n">
        <v>7</v>
      </c>
      <c r="J872" s="11" t="n">
        <f aca="false">IF(C872="one_time",G872,H872)</f>
        <v>7</v>
      </c>
      <c r="K872" s="11" t="n">
        <f aca="false">IF(C872="one_time",G872+1,I872)</f>
        <v>8</v>
      </c>
      <c r="L872" s="11" t="n">
        <f aca="false">K872-J872</f>
        <v>1</v>
      </c>
    </row>
    <row r="873" customFormat="false" ht="15" hidden="false" customHeight="false" outlineLevel="0" collapsed="false">
      <c r="A873" s="4" t="s">
        <v>1856</v>
      </c>
      <c r="B873" s="4" t="s">
        <v>106</v>
      </c>
      <c r="C873" s="4" t="s">
        <v>982</v>
      </c>
      <c r="D873" s="4" t="s">
        <v>983</v>
      </c>
      <c r="E873" s="4" t="n">
        <v>148910.29</v>
      </c>
      <c r="G873" s="4" t="n">
        <v>8</v>
      </c>
      <c r="J873" s="11" t="n">
        <f aca="false">IF(C873="one_time",G873,H873)</f>
        <v>8</v>
      </c>
      <c r="K873" s="11" t="n">
        <f aca="false">IF(C873="one_time",G873+1,I873)</f>
        <v>9</v>
      </c>
      <c r="L873" s="11" t="n">
        <f aca="false">K873-J873</f>
        <v>1</v>
      </c>
    </row>
    <row r="874" customFormat="false" ht="15" hidden="false" customHeight="false" outlineLevel="0" collapsed="false">
      <c r="A874" s="4" t="s">
        <v>1857</v>
      </c>
      <c r="B874" s="4" t="s">
        <v>106</v>
      </c>
      <c r="C874" s="4" t="s">
        <v>982</v>
      </c>
      <c r="D874" s="4" t="s">
        <v>983</v>
      </c>
      <c r="E874" s="4" t="n">
        <v>33010.77</v>
      </c>
      <c r="G874" s="4" t="n">
        <v>7</v>
      </c>
      <c r="J874" s="11" t="n">
        <f aca="false">IF(C874="one_time",G874,H874)</f>
        <v>7</v>
      </c>
      <c r="K874" s="11" t="n">
        <f aca="false">IF(C874="one_time",G874+1,I874)</f>
        <v>8</v>
      </c>
      <c r="L874" s="11" t="n">
        <f aca="false">K874-J874</f>
        <v>1</v>
      </c>
    </row>
    <row r="875" customFormat="false" ht="15" hidden="false" customHeight="false" outlineLevel="0" collapsed="false">
      <c r="A875" s="4" t="s">
        <v>1858</v>
      </c>
      <c r="B875" s="4" t="s">
        <v>106</v>
      </c>
      <c r="C875" s="4" t="s">
        <v>982</v>
      </c>
      <c r="D875" s="4" t="s">
        <v>983</v>
      </c>
      <c r="E875" s="4" t="n">
        <v>50847.41</v>
      </c>
      <c r="G875" s="4" t="n">
        <v>8</v>
      </c>
      <c r="J875" s="11" t="n">
        <f aca="false">IF(C875="one_time",G875,H875)</f>
        <v>8</v>
      </c>
      <c r="K875" s="11" t="n">
        <f aca="false">IF(C875="one_time",G875+1,I875)</f>
        <v>9</v>
      </c>
      <c r="L875" s="11" t="n">
        <f aca="false">K875-J875</f>
        <v>1</v>
      </c>
    </row>
    <row r="876" customFormat="false" ht="15" hidden="false" customHeight="false" outlineLevel="0" collapsed="false">
      <c r="A876" s="4" t="s">
        <v>1859</v>
      </c>
      <c r="B876" s="4" t="s">
        <v>106</v>
      </c>
      <c r="C876" s="4" t="s">
        <v>982</v>
      </c>
      <c r="D876" s="4" t="s">
        <v>983</v>
      </c>
      <c r="E876" s="4" t="n">
        <v>94487.85</v>
      </c>
      <c r="G876" s="4" t="n">
        <v>7</v>
      </c>
      <c r="J876" s="11" t="n">
        <f aca="false">IF(C876="one_time",G876,H876)</f>
        <v>7</v>
      </c>
      <c r="K876" s="11" t="n">
        <f aca="false">IF(C876="one_time",G876+1,I876)</f>
        <v>8</v>
      </c>
      <c r="L876" s="11" t="n">
        <f aca="false">K876-J876</f>
        <v>1</v>
      </c>
    </row>
    <row r="877" customFormat="false" ht="15" hidden="false" customHeight="false" outlineLevel="0" collapsed="false">
      <c r="A877" s="4" t="s">
        <v>1860</v>
      </c>
      <c r="B877" s="4" t="s">
        <v>106</v>
      </c>
      <c r="C877" s="4" t="s">
        <v>982</v>
      </c>
      <c r="D877" s="4" t="s">
        <v>983</v>
      </c>
      <c r="E877" s="4" t="n">
        <v>131977.29</v>
      </c>
      <c r="G877" s="4" t="n">
        <v>8</v>
      </c>
      <c r="J877" s="11" t="n">
        <f aca="false">IF(C877="one_time",G877,H877)</f>
        <v>8</v>
      </c>
      <c r="K877" s="11" t="n">
        <f aca="false">IF(C877="one_time",G877+1,I877)</f>
        <v>9</v>
      </c>
      <c r="L877" s="11" t="n">
        <f aca="false">K877-J877</f>
        <v>1</v>
      </c>
    </row>
    <row r="878" customFormat="false" ht="15" hidden="false" customHeight="false" outlineLevel="0" collapsed="false">
      <c r="A878" s="4" t="s">
        <v>1861</v>
      </c>
      <c r="B878" s="4" t="s">
        <v>106</v>
      </c>
      <c r="C878" s="4" t="s">
        <v>982</v>
      </c>
      <c r="D878" s="4" t="s">
        <v>1011</v>
      </c>
      <c r="E878" s="4" t="n">
        <v>22200</v>
      </c>
      <c r="G878" s="4" t="n">
        <v>10</v>
      </c>
      <c r="J878" s="11" t="n">
        <f aca="false">IF(C878="one_time",G878,H878)</f>
        <v>10</v>
      </c>
      <c r="K878" s="11" t="n">
        <f aca="false">IF(C878="one_time",G878+1,I878)</f>
        <v>11</v>
      </c>
      <c r="L878" s="11" t="n">
        <f aca="false">K878-J878</f>
        <v>1</v>
      </c>
    </row>
    <row r="879" customFormat="false" ht="15" hidden="false" customHeight="false" outlineLevel="0" collapsed="false">
      <c r="A879" s="4" t="s">
        <v>1862</v>
      </c>
      <c r="B879" s="4" t="s">
        <v>106</v>
      </c>
      <c r="C879" s="4" t="s">
        <v>982</v>
      </c>
      <c r="D879" s="4" t="s">
        <v>1011</v>
      </c>
      <c r="E879" s="4" t="n">
        <v>40750</v>
      </c>
      <c r="G879" s="4" t="n">
        <v>8</v>
      </c>
      <c r="J879" s="11" t="n">
        <f aca="false">IF(C879="one_time",G879,H879)</f>
        <v>8</v>
      </c>
      <c r="K879" s="11" t="n">
        <f aca="false">IF(C879="one_time",G879+1,I879)</f>
        <v>9</v>
      </c>
      <c r="L879" s="11" t="n">
        <f aca="false">K879-J879</f>
        <v>1</v>
      </c>
    </row>
    <row r="880" customFormat="false" ht="15" hidden="false" customHeight="false" outlineLevel="0" collapsed="false">
      <c r="A880" s="4" t="s">
        <v>1863</v>
      </c>
      <c r="B880" s="4" t="s">
        <v>106</v>
      </c>
      <c r="C880" s="4" t="s">
        <v>982</v>
      </c>
      <c r="D880" s="4" t="s">
        <v>1011</v>
      </c>
      <c r="E880" s="4" t="n">
        <v>37050</v>
      </c>
      <c r="G880" s="4" t="n">
        <v>8</v>
      </c>
      <c r="J880" s="11" t="n">
        <f aca="false">IF(C880="one_time",G880,H880)</f>
        <v>8</v>
      </c>
      <c r="K880" s="11" t="n">
        <f aca="false">IF(C880="one_time",G880+1,I880)</f>
        <v>9</v>
      </c>
      <c r="L880" s="11" t="n">
        <f aca="false">K880-J880</f>
        <v>1</v>
      </c>
    </row>
    <row r="881" customFormat="false" ht="15" hidden="false" customHeight="false" outlineLevel="0" collapsed="false">
      <c r="A881" s="4" t="s">
        <v>1864</v>
      </c>
      <c r="B881" s="4" t="s">
        <v>106</v>
      </c>
      <c r="C881" s="4" t="s">
        <v>982</v>
      </c>
      <c r="D881" s="4" t="s">
        <v>1011</v>
      </c>
      <c r="E881" s="4" t="n">
        <v>12050</v>
      </c>
      <c r="G881" s="4" t="n">
        <v>11</v>
      </c>
      <c r="J881" s="11" t="n">
        <f aca="false">IF(C881="one_time",G881,H881)</f>
        <v>11</v>
      </c>
      <c r="K881" s="11" t="n">
        <f aca="false">IF(C881="one_time",G881+1,I881)</f>
        <v>12</v>
      </c>
      <c r="L881" s="11" t="n">
        <f aca="false">K881-J881</f>
        <v>1</v>
      </c>
    </row>
    <row r="882" customFormat="false" ht="15" hidden="false" customHeight="false" outlineLevel="0" collapsed="false">
      <c r="A882" s="4" t="s">
        <v>1865</v>
      </c>
      <c r="B882" s="4" t="s">
        <v>106</v>
      </c>
      <c r="C882" s="4" t="s">
        <v>982</v>
      </c>
      <c r="D882" s="4" t="s">
        <v>1011</v>
      </c>
      <c r="E882" s="4" t="n">
        <v>18950</v>
      </c>
      <c r="G882" s="4" t="n">
        <v>11</v>
      </c>
      <c r="J882" s="11" t="n">
        <f aca="false">IF(C882="one_time",G882,H882)</f>
        <v>11</v>
      </c>
      <c r="K882" s="11" t="n">
        <f aca="false">IF(C882="one_time",G882+1,I882)</f>
        <v>12</v>
      </c>
      <c r="L882" s="11" t="n">
        <f aca="false">K882-J882</f>
        <v>1</v>
      </c>
    </row>
    <row r="883" customFormat="false" ht="15" hidden="false" customHeight="false" outlineLevel="0" collapsed="false">
      <c r="A883" s="4" t="s">
        <v>1866</v>
      </c>
      <c r="B883" s="4" t="s">
        <v>106</v>
      </c>
      <c r="C883" s="4" t="s">
        <v>982</v>
      </c>
      <c r="D883" s="4" t="s">
        <v>1011</v>
      </c>
      <c r="E883" s="4" t="n">
        <v>19000</v>
      </c>
      <c r="G883" s="4" t="n">
        <v>7</v>
      </c>
      <c r="J883" s="11" t="n">
        <f aca="false">IF(C883="one_time",G883,H883)</f>
        <v>7</v>
      </c>
      <c r="K883" s="11" t="n">
        <f aca="false">IF(C883="one_time",G883+1,I883)</f>
        <v>8</v>
      </c>
      <c r="L883" s="11" t="n">
        <f aca="false">K883-J883</f>
        <v>1</v>
      </c>
    </row>
    <row r="884" customFormat="false" ht="15" hidden="false" customHeight="false" outlineLevel="0" collapsed="false">
      <c r="A884" s="4" t="s">
        <v>1867</v>
      </c>
      <c r="B884" s="4" t="s">
        <v>106</v>
      </c>
      <c r="C884" s="4" t="s">
        <v>982</v>
      </c>
      <c r="D884" s="4" t="s">
        <v>1011</v>
      </c>
      <c r="E884" s="4" t="n">
        <v>27800</v>
      </c>
      <c r="G884" s="4" t="n">
        <v>8</v>
      </c>
      <c r="J884" s="11" t="n">
        <f aca="false">IF(C884="one_time",G884,H884)</f>
        <v>8</v>
      </c>
      <c r="K884" s="11" t="n">
        <f aca="false">IF(C884="one_time",G884+1,I884)</f>
        <v>9</v>
      </c>
      <c r="L884" s="11" t="n">
        <f aca="false">K884-J884</f>
        <v>1</v>
      </c>
    </row>
    <row r="885" customFormat="false" ht="15" hidden="false" customHeight="false" outlineLevel="0" collapsed="false">
      <c r="A885" s="4" t="s">
        <v>1868</v>
      </c>
      <c r="B885" s="4" t="s">
        <v>106</v>
      </c>
      <c r="C885" s="4" t="s">
        <v>982</v>
      </c>
      <c r="D885" s="4" t="s">
        <v>1011</v>
      </c>
      <c r="E885" s="4" t="n">
        <v>72200</v>
      </c>
      <c r="G885" s="4" t="n">
        <v>7</v>
      </c>
      <c r="J885" s="11" t="n">
        <f aca="false">IF(C885="one_time",G885,H885)</f>
        <v>7</v>
      </c>
      <c r="K885" s="11" t="n">
        <f aca="false">IF(C885="one_time",G885+1,I885)</f>
        <v>8</v>
      </c>
      <c r="L885" s="11" t="n">
        <f aca="false">K885-J885</f>
        <v>1</v>
      </c>
    </row>
    <row r="886" customFormat="false" ht="15" hidden="false" customHeight="false" outlineLevel="0" collapsed="false">
      <c r="A886" s="4" t="s">
        <v>1869</v>
      </c>
      <c r="B886" s="4" t="s">
        <v>106</v>
      </c>
      <c r="C886" s="4" t="s">
        <v>982</v>
      </c>
      <c r="D886" s="4" t="s">
        <v>1011</v>
      </c>
      <c r="E886" s="4" t="n">
        <v>20000</v>
      </c>
      <c r="G886" s="4" t="n">
        <v>0</v>
      </c>
      <c r="J886" s="11" t="n">
        <f aca="false">IF(C886="one_time",G886,H886)</f>
        <v>0</v>
      </c>
      <c r="K886" s="11" t="n">
        <f aca="false">IF(C886="one_time",G886+1,I886)</f>
        <v>1</v>
      </c>
      <c r="L886" s="11" t="n">
        <f aca="false">K886-J886</f>
        <v>1</v>
      </c>
    </row>
    <row r="887" customFormat="false" ht="15" hidden="false" customHeight="false" outlineLevel="0" collapsed="false">
      <c r="A887" s="4" t="s">
        <v>1870</v>
      </c>
      <c r="B887" s="4" t="s">
        <v>106</v>
      </c>
      <c r="C887" s="4" t="s">
        <v>982</v>
      </c>
      <c r="D887" s="4" t="s">
        <v>1011</v>
      </c>
      <c r="E887" s="4" t="n">
        <v>128950</v>
      </c>
      <c r="G887" s="4" t="n">
        <v>10</v>
      </c>
      <c r="J887" s="11" t="n">
        <f aca="false">IF(C887="one_time",G887,H887)</f>
        <v>10</v>
      </c>
      <c r="K887" s="11" t="n">
        <f aca="false">IF(C887="one_time",G887+1,I887)</f>
        <v>11</v>
      </c>
      <c r="L887" s="11" t="n">
        <f aca="false">K887-J887</f>
        <v>1</v>
      </c>
    </row>
    <row r="888" customFormat="false" ht="15" hidden="false" customHeight="false" outlineLevel="0" collapsed="false">
      <c r="A888" s="4" t="s">
        <v>1871</v>
      </c>
      <c r="B888" s="4" t="s">
        <v>106</v>
      </c>
      <c r="C888" s="4" t="s">
        <v>982</v>
      </c>
      <c r="D888" s="4" t="s">
        <v>1011</v>
      </c>
      <c r="E888" s="4" t="n">
        <v>128950</v>
      </c>
      <c r="G888" s="4" t="n">
        <v>8</v>
      </c>
      <c r="J888" s="11" t="n">
        <f aca="false">IF(C888="one_time",G888,H888)</f>
        <v>8</v>
      </c>
      <c r="K888" s="11" t="n">
        <f aca="false">IF(C888="one_time",G888+1,I888)</f>
        <v>9</v>
      </c>
      <c r="L888" s="11" t="n">
        <f aca="false">K888-J888</f>
        <v>1</v>
      </c>
    </row>
    <row r="889" customFormat="false" ht="15" hidden="false" customHeight="false" outlineLevel="0" collapsed="false">
      <c r="A889" s="4" t="s">
        <v>1872</v>
      </c>
      <c r="B889" s="4" t="s">
        <v>106</v>
      </c>
      <c r="C889" s="4" t="s">
        <v>982</v>
      </c>
      <c r="D889" s="4" t="s">
        <v>1011</v>
      </c>
      <c r="E889" s="4" t="n">
        <v>92100</v>
      </c>
      <c r="G889" s="4" t="n">
        <v>10</v>
      </c>
      <c r="J889" s="11" t="n">
        <f aca="false">IF(C889="one_time",G889,H889)</f>
        <v>10</v>
      </c>
      <c r="K889" s="11" t="n">
        <f aca="false">IF(C889="one_time",G889+1,I889)</f>
        <v>11</v>
      </c>
      <c r="L889" s="11" t="n">
        <f aca="false">K889-J889</f>
        <v>1</v>
      </c>
    </row>
    <row r="890" customFormat="false" ht="15" hidden="false" customHeight="false" outlineLevel="0" collapsed="false">
      <c r="A890" s="4" t="s">
        <v>1873</v>
      </c>
      <c r="B890" s="4" t="s">
        <v>106</v>
      </c>
      <c r="C890" s="4" t="s">
        <v>982</v>
      </c>
      <c r="D890" s="4" t="s">
        <v>1011</v>
      </c>
      <c r="E890" s="4" t="n">
        <v>50000</v>
      </c>
      <c r="G890" s="4" t="n">
        <v>10</v>
      </c>
      <c r="J890" s="11" t="n">
        <f aca="false">IF(C890="one_time",G890,H890)</f>
        <v>10</v>
      </c>
      <c r="K890" s="11" t="n">
        <f aca="false">IF(C890="one_time",G890+1,I890)</f>
        <v>11</v>
      </c>
      <c r="L890" s="11" t="n">
        <f aca="false">K890-J890</f>
        <v>1</v>
      </c>
    </row>
    <row r="891" customFormat="false" ht="15" hidden="false" customHeight="false" outlineLevel="0" collapsed="false">
      <c r="A891" s="4" t="s">
        <v>1874</v>
      </c>
      <c r="B891" s="4" t="s">
        <v>106</v>
      </c>
      <c r="C891" s="4" t="s">
        <v>982</v>
      </c>
      <c r="D891" s="4" t="s">
        <v>1011</v>
      </c>
      <c r="E891" s="4" t="n">
        <v>100000</v>
      </c>
      <c r="G891" s="4" t="n">
        <v>8</v>
      </c>
      <c r="J891" s="11" t="n">
        <f aca="false">IF(C891="one_time",G891,H891)</f>
        <v>8</v>
      </c>
      <c r="K891" s="11" t="n">
        <f aca="false">IF(C891="one_time",G891+1,I891)</f>
        <v>9</v>
      </c>
      <c r="L891" s="11" t="n">
        <f aca="false">K891-J891</f>
        <v>1</v>
      </c>
    </row>
    <row r="892" customFormat="false" ht="15" hidden="false" customHeight="false" outlineLevel="0" collapsed="false">
      <c r="A892" s="4" t="s">
        <v>1875</v>
      </c>
      <c r="B892" s="4" t="s">
        <v>106</v>
      </c>
      <c r="C892" s="4" t="s">
        <v>982</v>
      </c>
      <c r="D892" s="4" t="s">
        <v>1011</v>
      </c>
      <c r="E892" s="4" t="n">
        <v>13450</v>
      </c>
      <c r="G892" s="4" t="n">
        <v>11</v>
      </c>
      <c r="J892" s="11" t="n">
        <f aca="false">IF(C892="one_time",G892,H892)</f>
        <v>11</v>
      </c>
      <c r="K892" s="11" t="n">
        <f aca="false">IF(C892="one_time",G892+1,I892)</f>
        <v>12</v>
      </c>
      <c r="L892" s="11" t="n">
        <f aca="false">K892-J892</f>
        <v>1</v>
      </c>
    </row>
    <row r="893" customFormat="false" ht="15" hidden="false" customHeight="false" outlineLevel="0" collapsed="false">
      <c r="A893" s="4" t="s">
        <v>1876</v>
      </c>
      <c r="B893" s="4" t="s">
        <v>106</v>
      </c>
      <c r="C893" s="4" t="s">
        <v>982</v>
      </c>
      <c r="D893" s="4" t="s">
        <v>1011</v>
      </c>
      <c r="E893" s="4" t="n">
        <v>29600</v>
      </c>
      <c r="G893" s="4" t="n">
        <v>10</v>
      </c>
      <c r="J893" s="11" t="n">
        <f aca="false">IF(C893="one_time",G893,H893)</f>
        <v>10</v>
      </c>
      <c r="K893" s="11" t="n">
        <f aca="false">IF(C893="one_time",G893+1,I893)</f>
        <v>11</v>
      </c>
      <c r="L893" s="11" t="n">
        <f aca="false">K893-J893</f>
        <v>1</v>
      </c>
    </row>
    <row r="894" customFormat="false" ht="15" hidden="false" customHeight="false" outlineLevel="0" collapsed="false">
      <c r="A894" s="4" t="s">
        <v>1877</v>
      </c>
      <c r="B894" s="4" t="s">
        <v>106</v>
      </c>
      <c r="C894" s="4" t="s">
        <v>982</v>
      </c>
      <c r="D894" s="4" t="s">
        <v>1011</v>
      </c>
      <c r="E894" s="4" t="n">
        <v>26950</v>
      </c>
      <c r="G894" s="4" t="n">
        <v>7</v>
      </c>
      <c r="J894" s="11" t="n">
        <f aca="false">IF(C894="one_time",G894,H894)</f>
        <v>7</v>
      </c>
      <c r="K894" s="11" t="n">
        <f aca="false">IF(C894="one_time",G894+1,I894)</f>
        <v>8</v>
      </c>
      <c r="L894" s="11" t="n">
        <f aca="false">K894-J894</f>
        <v>1</v>
      </c>
    </row>
    <row r="895" customFormat="false" ht="15" hidden="false" customHeight="false" outlineLevel="0" collapsed="false">
      <c r="A895" s="4" t="s">
        <v>1878</v>
      </c>
      <c r="B895" s="4" t="s">
        <v>106</v>
      </c>
      <c r="C895" s="4" t="s">
        <v>982</v>
      </c>
      <c r="D895" s="4" t="s">
        <v>1011</v>
      </c>
      <c r="E895" s="4" t="n">
        <v>59100</v>
      </c>
      <c r="G895" s="4" t="n">
        <v>10</v>
      </c>
      <c r="J895" s="11" t="n">
        <f aca="false">IF(C895="one_time",G895,H895)</f>
        <v>10</v>
      </c>
      <c r="K895" s="11" t="n">
        <f aca="false">IF(C895="one_time",G895+1,I895)</f>
        <v>11</v>
      </c>
      <c r="L895" s="11" t="n">
        <f aca="false">K895-J895</f>
        <v>1</v>
      </c>
    </row>
    <row r="896" customFormat="false" ht="15" hidden="false" customHeight="false" outlineLevel="0" collapsed="false">
      <c r="A896" s="4" t="s">
        <v>1879</v>
      </c>
      <c r="B896" s="4" t="s">
        <v>106</v>
      </c>
      <c r="C896" s="4" t="s">
        <v>982</v>
      </c>
      <c r="D896" s="4" t="s">
        <v>1011</v>
      </c>
      <c r="E896" s="4" t="n">
        <v>40900</v>
      </c>
      <c r="G896" s="4" t="n">
        <v>7</v>
      </c>
      <c r="J896" s="11" t="n">
        <f aca="false">IF(C896="one_time",G896,H896)</f>
        <v>7</v>
      </c>
      <c r="K896" s="11" t="n">
        <f aca="false">IF(C896="one_time",G896+1,I896)</f>
        <v>8</v>
      </c>
      <c r="L896" s="11" t="n">
        <f aca="false">K896-J896</f>
        <v>1</v>
      </c>
    </row>
    <row r="897" customFormat="false" ht="15" hidden="false" customHeight="false" outlineLevel="0" collapsed="false">
      <c r="A897" s="4" t="s">
        <v>1880</v>
      </c>
      <c r="B897" s="4" t="s">
        <v>106</v>
      </c>
      <c r="C897" s="4" t="s">
        <v>982</v>
      </c>
      <c r="D897" s="4" t="s">
        <v>1011</v>
      </c>
      <c r="E897" s="4" t="n">
        <v>80000</v>
      </c>
      <c r="G897" s="4" t="n">
        <v>7</v>
      </c>
      <c r="J897" s="11" t="n">
        <f aca="false">IF(C897="one_time",G897,H897)</f>
        <v>7</v>
      </c>
      <c r="K897" s="11" t="n">
        <f aca="false">IF(C897="one_time",G897+1,I897)</f>
        <v>8</v>
      </c>
      <c r="L897" s="11" t="n">
        <f aca="false">K897-J897</f>
        <v>1</v>
      </c>
    </row>
    <row r="898" customFormat="false" ht="15" hidden="false" customHeight="false" outlineLevel="0" collapsed="false">
      <c r="A898" s="4" t="s">
        <v>1881</v>
      </c>
      <c r="B898" s="4" t="s">
        <v>106</v>
      </c>
      <c r="C898" s="4" t="s">
        <v>1034</v>
      </c>
      <c r="D898" s="4" t="s">
        <v>1011</v>
      </c>
      <c r="E898" s="4" t="n">
        <v>4000</v>
      </c>
      <c r="H898" s="4" t="n">
        <v>11</v>
      </c>
      <c r="I898" s="4" t="n">
        <v>17</v>
      </c>
      <c r="J898" s="11" t="n">
        <f aca="false">IF(C898="one_time",G898,H898)</f>
        <v>11</v>
      </c>
      <c r="K898" s="11" t="n">
        <f aca="false">IF(C898="one_time",G898+1,I898)</f>
        <v>17</v>
      </c>
      <c r="L898" s="11" t="n">
        <f aca="false">K898-J898</f>
        <v>6</v>
      </c>
    </row>
    <row r="899" customFormat="false" ht="15" hidden="false" customHeight="false" outlineLevel="0" collapsed="false">
      <c r="A899" s="4" t="s">
        <v>1882</v>
      </c>
      <c r="B899" s="4" t="s">
        <v>106</v>
      </c>
      <c r="C899" s="4" t="s">
        <v>1034</v>
      </c>
      <c r="D899" s="4" t="s">
        <v>1011</v>
      </c>
      <c r="E899" s="4" t="n">
        <v>4200</v>
      </c>
      <c r="H899" s="4" t="n">
        <v>17</v>
      </c>
      <c r="I899" s="4" t="n">
        <v>24</v>
      </c>
      <c r="J899" s="11" t="n">
        <f aca="false">IF(C899="one_time",G899,H899)</f>
        <v>17</v>
      </c>
      <c r="K899" s="11" t="n">
        <f aca="false">IF(C899="one_time",G899+1,I899)</f>
        <v>24</v>
      </c>
      <c r="L899" s="11" t="n">
        <f aca="false">K899-J899</f>
        <v>7</v>
      </c>
    </row>
    <row r="900" customFormat="false" ht="15" hidden="false" customHeight="false" outlineLevel="0" collapsed="false">
      <c r="A900" s="4" t="s">
        <v>1883</v>
      </c>
      <c r="B900" s="4" t="s">
        <v>106</v>
      </c>
      <c r="C900" s="4" t="s">
        <v>1034</v>
      </c>
      <c r="D900" s="4" t="s">
        <v>1011</v>
      </c>
      <c r="E900" s="4" t="n">
        <v>7000</v>
      </c>
      <c r="H900" s="4" t="n">
        <v>11</v>
      </c>
      <c r="I900" s="4" t="n">
        <v>17</v>
      </c>
      <c r="J900" s="11" t="n">
        <f aca="false">IF(C900="one_time",G900,H900)</f>
        <v>11</v>
      </c>
      <c r="K900" s="11" t="n">
        <f aca="false">IF(C900="one_time",G900+1,I900)</f>
        <v>17</v>
      </c>
      <c r="L900" s="11" t="n">
        <f aca="false">K900-J900</f>
        <v>6</v>
      </c>
    </row>
    <row r="901" customFormat="false" ht="15" hidden="false" customHeight="false" outlineLevel="0" collapsed="false">
      <c r="A901" s="4" t="s">
        <v>1884</v>
      </c>
      <c r="B901" s="4" t="s">
        <v>106</v>
      </c>
      <c r="C901" s="4" t="s">
        <v>1034</v>
      </c>
      <c r="D901" s="4" t="s">
        <v>1011</v>
      </c>
      <c r="E901" s="4" t="n">
        <v>7300</v>
      </c>
      <c r="H901" s="4" t="n">
        <v>17</v>
      </c>
      <c r="I901" s="4" t="n">
        <v>24</v>
      </c>
      <c r="J901" s="11" t="n">
        <f aca="false">IF(C901="one_time",G901,H901)</f>
        <v>17</v>
      </c>
      <c r="K901" s="11" t="n">
        <f aca="false">IF(C901="one_time",G901+1,I901)</f>
        <v>24</v>
      </c>
      <c r="L901" s="11" t="n">
        <f aca="false">K901-J901</f>
        <v>7</v>
      </c>
    </row>
    <row r="902" customFormat="false" ht="15" hidden="false" customHeight="false" outlineLevel="0" collapsed="false">
      <c r="A902" s="4" t="s">
        <v>1885</v>
      </c>
      <c r="B902" s="4" t="s">
        <v>106</v>
      </c>
      <c r="C902" s="4" t="s">
        <v>1034</v>
      </c>
      <c r="D902" s="4" t="s">
        <v>1011</v>
      </c>
      <c r="E902" s="4" t="n">
        <v>9000</v>
      </c>
      <c r="H902" s="4" t="n">
        <v>11</v>
      </c>
      <c r="I902" s="4" t="n">
        <v>17</v>
      </c>
      <c r="J902" s="11" t="n">
        <f aca="false">IF(C902="one_time",G902,H902)</f>
        <v>11</v>
      </c>
      <c r="K902" s="11" t="n">
        <f aca="false">IF(C902="one_time",G902+1,I902)</f>
        <v>17</v>
      </c>
      <c r="L902" s="11" t="n">
        <f aca="false">K902-J902</f>
        <v>6</v>
      </c>
    </row>
    <row r="903" customFormat="false" ht="15" hidden="false" customHeight="false" outlineLevel="0" collapsed="false">
      <c r="A903" s="4" t="s">
        <v>1886</v>
      </c>
      <c r="B903" s="4" t="s">
        <v>106</v>
      </c>
      <c r="C903" s="4" t="s">
        <v>1034</v>
      </c>
      <c r="D903" s="4" t="s">
        <v>1011</v>
      </c>
      <c r="E903" s="4" t="n">
        <v>9200</v>
      </c>
      <c r="H903" s="4" t="n">
        <v>17</v>
      </c>
      <c r="I903" s="4" t="n">
        <v>24</v>
      </c>
      <c r="J903" s="11" t="n">
        <f aca="false">IF(C903="one_time",G903,H903)</f>
        <v>17</v>
      </c>
      <c r="K903" s="11" t="n">
        <f aca="false">IF(C903="one_time",G903+1,I903)</f>
        <v>24</v>
      </c>
      <c r="L903" s="11" t="n">
        <f aca="false">K903-J903</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4" min="4" style="0" width="18"/>
  </cols>
  <sheetData>
    <row r="1" customFormat="false" ht="17.35" hidden="false" customHeight="false" outlineLevel="0" collapsed="false">
      <c r="A1" s="1" t="s">
        <v>1887</v>
      </c>
    </row>
    <row r="2" customFormat="false" ht="15" hidden="false" customHeight="false" outlineLevel="0" collapsed="false">
      <c r="A2" s="0" t="s">
        <v>1888</v>
      </c>
    </row>
    <row r="3" customFormat="false" ht="28.35" hidden="false" customHeight="false" outlineLevel="0" collapsed="false">
      <c r="A3" s="10" t="s">
        <v>1889</v>
      </c>
      <c r="B3" s="10" t="s">
        <v>1890</v>
      </c>
      <c r="C3" s="10" t="s">
        <v>63</v>
      </c>
      <c r="D3" s="10" t="s">
        <v>1891</v>
      </c>
      <c r="E3" s="10" t="s">
        <v>1892</v>
      </c>
      <c r="F3" s="10" t="s">
        <v>1893</v>
      </c>
      <c r="G3" s="10" t="s">
        <v>1894</v>
      </c>
      <c r="H3" s="10" t="s">
        <v>1895</v>
      </c>
      <c r="I3" s="10" t="s">
        <v>1896</v>
      </c>
      <c r="J3" s="10" t="s">
        <v>1897</v>
      </c>
      <c r="K3" s="10" t="s">
        <v>1898</v>
      </c>
      <c r="L3" s="10" t="s">
        <v>1899</v>
      </c>
      <c r="M3" s="10" t="s">
        <v>1900</v>
      </c>
      <c r="N3" s="10" t="s">
        <v>191</v>
      </c>
    </row>
    <row r="4" customFormat="false" ht="15" hidden="false" customHeight="false" outlineLevel="0" collapsed="false">
      <c r="A4" s="4" t="s">
        <v>1901</v>
      </c>
      <c r="B4" s="4" t="s">
        <v>1902</v>
      </c>
      <c r="C4" s="4" t="s">
        <v>83</v>
      </c>
      <c r="D4" s="4" t="s">
        <v>1903</v>
      </c>
      <c r="E4" s="4" t="n">
        <v>5</v>
      </c>
      <c r="F4" s="4" t="n">
        <v>0.066667</v>
      </c>
      <c r="G4" s="4" t="n">
        <v>0.2</v>
      </c>
      <c r="H4" s="4" t="n">
        <v>0.4</v>
      </c>
      <c r="I4" s="4" t="n">
        <v>0.666667</v>
      </c>
      <c r="J4" s="4" t="n">
        <v>1</v>
      </c>
    </row>
    <row r="5" customFormat="false" ht="15" hidden="false" customHeight="false" outlineLevel="0" collapsed="false">
      <c r="A5" s="4" t="s">
        <v>1904</v>
      </c>
      <c r="B5" s="4" t="s">
        <v>1902</v>
      </c>
      <c r="C5" s="4" t="s">
        <v>84</v>
      </c>
      <c r="D5" s="4" t="s">
        <v>1905</v>
      </c>
      <c r="E5" s="4" t="n">
        <v>5</v>
      </c>
      <c r="F5" s="4" t="n">
        <v>0.066667</v>
      </c>
      <c r="G5" s="4" t="n">
        <v>0.2</v>
      </c>
      <c r="H5" s="4" t="n">
        <v>0.4</v>
      </c>
      <c r="I5" s="4" t="n">
        <v>0.666667</v>
      </c>
      <c r="J5" s="4" t="n">
        <v>1</v>
      </c>
    </row>
    <row r="6" customFormat="false" ht="15" hidden="false" customHeight="false" outlineLevel="0" collapsed="false">
      <c r="A6" s="4" t="s">
        <v>1906</v>
      </c>
      <c r="B6" s="4" t="s">
        <v>1902</v>
      </c>
      <c r="C6" s="4" t="s">
        <v>85</v>
      </c>
      <c r="D6" s="4" t="s">
        <v>1907</v>
      </c>
      <c r="E6" s="4" t="n">
        <v>6</v>
      </c>
      <c r="F6" s="4" t="n">
        <v>0.047619</v>
      </c>
      <c r="G6" s="4" t="n">
        <v>0.142857</v>
      </c>
      <c r="H6" s="4" t="n">
        <v>0.285714</v>
      </c>
      <c r="I6" s="4" t="n">
        <v>0.47619</v>
      </c>
      <c r="J6" s="4" t="n">
        <v>0.714286</v>
      </c>
      <c r="K6" s="4" t="n">
        <v>1</v>
      </c>
    </row>
    <row r="7" customFormat="false" ht="15" hidden="false" customHeight="false" outlineLevel="0" collapsed="false">
      <c r="A7" s="4" t="s">
        <v>1908</v>
      </c>
      <c r="B7" s="4" t="s">
        <v>1902</v>
      </c>
      <c r="C7" s="4" t="s">
        <v>86</v>
      </c>
      <c r="D7" s="4" t="s">
        <v>1909</v>
      </c>
      <c r="E7" s="4" t="n">
        <v>6</v>
      </c>
      <c r="F7" s="4" t="n">
        <v>0.047619</v>
      </c>
      <c r="G7" s="4" t="n">
        <v>0.142857</v>
      </c>
      <c r="H7" s="4" t="n">
        <v>0.285714</v>
      </c>
      <c r="I7" s="4" t="n">
        <v>0.47619</v>
      </c>
      <c r="J7" s="4" t="n">
        <v>0.714286</v>
      </c>
      <c r="K7" s="4" t="n">
        <v>1</v>
      </c>
    </row>
    <row r="8" customFormat="false" ht="15" hidden="false" customHeight="false" outlineLevel="0" collapsed="false">
      <c r="A8" s="4" t="s">
        <v>1910</v>
      </c>
      <c r="B8" s="4" t="s">
        <v>1902</v>
      </c>
      <c r="C8" s="4" t="s">
        <v>87</v>
      </c>
      <c r="D8" s="4" t="s">
        <v>1911</v>
      </c>
      <c r="E8" s="4" t="n">
        <v>5</v>
      </c>
      <c r="F8" s="4" t="n">
        <v>0.066667</v>
      </c>
      <c r="G8" s="4" t="n">
        <v>0.2</v>
      </c>
      <c r="H8" s="4" t="n">
        <v>0.4</v>
      </c>
      <c r="I8" s="4" t="n">
        <v>0.666667</v>
      </c>
      <c r="J8" s="4" t="n">
        <v>1</v>
      </c>
    </row>
    <row r="9" customFormat="false" ht="15" hidden="false" customHeight="false" outlineLevel="0" collapsed="false">
      <c r="A9" s="4" t="s">
        <v>1912</v>
      </c>
      <c r="B9" s="4" t="s">
        <v>1902</v>
      </c>
      <c r="C9" s="4" t="s">
        <v>88</v>
      </c>
      <c r="D9" s="4" t="s">
        <v>1913</v>
      </c>
      <c r="E9" s="4" t="n">
        <v>5</v>
      </c>
      <c r="F9" s="4" t="n">
        <v>0.066667</v>
      </c>
      <c r="G9" s="4" t="n">
        <v>0.2</v>
      </c>
      <c r="H9" s="4" t="n">
        <v>0.4</v>
      </c>
      <c r="I9" s="4" t="n">
        <v>0.666667</v>
      </c>
      <c r="J9" s="4" t="n">
        <v>1</v>
      </c>
    </row>
    <row r="10" customFormat="false" ht="15" hidden="false" customHeight="false" outlineLevel="0" collapsed="false">
      <c r="A10" s="4" t="s">
        <v>1914</v>
      </c>
      <c r="B10" s="4" t="s">
        <v>1915</v>
      </c>
      <c r="C10" s="4" t="s">
        <v>83</v>
      </c>
      <c r="D10" s="4" t="s">
        <v>1903</v>
      </c>
      <c r="E10" s="4" t="n">
        <v>5</v>
      </c>
      <c r="F10" s="4" t="n">
        <v>0.066667</v>
      </c>
      <c r="G10" s="4" t="n">
        <v>0.2</v>
      </c>
      <c r="H10" s="4" t="n">
        <v>0.4</v>
      </c>
      <c r="I10" s="4" t="n">
        <v>0.666667</v>
      </c>
      <c r="J10" s="4" t="n">
        <v>1</v>
      </c>
      <c r="N10" s="4" t="n">
        <v>31.74</v>
      </c>
    </row>
    <row r="11" customFormat="false" ht="15" hidden="false" customHeight="false" outlineLevel="0" collapsed="false">
      <c r="A11" s="4" t="s">
        <v>1916</v>
      </c>
      <c r="B11" s="4" t="s">
        <v>1915</v>
      </c>
      <c r="C11" s="4" t="s">
        <v>84</v>
      </c>
      <c r="D11" s="4" t="s">
        <v>1905</v>
      </c>
      <c r="E11" s="4" t="n">
        <v>5</v>
      </c>
      <c r="F11" s="4" t="n">
        <v>0.066667</v>
      </c>
      <c r="G11" s="4" t="n">
        <v>0.2</v>
      </c>
      <c r="H11" s="4" t="n">
        <v>0.4</v>
      </c>
      <c r="I11" s="4" t="n">
        <v>0.666667</v>
      </c>
      <c r="J11" s="4" t="n">
        <v>1</v>
      </c>
      <c r="N11" s="4" t="n">
        <v>34.67</v>
      </c>
    </row>
    <row r="12" customFormat="false" ht="15" hidden="false" customHeight="false" outlineLevel="0" collapsed="false">
      <c r="A12" s="4" t="s">
        <v>1917</v>
      </c>
      <c r="B12" s="4" t="s">
        <v>1915</v>
      </c>
      <c r="C12" s="4" t="s">
        <v>85</v>
      </c>
      <c r="D12" s="4" t="s">
        <v>1907</v>
      </c>
      <c r="E12" s="4" t="n">
        <v>6</v>
      </c>
      <c r="F12" s="4" t="n">
        <v>0.047619</v>
      </c>
      <c r="G12" s="4" t="n">
        <v>0.142857</v>
      </c>
      <c r="H12" s="4" t="n">
        <v>0.285714</v>
      </c>
      <c r="I12" s="4" t="n">
        <v>0.47619</v>
      </c>
      <c r="J12" s="4" t="n">
        <v>0.714286</v>
      </c>
      <c r="K12" s="4" t="n">
        <v>1</v>
      </c>
      <c r="N12" s="4" t="n">
        <v>30.78</v>
      </c>
    </row>
    <row r="13" customFormat="false" ht="15" hidden="false" customHeight="false" outlineLevel="0" collapsed="false">
      <c r="A13" s="4" t="s">
        <v>1918</v>
      </c>
      <c r="B13" s="4" t="s">
        <v>1915</v>
      </c>
      <c r="C13" s="4" t="s">
        <v>86</v>
      </c>
      <c r="D13" s="4" t="s">
        <v>1919</v>
      </c>
      <c r="E13" s="4" t="n">
        <v>8</v>
      </c>
      <c r="F13" s="4" t="n">
        <v>0.027778</v>
      </c>
      <c r="G13" s="4" t="n">
        <v>0.083333</v>
      </c>
      <c r="H13" s="4" t="n">
        <v>0.166667</v>
      </c>
      <c r="I13" s="4" t="n">
        <v>0.277778</v>
      </c>
      <c r="J13" s="4" t="n">
        <v>0.416667</v>
      </c>
      <c r="K13" s="4" t="n">
        <v>0.583333</v>
      </c>
      <c r="L13" s="4" t="n">
        <v>0.777778</v>
      </c>
      <c r="M13" s="4" t="n">
        <v>1</v>
      </c>
      <c r="N13" s="4" t="n">
        <v>45.12</v>
      </c>
    </row>
    <row r="14" customFormat="false" ht="15" hidden="false" customHeight="false" outlineLevel="0" collapsed="false">
      <c r="A14" s="4" t="s">
        <v>1920</v>
      </c>
      <c r="B14" s="4" t="s">
        <v>1915</v>
      </c>
      <c r="C14" s="4" t="s">
        <v>87</v>
      </c>
      <c r="D14" s="4" t="s">
        <v>1911</v>
      </c>
      <c r="E14" s="4" t="n">
        <v>5</v>
      </c>
      <c r="F14" s="4" t="n">
        <v>0.066667</v>
      </c>
      <c r="G14" s="4" t="n">
        <v>0.2</v>
      </c>
      <c r="H14" s="4" t="n">
        <v>0.4</v>
      </c>
      <c r="I14" s="4" t="n">
        <v>0.666667</v>
      </c>
      <c r="J14" s="4" t="n">
        <v>1</v>
      </c>
    </row>
    <row r="15" customFormat="false" ht="15" hidden="false" customHeight="false" outlineLevel="0" collapsed="false">
      <c r="A15" s="4" t="s">
        <v>1921</v>
      </c>
      <c r="B15" s="4" t="s">
        <v>1915</v>
      </c>
      <c r="C15" s="4" t="s">
        <v>88</v>
      </c>
      <c r="D15" s="4" t="s">
        <v>1913</v>
      </c>
      <c r="E15" s="4" t="n">
        <v>5</v>
      </c>
      <c r="F15" s="4" t="n">
        <v>0.066667</v>
      </c>
      <c r="G15" s="4" t="n">
        <v>0.2</v>
      </c>
      <c r="H15" s="4" t="n">
        <v>0.4</v>
      </c>
      <c r="I15" s="4" t="n">
        <v>0.666667</v>
      </c>
      <c r="J15" s="4" t="n">
        <v>1</v>
      </c>
    </row>
    <row r="16" customFormat="false" ht="15" hidden="false" customHeight="false" outlineLevel="0" collapsed="false">
      <c r="A16" s="4" t="s">
        <v>1922</v>
      </c>
      <c r="B16" s="4" t="s">
        <v>1923</v>
      </c>
      <c r="C16" s="4" t="s">
        <v>83</v>
      </c>
      <c r="D16" s="4" t="s">
        <v>1924</v>
      </c>
      <c r="E16" s="4" t="n">
        <v>7</v>
      </c>
      <c r="F16" s="4" t="n">
        <v>0.035714</v>
      </c>
      <c r="G16" s="4" t="n">
        <v>0.107143</v>
      </c>
      <c r="H16" s="4" t="n">
        <v>0.214286</v>
      </c>
      <c r="I16" s="4" t="n">
        <v>0.357143</v>
      </c>
      <c r="J16" s="4" t="n">
        <v>0.535714</v>
      </c>
      <c r="K16" s="4" t="n">
        <v>0.75</v>
      </c>
      <c r="L16" s="4" t="n">
        <v>1</v>
      </c>
      <c r="N16" s="4" t="n">
        <v>31.74</v>
      </c>
    </row>
    <row r="17" customFormat="false" ht="15" hidden="false" customHeight="false" outlineLevel="0" collapsed="false">
      <c r="A17" s="4" t="s">
        <v>1925</v>
      </c>
      <c r="B17" s="4" t="s">
        <v>1923</v>
      </c>
      <c r="C17" s="4" t="s">
        <v>84</v>
      </c>
      <c r="D17" s="4" t="s">
        <v>1905</v>
      </c>
      <c r="E17" s="4" t="n">
        <v>5</v>
      </c>
      <c r="F17" s="4" t="n">
        <v>0.066667</v>
      </c>
      <c r="G17" s="4" t="n">
        <v>0.2</v>
      </c>
      <c r="H17" s="4" t="n">
        <v>0.4</v>
      </c>
      <c r="I17" s="4" t="n">
        <v>0.666667</v>
      </c>
      <c r="J17" s="4" t="n">
        <v>1</v>
      </c>
      <c r="N17" s="4" t="n">
        <v>34.67</v>
      </c>
    </row>
    <row r="18" customFormat="false" ht="15" hidden="false" customHeight="false" outlineLevel="0" collapsed="false">
      <c r="A18" s="4" t="s">
        <v>1926</v>
      </c>
      <c r="B18" s="4" t="s">
        <v>1923</v>
      </c>
      <c r="C18" s="4" t="s">
        <v>85</v>
      </c>
      <c r="D18" s="4" t="s">
        <v>1907</v>
      </c>
      <c r="E18" s="4" t="n">
        <v>6</v>
      </c>
      <c r="F18" s="4" t="n">
        <v>0.047619</v>
      </c>
      <c r="G18" s="4" t="n">
        <v>0.142857</v>
      </c>
      <c r="H18" s="4" t="n">
        <v>0.285714</v>
      </c>
      <c r="I18" s="4" t="n">
        <v>0.47619</v>
      </c>
      <c r="J18" s="4" t="n">
        <v>0.714286</v>
      </c>
      <c r="K18" s="4" t="n">
        <v>1</v>
      </c>
      <c r="N18" s="4" t="n">
        <v>30.78</v>
      </c>
    </row>
    <row r="19" customFormat="false" ht="15" hidden="false" customHeight="false" outlineLevel="0" collapsed="false">
      <c r="A19" s="4" t="s">
        <v>1927</v>
      </c>
      <c r="B19" s="4" t="s">
        <v>1923</v>
      </c>
      <c r="C19" s="4" t="s">
        <v>86</v>
      </c>
      <c r="D19" s="4" t="s">
        <v>1919</v>
      </c>
      <c r="E19" s="4" t="n">
        <v>8</v>
      </c>
      <c r="F19" s="4" t="n">
        <v>0.027778</v>
      </c>
      <c r="G19" s="4" t="n">
        <v>0.083333</v>
      </c>
      <c r="H19" s="4" t="n">
        <v>0.166667</v>
      </c>
      <c r="I19" s="4" t="n">
        <v>0.277778</v>
      </c>
      <c r="J19" s="4" t="n">
        <v>0.416667</v>
      </c>
      <c r="K19" s="4" t="n">
        <v>0.583333</v>
      </c>
      <c r="L19" s="4" t="n">
        <v>0.777778</v>
      </c>
      <c r="M19" s="4" t="n">
        <v>1</v>
      </c>
      <c r="N19" s="4" t="n">
        <v>45.12</v>
      </c>
    </row>
    <row r="20" customFormat="false" ht="15" hidden="false" customHeight="false" outlineLevel="0" collapsed="false">
      <c r="A20" s="4" t="s">
        <v>1928</v>
      </c>
      <c r="B20" s="4" t="s">
        <v>1923</v>
      </c>
      <c r="C20" s="4" t="s">
        <v>87</v>
      </c>
      <c r="D20" s="4" t="s">
        <v>1911</v>
      </c>
      <c r="E20" s="4" t="n">
        <v>5</v>
      </c>
      <c r="F20" s="4" t="n">
        <v>0.066667</v>
      </c>
      <c r="G20" s="4" t="n">
        <v>0.2</v>
      </c>
      <c r="H20" s="4" t="n">
        <v>0.4</v>
      </c>
      <c r="I20" s="4" t="n">
        <v>0.666667</v>
      </c>
      <c r="J20" s="4" t="n">
        <v>1</v>
      </c>
    </row>
    <row r="21" customFormat="false" ht="15" hidden="false" customHeight="false" outlineLevel="0" collapsed="false">
      <c r="A21" s="4" t="s">
        <v>1929</v>
      </c>
      <c r="B21" s="4" t="s">
        <v>1923</v>
      </c>
      <c r="C21" s="4" t="s">
        <v>88</v>
      </c>
      <c r="D21" s="4" t="s">
        <v>1913</v>
      </c>
      <c r="E21" s="4" t="n">
        <v>5</v>
      </c>
      <c r="F21" s="4" t="n">
        <v>0.066667</v>
      </c>
      <c r="G21" s="4" t="n">
        <v>0.2</v>
      </c>
      <c r="H21" s="4" t="n">
        <v>0.4</v>
      </c>
      <c r="I21" s="4" t="n">
        <v>0.666667</v>
      </c>
      <c r="J21" s="4" t="n">
        <v>1</v>
      </c>
    </row>
    <row r="22" customFormat="false" ht="15" hidden="false" customHeight="false" outlineLevel="0" collapsed="false">
      <c r="A22" s="4" t="s">
        <v>1930</v>
      </c>
      <c r="B22" s="4" t="s">
        <v>1931</v>
      </c>
      <c r="C22" s="4" t="s">
        <v>85</v>
      </c>
      <c r="D22" s="4" t="s">
        <v>1907</v>
      </c>
      <c r="E22" s="4" t="n">
        <v>6</v>
      </c>
      <c r="F22" s="4" t="n">
        <v>0.047619</v>
      </c>
      <c r="G22" s="4" t="n">
        <v>0.142857</v>
      </c>
      <c r="H22" s="4" t="n">
        <v>0.285714</v>
      </c>
      <c r="I22" s="4" t="n">
        <v>0.47619</v>
      </c>
      <c r="J22" s="4" t="n">
        <v>0.714286</v>
      </c>
      <c r="K22" s="4" t="n">
        <v>1</v>
      </c>
    </row>
    <row r="23" customFormat="false" ht="15" hidden="false" customHeight="false" outlineLevel="0" collapsed="false">
      <c r="A23" s="4" t="s">
        <v>1932</v>
      </c>
      <c r="B23" s="4" t="s">
        <v>1931</v>
      </c>
      <c r="C23" s="4" t="s">
        <v>86</v>
      </c>
      <c r="D23" s="4" t="s">
        <v>1909</v>
      </c>
      <c r="E23" s="4" t="n">
        <v>6</v>
      </c>
      <c r="F23" s="4" t="n">
        <v>0.047619</v>
      </c>
      <c r="G23" s="4" t="n">
        <v>0.142857</v>
      </c>
      <c r="H23" s="4" t="n">
        <v>0.285714</v>
      </c>
      <c r="I23" s="4" t="n">
        <v>0.47619</v>
      </c>
      <c r="J23" s="4" t="n">
        <v>0.714286</v>
      </c>
      <c r="K23" s="4" t="n">
        <v>1</v>
      </c>
    </row>
    <row r="24" customFormat="false" ht="15" hidden="false" customHeight="false" outlineLevel="0" collapsed="false">
      <c r="A24" s="4" t="s">
        <v>1933</v>
      </c>
      <c r="B24" s="4" t="s">
        <v>1931</v>
      </c>
      <c r="C24" s="4" t="s">
        <v>87</v>
      </c>
      <c r="D24" s="4" t="s">
        <v>1911</v>
      </c>
      <c r="E24" s="4" t="n">
        <v>5</v>
      </c>
      <c r="F24" s="4" t="n">
        <v>0.066667</v>
      </c>
      <c r="G24" s="4" t="n">
        <v>0.2</v>
      </c>
      <c r="H24" s="4" t="n">
        <v>0.4</v>
      </c>
      <c r="I24" s="4" t="n">
        <v>0.666667</v>
      </c>
      <c r="J24" s="4" t="n">
        <v>1</v>
      </c>
    </row>
    <row r="25" customFormat="false" ht="15" hidden="false" customHeight="false" outlineLevel="0" collapsed="false">
      <c r="A25" s="4" t="s">
        <v>1934</v>
      </c>
      <c r="B25" s="4" t="s">
        <v>1931</v>
      </c>
      <c r="C25" s="4" t="s">
        <v>88</v>
      </c>
      <c r="D25" s="4" t="s">
        <v>1913</v>
      </c>
      <c r="E25" s="4" t="n">
        <v>5</v>
      </c>
      <c r="F25" s="4" t="n">
        <v>0.066667</v>
      </c>
      <c r="G25" s="4" t="n">
        <v>0.2</v>
      </c>
      <c r="H25" s="4" t="n">
        <v>0.4</v>
      </c>
      <c r="I25" s="4" t="n">
        <v>0.666667</v>
      </c>
      <c r="J25" s="4" t="n">
        <v>1</v>
      </c>
    </row>
    <row r="26" customFormat="false" ht="15" hidden="false" customHeight="false" outlineLevel="0" collapsed="false">
      <c r="A26" s="4" t="s">
        <v>1935</v>
      </c>
      <c r="B26" s="4" t="s">
        <v>1936</v>
      </c>
      <c r="C26" s="4" t="s">
        <v>83</v>
      </c>
      <c r="D26" s="4" t="s">
        <v>1903</v>
      </c>
      <c r="E26" s="4" t="n">
        <v>5</v>
      </c>
      <c r="F26" s="4" t="n">
        <v>0.066667</v>
      </c>
      <c r="G26" s="4" t="n">
        <v>0.2</v>
      </c>
      <c r="H26" s="4" t="n">
        <v>0.4</v>
      </c>
      <c r="I26" s="4" t="n">
        <v>0.666667</v>
      </c>
      <c r="J26" s="4" t="n">
        <v>1</v>
      </c>
    </row>
    <row r="27" customFormat="false" ht="15" hidden="false" customHeight="false" outlineLevel="0" collapsed="false">
      <c r="A27" s="4" t="s">
        <v>1937</v>
      </c>
      <c r="B27" s="4" t="s">
        <v>1936</v>
      </c>
      <c r="C27" s="4" t="s">
        <v>84</v>
      </c>
      <c r="D27" s="4" t="s">
        <v>1905</v>
      </c>
      <c r="E27" s="4" t="n">
        <v>5</v>
      </c>
      <c r="F27" s="4" t="n">
        <v>0.066667</v>
      </c>
      <c r="G27" s="4" t="n">
        <v>0.2</v>
      </c>
      <c r="H27" s="4" t="n">
        <v>0.4</v>
      </c>
      <c r="I27" s="4" t="n">
        <v>0.666667</v>
      </c>
      <c r="J27" s="4" t="n">
        <v>1</v>
      </c>
    </row>
    <row r="28" customFormat="false" ht="15" hidden="false" customHeight="false" outlineLevel="0" collapsed="false">
      <c r="A28" s="4" t="s">
        <v>1938</v>
      </c>
      <c r="B28" s="4" t="s">
        <v>1936</v>
      </c>
      <c r="C28" s="4" t="s">
        <v>85</v>
      </c>
      <c r="D28" s="4" t="s">
        <v>1907</v>
      </c>
      <c r="E28" s="4" t="n">
        <v>6</v>
      </c>
      <c r="F28" s="4" t="n">
        <v>0.047619</v>
      </c>
      <c r="G28" s="4" t="n">
        <v>0.142857</v>
      </c>
      <c r="H28" s="4" t="n">
        <v>0.285714</v>
      </c>
      <c r="I28" s="4" t="n">
        <v>0.47619</v>
      </c>
      <c r="J28" s="4" t="n">
        <v>0.714286</v>
      </c>
      <c r="K28" s="4" t="n">
        <v>1</v>
      </c>
    </row>
    <row r="29" customFormat="false" ht="15" hidden="false" customHeight="false" outlineLevel="0" collapsed="false">
      <c r="A29" s="4" t="s">
        <v>1939</v>
      </c>
      <c r="B29" s="4" t="s">
        <v>1936</v>
      </c>
      <c r="C29" s="4" t="s">
        <v>86</v>
      </c>
      <c r="D29" s="4" t="s">
        <v>1909</v>
      </c>
      <c r="E29" s="4" t="n">
        <v>6</v>
      </c>
      <c r="F29" s="4" t="n">
        <v>0.047619</v>
      </c>
      <c r="G29" s="4" t="n">
        <v>0.142857</v>
      </c>
      <c r="H29" s="4" t="n">
        <v>0.285714</v>
      </c>
      <c r="I29" s="4" t="n">
        <v>0.47619</v>
      </c>
      <c r="J29" s="4" t="n">
        <v>0.714286</v>
      </c>
      <c r="K29" s="4" t="n">
        <v>1</v>
      </c>
    </row>
    <row r="30" customFormat="false" ht="15" hidden="false" customHeight="false" outlineLevel="0" collapsed="false">
      <c r="A30" s="4" t="s">
        <v>1940</v>
      </c>
      <c r="B30" s="4" t="s">
        <v>1936</v>
      </c>
      <c r="C30" s="4" t="s">
        <v>87</v>
      </c>
      <c r="D30" s="4" t="s">
        <v>1911</v>
      </c>
      <c r="E30" s="4" t="n">
        <v>5</v>
      </c>
      <c r="F30" s="4" t="n">
        <v>0.066667</v>
      </c>
      <c r="G30" s="4" t="n">
        <v>0.2</v>
      </c>
      <c r="H30" s="4" t="n">
        <v>0.4</v>
      </c>
      <c r="I30" s="4" t="n">
        <v>0.666667</v>
      </c>
      <c r="J30" s="4" t="n">
        <v>1</v>
      </c>
    </row>
    <row r="31" customFormat="false" ht="15" hidden="false" customHeight="false" outlineLevel="0" collapsed="false">
      <c r="A31" s="4" t="s">
        <v>1941</v>
      </c>
      <c r="B31" s="4" t="s">
        <v>1936</v>
      </c>
      <c r="C31" s="4" t="s">
        <v>88</v>
      </c>
      <c r="D31" s="4" t="s">
        <v>1913</v>
      </c>
      <c r="E31" s="4" t="n">
        <v>5</v>
      </c>
      <c r="F31" s="4" t="n">
        <v>0.066667</v>
      </c>
      <c r="G31" s="4" t="n">
        <v>0.2</v>
      </c>
      <c r="H31" s="4" t="n">
        <v>0.4</v>
      </c>
      <c r="I31" s="4" t="n">
        <v>0.666667</v>
      </c>
      <c r="J31" s="4" t="n">
        <v>1</v>
      </c>
    </row>
    <row r="32" customFormat="false" ht="15" hidden="false" customHeight="false" outlineLevel="0" collapsed="false">
      <c r="A32" s="4" t="s">
        <v>1942</v>
      </c>
      <c r="B32" s="4" t="s">
        <v>1943</v>
      </c>
      <c r="C32" s="4" t="s">
        <v>83</v>
      </c>
      <c r="D32" s="4" t="s">
        <v>1924</v>
      </c>
      <c r="E32" s="4" t="n">
        <v>7</v>
      </c>
      <c r="F32" s="4" t="n">
        <v>0.035714</v>
      </c>
      <c r="G32" s="4" t="n">
        <v>0.107143</v>
      </c>
      <c r="H32" s="4" t="n">
        <v>0.214286</v>
      </c>
      <c r="I32" s="4" t="n">
        <v>0.357143</v>
      </c>
      <c r="J32" s="4" t="n">
        <v>0.535714</v>
      </c>
      <c r="K32" s="4" t="n">
        <v>0.75</v>
      </c>
      <c r="L32" s="4" t="n">
        <v>1</v>
      </c>
      <c r="N32" s="4" t="n">
        <v>31.74</v>
      </c>
    </row>
    <row r="33" customFormat="false" ht="15" hidden="false" customHeight="false" outlineLevel="0" collapsed="false">
      <c r="A33" s="4" t="s">
        <v>1944</v>
      </c>
      <c r="B33" s="4" t="s">
        <v>1943</v>
      </c>
      <c r="C33" s="4" t="s">
        <v>84</v>
      </c>
      <c r="D33" s="4" t="s">
        <v>1945</v>
      </c>
      <c r="E33" s="4" t="n">
        <v>7</v>
      </c>
      <c r="F33" s="4" t="n">
        <v>0.035714</v>
      </c>
      <c r="G33" s="4" t="n">
        <v>0.107143</v>
      </c>
      <c r="H33" s="4" t="n">
        <v>0.214286</v>
      </c>
      <c r="I33" s="4" t="n">
        <v>0.357143</v>
      </c>
      <c r="J33" s="4" t="n">
        <v>0.535714</v>
      </c>
      <c r="K33" s="4" t="n">
        <v>0.75</v>
      </c>
      <c r="L33" s="4" t="n">
        <v>1</v>
      </c>
      <c r="N33" s="4" t="n">
        <v>34.67</v>
      </c>
    </row>
    <row r="34" customFormat="false" ht="15" hidden="false" customHeight="false" outlineLevel="0" collapsed="false">
      <c r="A34" s="4" t="s">
        <v>1946</v>
      </c>
      <c r="B34" s="4" t="s">
        <v>1943</v>
      </c>
      <c r="C34" s="4" t="s">
        <v>85</v>
      </c>
      <c r="D34" s="4" t="s">
        <v>1947</v>
      </c>
      <c r="E34" s="4" t="n">
        <v>8</v>
      </c>
      <c r="F34" s="4" t="n">
        <v>0.027778</v>
      </c>
      <c r="G34" s="4" t="n">
        <v>0.083333</v>
      </c>
      <c r="H34" s="4" t="n">
        <v>0.166667</v>
      </c>
      <c r="I34" s="4" t="n">
        <v>0.277778</v>
      </c>
      <c r="J34" s="4" t="n">
        <v>0.416667</v>
      </c>
      <c r="K34" s="4" t="n">
        <v>0.583333</v>
      </c>
      <c r="L34" s="4" t="n">
        <v>0.777778</v>
      </c>
      <c r="M34" s="4" t="n">
        <v>1</v>
      </c>
      <c r="N34" s="4" t="n">
        <v>30.78</v>
      </c>
    </row>
    <row r="35" customFormat="false" ht="15" hidden="false" customHeight="false" outlineLevel="0" collapsed="false">
      <c r="A35" s="4" t="s">
        <v>1948</v>
      </c>
      <c r="B35" s="4" t="s">
        <v>1943</v>
      </c>
      <c r="C35" s="4" t="s">
        <v>86</v>
      </c>
      <c r="D35" s="4" t="s">
        <v>1919</v>
      </c>
      <c r="E35" s="4" t="n">
        <v>8</v>
      </c>
      <c r="F35" s="4" t="n">
        <v>0.027778</v>
      </c>
      <c r="G35" s="4" t="n">
        <v>0.083333</v>
      </c>
      <c r="H35" s="4" t="n">
        <v>0.166667</v>
      </c>
      <c r="I35" s="4" t="n">
        <v>0.277778</v>
      </c>
      <c r="J35" s="4" t="n">
        <v>0.416667</v>
      </c>
      <c r="K35" s="4" t="n">
        <v>0.583333</v>
      </c>
      <c r="L35" s="4" t="n">
        <v>0.777778</v>
      </c>
      <c r="M35" s="4" t="n">
        <v>1</v>
      </c>
      <c r="N35" s="4" t="n">
        <v>45.12</v>
      </c>
    </row>
    <row r="36" customFormat="false" ht="15" hidden="false" customHeight="false" outlineLevel="0" collapsed="false">
      <c r="A36" s="4" t="s">
        <v>1949</v>
      </c>
      <c r="B36" s="4" t="s">
        <v>1943</v>
      </c>
      <c r="C36" s="4" t="s">
        <v>87</v>
      </c>
      <c r="D36" s="4" t="s">
        <v>1911</v>
      </c>
      <c r="E36" s="4" t="n">
        <v>5</v>
      </c>
      <c r="F36" s="4" t="n">
        <v>0.066667</v>
      </c>
      <c r="G36" s="4" t="n">
        <v>0.2</v>
      </c>
      <c r="H36" s="4" t="n">
        <v>0.4</v>
      </c>
      <c r="I36" s="4" t="n">
        <v>0.666667</v>
      </c>
      <c r="J36" s="4" t="n">
        <v>1</v>
      </c>
    </row>
    <row r="37" customFormat="false" ht="15" hidden="false" customHeight="false" outlineLevel="0" collapsed="false">
      <c r="A37" s="4" t="s">
        <v>1950</v>
      </c>
      <c r="B37" s="4" t="s">
        <v>1943</v>
      </c>
      <c r="C37" s="4" t="s">
        <v>88</v>
      </c>
      <c r="D37" s="4" t="s">
        <v>1913</v>
      </c>
      <c r="E37" s="4" t="n">
        <v>5</v>
      </c>
      <c r="F37" s="4" t="n">
        <v>0.066667</v>
      </c>
      <c r="G37" s="4" t="n">
        <v>0.2</v>
      </c>
      <c r="H37" s="4" t="n">
        <v>0.4</v>
      </c>
      <c r="I37" s="4" t="n">
        <v>0.666667</v>
      </c>
      <c r="J37" s="4" t="n">
        <v>1</v>
      </c>
    </row>
    <row r="38" customFormat="false" ht="15" hidden="false" customHeight="false" outlineLevel="0" collapsed="false">
      <c r="A38" s="4" t="s">
        <v>1951</v>
      </c>
      <c r="B38" s="4" t="s">
        <v>1952</v>
      </c>
      <c r="C38" s="4" t="s">
        <v>89</v>
      </c>
      <c r="D38" s="4" t="s">
        <v>1953</v>
      </c>
      <c r="E38" s="4" t="n">
        <v>6</v>
      </c>
      <c r="F38" s="4" t="n">
        <v>0.047619</v>
      </c>
      <c r="G38" s="4" t="n">
        <v>0.142857</v>
      </c>
      <c r="H38" s="4" t="n">
        <v>0.285714</v>
      </c>
      <c r="I38" s="4" t="n">
        <v>0.47619</v>
      </c>
      <c r="J38" s="4" t="n">
        <v>0.714286</v>
      </c>
      <c r="K38" s="4" t="n">
        <v>1</v>
      </c>
    </row>
    <row r="39" customFormat="false" ht="15" hidden="false" customHeight="false" outlineLevel="0" collapsed="false">
      <c r="A39" s="4" t="s">
        <v>1954</v>
      </c>
      <c r="B39" s="4" t="s">
        <v>1952</v>
      </c>
      <c r="C39" s="4" t="s">
        <v>90</v>
      </c>
      <c r="D39" s="4" t="s">
        <v>1955</v>
      </c>
      <c r="E39" s="4" t="n">
        <v>5</v>
      </c>
      <c r="F39" s="4" t="n">
        <v>0.066667</v>
      </c>
      <c r="G39" s="4" t="n">
        <v>0.2</v>
      </c>
      <c r="H39" s="4" t="n">
        <v>0.4</v>
      </c>
      <c r="I39" s="4" t="n">
        <v>0.666667</v>
      </c>
      <c r="J39" s="4" t="n">
        <v>1</v>
      </c>
    </row>
    <row r="40" customFormat="false" ht="15" hidden="false" customHeight="false" outlineLevel="0" collapsed="false">
      <c r="A40" s="4" t="s">
        <v>1956</v>
      </c>
      <c r="B40" s="4" t="s">
        <v>1952</v>
      </c>
      <c r="C40" s="4" t="s">
        <v>91</v>
      </c>
      <c r="D40" s="4" t="s">
        <v>1957</v>
      </c>
      <c r="E40" s="4" t="n">
        <v>5</v>
      </c>
      <c r="F40" s="4" t="n">
        <v>0.066667</v>
      </c>
      <c r="G40" s="4" t="n">
        <v>0.2</v>
      </c>
      <c r="H40" s="4" t="n">
        <v>0.4</v>
      </c>
      <c r="I40" s="4" t="n">
        <v>0.666667</v>
      </c>
      <c r="J40" s="4" t="n">
        <v>1</v>
      </c>
    </row>
    <row r="41" customFormat="false" ht="15" hidden="false" customHeight="false" outlineLevel="0" collapsed="false">
      <c r="A41" s="4" t="s">
        <v>1958</v>
      </c>
      <c r="B41" s="4" t="s">
        <v>1952</v>
      </c>
      <c r="C41" s="4" t="s">
        <v>92</v>
      </c>
      <c r="D41" s="4" t="s">
        <v>1959</v>
      </c>
      <c r="E41" s="4" t="n">
        <v>6</v>
      </c>
      <c r="F41" s="4" t="n">
        <v>0.047619</v>
      </c>
      <c r="G41" s="4" t="n">
        <v>0.142857</v>
      </c>
      <c r="H41" s="4" t="n">
        <v>0.285714</v>
      </c>
      <c r="I41" s="4" t="n">
        <v>0.47619</v>
      </c>
      <c r="J41" s="4" t="n">
        <v>0.714286</v>
      </c>
      <c r="K41" s="4" t="n">
        <v>1</v>
      </c>
    </row>
    <row r="42" customFormat="false" ht="15" hidden="false" customHeight="false" outlineLevel="0" collapsed="false">
      <c r="A42" s="4" t="s">
        <v>1960</v>
      </c>
      <c r="B42" s="4" t="s">
        <v>1952</v>
      </c>
      <c r="C42" s="4" t="s">
        <v>93</v>
      </c>
      <c r="D42" s="4" t="s">
        <v>1961</v>
      </c>
      <c r="E42" s="4" t="n">
        <v>4</v>
      </c>
      <c r="F42" s="4" t="n">
        <v>0.1</v>
      </c>
      <c r="G42" s="4" t="n">
        <v>0.3</v>
      </c>
      <c r="H42" s="4" t="n">
        <v>0.6</v>
      </c>
      <c r="I42" s="4" t="n">
        <v>1</v>
      </c>
    </row>
    <row r="43" customFormat="false" ht="15" hidden="false" customHeight="false" outlineLevel="0" collapsed="false">
      <c r="A43" s="4" t="s">
        <v>1962</v>
      </c>
      <c r="B43" s="4" t="s">
        <v>1952</v>
      </c>
      <c r="C43" s="4" t="s">
        <v>94</v>
      </c>
      <c r="D43" s="4" t="s">
        <v>1963</v>
      </c>
      <c r="E43" s="4" t="n">
        <v>5</v>
      </c>
      <c r="F43" s="4" t="n">
        <v>0.066667</v>
      </c>
      <c r="G43" s="4" t="n">
        <v>0.2</v>
      </c>
      <c r="H43" s="4" t="n">
        <v>0.4</v>
      </c>
      <c r="I43" s="4" t="n">
        <v>0.666667</v>
      </c>
      <c r="J43" s="4" t="n">
        <v>1</v>
      </c>
    </row>
    <row r="44" customFormat="false" ht="15" hidden="false" customHeight="false" outlineLevel="0" collapsed="false">
      <c r="A44" s="4" t="s">
        <v>1964</v>
      </c>
      <c r="B44" s="4" t="s">
        <v>1965</v>
      </c>
      <c r="C44" s="4" t="s">
        <v>89</v>
      </c>
      <c r="D44" s="4" t="s">
        <v>1953</v>
      </c>
      <c r="E44" s="4" t="n">
        <v>6</v>
      </c>
      <c r="F44" s="4" t="n">
        <v>0.047619</v>
      </c>
      <c r="G44" s="4" t="n">
        <v>0.142857</v>
      </c>
      <c r="H44" s="4" t="n">
        <v>0.285714</v>
      </c>
      <c r="I44" s="4" t="n">
        <v>0.47619</v>
      </c>
      <c r="J44" s="4" t="n">
        <v>0.714286</v>
      </c>
      <c r="K44" s="4" t="n">
        <v>1</v>
      </c>
      <c r="N44" s="4" t="n">
        <v>30.59</v>
      </c>
    </row>
    <row r="45" customFormat="false" ht="15" hidden="false" customHeight="false" outlineLevel="0" collapsed="false">
      <c r="A45" s="4" t="s">
        <v>1966</v>
      </c>
      <c r="B45" s="4" t="s">
        <v>1965</v>
      </c>
      <c r="C45" s="4" t="s">
        <v>90</v>
      </c>
      <c r="D45" s="4" t="s">
        <v>1955</v>
      </c>
      <c r="E45" s="4" t="n">
        <v>5</v>
      </c>
      <c r="F45" s="4" t="n">
        <v>0.066667</v>
      </c>
      <c r="G45" s="4" t="n">
        <v>0.2</v>
      </c>
      <c r="H45" s="4" t="n">
        <v>0.4</v>
      </c>
      <c r="I45" s="4" t="n">
        <v>0.666667</v>
      </c>
      <c r="J45" s="4" t="n">
        <v>1</v>
      </c>
    </row>
    <row r="46" customFormat="false" ht="15" hidden="false" customHeight="false" outlineLevel="0" collapsed="false">
      <c r="A46" s="4" t="s">
        <v>1967</v>
      </c>
      <c r="B46" s="4" t="s">
        <v>1965</v>
      </c>
      <c r="C46" s="4" t="s">
        <v>91</v>
      </c>
      <c r="D46" s="4" t="s">
        <v>1957</v>
      </c>
      <c r="E46" s="4" t="n">
        <v>5</v>
      </c>
      <c r="F46" s="4" t="n">
        <v>0.066667</v>
      </c>
      <c r="G46" s="4" t="n">
        <v>0.2</v>
      </c>
      <c r="H46" s="4" t="n">
        <v>0.4</v>
      </c>
      <c r="I46" s="4" t="n">
        <v>0.666667</v>
      </c>
      <c r="J46" s="4" t="n">
        <v>1</v>
      </c>
    </row>
    <row r="47" customFormat="false" ht="15" hidden="false" customHeight="false" outlineLevel="0" collapsed="false">
      <c r="A47" s="4" t="s">
        <v>1968</v>
      </c>
      <c r="B47" s="4" t="s">
        <v>1965</v>
      </c>
      <c r="C47" s="4" t="s">
        <v>92</v>
      </c>
      <c r="D47" s="4" t="s">
        <v>1959</v>
      </c>
      <c r="E47" s="4" t="n">
        <v>6</v>
      </c>
      <c r="F47" s="4" t="n">
        <v>0.047619</v>
      </c>
      <c r="G47" s="4" t="n">
        <v>0.142857</v>
      </c>
      <c r="H47" s="4" t="n">
        <v>0.285714</v>
      </c>
      <c r="I47" s="4" t="n">
        <v>0.47619</v>
      </c>
      <c r="J47" s="4" t="n">
        <v>0.714286</v>
      </c>
      <c r="K47" s="4" t="n">
        <v>1</v>
      </c>
    </row>
    <row r="48" customFormat="false" ht="15" hidden="false" customHeight="false" outlineLevel="0" collapsed="false">
      <c r="A48" s="4" t="s">
        <v>1969</v>
      </c>
      <c r="B48" s="4" t="s">
        <v>1965</v>
      </c>
      <c r="C48" s="4" t="s">
        <v>93</v>
      </c>
      <c r="D48" s="4" t="s">
        <v>1961</v>
      </c>
      <c r="E48" s="4" t="n">
        <v>4</v>
      </c>
      <c r="F48" s="4" t="n">
        <v>0.1</v>
      </c>
      <c r="G48" s="4" t="n">
        <v>0.3</v>
      </c>
      <c r="H48" s="4" t="n">
        <v>0.6</v>
      </c>
      <c r="I48" s="4" t="n">
        <v>1</v>
      </c>
    </row>
    <row r="49" customFormat="false" ht="15" hidden="false" customHeight="false" outlineLevel="0" collapsed="false">
      <c r="A49" s="4" t="s">
        <v>1970</v>
      </c>
      <c r="B49" s="4" t="s">
        <v>1965</v>
      </c>
      <c r="C49" s="4" t="s">
        <v>94</v>
      </c>
      <c r="D49" s="4" t="s">
        <v>1963</v>
      </c>
      <c r="E49" s="4" t="n">
        <v>5</v>
      </c>
      <c r="F49" s="4" t="n">
        <v>0.066667</v>
      </c>
      <c r="G49" s="4" t="n">
        <v>0.2</v>
      </c>
      <c r="H49" s="4" t="n">
        <v>0.4</v>
      </c>
      <c r="I49" s="4" t="n">
        <v>0.666667</v>
      </c>
      <c r="J49" s="4" t="n">
        <v>1</v>
      </c>
    </row>
    <row r="50" customFormat="false" ht="15" hidden="false" customHeight="false" outlineLevel="0" collapsed="false">
      <c r="A50" s="4" t="s">
        <v>1971</v>
      </c>
      <c r="B50" s="4" t="s">
        <v>1972</v>
      </c>
      <c r="C50" s="4" t="s">
        <v>89</v>
      </c>
      <c r="D50" s="4" t="s">
        <v>1953</v>
      </c>
      <c r="E50" s="4" t="n">
        <v>6</v>
      </c>
      <c r="F50" s="4" t="n">
        <v>0.047619</v>
      </c>
      <c r="G50" s="4" t="n">
        <v>0.142857</v>
      </c>
      <c r="H50" s="4" t="n">
        <v>0.285714</v>
      </c>
      <c r="I50" s="4" t="n">
        <v>0.47619</v>
      </c>
      <c r="J50" s="4" t="n">
        <v>0.714286</v>
      </c>
      <c r="K50" s="4" t="n">
        <v>1</v>
      </c>
      <c r="N50" s="4" t="n">
        <v>30.59</v>
      </c>
    </row>
    <row r="51" customFormat="false" ht="15" hidden="false" customHeight="false" outlineLevel="0" collapsed="false">
      <c r="A51" s="4" t="s">
        <v>1973</v>
      </c>
      <c r="B51" s="4" t="s">
        <v>1972</v>
      </c>
      <c r="C51" s="4" t="s">
        <v>90</v>
      </c>
      <c r="D51" s="4" t="s">
        <v>1974</v>
      </c>
      <c r="E51" s="4" t="n">
        <v>7</v>
      </c>
      <c r="F51" s="4" t="n">
        <v>0.035714</v>
      </c>
      <c r="G51" s="4" t="n">
        <v>0.107143</v>
      </c>
      <c r="H51" s="4" t="n">
        <v>0.214286</v>
      </c>
      <c r="I51" s="4" t="n">
        <v>0.357143</v>
      </c>
      <c r="J51" s="4" t="n">
        <v>0.535714</v>
      </c>
      <c r="K51" s="4" t="n">
        <v>0.75</v>
      </c>
      <c r="L51" s="4" t="n">
        <v>1</v>
      </c>
    </row>
    <row r="52" customFormat="false" ht="15" hidden="false" customHeight="false" outlineLevel="0" collapsed="false">
      <c r="A52" s="4" t="s">
        <v>1975</v>
      </c>
      <c r="B52" s="4" t="s">
        <v>1972</v>
      </c>
      <c r="C52" s="4" t="s">
        <v>91</v>
      </c>
      <c r="D52" s="4" t="s">
        <v>1957</v>
      </c>
      <c r="E52" s="4" t="n">
        <v>5</v>
      </c>
      <c r="F52" s="4" t="n">
        <v>0.066667</v>
      </c>
      <c r="G52" s="4" t="n">
        <v>0.2</v>
      </c>
      <c r="H52" s="4" t="n">
        <v>0.4</v>
      </c>
      <c r="I52" s="4" t="n">
        <v>0.666667</v>
      </c>
      <c r="J52" s="4" t="n">
        <v>1</v>
      </c>
    </row>
    <row r="53" customFormat="false" ht="15" hidden="false" customHeight="false" outlineLevel="0" collapsed="false">
      <c r="A53" s="4" t="s">
        <v>1976</v>
      </c>
      <c r="B53" s="4" t="s">
        <v>1972</v>
      </c>
      <c r="C53" s="4" t="s">
        <v>92</v>
      </c>
      <c r="D53" s="4" t="s">
        <v>1959</v>
      </c>
      <c r="E53" s="4" t="n">
        <v>6</v>
      </c>
      <c r="F53" s="4" t="n">
        <v>0.047619</v>
      </c>
      <c r="G53" s="4" t="n">
        <v>0.142857</v>
      </c>
      <c r="H53" s="4" t="n">
        <v>0.285714</v>
      </c>
      <c r="I53" s="4" t="n">
        <v>0.47619</v>
      </c>
      <c r="J53" s="4" t="n">
        <v>0.714286</v>
      </c>
      <c r="K53" s="4" t="n">
        <v>1</v>
      </c>
    </row>
    <row r="54" customFormat="false" ht="15" hidden="false" customHeight="false" outlineLevel="0" collapsed="false">
      <c r="A54" s="4" t="s">
        <v>1977</v>
      </c>
      <c r="B54" s="4" t="s">
        <v>1972</v>
      </c>
      <c r="C54" s="4" t="s">
        <v>93</v>
      </c>
      <c r="D54" s="4" t="s">
        <v>1961</v>
      </c>
      <c r="E54" s="4" t="n">
        <v>4</v>
      </c>
      <c r="F54" s="4" t="n">
        <v>0.1</v>
      </c>
      <c r="G54" s="4" t="n">
        <v>0.3</v>
      </c>
      <c r="H54" s="4" t="n">
        <v>0.6</v>
      </c>
      <c r="I54" s="4" t="n">
        <v>1</v>
      </c>
    </row>
    <row r="55" customFormat="false" ht="15" hidden="false" customHeight="false" outlineLevel="0" collapsed="false">
      <c r="A55" s="4" t="s">
        <v>1978</v>
      </c>
      <c r="B55" s="4" t="s">
        <v>1972</v>
      </c>
      <c r="C55" s="4" t="s">
        <v>94</v>
      </c>
      <c r="D55" s="4" t="s">
        <v>1963</v>
      </c>
      <c r="E55" s="4" t="n">
        <v>5</v>
      </c>
      <c r="F55" s="4" t="n">
        <v>0.066667</v>
      </c>
      <c r="G55" s="4" t="n">
        <v>0.2</v>
      </c>
      <c r="H55" s="4" t="n">
        <v>0.4</v>
      </c>
      <c r="I55" s="4" t="n">
        <v>0.666667</v>
      </c>
      <c r="J55" s="4" t="n">
        <v>1</v>
      </c>
    </row>
    <row r="56" customFormat="false" ht="15" hidden="false" customHeight="false" outlineLevel="0" collapsed="false">
      <c r="A56" s="4" t="s">
        <v>1979</v>
      </c>
      <c r="B56" s="4" t="s">
        <v>1980</v>
      </c>
      <c r="C56" s="4" t="s">
        <v>91</v>
      </c>
      <c r="D56" s="4" t="s">
        <v>1957</v>
      </c>
      <c r="E56" s="4" t="n">
        <v>5</v>
      </c>
      <c r="F56" s="4" t="n">
        <v>0.066667</v>
      </c>
      <c r="G56" s="4" t="n">
        <v>0.2</v>
      </c>
      <c r="H56" s="4" t="n">
        <v>0.4</v>
      </c>
      <c r="I56" s="4" t="n">
        <v>0.666667</v>
      </c>
      <c r="J56" s="4" t="n">
        <v>1</v>
      </c>
    </row>
    <row r="57" customFormat="false" ht="15" hidden="false" customHeight="false" outlineLevel="0" collapsed="false">
      <c r="A57" s="4" t="s">
        <v>1981</v>
      </c>
      <c r="B57" s="4" t="s">
        <v>1980</v>
      </c>
      <c r="C57" s="4" t="s">
        <v>92</v>
      </c>
      <c r="D57" s="4" t="s">
        <v>1959</v>
      </c>
      <c r="E57" s="4" t="n">
        <v>6</v>
      </c>
      <c r="F57" s="4" t="n">
        <v>0.047619</v>
      </c>
      <c r="G57" s="4" t="n">
        <v>0.142857</v>
      </c>
      <c r="H57" s="4" t="n">
        <v>0.285714</v>
      </c>
      <c r="I57" s="4" t="n">
        <v>0.47619</v>
      </c>
      <c r="J57" s="4" t="n">
        <v>0.714286</v>
      </c>
      <c r="K57" s="4" t="n">
        <v>1</v>
      </c>
    </row>
    <row r="58" customFormat="false" ht="15" hidden="false" customHeight="false" outlineLevel="0" collapsed="false">
      <c r="A58" s="4" t="s">
        <v>1982</v>
      </c>
      <c r="B58" s="4" t="s">
        <v>1983</v>
      </c>
      <c r="C58" s="4" t="s">
        <v>89</v>
      </c>
      <c r="D58" s="4" t="s">
        <v>1953</v>
      </c>
      <c r="E58" s="4" t="n">
        <v>6</v>
      </c>
      <c r="F58" s="4" t="n">
        <v>0.047619</v>
      </c>
      <c r="G58" s="4" t="n">
        <v>0.142857</v>
      </c>
      <c r="H58" s="4" t="n">
        <v>0.285714</v>
      </c>
      <c r="I58" s="4" t="n">
        <v>0.47619</v>
      </c>
      <c r="J58" s="4" t="n">
        <v>0.714286</v>
      </c>
      <c r="K58" s="4" t="n">
        <v>1</v>
      </c>
    </row>
    <row r="59" customFormat="false" ht="15" hidden="false" customHeight="false" outlineLevel="0" collapsed="false">
      <c r="A59" s="4" t="s">
        <v>1984</v>
      </c>
      <c r="B59" s="4" t="s">
        <v>1983</v>
      </c>
      <c r="C59" s="4" t="s">
        <v>90</v>
      </c>
      <c r="D59" s="4" t="s">
        <v>1955</v>
      </c>
      <c r="E59" s="4" t="n">
        <v>5</v>
      </c>
      <c r="F59" s="4" t="n">
        <v>0.066667</v>
      </c>
      <c r="G59" s="4" t="n">
        <v>0.2</v>
      </c>
      <c r="H59" s="4" t="n">
        <v>0.4</v>
      </c>
      <c r="I59" s="4" t="n">
        <v>0.666667</v>
      </c>
      <c r="J59" s="4" t="n">
        <v>1</v>
      </c>
    </row>
    <row r="60" customFormat="false" ht="15" hidden="false" customHeight="false" outlineLevel="0" collapsed="false">
      <c r="A60" s="4" t="s">
        <v>1985</v>
      </c>
      <c r="B60" s="4" t="s">
        <v>1983</v>
      </c>
      <c r="C60" s="4" t="s">
        <v>91</v>
      </c>
      <c r="D60" s="4" t="s">
        <v>1957</v>
      </c>
      <c r="E60" s="4" t="n">
        <v>5</v>
      </c>
      <c r="F60" s="4" t="n">
        <v>0.066667</v>
      </c>
      <c r="G60" s="4" t="n">
        <v>0.2</v>
      </c>
      <c r="H60" s="4" t="n">
        <v>0.4</v>
      </c>
      <c r="I60" s="4" t="n">
        <v>0.666667</v>
      </c>
      <c r="J60" s="4" t="n">
        <v>1</v>
      </c>
    </row>
    <row r="61" customFormat="false" ht="15" hidden="false" customHeight="false" outlineLevel="0" collapsed="false">
      <c r="A61" s="4" t="s">
        <v>1986</v>
      </c>
      <c r="B61" s="4" t="s">
        <v>1983</v>
      </c>
      <c r="C61" s="4" t="s">
        <v>92</v>
      </c>
      <c r="D61" s="4" t="s">
        <v>1959</v>
      </c>
      <c r="E61" s="4" t="n">
        <v>6</v>
      </c>
      <c r="F61" s="4" t="n">
        <v>0.047619</v>
      </c>
      <c r="G61" s="4" t="n">
        <v>0.142857</v>
      </c>
      <c r="H61" s="4" t="n">
        <v>0.285714</v>
      </c>
      <c r="I61" s="4" t="n">
        <v>0.47619</v>
      </c>
      <c r="J61" s="4" t="n">
        <v>0.714286</v>
      </c>
      <c r="K61" s="4" t="n">
        <v>1</v>
      </c>
    </row>
    <row r="62" customFormat="false" ht="15" hidden="false" customHeight="false" outlineLevel="0" collapsed="false">
      <c r="A62" s="4" t="s">
        <v>1987</v>
      </c>
      <c r="B62" s="4" t="s">
        <v>1983</v>
      </c>
      <c r="C62" s="4" t="s">
        <v>93</v>
      </c>
      <c r="D62" s="4" t="s">
        <v>1961</v>
      </c>
      <c r="E62" s="4" t="n">
        <v>4</v>
      </c>
      <c r="F62" s="4" t="n">
        <v>0.1</v>
      </c>
      <c r="G62" s="4" t="n">
        <v>0.3</v>
      </c>
      <c r="H62" s="4" t="n">
        <v>0.6</v>
      </c>
      <c r="I62" s="4" t="n">
        <v>1</v>
      </c>
    </row>
    <row r="63" customFormat="false" ht="15" hidden="false" customHeight="false" outlineLevel="0" collapsed="false">
      <c r="A63" s="4" t="s">
        <v>1988</v>
      </c>
      <c r="B63" s="4" t="s">
        <v>1983</v>
      </c>
      <c r="C63" s="4" t="s">
        <v>94</v>
      </c>
      <c r="D63" s="4" t="s">
        <v>1963</v>
      </c>
      <c r="E63" s="4" t="n">
        <v>5</v>
      </c>
      <c r="F63" s="4" t="n">
        <v>0.066667</v>
      </c>
      <c r="G63" s="4" t="n">
        <v>0.2</v>
      </c>
      <c r="H63" s="4" t="n">
        <v>0.4</v>
      </c>
      <c r="I63" s="4" t="n">
        <v>0.666667</v>
      </c>
      <c r="J63" s="4" t="n">
        <v>1</v>
      </c>
    </row>
    <row r="64" customFormat="false" ht="15" hidden="false" customHeight="false" outlineLevel="0" collapsed="false">
      <c r="A64" s="4" t="s">
        <v>1989</v>
      </c>
      <c r="B64" s="4" t="s">
        <v>1990</v>
      </c>
      <c r="C64" s="4" t="s">
        <v>89</v>
      </c>
      <c r="D64" s="4" t="s">
        <v>1991</v>
      </c>
      <c r="E64" s="4" t="n">
        <v>8</v>
      </c>
      <c r="F64" s="4" t="n">
        <v>0.027778</v>
      </c>
      <c r="G64" s="4" t="n">
        <v>0.083333</v>
      </c>
      <c r="H64" s="4" t="n">
        <v>0.166667</v>
      </c>
      <c r="I64" s="4" t="n">
        <v>0.277778</v>
      </c>
      <c r="J64" s="4" t="n">
        <v>0.416667</v>
      </c>
      <c r="K64" s="4" t="n">
        <v>0.583333</v>
      </c>
      <c r="L64" s="4" t="n">
        <v>0.777778</v>
      </c>
      <c r="M64" s="4" t="n">
        <v>1</v>
      </c>
      <c r="N64" s="4" t="n">
        <v>30.59</v>
      </c>
    </row>
    <row r="65" customFormat="false" ht="15" hidden="false" customHeight="false" outlineLevel="0" collapsed="false">
      <c r="A65" s="4" t="s">
        <v>1992</v>
      </c>
      <c r="B65" s="4" t="s">
        <v>1990</v>
      </c>
      <c r="C65" s="4" t="s">
        <v>90</v>
      </c>
      <c r="D65" s="4" t="s">
        <v>1974</v>
      </c>
      <c r="E65" s="4" t="n">
        <v>7</v>
      </c>
      <c r="F65" s="4" t="n">
        <v>0.035714</v>
      </c>
      <c r="G65" s="4" t="n">
        <v>0.107143</v>
      </c>
      <c r="H65" s="4" t="n">
        <v>0.214286</v>
      </c>
      <c r="I65" s="4" t="n">
        <v>0.357143</v>
      </c>
      <c r="J65" s="4" t="n">
        <v>0.535714</v>
      </c>
      <c r="K65" s="4" t="n">
        <v>0.75</v>
      </c>
      <c r="L65" s="4" t="n">
        <v>1</v>
      </c>
    </row>
    <row r="66" customFormat="false" ht="15" hidden="false" customHeight="false" outlineLevel="0" collapsed="false">
      <c r="A66" s="4" t="s">
        <v>1993</v>
      </c>
      <c r="B66" s="4" t="s">
        <v>1990</v>
      </c>
      <c r="C66" s="4" t="s">
        <v>91</v>
      </c>
      <c r="D66" s="4" t="s">
        <v>1994</v>
      </c>
      <c r="E66" s="4" t="n">
        <v>7</v>
      </c>
      <c r="F66" s="4" t="n">
        <v>0.035714</v>
      </c>
      <c r="G66" s="4" t="n">
        <v>0.107143</v>
      </c>
      <c r="H66" s="4" t="n">
        <v>0.214286</v>
      </c>
      <c r="I66" s="4" t="n">
        <v>0.357143</v>
      </c>
      <c r="J66" s="4" t="n">
        <v>0.535714</v>
      </c>
      <c r="K66" s="4" t="n">
        <v>0.75</v>
      </c>
      <c r="L66" s="4" t="n">
        <v>1</v>
      </c>
    </row>
    <row r="67" customFormat="false" ht="15" hidden="false" customHeight="false" outlineLevel="0" collapsed="false">
      <c r="A67" s="4" t="s">
        <v>1995</v>
      </c>
      <c r="B67" s="4" t="s">
        <v>1990</v>
      </c>
      <c r="C67" s="4" t="s">
        <v>92</v>
      </c>
      <c r="D67" s="4" t="s">
        <v>1959</v>
      </c>
      <c r="E67" s="4" t="n">
        <v>6</v>
      </c>
      <c r="F67" s="4" t="n">
        <v>0.047619</v>
      </c>
      <c r="G67" s="4" t="n">
        <v>0.142857</v>
      </c>
      <c r="H67" s="4" t="n">
        <v>0.285714</v>
      </c>
      <c r="I67" s="4" t="n">
        <v>0.47619</v>
      </c>
      <c r="J67" s="4" t="n">
        <v>0.714286</v>
      </c>
      <c r="K67" s="4" t="n">
        <v>1</v>
      </c>
    </row>
    <row r="68" customFormat="false" ht="15" hidden="false" customHeight="false" outlineLevel="0" collapsed="false">
      <c r="A68" s="4" t="s">
        <v>1996</v>
      </c>
      <c r="B68" s="4" t="s">
        <v>1990</v>
      </c>
      <c r="C68" s="4" t="s">
        <v>93</v>
      </c>
      <c r="D68" s="4" t="s">
        <v>1961</v>
      </c>
      <c r="E68" s="4" t="n">
        <v>4</v>
      </c>
      <c r="F68" s="4" t="n">
        <v>0.1</v>
      </c>
      <c r="G68" s="4" t="n">
        <v>0.3</v>
      </c>
      <c r="H68" s="4" t="n">
        <v>0.6</v>
      </c>
      <c r="I68" s="4" t="n">
        <v>1</v>
      </c>
    </row>
    <row r="69" customFormat="false" ht="15" hidden="false" customHeight="false" outlineLevel="0" collapsed="false">
      <c r="A69" s="4" t="s">
        <v>1997</v>
      </c>
      <c r="B69" s="4" t="s">
        <v>1990</v>
      </c>
      <c r="C69" s="4" t="s">
        <v>94</v>
      </c>
      <c r="D69" s="4" t="s">
        <v>1963</v>
      </c>
      <c r="E69" s="4" t="n">
        <v>5</v>
      </c>
      <c r="F69" s="4" t="n">
        <v>0.066667</v>
      </c>
      <c r="G69" s="4" t="n">
        <v>0.2</v>
      </c>
      <c r="H69" s="4" t="n">
        <v>0.4</v>
      </c>
      <c r="I69" s="4" t="n">
        <v>0.666667</v>
      </c>
      <c r="J69" s="4" t="n">
        <v>1</v>
      </c>
    </row>
    <row r="70" customFormat="false" ht="15" hidden="false" customHeight="false" outlineLevel="0" collapsed="false">
      <c r="A70" s="4" t="s">
        <v>1998</v>
      </c>
      <c r="B70" s="4" t="s">
        <v>1999</v>
      </c>
      <c r="C70" s="4" t="s">
        <v>95</v>
      </c>
      <c r="D70" s="4" t="s">
        <v>2000</v>
      </c>
      <c r="E70" s="4" t="n">
        <v>6</v>
      </c>
      <c r="F70" s="4" t="n">
        <v>0.047619</v>
      </c>
      <c r="G70" s="4" t="n">
        <v>0.142857</v>
      </c>
      <c r="H70" s="4" t="n">
        <v>0.285714</v>
      </c>
      <c r="I70" s="4" t="n">
        <v>0.47619</v>
      </c>
      <c r="J70" s="4" t="n">
        <v>0.714286</v>
      </c>
      <c r="K70" s="4" t="n">
        <v>1</v>
      </c>
    </row>
    <row r="71" customFormat="false" ht="15" hidden="false" customHeight="false" outlineLevel="0" collapsed="false">
      <c r="A71" s="4" t="s">
        <v>2001</v>
      </c>
      <c r="B71" s="4" t="s">
        <v>1999</v>
      </c>
      <c r="C71" s="4" t="s">
        <v>96</v>
      </c>
      <c r="D71" s="4" t="s">
        <v>2002</v>
      </c>
      <c r="E71" s="4" t="n">
        <v>5</v>
      </c>
      <c r="F71" s="4" t="n">
        <v>0.066667</v>
      </c>
      <c r="G71" s="4" t="n">
        <v>0.2</v>
      </c>
      <c r="H71" s="4" t="n">
        <v>0.4</v>
      </c>
      <c r="I71" s="4" t="n">
        <v>0.666667</v>
      </c>
      <c r="J71" s="4" t="n">
        <v>1</v>
      </c>
    </row>
    <row r="72" customFormat="false" ht="15" hidden="false" customHeight="false" outlineLevel="0" collapsed="false">
      <c r="A72" s="4" t="s">
        <v>2003</v>
      </c>
      <c r="B72" s="4" t="s">
        <v>1999</v>
      </c>
      <c r="C72" s="4" t="s">
        <v>97</v>
      </c>
      <c r="D72" s="4" t="s">
        <v>2004</v>
      </c>
      <c r="E72" s="4" t="n">
        <v>5</v>
      </c>
      <c r="F72" s="4" t="n">
        <v>0.066667</v>
      </c>
      <c r="G72" s="4" t="n">
        <v>0.2</v>
      </c>
      <c r="H72" s="4" t="n">
        <v>0.4</v>
      </c>
      <c r="I72" s="4" t="n">
        <v>0.666667</v>
      </c>
      <c r="J72" s="4" t="n">
        <v>1</v>
      </c>
    </row>
    <row r="73" customFormat="false" ht="15" hidden="false" customHeight="false" outlineLevel="0" collapsed="false">
      <c r="A73" s="4" t="s">
        <v>2005</v>
      </c>
      <c r="B73" s="4" t="s">
        <v>1999</v>
      </c>
      <c r="C73" s="4" t="s">
        <v>98</v>
      </c>
      <c r="D73" s="4" t="s">
        <v>2006</v>
      </c>
      <c r="E73" s="4" t="n">
        <v>5</v>
      </c>
      <c r="F73" s="4" t="n">
        <v>0.066667</v>
      </c>
      <c r="G73" s="4" t="n">
        <v>0.2</v>
      </c>
      <c r="H73" s="4" t="n">
        <v>0.4</v>
      </c>
      <c r="I73" s="4" t="n">
        <v>0.666667</v>
      </c>
      <c r="J73" s="4" t="n">
        <v>1</v>
      </c>
    </row>
    <row r="74" customFormat="false" ht="15" hidden="false" customHeight="false" outlineLevel="0" collapsed="false">
      <c r="A74" s="4" t="s">
        <v>2007</v>
      </c>
      <c r="B74" s="4" t="s">
        <v>1999</v>
      </c>
      <c r="C74" s="4" t="s">
        <v>99</v>
      </c>
      <c r="D74" s="4" t="s">
        <v>2008</v>
      </c>
      <c r="E74" s="4" t="n">
        <v>5</v>
      </c>
      <c r="F74" s="4" t="n">
        <v>0.066667</v>
      </c>
      <c r="G74" s="4" t="n">
        <v>0.2</v>
      </c>
      <c r="H74" s="4" t="n">
        <v>0.4</v>
      </c>
      <c r="I74" s="4" t="n">
        <v>0.666667</v>
      </c>
      <c r="J74" s="4" t="n">
        <v>1</v>
      </c>
    </row>
    <row r="75" customFormat="false" ht="15" hidden="false" customHeight="false" outlineLevel="0" collapsed="false">
      <c r="A75" s="4" t="s">
        <v>2009</v>
      </c>
      <c r="B75" s="4" t="s">
        <v>1999</v>
      </c>
      <c r="C75" s="4" t="s">
        <v>100</v>
      </c>
      <c r="D75" s="4" t="s">
        <v>2010</v>
      </c>
      <c r="E75" s="4" t="n">
        <v>5</v>
      </c>
      <c r="F75" s="4" t="n">
        <v>0.066667</v>
      </c>
      <c r="G75" s="4" t="n">
        <v>0.2</v>
      </c>
      <c r="H75" s="4" t="n">
        <v>0.4</v>
      </c>
      <c r="I75" s="4" t="n">
        <v>0.666667</v>
      </c>
      <c r="J75" s="4" t="n">
        <v>1</v>
      </c>
    </row>
    <row r="76" customFormat="false" ht="15" hidden="false" customHeight="false" outlineLevel="0" collapsed="false">
      <c r="A76" s="4" t="s">
        <v>2011</v>
      </c>
      <c r="B76" s="4" t="s">
        <v>2012</v>
      </c>
      <c r="C76" s="4" t="s">
        <v>95</v>
      </c>
      <c r="D76" s="4" t="s">
        <v>2000</v>
      </c>
      <c r="E76" s="4" t="n">
        <v>6</v>
      </c>
      <c r="F76" s="4" t="n">
        <v>0.047619</v>
      </c>
      <c r="G76" s="4" t="n">
        <v>0.142857</v>
      </c>
      <c r="H76" s="4" t="n">
        <v>0.285714</v>
      </c>
      <c r="I76" s="4" t="n">
        <v>0.47619</v>
      </c>
      <c r="J76" s="4" t="n">
        <v>0.714286</v>
      </c>
      <c r="K76" s="4" t="n">
        <v>1</v>
      </c>
      <c r="N76" s="4" t="n">
        <v>39.1</v>
      </c>
    </row>
    <row r="77" customFormat="false" ht="15" hidden="false" customHeight="false" outlineLevel="0" collapsed="false">
      <c r="A77" s="4" t="s">
        <v>2013</v>
      </c>
      <c r="B77" s="4" t="s">
        <v>2012</v>
      </c>
      <c r="C77" s="4" t="s">
        <v>96</v>
      </c>
      <c r="D77" s="4" t="s">
        <v>2002</v>
      </c>
      <c r="E77" s="4" t="n">
        <v>5</v>
      </c>
      <c r="F77" s="4" t="n">
        <v>0.066667</v>
      </c>
      <c r="G77" s="4" t="n">
        <v>0.2</v>
      </c>
      <c r="H77" s="4" t="n">
        <v>0.4</v>
      </c>
      <c r="I77" s="4" t="n">
        <v>0.666667</v>
      </c>
      <c r="J77" s="4" t="n">
        <v>1</v>
      </c>
    </row>
    <row r="78" customFormat="false" ht="15" hidden="false" customHeight="false" outlineLevel="0" collapsed="false">
      <c r="A78" s="4" t="s">
        <v>2014</v>
      </c>
      <c r="B78" s="4" t="s">
        <v>2012</v>
      </c>
      <c r="C78" s="4" t="s">
        <v>97</v>
      </c>
      <c r="D78" s="4" t="s">
        <v>2004</v>
      </c>
      <c r="E78" s="4" t="n">
        <v>5</v>
      </c>
      <c r="F78" s="4" t="n">
        <v>0.066667</v>
      </c>
      <c r="G78" s="4" t="n">
        <v>0.2</v>
      </c>
      <c r="H78" s="4" t="n">
        <v>0.4</v>
      </c>
      <c r="I78" s="4" t="n">
        <v>0.666667</v>
      </c>
      <c r="J78" s="4" t="n">
        <v>1</v>
      </c>
    </row>
    <row r="79" customFormat="false" ht="15" hidden="false" customHeight="false" outlineLevel="0" collapsed="false">
      <c r="A79" s="4" t="s">
        <v>2015</v>
      </c>
      <c r="B79" s="4" t="s">
        <v>2012</v>
      </c>
      <c r="C79" s="4" t="s">
        <v>98</v>
      </c>
      <c r="D79" s="4" t="s">
        <v>2006</v>
      </c>
      <c r="E79" s="4" t="n">
        <v>5</v>
      </c>
      <c r="F79" s="4" t="n">
        <v>0.066667</v>
      </c>
      <c r="G79" s="4" t="n">
        <v>0.2</v>
      </c>
      <c r="H79" s="4" t="n">
        <v>0.4</v>
      </c>
      <c r="I79" s="4" t="n">
        <v>0.666667</v>
      </c>
      <c r="J79" s="4" t="n">
        <v>1</v>
      </c>
    </row>
    <row r="80" customFormat="false" ht="15" hidden="false" customHeight="false" outlineLevel="0" collapsed="false">
      <c r="A80" s="4" t="s">
        <v>2016</v>
      </c>
      <c r="B80" s="4" t="s">
        <v>2012</v>
      </c>
      <c r="C80" s="4" t="s">
        <v>99</v>
      </c>
      <c r="D80" s="4" t="s">
        <v>2008</v>
      </c>
      <c r="E80" s="4" t="n">
        <v>5</v>
      </c>
      <c r="F80" s="4" t="n">
        <v>0.066667</v>
      </c>
      <c r="G80" s="4" t="n">
        <v>0.2</v>
      </c>
      <c r="H80" s="4" t="n">
        <v>0.4</v>
      </c>
      <c r="I80" s="4" t="n">
        <v>0.666667</v>
      </c>
      <c r="J80" s="4" t="n">
        <v>1</v>
      </c>
    </row>
    <row r="81" customFormat="false" ht="15" hidden="false" customHeight="false" outlineLevel="0" collapsed="false">
      <c r="A81" s="4" t="s">
        <v>2017</v>
      </c>
      <c r="B81" s="4" t="s">
        <v>2012</v>
      </c>
      <c r="C81" s="4" t="s">
        <v>100</v>
      </c>
      <c r="D81" s="4" t="s">
        <v>2010</v>
      </c>
      <c r="E81" s="4" t="n">
        <v>5</v>
      </c>
      <c r="F81" s="4" t="n">
        <v>0.066667</v>
      </c>
      <c r="G81" s="4" t="n">
        <v>0.2</v>
      </c>
      <c r="H81" s="4" t="n">
        <v>0.4</v>
      </c>
      <c r="I81" s="4" t="n">
        <v>0.666667</v>
      </c>
      <c r="J81" s="4" t="n">
        <v>1</v>
      </c>
    </row>
    <row r="82" customFormat="false" ht="15" hidden="false" customHeight="false" outlineLevel="0" collapsed="false">
      <c r="A82" s="4" t="s">
        <v>2018</v>
      </c>
      <c r="B82" s="4" t="s">
        <v>2019</v>
      </c>
      <c r="C82" s="4" t="s">
        <v>95</v>
      </c>
      <c r="D82" s="4" t="s">
        <v>2020</v>
      </c>
      <c r="E82" s="4" t="n">
        <v>8</v>
      </c>
      <c r="F82" s="4" t="n">
        <v>0.027778</v>
      </c>
      <c r="G82" s="4" t="n">
        <v>0.083333</v>
      </c>
      <c r="H82" s="4" t="n">
        <v>0.166667</v>
      </c>
      <c r="I82" s="4" t="n">
        <v>0.277778</v>
      </c>
      <c r="J82" s="4" t="n">
        <v>0.416667</v>
      </c>
      <c r="K82" s="4" t="n">
        <v>0.583333</v>
      </c>
      <c r="L82" s="4" t="n">
        <v>0.777778</v>
      </c>
      <c r="M82" s="4" t="n">
        <v>1</v>
      </c>
      <c r="N82" s="4" t="n">
        <v>39.1</v>
      </c>
    </row>
    <row r="83" customFormat="false" ht="15" hidden="false" customHeight="false" outlineLevel="0" collapsed="false">
      <c r="A83" s="4" t="s">
        <v>2021</v>
      </c>
      <c r="B83" s="4" t="s">
        <v>2019</v>
      </c>
      <c r="C83" s="4" t="s">
        <v>96</v>
      </c>
      <c r="D83" s="4" t="s">
        <v>2002</v>
      </c>
      <c r="E83" s="4" t="n">
        <v>5</v>
      </c>
      <c r="F83" s="4" t="n">
        <v>0.066667</v>
      </c>
      <c r="G83" s="4" t="n">
        <v>0.2</v>
      </c>
      <c r="H83" s="4" t="n">
        <v>0.4</v>
      </c>
      <c r="I83" s="4" t="n">
        <v>0.666667</v>
      </c>
      <c r="J83" s="4" t="n">
        <v>1</v>
      </c>
    </row>
    <row r="84" customFormat="false" ht="15" hidden="false" customHeight="false" outlineLevel="0" collapsed="false">
      <c r="A84" s="4" t="s">
        <v>2022</v>
      </c>
      <c r="B84" s="4" t="s">
        <v>2019</v>
      </c>
      <c r="C84" s="4" t="s">
        <v>97</v>
      </c>
      <c r="D84" s="4" t="s">
        <v>2023</v>
      </c>
      <c r="E84" s="4" t="n">
        <v>7</v>
      </c>
      <c r="F84" s="4" t="n">
        <v>0.035714</v>
      </c>
      <c r="G84" s="4" t="n">
        <v>0.107143</v>
      </c>
      <c r="H84" s="4" t="n">
        <v>0.214286</v>
      </c>
      <c r="I84" s="4" t="n">
        <v>0.357143</v>
      </c>
      <c r="J84" s="4" t="n">
        <v>0.535714</v>
      </c>
      <c r="K84" s="4" t="n">
        <v>0.75</v>
      </c>
      <c r="L84" s="4" t="n">
        <v>1</v>
      </c>
    </row>
    <row r="85" customFormat="false" ht="15" hidden="false" customHeight="false" outlineLevel="0" collapsed="false">
      <c r="A85" s="4" t="s">
        <v>2024</v>
      </c>
      <c r="B85" s="4" t="s">
        <v>2019</v>
      </c>
      <c r="C85" s="4" t="s">
        <v>98</v>
      </c>
      <c r="D85" s="4" t="s">
        <v>2025</v>
      </c>
      <c r="E85" s="4" t="n">
        <v>7</v>
      </c>
      <c r="F85" s="4" t="n">
        <v>0.035714</v>
      </c>
      <c r="G85" s="4" t="n">
        <v>0.107143</v>
      </c>
      <c r="H85" s="4" t="n">
        <v>0.214286</v>
      </c>
      <c r="I85" s="4" t="n">
        <v>0.357143</v>
      </c>
      <c r="J85" s="4" t="n">
        <v>0.535714</v>
      </c>
      <c r="K85" s="4" t="n">
        <v>0.75</v>
      </c>
      <c r="L85" s="4" t="n">
        <v>1</v>
      </c>
    </row>
    <row r="86" customFormat="false" ht="15" hidden="false" customHeight="false" outlineLevel="0" collapsed="false">
      <c r="A86" s="4" t="s">
        <v>2026</v>
      </c>
      <c r="B86" s="4" t="s">
        <v>2019</v>
      </c>
      <c r="C86" s="4" t="s">
        <v>99</v>
      </c>
      <c r="D86" s="4" t="s">
        <v>2008</v>
      </c>
      <c r="E86" s="4" t="n">
        <v>5</v>
      </c>
      <c r="F86" s="4" t="n">
        <v>0.066667</v>
      </c>
      <c r="G86" s="4" t="n">
        <v>0.2</v>
      </c>
      <c r="H86" s="4" t="n">
        <v>0.4</v>
      </c>
      <c r="I86" s="4" t="n">
        <v>0.666667</v>
      </c>
      <c r="J86" s="4" t="n">
        <v>1</v>
      </c>
    </row>
    <row r="87" customFormat="false" ht="15" hidden="false" customHeight="false" outlineLevel="0" collapsed="false">
      <c r="A87" s="4" t="s">
        <v>2027</v>
      </c>
      <c r="B87" s="4" t="s">
        <v>2019</v>
      </c>
      <c r="C87" s="4" t="s">
        <v>100</v>
      </c>
      <c r="D87" s="4" t="s">
        <v>2010</v>
      </c>
      <c r="E87" s="4" t="n">
        <v>5</v>
      </c>
      <c r="F87" s="4" t="n">
        <v>0.066667</v>
      </c>
      <c r="G87" s="4" t="n">
        <v>0.2</v>
      </c>
      <c r="H87" s="4" t="n">
        <v>0.4</v>
      </c>
      <c r="I87" s="4" t="n">
        <v>0.666667</v>
      </c>
      <c r="J87" s="4" t="n">
        <v>1</v>
      </c>
    </row>
    <row r="88" customFormat="false" ht="15" hidden="false" customHeight="false" outlineLevel="0" collapsed="false">
      <c r="A88" s="4" t="s">
        <v>2028</v>
      </c>
      <c r="B88" s="4" t="s">
        <v>2029</v>
      </c>
      <c r="C88" s="4" t="s">
        <v>96</v>
      </c>
      <c r="D88" s="4" t="s">
        <v>2002</v>
      </c>
      <c r="E88" s="4" t="n">
        <v>5</v>
      </c>
      <c r="F88" s="4" t="n">
        <v>0.066667</v>
      </c>
      <c r="G88" s="4" t="n">
        <v>0.2</v>
      </c>
      <c r="H88" s="4" t="n">
        <v>0.4</v>
      </c>
      <c r="I88" s="4" t="n">
        <v>0.666667</v>
      </c>
      <c r="J88" s="4" t="n">
        <v>1</v>
      </c>
    </row>
    <row r="89" customFormat="false" ht="15" hidden="false" customHeight="false" outlineLevel="0" collapsed="false">
      <c r="A89" s="4" t="s">
        <v>2030</v>
      </c>
      <c r="B89" s="4" t="s">
        <v>2029</v>
      </c>
      <c r="C89" s="4" t="s">
        <v>97</v>
      </c>
      <c r="D89" s="4" t="s">
        <v>2004</v>
      </c>
      <c r="E89" s="4" t="n">
        <v>5</v>
      </c>
      <c r="F89" s="4" t="n">
        <v>0.066667</v>
      </c>
      <c r="G89" s="4" t="n">
        <v>0.2</v>
      </c>
      <c r="H89" s="4" t="n">
        <v>0.4</v>
      </c>
      <c r="I89" s="4" t="n">
        <v>0.666667</v>
      </c>
      <c r="J89" s="4" t="n">
        <v>1</v>
      </c>
    </row>
    <row r="90" customFormat="false" ht="15" hidden="false" customHeight="false" outlineLevel="0" collapsed="false">
      <c r="A90" s="4" t="s">
        <v>2031</v>
      </c>
      <c r="B90" s="4" t="s">
        <v>2029</v>
      </c>
      <c r="C90" s="4" t="s">
        <v>98</v>
      </c>
      <c r="D90" s="4" t="s">
        <v>2006</v>
      </c>
      <c r="E90" s="4" t="n">
        <v>5</v>
      </c>
      <c r="F90" s="4" t="n">
        <v>0.066667</v>
      </c>
      <c r="G90" s="4" t="n">
        <v>0.2</v>
      </c>
      <c r="H90" s="4" t="n">
        <v>0.4</v>
      </c>
      <c r="I90" s="4" t="n">
        <v>0.666667</v>
      </c>
      <c r="J90" s="4" t="n">
        <v>1</v>
      </c>
    </row>
    <row r="91" customFormat="false" ht="15" hidden="false" customHeight="false" outlineLevel="0" collapsed="false">
      <c r="A91" s="4" t="s">
        <v>2032</v>
      </c>
      <c r="B91" s="4" t="s">
        <v>2033</v>
      </c>
      <c r="C91" s="4" t="s">
        <v>95</v>
      </c>
      <c r="D91" s="4" t="s">
        <v>2000</v>
      </c>
      <c r="E91" s="4" t="n">
        <v>6</v>
      </c>
      <c r="F91" s="4" t="n">
        <v>0.047619</v>
      </c>
      <c r="G91" s="4" t="n">
        <v>0.142857</v>
      </c>
      <c r="H91" s="4" t="n">
        <v>0.285714</v>
      </c>
      <c r="I91" s="4" t="n">
        <v>0.47619</v>
      </c>
      <c r="J91" s="4" t="n">
        <v>0.714286</v>
      </c>
      <c r="K91" s="4" t="n">
        <v>1</v>
      </c>
    </row>
    <row r="92" customFormat="false" ht="15" hidden="false" customHeight="false" outlineLevel="0" collapsed="false">
      <c r="A92" s="4" t="s">
        <v>2034</v>
      </c>
      <c r="B92" s="4" t="s">
        <v>2033</v>
      </c>
      <c r="C92" s="4" t="s">
        <v>96</v>
      </c>
      <c r="D92" s="4" t="s">
        <v>2002</v>
      </c>
      <c r="E92" s="4" t="n">
        <v>5</v>
      </c>
      <c r="F92" s="4" t="n">
        <v>0.066667</v>
      </c>
      <c r="G92" s="4" t="n">
        <v>0.2</v>
      </c>
      <c r="H92" s="4" t="n">
        <v>0.4</v>
      </c>
      <c r="I92" s="4" t="n">
        <v>0.666667</v>
      </c>
      <c r="J92" s="4" t="n">
        <v>1</v>
      </c>
    </row>
    <row r="93" customFormat="false" ht="15" hidden="false" customHeight="false" outlineLevel="0" collapsed="false">
      <c r="A93" s="4" t="s">
        <v>2035</v>
      </c>
      <c r="B93" s="4" t="s">
        <v>2033</v>
      </c>
      <c r="C93" s="4" t="s">
        <v>97</v>
      </c>
      <c r="D93" s="4" t="s">
        <v>2004</v>
      </c>
      <c r="E93" s="4" t="n">
        <v>5</v>
      </c>
      <c r="F93" s="4" t="n">
        <v>0.066667</v>
      </c>
      <c r="G93" s="4" t="n">
        <v>0.2</v>
      </c>
      <c r="H93" s="4" t="n">
        <v>0.4</v>
      </c>
      <c r="I93" s="4" t="n">
        <v>0.666667</v>
      </c>
      <c r="J93" s="4" t="n">
        <v>1</v>
      </c>
    </row>
    <row r="94" customFormat="false" ht="15" hidden="false" customHeight="false" outlineLevel="0" collapsed="false">
      <c r="A94" s="4" t="s">
        <v>2036</v>
      </c>
      <c r="B94" s="4" t="s">
        <v>2033</v>
      </c>
      <c r="C94" s="4" t="s">
        <v>98</v>
      </c>
      <c r="D94" s="4" t="s">
        <v>2006</v>
      </c>
      <c r="E94" s="4" t="n">
        <v>5</v>
      </c>
      <c r="F94" s="4" t="n">
        <v>0.066667</v>
      </c>
      <c r="G94" s="4" t="n">
        <v>0.2</v>
      </c>
      <c r="H94" s="4" t="n">
        <v>0.4</v>
      </c>
      <c r="I94" s="4" t="n">
        <v>0.666667</v>
      </c>
      <c r="J94" s="4" t="n">
        <v>1</v>
      </c>
    </row>
    <row r="95" customFormat="false" ht="15" hidden="false" customHeight="false" outlineLevel="0" collapsed="false">
      <c r="A95" s="4" t="s">
        <v>2037</v>
      </c>
      <c r="B95" s="4" t="s">
        <v>2033</v>
      </c>
      <c r="C95" s="4" t="s">
        <v>99</v>
      </c>
      <c r="D95" s="4" t="s">
        <v>2008</v>
      </c>
      <c r="E95" s="4" t="n">
        <v>5</v>
      </c>
      <c r="F95" s="4" t="n">
        <v>0.066667</v>
      </c>
      <c r="G95" s="4" t="n">
        <v>0.2</v>
      </c>
      <c r="H95" s="4" t="n">
        <v>0.4</v>
      </c>
      <c r="I95" s="4" t="n">
        <v>0.666667</v>
      </c>
      <c r="J95" s="4" t="n">
        <v>1</v>
      </c>
    </row>
    <row r="96" customFormat="false" ht="15" hidden="false" customHeight="false" outlineLevel="0" collapsed="false">
      <c r="A96" s="4" t="s">
        <v>2038</v>
      </c>
      <c r="B96" s="4" t="s">
        <v>2033</v>
      </c>
      <c r="C96" s="4" t="s">
        <v>100</v>
      </c>
      <c r="D96" s="4" t="s">
        <v>2010</v>
      </c>
      <c r="E96" s="4" t="n">
        <v>5</v>
      </c>
      <c r="F96" s="4" t="n">
        <v>0.066667</v>
      </c>
      <c r="G96" s="4" t="n">
        <v>0.2</v>
      </c>
      <c r="H96" s="4" t="n">
        <v>0.4</v>
      </c>
      <c r="I96" s="4" t="n">
        <v>0.666667</v>
      </c>
      <c r="J96" s="4" t="n">
        <v>1</v>
      </c>
    </row>
    <row r="97" customFormat="false" ht="15" hidden="false" customHeight="false" outlineLevel="0" collapsed="false">
      <c r="A97" s="4" t="s">
        <v>2039</v>
      </c>
      <c r="B97" s="4" t="s">
        <v>2040</v>
      </c>
      <c r="C97" s="4" t="s">
        <v>95</v>
      </c>
      <c r="D97" s="4" t="s">
        <v>2020</v>
      </c>
      <c r="E97" s="4" t="n">
        <v>8</v>
      </c>
      <c r="F97" s="4" t="n">
        <v>0.027778</v>
      </c>
      <c r="G97" s="4" t="n">
        <v>0.083333</v>
      </c>
      <c r="H97" s="4" t="n">
        <v>0.166667</v>
      </c>
      <c r="I97" s="4" t="n">
        <v>0.277778</v>
      </c>
      <c r="J97" s="4" t="n">
        <v>0.416667</v>
      </c>
      <c r="K97" s="4" t="n">
        <v>0.583333</v>
      </c>
      <c r="L97" s="4" t="n">
        <v>0.777778</v>
      </c>
      <c r="M97" s="4" t="n">
        <v>1</v>
      </c>
      <c r="N97" s="4" t="n">
        <v>39.1</v>
      </c>
    </row>
    <row r="98" customFormat="false" ht="15" hidden="false" customHeight="false" outlineLevel="0" collapsed="false">
      <c r="A98" s="4" t="s">
        <v>2041</v>
      </c>
      <c r="B98" s="4" t="s">
        <v>2040</v>
      </c>
      <c r="C98" s="4" t="s">
        <v>96</v>
      </c>
      <c r="D98" s="4" t="s">
        <v>2042</v>
      </c>
      <c r="E98" s="4" t="n">
        <v>7</v>
      </c>
      <c r="F98" s="4" t="n">
        <v>0.035714</v>
      </c>
      <c r="G98" s="4" t="n">
        <v>0.107143</v>
      </c>
      <c r="H98" s="4" t="n">
        <v>0.214286</v>
      </c>
      <c r="I98" s="4" t="n">
        <v>0.357143</v>
      </c>
      <c r="J98" s="4" t="n">
        <v>0.535714</v>
      </c>
      <c r="K98" s="4" t="n">
        <v>0.75</v>
      </c>
      <c r="L98" s="4" t="n">
        <v>1</v>
      </c>
    </row>
    <row r="99" customFormat="false" ht="15" hidden="false" customHeight="false" outlineLevel="0" collapsed="false">
      <c r="A99" s="4" t="s">
        <v>2043</v>
      </c>
      <c r="B99" s="4" t="s">
        <v>2040</v>
      </c>
      <c r="C99" s="4" t="s">
        <v>97</v>
      </c>
      <c r="D99" s="4" t="s">
        <v>2023</v>
      </c>
      <c r="E99" s="4" t="n">
        <v>7</v>
      </c>
      <c r="F99" s="4" t="n">
        <v>0.035714</v>
      </c>
      <c r="G99" s="4" t="n">
        <v>0.107143</v>
      </c>
      <c r="H99" s="4" t="n">
        <v>0.214286</v>
      </c>
      <c r="I99" s="4" t="n">
        <v>0.357143</v>
      </c>
      <c r="J99" s="4" t="n">
        <v>0.535714</v>
      </c>
      <c r="K99" s="4" t="n">
        <v>0.75</v>
      </c>
      <c r="L99" s="4" t="n">
        <v>1</v>
      </c>
    </row>
    <row r="100" customFormat="false" ht="15" hidden="false" customHeight="false" outlineLevel="0" collapsed="false">
      <c r="A100" s="4" t="s">
        <v>2044</v>
      </c>
      <c r="B100" s="4" t="s">
        <v>2040</v>
      </c>
      <c r="C100" s="4" t="s">
        <v>98</v>
      </c>
      <c r="D100" s="4" t="s">
        <v>2025</v>
      </c>
      <c r="E100" s="4" t="n">
        <v>7</v>
      </c>
      <c r="F100" s="4" t="n">
        <v>0.035714</v>
      </c>
      <c r="G100" s="4" t="n">
        <v>0.107143</v>
      </c>
      <c r="H100" s="4" t="n">
        <v>0.214286</v>
      </c>
      <c r="I100" s="4" t="n">
        <v>0.357143</v>
      </c>
      <c r="J100" s="4" t="n">
        <v>0.535714</v>
      </c>
      <c r="K100" s="4" t="n">
        <v>0.75</v>
      </c>
      <c r="L100" s="4" t="n">
        <v>1</v>
      </c>
    </row>
    <row r="101" customFormat="false" ht="15" hidden="false" customHeight="false" outlineLevel="0" collapsed="false">
      <c r="A101" s="4" t="s">
        <v>2045</v>
      </c>
      <c r="B101" s="4" t="s">
        <v>2040</v>
      </c>
      <c r="C101" s="4" t="s">
        <v>99</v>
      </c>
      <c r="D101" s="4" t="s">
        <v>2008</v>
      </c>
      <c r="E101" s="4" t="n">
        <v>5</v>
      </c>
      <c r="F101" s="4" t="n">
        <v>0.066667</v>
      </c>
      <c r="G101" s="4" t="n">
        <v>0.2</v>
      </c>
      <c r="H101" s="4" t="n">
        <v>0.4</v>
      </c>
      <c r="I101" s="4" t="n">
        <v>0.666667</v>
      </c>
      <c r="J101" s="4" t="n">
        <v>1</v>
      </c>
    </row>
    <row r="102" customFormat="false" ht="15" hidden="false" customHeight="false" outlineLevel="0" collapsed="false">
      <c r="A102" s="4" t="s">
        <v>2046</v>
      </c>
      <c r="B102" s="4" t="s">
        <v>2040</v>
      </c>
      <c r="C102" s="4" t="s">
        <v>100</v>
      </c>
      <c r="D102" s="4" t="s">
        <v>2010</v>
      </c>
      <c r="E102" s="4" t="n">
        <v>5</v>
      </c>
      <c r="F102" s="4" t="n">
        <v>0.066667</v>
      </c>
      <c r="G102" s="4" t="n">
        <v>0.2</v>
      </c>
      <c r="H102" s="4" t="n">
        <v>0.4</v>
      </c>
      <c r="I102" s="4" t="n">
        <v>0.666667</v>
      </c>
      <c r="J102" s="4" t="n">
        <v>1</v>
      </c>
    </row>
    <row r="103" customFormat="false" ht="15" hidden="false" customHeight="false" outlineLevel="0" collapsed="false">
      <c r="A103" s="4" t="s">
        <v>2047</v>
      </c>
      <c r="B103" s="4" t="s">
        <v>2048</v>
      </c>
      <c r="C103" s="4" t="s">
        <v>101</v>
      </c>
      <c r="D103" s="4" t="s">
        <v>2049</v>
      </c>
      <c r="E103" s="4" t="n">
        <v>5</v>
      </c>
      <c r="F103" s="4" t="n">
        <v>0.066667</v>
      </c>
      <c r="G103" s="4" t="n">
        <v>0.2</v>
      </c>
      <c r="H103" s="4" t="n">
        <v>0.4</v>
      </c>
      <c r="I103" s="4" t="n">
        <v>0.666667</v>
      </c>
      <c r="J103" s="4" t="n">
        <v>1</v>
      </c>
    </row>
    <row r="104" customFormat="false" ht="15" hidden="false" customHeight="false" outlineLevel="0" collapsed="false">
      <c r="A104" s="4" t="s">
        <v>2050</v>
      </c>
      <c r="B104" s="4" t="s">
        <v>2048</v>
      </c>
      <c r="C104" s="4" t="s">
        <v>102</v>
      </c>
      <c r="D104" s="4" t="s">
        <v>2051</v>
      </c>
      <c r="E104" s="4" t="n">
        <v>5</v>
      </c>
      <c r="F104" s="4" t="n">
        <v>0.066667</v>
      </c>
      <c r="G104" s="4" t="n">
        <v>0.2</v>
      </c>
      <c r="H104" s="4" t="n">
        <v>0.4</v>
      </c>
      <c r="I104" s="4" t="n">
        <v>0.666667</v>
      </c>
      <c r="J104" s="4" t="n">
        <v>1</v>
      </c>
    </row>
    <row r="105" customFormat="false" ht="15" hidden="false" customHeight="false" outlineLevel="0" collapsed="false">
      <c r="A105" s="4" t="s">
        <v>2052</v>
      </c>
      <c r="B105" s="4" t="s">
        <v>2048</v>
      </c>
      <c r="C105" s="4" t="s">
        <v>103</v>
      </c>
      <c r="D105" s="4" t="s">
        <v>2053</v>
      </c>
      <c r="E105" s="4" t="n">
        <v>4</v>
      </c>
      <c r="F105" s="4" t="n">
        <v>0.1</v>
      </c>
      <c r="G105" s="4" t="n">
        <v>0.3</v>
      </c>
      <c r="H105" s="4" t="n">
        <v>0.6</v>
      </c>
      <c r="I105" s="4" t="n">
        <v>1</v>
      </c>
    </row>
    <row r="106" customFormat="false" ht="15" hidden="false" customHeight="false" outlineLevel="0" collapsed="false">
      <c r="A106" s="4" t="s">
        <v>2054</v>
      </c>
      <c r="B106" s="4" t="s">
        <v>2048</v>
      </c>
      <c r="C106" s="4" t="s">
        <v>104</v>
      </c>
      <c r="D106" s="4" t="s">
        <v>2055</v>
      </c>
      <c r="E106" s="4" t="n">
        <v>5</v>
      </c>
      <c r="F106" s="4" t="n">
        <v>0.066667</v>
      </c>
      <c r="G106" s="4" t="n">
        <v>0.2</v>
      </c>
      <c r="H106" s="4" t="n">
        <v>0.4</v>
      </c>
      <c r="I106" s="4" t="n">
        <v>0.666667</v>
      </c>
      <c r="J106" s="4" t="n">
        <v>1</v>
      </c>
    </row>
    <row r="107" customFormat="false" ht="15" hidden="false" customHeight="false" outlineLevel="0" collapsed="false">
      <c r="A107" s="4" t="s">
        <v>2056</v>
      </c>
      <c r="B107" s="4" t="s">
        <v>2048</v>
      </c>
      <c r="C107" s="4" t="s">
        <v>105</v>
      </c>
      <c r="D107" s="4" t="s">
        <v>2057</v>
      </c>
      <c r="E107" s="4" t="n">
        <v>6</v>
      </c>
      <c r="F107" s="4" t="n">
        <v>0.047619</v>
      </c>
      <c r="G107" s="4" t="n">
        <v>0.142857</v>
      </c>
      <c r="H107" s="4" t="n">
        <v>0.285714</v>
      </c>
      <c r="I107" s="4" t="n">
        <v>0.47619</v>
      </c>
      <c r="J107" s="4" t="n">
        <v>0.714286</v>
      </c>
      <c r="K107" s="4" t="n">
        <v>1</v>
      </c>
    </row>
    <row r="108" customFormat="false" ht="15" hidden="false" customHeight="false" outlineLevel="0" collapsed="false">
      <c r="A108" s="4" t="s">
        <v>2058</v>
      </c>
      <c r="B108" s="4" t="s">
        <v>2048</v>
      </c>
      <c r="C108" s="4" t="s">
        <v>106</v>
      </c>
      <c r="D108" s="4" t="s">
        <v>2059</v>
      </c>
      <c r="E108" s="4" t="n">
        <v>5</v>
      </c>
      <c r="F108" s="4" t="n">
        <v>0.066667</v>
      </c>
      <c r="G108" s="4" t="n">
        <v>0.2</v>
      </c>
      <c r="H108" s="4" t="n">
        <v>0.4</v>
      </c>
      <c r="I108" s="4" t="n">
        <v>0.666667</v>
      </c>
      <c r="J108" s="4" t="n">
        <v>1</v>
      </c>
    </row>
    <row r="109" customFormat="false" ht="15" hidden="false" customHeight="false" outlineLevel="0" collapsed="false">
      <c r="A109" s="4" t="s">
        <v>2060</v>
      </c>
      <c r="B109" s="4" t="s">
        <v>2061</v>
      </c>
      <c r="C109" s="4" t="s">
        <v>101</v>
      </c>
      <c r="D109" s="4" t="s">
        <v>2049</v>
      </c>
      <c r="E109" s="4" t="n">
        <v>5</v>
      </c>
      <c r="F109" s="4" t="n">
        <v>0.066667</v>
      </c>
      <c r="G109" s="4" t="n">
        <v>0.2</v>
      </c>
      <c r="H109" s="4" t="n">
        <v>0.4</v>
      </c>
      <c r="I109" s="4" t="n">
        <v>0.666667</v>
      </c>
      <c r="J109" s="4" t="n">
        <v>1</v>
      </c>
    </row>
    <row r="110" customFormat="false" ht="15" hidden="false" customHeight="false" outlineLevel="0" collapsed="false">
      <c r="A110" s="4" t="s">
        <v>2062</v>
      </c>
      <c r="B110" s="4" t="s">
        <v>2061</v>
      </c>
      <c r="C110" s="4" t="s">
        <v>102</v>
      </c>
      <c r="D110" s="4" t="s">
        <v>2051</v>
      </c>
      <c r="E110" s="4" t="n">
        <v>5</v>
      </c>
      <c r="F110" s="4" t="n">
        <v>0.066667</v>
      </c>
      <c r="G110" s="4" t="n">
        <v>0.2</v>
      </c>
      <c r="H110" s="4" t="n">
        <v>0.4</v>
      </c>
      <c r="I110" s="4" t="n">
        <v>0.666667</v>
      </c>
      <c r="J110" s="4" t="n">
        <v>1</v>
      </c>
    </row>
    <row r="111" customFormat="false" ht="15" hidden="false" customHeight="false" outlineLevel="0" collapsed="false">
      <c r="A111" s="4" t="s">
        <v>2063</v>
      </c>
      <c r="B111" s="4" t="s">
        <v>2061</v>
      </c>
      <c r="C111" s="4" t="s">
        <v>103</v>
      </c>
      <c r="D111" s="4" t="s">
        <v>2053</v>
      </c>
      <c r="E111" s="4" t="n">
        <v>4</v>
      </c>
      <c r="F111" s="4" t="n">
        <v>0.1</v>
      </c>
      <c r="G111" s="4" t="n">
        <v>0.3</v>
      </c>
      <c r="H111" s="4" t="n">
        <v>0.6</v>
      </c>
      <c r="I111" s="4" t="n">
        <v>1</v>
      </c>
    </row>
    <row r="112" customFormat="false" ht="15" hidden="false" customHeight="false" outlineLevel="0" collapsed="false">
      <c r="A112" s="4" t="s">
        <v>2064</v>
      </c>
      <c r="B112" s="4" t="s">
        <v>2061</v>
      </c>
      <c r="C112" s="4" t="s">
        <v>104</v>
      </c>
      <c r="D112" s="4" t="s">
        <v>2055</v>
      </c>
      <c r="E112" s="4" t="n">
        <v>5</v>
      </c>
      <c r="F112" s="4" t="n">
        <v>0.066667</v>
      </c>
      <c r="G112" s="4" t="n">
        <v>0.2</v>
      </c>
      <c r="H112" s="4" t="n">
        <v>0.4</v>
      </c>
      <c r="I112" s="4" t="n">
        <v>0.666667</v>
      </c>
      <c r="J112" s="4" t="n">
        <v>1</v>
      </c>
    </row>
    <row r="113" customFormat="false" ht="15" hidden="false" customHeight="false" outlineLevel="0" collapsed="false">
      <c r="A113" s="4" t="s">
        <v>2065</v>
      </c>
      <c r="B113" s="4" t="s">
        <v>2061</v>
      </c>
      <c r="C113" s="4" t="s">
        <v>105</v>
      </c>
      <c r="D113" s="4" t="s">
        <v>2057</v>
      </c>
      <c r="E113" s="4" t="n">
        <v>6</v>
      </c>
      <c r="F113" s="4" t="n">
        <v>0.047619</v>
      </c>
      <c r="G113" s="4" t="n">
        <v>0.142857</v>
      </c>
      <c r="H113" s="4" t="n">
        <v>0.285714</v>
      </c>
      <c r="I113" s="4" t="n">
        <v>0.47619</v>
      </c>
      <c r="J113" s="4" t="n">
        <v>0.714286</v>
      </c>
      <c r="K113" s="4" t="n">
        <v>1</v>
      </c>
    </row>
    <row r="114" customFormat="false" ht="15" hidden="false" customHeight="false" outlineLevel="0" collapsed="false">
      <c r="A114" s="4" t="s">
        <v>2066</v>
      </c>
      <c r="B114" s="4" t="s">
        <v>2061</v>
      </c>
      <c r="C114" s="4" t="s">
        <v>106</v>
      </c>
      <c r="D114" s="4" t="s">
        <v>2059</v>
      </c>
      <c r="E114" s="4" t="n">
        <v>5</v>
      </c>
      <c r="F114" s="4" t="n">
        <v>0.066667</v>
      </c>
      <c r="G114" s="4" t="n">
        <v>0.2</v>
      </c>
      <c r="H114" s="4" t="n">
        <v>0.4</v>
      </c>
      <c r="I114" s="4" t="n">
        <v>0.666667</v>
      </c>
      <c r="J114" s="4" t="n">
        <v>1</v>
      </c>
    </row>
    <row r="115" customFormat="false" ht="15" hidden="false" customHeight="false" outlineLevel="0" collapsed="false">
      <c r="A115" s="4" t="s">
        <v>2067</v>
      </c>
      <c r="B115" s="4" t="s">
        <v>2068</v>
      </c>
      <c r="C115" s="4" t="s">
        <v>101</v>
      </c>
      <c r="D115" s="4" t="s">
        <v>2049</v>
      </c>
      <c r="E115" s="4" t="n">
        <v>5</v>
      </c>
      <c r="F115" s="4" t="n">
        <v>0.066667</v>
      </c>
      <c r="G115" s="4" t="n">
        <v>0.2</v>
      </c>
      <c r="H115" s="4" t="n">
        <v>0.4</v>
      </c>
      <c r="I115" s="4" t="n">
        <v>0.666667</v>
      </c>
      <c r="J115" s="4" t="n">
        <v>1</v>
      </c>
    </row>
    <row r="116" customFormat="false" ht="15" hidden="false" customHeight="false" outlineLevel="0" collapsed="false">
      <c r="A116" s="4" t="s">
        <v>2069</v>
      </c>
      <c r="B116" s="4" t="s">
        <v>2068</v>
      </c>
      <c r="C116" s="4" t="s">
        <v>102</v>
      </c>
      <c r="D116" s="4" t="s">
        <v>2051</v>
      </c>
      <c r="E116" s="4" t="n">
        <v>5</v>
      </c>
      <c r="F116" s="4" t="n">
        <v>0.066667</v>
      </c>
      <c r="G116" s="4" t="n">
        <v>0.2</v>
      </c>
      <c r="H116" s="4" t="n">
        <v>0.4</v>
      </c>
      <c r="I116" s="4" t="n">
        <v>0.666667</v>
      </c>
      <c r="J116" s="4" t="n">
        <v>1</v>
      </c>
    </row>
    <row r="117" customFormat="false" ht="15" hidden="false" customHeight="false" outlineLevel="0" collapsed="false">
      <c r="A117" s="4" t="s">
        <v>2070</v>
      </c>
      <c r="B117" s="4" t="s">
        <v>2068</v>
      </c>
      <c r="C117" s="4" t="s">
        <v>103</v>
      </c>
      <c r="D117" s="4" t="s">
        <v>2053</v>
      </c>
      <c r="E117" s="4" t="n">
        <v>4</v>
      </c>
      <c r="F117" s="4" t="n">
        <v>0.1</v>
      </c>
      <c r="G117" s="4" t="n">
        <v>0.3</v>
      </c>
      <c r="H117" s="4" t="n">
        <v>0.6</v>
      </c>
      <c r="I117" s="4" t="n">
        <v>1</v>
      </c>
    </row>
    <row r="118" customFormat="false" ht="15" hidden="false" customHeight="false" outlineLevel="0" collapsed="false">
      <c r="A118" s="4" t="s">
        <v>2071</v>
      </c>
      <c r="B118" s="4" t="s">
        <v>2068</v>
      </c>
      <c r="C118" s="4" t="s">
        <v>104</v>
      </c>
      <c r="D118" s="4" t="s">
        <v>2055</v>
      </c>
      <c r="E118" s="4" t="n">
        <v>5</v>
      </c>
      <c r="F118" s="4" t="n">
        <v>0.066667</v>
      </c>
      <c r="G118" s="4" t="n">
        <v>0.2</v>
      </c>
      <c r="H118" s="4" t="n">
        <v>0.4</v>
      </c>
      <c r="I118" s="4" t="n">
        <v>0.666667</v>
      </c>
      <c r="J118" s="4" t="n">
        <v>1</v>
      </c>
    </row>
    <row r="119" customFormat="false" ht="15" hidden="false" customHeight="false" outlineLevel="0" collapsed="false">
      <c r="A119" s="4" t="s">
        <v>2072</v>
      </c>
      <c r="B119" s="4" t="s">
        <v>2068</v>
      </c>
      <c r="C119" s="4" t="s">
        <v>105</v>
      </c>
      <c r="D119" s="4" t="s">
        <v>2057</v>
      </c>
      <c r="E119" s="4" t="n">
        <v>6</v>
      </c>
      <c r="F119" s="4" t="n">
        <v>0.047619</v>
      </c>
      <c r="G119" s="4" t="n">
        <v>0.142857</v>
      </c>
      <c r="H119" s="4" t="n">
        <v>0.285714</v>
      </c>
      <c r="I119" s="4" t="n">
        <v>0.47619</v>
      </c>
      <c r="J119" s="4" t="n">
        <v>0.714286</v>
      </c>
      <c r="K119" s="4" t="n">
        <v>1</v>
      </c>
    </row>
    <row r="120" customFormat="false" ht="15" hidden="false" customHeight="false" outlineLevel="0" collapsed="false">
      <c r="A120" s="4" t="s">
        <v>2073</v>
      </c>
      <c r="B120" s="4" t="s">
        <v>2068</v>
      </c>
      <c r="C120" s="4" t="s">
        <v>106</v>
      </c>
      <c r="D120" s="4" t="s">
        <v>2059</v>
      </c>
      <c r="E120" s="4" t="n">
        <v>5</v>
      </c>
      <c r="F120" s="4" t="n">
        <v>0.066667</v>
      </c>
      <c r="G120" s="4" t="n">
        <v>0.2</v>
      </c>
      <c r="H120" s="4" t="n">
        <v>0.4</v>
      </c>
      <c r="I120" s="4" t="n">
        <v>0.666667</v>
      </c>
      <c r="J120" s="4" t="n">
        <v>1</v>
      </c>
    </row>
    <row r="121" customFormat="false" ht="15" hidden="false" customHeight="false" outlineLevel="0" collapsed="false">
      <c r="A121" s="4" t="s">
        <v>2074</v>
      </c>
      <c r="B121" s="4" t="s">
        <v>2075</v>
      </c>
      <c r="C121" s="4" t="s">
        <v>105</v>
      </c>
      <c r="D121" s="4" t="s">
        <v>2057</v>
      </c>
      <c r="E121" s="4" t="n">
        <v>6</v>
      </c>
      <c r="F121" s="4" t="n">
        <v>0.047619</v>
      </c>
      <c r="G121" s="4" t="n">
        <v>0.142857</v>
      </c>
      <c r="H121" s="4" t="n">
        <v>0.285714</v>
      </c>
      <c r="I121" s="4" t="n">
        <v>0.47619</v>
      </c>
      <c r="J121" s="4" t="n">
        <v>0.714286</v>
      </c>
      <c r="K121" s="4" t="n">
        <v>1</v>
      </c>
    </row>
    <row r="122" customFormat="false" ht="15" hidden="false" customHeight="false" outlineLevel="0" collapsed="false">
      <c r="A122" s="4" t="s">
        <v>2076</v>
      </c>
      <c r="B122" s="4" t="s">
        <v>2075</v>
      </c>
      <c r="C122" s="4" t="s">
        <v>106</v>
      </c>
      <c r="D122" s="4" t="s">
        <v>2059</v>
      </c>
      <c r="E122" s="4" t="n">
        <v>5</v>
      </c>
      <c r="F122" s="4" t="n">
        <v>0.066667</v>
      </c>
      <c r="G122" s="4" t="n">
        <v>0.2</v>
      </c>
      <c r="H122" s="4" t="n">
        <v>0.4</v>
      </c>
      <c r="I122" s="4" t="n">
        <v>0.666667</v>
      </c>
      <c r="J122" s="4" t="n">
        <v>1</v>
      </c>
    </row>
    <row r="123" customFormat="false" ht="15" hidden="false" customHeight="false" outlineLevel="0" collapsed="false">
      <c r="A123" s="4" t="s">
        <v>2077</v>
      </c>
      <c r="B123" s="4" t="s">
        <v>2078</v>
      </c>
      <c r="C123" s="4" t="s">
        <v>101</v>
      </c>
      <c r="D123" s="4" t="s">
        <v>2049</v>
      </c>
      <c r="E123" s="4" t="n">
        <v>5</v>
      </c>
      <c r="F123" s="4" t="n">
        <v>0.066667</v>
      </c>
      <c r="G123" s="4" t="n">
        <v>0.2</v>
      </c>
      <c r="H123" s="4" t="n">
        <v>0.4</v>
      </c>
      <c r="I123" s="4" t="n">
        <v>0.666667</v>
      </c>
      <c r="J123" s="4" t="n">
        <v>1</v>
      </c>
    </row>
    <row r="124" customFormat="false" ht="15" hidden="false" customHeight="false" outlineLevel="0" collapsed="false">
      <c r="A124" s="4" t="s">
        <v>2079</v>
      </c>
      <c r="B124" s="4" t="s">
        <v>2078</v>
      </c>
      <c r="C124" s="4" t="s">
        <v>102</v>
      </c>
      <c r="D124" s="4" t="s">
        <v>2051</v>
      </c>
      <c r="E124" s="4" t="n">
        <v>5</v>
      </c>
      <c r="F124" s="4" t="n">
        <v>0.066667</v>
      </c>
      <c r="G124" s="4" t="n">
        <v>0.2</v>
      </c>
      <c r="H124" s="4" t="n">
        <v>0.4</v>
      </c>
      <c r="I124" s="4" t="n">
        <v>0.666667</v>
      </c>
      <c r="J124" s="4" t="n">
        <v>1</v>
      </c>
    </row>
    <row r="125" customFormat="false" ht="15" hidden="false" customHeight="false" outlineLevel="0" collapsed="false">
      <c r="A125" s="4" t="s">
        <v>2080</v>
      </c>
      <c r="B125" s="4" t="s">
        <v>2078</v>
      </c>
      <c r="C125" s="4" t="s">
        <v>103</v>
      </c>
      <c r="D125" s="4" t="s">
        <v>2053</v>
      </c>
      <c r="E125" s="4" t="n">
        <v>4</v>
      </c>
      <c r="F125" s="4" t="n">
        <v>0.1</v>
      </c>
      <c r="G125" s="4" t="n">
        <v>0.3</v>
      </c>
      <c r="H125" s="4" t="n">
        <v>0.6</v>
      </c>
      <c r="I125" s="4" t="n">
        <v>1</v>
      </c>
    </row>
    <row r="126" customFormat="false" ht="15" hidden="false" customHeight="false" outlineLevel="0" collapsed="false">
      <c r="A126" s="4" t="s">
        <v>2081</v>
      </c>
      <c r="B126" s="4" t="s">
        <v>2078</v>
      </c>
      <c r="C126" s="4" t="s">
        <v>104</v>
      </c>
      <c r="D126" s="4" t="s">
        <v>2055</v>
      </c>
      <c r="E126" s="4" t="n">
        <v>5</v>
      </c>
      <c r="F126" s="4" t="n">
        <v>0.066667</v>
      </c>
      <c r="G126" s="4" t="n">
        <v>0.2</v>
      </c>
      <c r="H126" s="4" t="n">
        <v>0.4</v>
      </c>
      <c r="I126" s="4" t="n">
        <v>0.666667</v>
      </c>
      <c r="J126" s="4" t="n">
        <v>1</v>
      </c>
    </row>
    <row r="127" customFormat="false" ht="15" hidden="false" customHeight="false" outlineLevel="0" collapsed="false">
      <c r="A127" s="4" t="s">
        <v>2082</v>
      </c>
      <c r="B127" s="4" t="s">
        <v>2078</v>
      </c>
      <c r="C127" s="4" t="s">
        <v>105</v>
      </c>
      <c r="D127" s="4" t="s">
        <v>2057</v>
      </c>
      <c r="E127" s="4" t="n">
        <v>6</v>
      </c>
      <c r="F127" s="4" t="n">
        <v>0.047619</v>
      </c>
      <c r="G127" s="4" t="n">
        <v>0.142857</v>
      </c>
      <c r="H127" s="4" t="n">
        <v>0.285714</v>
      </c>
      <c r="I127" s="4" t="n">
        <v>0.47619</v>
      </c>
      <c r="J127" s="4" t="n">
        <v>0.714286</v>
      </c>
      <c r="K127" s="4" t="n">
        <v>1</v>
      </c>
    </row>
    <row r="128" customFormat="false" ht="15" hidden="false" customHeight="false" outlineLevel="0" collapsed="false">
      <c r="A128" s="4" t="s">
        <v>2083</v>
      </c>
      <c r="B128" s="4" t="s">
        <v>2078</v>
      </c>
      <c r="C128" s="4" t="s">
        <v>106</v>
      </c>
      <c r="D128" s="4" t="s">
        <v>2059</v>
      </c>
      <c r="E128" s="4" t="n">
        <v>5</v>
      </c>
      <c r="F128" s="4" t="n">
        <v>0.066667</v>
      </c>
      <c r="G128" s="4" t="n">
        <v>0.2</v>
      </c>
      <c r="H128" s="4" t="n">
        <v>0.4</v>
      </c>
      <c r="I128" s="4" t="n">
        <v>0.666667</v>
      </c>
      <c r="J128" s="4" t="n">
        <v>1</v>
      </c>
    </row>
    <row r="129" customFormat="false" ht="15" hidden="false" customHeight="false" outlineLevel="0" collapsed="false">
      <c r="A129" s="4" t="s">
        <v>2084</v>
      </c>
      <c r="B129" s="4" t="s">
        <v>2085</v>
      </c>
      <c r="C129" s="4" t="s">
        <v>101</v>
      </c>
      <c r="D129" s="4" t="s">
        <v>2049</v>
      </c>
      <c r="E129" s="4" t="n">
        <v>5</v>
      </c>
      <c r="F129" s="4" t="n">
        <v>0.066667</v>
      </c>
      <c r="G129" s="4" t="n">
        <v>0.2</v>
      </c>
      <c r="H129" s="4" t="n">
        <v>0.4</v>
      </c>
      <c r="I129" s="4" t="n">
        <v>0.666667</v>
      </c>
      <c r="J129" s="4" t="n">
        <v>1</v>
      </c>
    </row>
    <row r="130" customFormat="false" ht="15" hidden="false" customHeight="false" outlineLevel="0" collapsed="false">
      <c r="A130" s="4" t="s">
        <v>2086</v>
      </c>
      <c r="B130" s="4" t="s">
        <v>2085</v>
      </c>
      <c r="C130" s="4" t="s">
        <v>102</v>
      </c>
      <c r="D130" s="4" t="s">
        <v>2051</v>
      </c>
      <c r="E130" s="4" t="n">
        <v>5</v>
      </c>
      <c r="F130" s="4" t="n">
        <v>0.066667</v>
      </c>
      <c r="G130" s="4" t="n">
        <v>0.2</v>
      </c>
      <c r="H130" s="4" t="n">
        <v>0.4</v>
      </c>
      <c r="I130" s="4" t="n">
        <v>0.666667</v>
      </c>
      <c r="J130" s="4" t="n">
        <v>1</v>
      </c>
    </row>
    <row r="131" customFormat="false" ht="15" hidden="false" customHeight="false" outlineLevel="0" collapsed="false">
      <c r="A131" s="4" t="s">
        <v>2087</v>
      </c>
      <c r="B131" s="4" t="s">
        <v>2085</v>
      </c>
      <c r="C131" s="4" t="s">
        <v>103</v>
      </c>
      <c r="D131" s="4" t="s">
        <v>2053</v>
      </c>
      <c r="E131" s="4" t="n">
        <v>4</v>
      </c>
      <c r="F131" s="4" t="n">
        <v>0.1</v>
      </c>
      <c r="G131" s="4" t="n">
        <v>0.3</v>
      </c>
      <c r="H131" s="4" t="n">
        <v>0.6</v>
      </c>
      <c r="I131" s="4" t="n">
        <v>1</v>
      </c>
    </row>
    <row r="132" customFormat="false" ht="15" hidden="false" customHeight="false" outlineLevel="0" collapsed="false">
      <c r="A132" s="4" t="s">
        <v>2088</v>
      </c>
      <c r="B132" s="4" t="s">
        <v>2085</v>
      </c>
      <c r="C132" s="4" t="s">
        <v>104</v>
      </c>
      <c r="D132" s="4" t="s">
        <v>2055</v>
      </c>
      <c r="E132" s="4" t="n">
        <v>5</v>
      </c>
      <c r="F132" s="4" t="n">
        <v>0.066667</v>
      </c>
      <c r="G132" s="4" t="n">
        <v>0.2</v>
      </c>
      <c r="H132" s="4" t="n">
        <v>0.4</v>
      </c>
      <c r="I132" s="4" t="n">
        <v>0.666667</v>
      </c>
      <c r="J132" s="4" t="n">
        <v>1</v>
      </c>
    </row>
    <row r="133" customFormat="false" ht="15" hidden="false" customHeight="false" outlineLevel="0" collapsed="false">
      <c r="A133" s="4" t="s">
        <v>2089</v>
      </c>
      <c r="B133" s="4" t="s">
        <v>2085</v>
      </c>
      <c r="C133" s="4" t="s">
        <v>105</v>
      </c>
      <c r="D133" s="4" t="s">
        <v>2057</v>
      </c>
      <c r="E133" s="4" t="n">
        <v>6</v>
      </c>
      <c r="F133" s="4" t="n">
        <v>0.047619</v>
      </c>
      <c r="G133" s="4" t="n">
        <v>0.142857</v>
      </c>
      <c r="H133" s="4" t="n">
        <v>0.285714</v>
      </c>
      <c r="I133" s="4" t="n">
        <v>0.47619</v>
      </c>
      <c r="J133" s="4" t="n">
        <v>0.714286</v>
      </c>
      <c r="K133" s="4" t="n">
        <v>1</v>
      </c>
    </row>
    <row r="134" customFormat="false" ht="15" hidden="false" customHeight="false" outlineLevel="0" collapsed="false">
      <c r="A134" s="4" t="s">
        <v>2090</v>
      </c>
      <c r="B134" s="4" t="s">
        <v>2085</v>
      </c>
      <c r="C134" s="4" t="s">
        <v>106</v>
      </c>
      <c r="D134" s="4" t="s">
        <v>2059</v>
      </c>
      <c r="E134" s="4" t="n">
        <v>5</v>
      </c>
      <c r="F134" s="4" t="n">
        <v>0.066667</v>
      </c>
      <c r="G134" s="4" t="n">
        <v>0.2</v>
      </c>
      <c r="H134" s="4" t="n">
        <v>0.4</v>
      </c>
      <c r="I134" s="4" t="n">
        <v>0.666667</v>
      </c>
      <c r="J134" s="4" t="n">
        <v>1</v>
      </c>
    </row>
    <row r="135" customFormat="false" ht="15" hidden="false" customHeight="false" outlineLevel="0" collapsed="false">
      <c r="A135" s="4" t="s">
        <v>2091</v>
      </c>
      <c r="B135" s="4" t="s">
        <v>18</v>
      </c>
      <c r="C135" s="4" t="s">
        <v>83</v>
      </c>
      <c r="D135" s="4" t="s">
        <v>1924</v>
      </c>
      <c r="E135" s="4" t="n">
        <v>7</v>
      </c>
      <c r="F135" s="4" t="n">
        <v>0.035714</v>
      </c>
      <c r="G135" s="4" t="n">
        <v>0.107143</v>
      </c>
      <c r="H135" s="4" t="n">
        <v>0.214286</v>
      </c>
      <c r="I135" s="4" t="n">
        <v>0.357143</v>
      </c>
      <c r="J135" s="4" t="n">
        <v>0.535714</v>
      </c>
      <c r="K135" s="4" t="n">
        <v>0.75</v>
      </c>
      <c r="L135" s="4" t="n">
        <v>1</v>
      </c>
      <c r="N135" s="4" t="n">
        <v>31.74</v>
      </c>
    </row>
    <row r="136" customFormat="false" ht="15" hidden="false" customHeight="false" outlineLevel="0" collapsed="false">
      <c r="A136" s="4" t="s">
        <v>2092</v>
      </c>
      <c r="B136" s="4" t="s">
        <v>18</v>
      </c>
      <c r="C136" s="4" t="s">
        <v>84</v>
      </c>
      <c r="D136" s="4" t="s">
        <v>1945</v>
      </c>
      <c r="E136" s="4" t="n">
        <v>7</v>
      </c>
      <c r="F136" s="4" t="n">
        <v>0.035714</v>
      </c>
      <c r="G136" s="4" t="n">
        <v>0.107143</v>
      </c>
      <c r="H136" s="4" t="n">
        <v>0.214286</v>
      </c>
      <c r="I136" s="4" t="n">
        <v>0.357143</v>
      </c>
      <c r="J136" s="4" t="n">
        <v>0.535714</v>
      </c>
      <c r="K136" s="4" t="n">
        <v>0.75</v>
      </c>
      <c r="L136" s="4" t="n">
        <v>1</v>
      </c>
      <c r="N136" s="4" t="n">
        <v>34.67</v>
      </c>
    </row>
    <row r="137" customFormat="false" ht="15" hidden="false" customHeight="false" outlineLevel="0" collapsed="false">
      <c r="A137" s="4" t="s">
        <v>2093</v>
      </c>
      <c r="B137" s="4" t="s">
        <v>18</v>
      </c>
      <c r="C137" s="4" t="s">
        <v>85</v>
      </c>
      <c r="D137" s="4" t="s">
        <v>1947</v>
      </c>
      <c r="E137" s="4" t="n">
        <v>8</v>
      </c>
      <c r="F137" s="4" t="n">
        <v>0.027778</v>
      </c>
      <c r="G137" s="4" t="n">
        <v>0.083333</v>
      </c>
      <c r="H137" s="4" t="n">
        <v>0.166667</v>
      </c>
      <c r="I137" s="4" t="n">
        <v>0.277778</v>
      </c>
      <c r="J137" s="4" t="n">
        <v>0.416667</v>
      </c>
      <c r="K137" s="4" t="n">
        <v>0.583333</v>
      </c>
      <c r="L137" s="4" t="n">
        <v>0.777778</v>
      </c>
      <c r="M137" s="4" t="n">
        <v>1</v>
      </c>
      <c r="N137" s="4" t="n">
        <v>30.78</v>
      </c>
    </row>
    <row r="138" customFormat="false" ht="15" hidden="false" customHeight="false" outlineLevel="0" collapsed="false">
      <c r="A138" s="4" t="s">
        <v>2094</v>
      </c>
      <c r="B138" s="4" t="s">
        <v>18</v>
      </c>
      <c r="C138" s="4" t="s">
        <v>86</v>
      </c>
      <c r="D138" s="4" t="s">
        <v>1919</v>
      </c>
      <c r="E138" s="4" t="n">
        <v>8</v>
      </c>
      <c r="F138" s="4" t="n">
        <v>0.027778</v>
      </c>
      <c r="G138" s="4" t="n">
        <v>0.083333</v>
      </c>
      <c r="H138" s="4" t="n">
        <v>0.166667</v>
      </c>
      <c r="I138" s="4" t="n">
        <v>0.277778</v>
      </c>
      <c r="J138" s="4" t="n">
        <v>0.416667</v>
      </c>
      <c r="K138" s="4" t="n">
        <v>0.583333</v>
      </c>
      <c r="L138" s="4" t="n">
        <v>0.777778</v>
      </c>
      <c r="M138" s="4" t="n">
        <v>1</v>
      </c>
      <c r="N138" s="4" t="n">
        <v>45.12</v>
      </c>
    </row>
    <row r="139" customFormat="false" ht="15" hidden="false" customHeight="false" outlineLevel="0" collapsed="false">
      <c r="A139" s="4" t="s">
        <v>2095</v>
      </c>
      <c r="B139" s="4" t="s">
        <v>18</v>
      </c>
      <c r="C139" s="4" t="s">
        <v>87</v>
      </c>
      <c r="D139" s="4" t="s">
        <v>1911</v>
      </c>
      <c r="E139" s="4" t="n">
        <v>5</v>
      </c>
      <c r="F139" s="4" t="n">
        <v>0.066667</v>
      </c>
      <c r="G139" s="4" t="n">
        <v>0.2</v>
      </c>
      <c r="H139" s="4" t="n">
        <v>0.4</v>
      </c>
      <c r="I139" s="4" t="n">
        <v>0.666667</v>
      </c>
      <c r="J139" s="4" t="n">
        <v>1</v>
      </c>
    </row>
    <row r="140" customFormat="false" ht="15" hidden="false" customHeight="false" outlineLevel="0" collapsed="false">
      <c r="A140" s="4" t="s">
        <v>2096</v>
      </c>
      <c r="B140" s="4" t="s">
        <v>18</v>
      </c>
      <c r="C140" s="4" t="s">
        <v>88</v>
      </c>
      <c r="D140" s="4" t="s">
        <v>1913</v>
      </c>
      <c r="E140" s="4" t="n">
        <v>5</v>
      </c>
      <c r="F140" s="4" t="n">
        <v>0.066667</v>
      </c>
      <c r="G140" s="4" t="n">
        <v>0.2</v>
      </c>
      <c r="H140" s="4" t="n">
        <v>0.4</v>
      </c>
      <c r="I140" s="4" t="n">
        <v>0.666667</v>
      </c>
      <c r="J140" s="4" t="n">
        <v>1</v>
      </c>
    </row>
    <row r="141" customFormat="false" ht="15" hidden="false" customHeight="false" outlineLevel="0" collapsed="false">
      <c r="A141" s="4" t="s">
        <v>2097</v>
      </c>
      <c r="B141" s="4" t="s">
        <v>18</v>
      </c>
      <c r="C141" s="4" t="s">
        <v>89</v>
      </c>
      <c r="D141" s="4" t="s">
        <v>1991</v>
      </c>
      <c r="E141" s="4" t="n">
        <v>8</v>
      </c>
      <c r="F141" s="4" t="n">
        <v>0.027778</v>
      </c>
      <c r="G141" s="4" t="n">
        <v>0.083333</v>
      </c>
      <c r="H141" s="4" t="n">
        <v>0.166667</v>
      </c>
      <c r="I141" s="4" t="n">
        <v>0.277778</v>
      </c>
      <c r="J141" s="4" t="n">
        <v>0.416667</v>
      </c>
      <c r="K141" s="4" t="n">
        <v>0.583333</v>
      </c>
      <c r="L141" s="4" t="n">
        <v>0.777778</v>
      </c>
      <c r="M141" s="4" t="n">
        <v>1</v>
      </c>
      <c r="N141" s="4" t="n">
        <v>30.59</v>
      </c>
    </row>
    <row r="142" customFormat="false" ht="15" hidden="false" customHeight="false" outlineLevel="0" collapsed="false">
      <c r="A142" s="4" t="s">
        <v>2098</v>
      </c>
      <c r="B142" s="4" t="s">
        <v>18</v>
      </c>
      <c r="C142" s="4" t="s">
        <v>90</v>
      </c>
      <c r="D142" s="4" t="s">
        <v>1974</v>
      </c>
      <c r="E142" s="4" t="n">
        <v>7</v>
      </c>
      <c r="F142" s="4" t="n">
        <v>0.035714</v>
      </c>
      <c r="G142" s="4" t="n">
        <v>0.107143</v>
      </c>
      <c r="H142" s="4" t="n">
        <v>0.214286</v>
      </c>
      <c r="I142" s="4" t="n">
        <v>0.357143</v>
      </c>
      <c r="J142" s="4" t="n">
        <v>0.535714</v>
      </c>
      <c r="K142" s="4" t="n">
        <v>0.75</v>
      </c>
      <c r="L142" s="4" t="n">
        <v>1</v>
      </c>
    </row>
    <row r="143" customFormat="false" ht="15" hidden="false" customHeight="false" outlineLevel="0" collapsed="false">
      <c r="A143" s="4" t="s">
        <v>2099</v>
      </c>
      <c r="B143" s="4" t="s">
        <v>18</v>
      </c>
      <c r="C143" s="4" t="s">
        <v>91</v>
      </c>
      <c r="D143" s="4" t="s">
        <v>1994</v>
      </c>
      <c r="E143" s="4" t="n">
        <v>7</v>
      </c>
      <c r="F143" s="4" t="n">
        <v>0.035714</v>
      </c>
      <c r="G143" s="4" t="n">
        <v>0.107143</v>
      </c>
      <c r="H143" s="4" t="n">
        <v>0.214286</v>
      </c>
      <c r="I143" s="4" t="n">
        <v>0.357143</v>
      </c>
      <c r="J143" s="4" t="n">
        <v>0.535714</v>
      </c>
      <c r="K143" s="4" t="n">
        <v>0.75</v>
      </c>
      <c r="L143" s="4" t="n">
        <v>1</v>
      </c>
    </row>
    <row r="144" customFormat="false" ht="15" hidden="false" customHeight="false" outlineLevel="0" collapsed="false">
      <c r="A144" s="4" t="s">
        <v>2100</v>
      </c>
      <c r="B144" s="4" t="s">
        <v>18</v>
      </c>
      <c r="C144" s="4" t="s">
        <v>92</v>
      </c>
      <c r="D144" s="4" t="s">
        <v>1959</v>
      </c>
      <c r="E144" s="4" t="n">
        <v>6</v>
      </c>
      <c r="F144" s="4" t="n">
        <v>0.047619</v>
      </c>
      <c r="G144" s="4" t="n">
        <v>0.142857</v>
      </c>
      <c r="H144" s="4" t="n">
        <v>0.285714</v>
      </c>
      <c r="I144" s="4" t="n">
        <v>0.47619</v>
      </c>
      <c r="J144" s="4" t="n">
        <v>0.714286</v>
      </c>
      <c r="K144" s="4" t="n">
        <v>1</v>
      </c>
    </row>
    <row r="145" customFormat="false" ht="15" hidden="false" customHeight="false" outlineLevel="0" collapsed="false">
      <c r="A145" s="4" t="s">
        <v>2101</v>
      </c>
      <c r="B145" s="4" t="s">
        <v>18</v>
      </c>
      <c r="C145" s="4" t="s">
        <v>93</v>
      </c>
      <c r="D145" s="4" t="s">
        <v>1961</v>
      </c>
      <c r="E145" s="4" t="n">
        <v>4</v>
      </c>
      <c r="F145" s="4" t="n">
        <v>0.1</v>
      </c>
      <c r="G145" s="4" t="n">
        <v>0.3</v>
      </c>
      <c r="H145" s="4" t="n">
        <v>0.6</v>
      </c>
      <c r="I145" s="4" t="n">
        <v>1</v>
      </c>
    </row>
    <row r="146" customFormat="false" ht="15" hidden="false" customHeight="false" outlineLevel="0" collapsed="false">
      <c r="A146" s="4" t="s">
        <v>2102</v>
      </c>
      <c r="B146" s="4" t="s">
        <v>18</v>
      </c>
      <c r="C146" s="4" t="s">
        <v>94</v>
      </c>
      <c r="D146" s="4" t="s">
        <v>1963</v>
      </c>
      <c r="E146" s="4" t="n">
        <v>5</v>
      </c>
      <c r="F146" s="4" t="n">
        <v>0.066667</v>
      </c>
      <c r="G146" s="4" t="n">
        <v>0.2</v>
      </c>
      <c r="H146" s="4" t="n">
        <v>0.4</v>
      </c>
      <c r="I146" s="4" t="n">
        <v>0.666667</v>
      </c>
      <c r="J146" s="4" t="n">
        <v>1</v>
      </c>
    </row>
    <row r="147" customFormat="false" ht="15" hidden="false" customHeight="false" outlineLevel="0" collapsed="false">
      <c r="A147" s="4" t="s">
        <v>2103</v>
      </c>
      <c r="B147" s="4" t="s">
        <v>18</v>
      </c>
      <c r="C147" s="4" t="s">
        <v>95</v>
      </c>
      <c r="D147" s="4" t="s">
        <v>2020</v>
      </c>
      <c r="E147" s="4" t="n">
        <v>8</v>
      </c>
      <c r="F147" s="4" t="n">
        <v>0.027778</v>
      </c>
      <c r="G147" s="4" t="n">
        <v>0.083333</v>
      </c>
      <c r="H147" s="4" t="n">
        <v>0.166667</v>
      </c>
      <c r="I147" s="4" t="n">
        <v>0.277778</v>
      </c>
      <c r="J147" s="4" t="n">
        <v>0.416667</v>
      </c>
      <c r="K147" s="4" t="n">
        <v>0.583333</v>
      </c>
      <c r="L147" s="4" t="n">
        <v>0.777778</v>
      </c>
      <c r="M147" s="4" t="n">
        <v>1</v>
      </c>
      <c r="N147" s="4" t="n">
        <v>39.1</v>
      </c>
    </row>
    <row r="148" customFormat="false" ht="15" hidden="false" customHeight="false" outlineLevel="0" collapsed="false">
      <c r="A148" s="4" t="s">
        <v>2104</v>
      </c>
      <c r="B148" s="4" t="s">
        <v>18</v>
      </c>
      <c r="C148" s="4" t="s">
        <v>96</v>
      </c>
      <c r="D148" s="4" t="s">
        <v>2042</v>
      </c>
      <c r="E148" s="4" t="n">
        <v>7</v>
      </c>
      <c r="F148" s="4" t="n">
        <v>0.035714</v>
      </c>
      <c r="G148" s="4" t="n">
        <v>0.107143</v>
      </c>
      <c r="H148" s="4" t="n">
        <v>0.214286</v>
      </c>
      <c r="I148" s="4" t="n">
        <v>0.357143</v>
      </c>
      <c r="J148" s="4" t="n">
        <v>0.535714</v>
      </c>
      <c r="K148" s="4" t="n">
        <v>0.75</v>
      </c>
      <c r="L148" s="4" t="n">
        <v>1</v>
      </c>
    </row>
    <row r="149" customFormat="false" ht="15" hidden="false" customHeight="false" outlineLevel="0" collapsed="false">
      <c r="A149" s="4" t="s">
        <v>2105</v>
      </c>
      <c r="B149" s="4" t="s">
        <v>18</v>
      </c>
      <c r="C149" s="4" t="s">
        <v>97</v>
      </c>
      <c r="D149" s="4" t="s">
        <v>2023</v>
      </c>
      <c r="E149" s="4" t="n">
        <v>7</v>
      </c>
      <c r="F149" s="4" t="n">
        <v>0.035714</v>
      </c>
      <c r="G149" s="4" t="n">
        <v>0.107143</v>
      </c>
      <c r="H149" s="4" t="n">
        <v>0.214286</v>
      </c>
      <c r="I149" s="4" t="n">
        <v>0.357143</v>
      </c>
      <c r="J149" s="4" t="n">
        <v>0.535714</v>
      </c>
      <c r="K149" s="4" t="n">
        <v>0.75</v>
      </c>
      <c r="L149" s="4" t="n">
        <v>1</v>
      </c>
    </row>
    <row r="150" customFormat="false" ht="15" hidden="false" customHeight="false" outlineLevel="0" collapsed="false">
      <c r="A150" s="4" t="s">
        <v>2106</v>
      </c>
      <c r="B150" s="4" t="s">
        <v>18</v>
      </c>
      <c r="C150" s="4" t="s">
        <v>98</v>
      </c>
      <c r="D150" s="4" t="s">
        <v>2025</v>
      </c>
      <c r="E150" s="4" t="n">
        <v>7</v>
      </c>
      <c r="F150" s="4" t="n">
        <v>0.035714</v>
      </c>
      <c r="G150" s="4" t="n">
        <v>0.107143</v>
      </c>
      <c r="H150" s="4" t="n">
        <v>0.214286</v>
      </c>
      <c r="I150" s="4" t="n">
        <v>0.357143</v>
      </c>
      <c r="J150" s="4" t="n">
        <v>0.535714</v>
      </c>
      <c r="K150" s="4" t="n">
        <v>0.75</v>
      </c>
      <c r="L150" s="4" t="n">
        <v>1</v>
      </c>
    </row>
    <row r="151" customFormat="false" ht="15" hidden="false" customHeight="false" outlineLevel="0" collapsed="false">
      <c r="A151" s="4" t="s">
        <v>2107</v>
      </c>
      <c r="B151" s="4" t="s">
        <v>18</v>
      </c>
      <c r="C151" s="4" t="s">
        <v>99</v>
      </c>
      <c r="D151" s="4" t="s">
        <v>2008</v>
      </c>
      <c r="E151" s="4" t="n">
        <v>5</v>
      </c>
      <c r="F151" s="4" t="n">
        <v>0.066667</v>
      </c>
      <c r="G151" s="4" t="n">
        <v>0.2</v>
      </c>
      <c r="H151" s="4" t="n">
        <v>0.4</v>
      </c>
      <c r="I151" s="4" t="n">
        <v>0.666667</v>
      </c>
      <c r="J151" s="4" t="n">
        <v>1</v>
      </c>
    </row>
    <row r="152" customFormat="false" ht="15" hidden="false" customHeight="false" outlineLevel="0" collapsed="false">
      <c r="A152" s="4" t="s">
        <v>2108</v>
      </c>
      <c r="B152" s="4" t="s">
        <v>18</v>
      </c>
      <c r="C152" s="4" t="s">
        <v>100</v>
      </c>
      <c r="D152" s="4" t="s">
        <v>2010</v>
      </c>
      <c r="E152" s="4" t="n">
        <v>5</v>
      </c>
      <c r="F152" s="4" t="n">
        <v>0.066667</v>
      </c>
      <c r="G152" s="4" t="n">
        <v>0.2</v>
      </c>
      <c r="H152" s="4" t="n">
        <v>0.4</v>
      </c>
      <c r="I152" s="4" t="n">
        <v>0.666667</v>
      </c>
      <c r="J152" s="4" t="n">
        <v>1</v>
      </c>
    </row>
    <row r="153" customFormat="false" ht="15" hidden="false" customHeight="false" outlineLevel="0" collapsed="false">
      <c r="A153" s="4" t="s">
        <v>2109</v>
      </c>
      <c r="B153" s="4" t="s">
        <v>18</v>
      </c>
      <c r="C153" s="4" t="s">
        <v>101</v>
      </c>
      <c r="D153" s="4" t="s">
        <v>2049</v>
      </c>
      <c r="E153" s="4" t="n">
        <v>5</v>
      </c>
      <c r="F153" s="4" t="n">
        <v>0.066667</v>
      </c>
      <c r="G153" s="4" t="n">
        <v>0.2</v>
      </c>
      <c r="H153" s="4" t="n">
        <v>0.4</v>
      </c>
      <c r="I153" s="4" t="n">
        <v>0.666667</v>
      </c>
      <c r="J153" s="4" t="n">
        <v>1</v>
      </c>
    </row>
    <row r="154" customFormat="false" ht="15" hidden="false" customHeight="false" outlineLevel="0" collapsed="false">
      <c r="A154" s="4" t="s">
        <v>2110</v>
      </c>
      <c r="B154" s="4" t="s">
        <v>18</v>
      </c>
      <c r="C154" s="4" t="s">
        <v>102</v>
      </c>
      <c r="D154" s="4" t="s">
        <v>2051</v>
      </c>
      <c r="E154" s="4" t="n">
        <v>5</v>
      </c>
      <c r="F154" s="4" t="n">
        <v>0.066667</v>
      </c>
      <c r="G154" s="4" t="n">
        <v>0.2</v>
      </c>
      <c r="H154" s="4" t="n">
        <v>0.4</v>
      </c>
      <c r="I154" s="4" t="n">
        <v>0.666667</v>
      </c>
      <c r="J154" s="4" t="n">
        <v>1</v>
      </c>
    </row>
    <row r="155" customFormat="false" ht="15" hidden="false" customHeight="false" outlineLevel="0" collapsed="false">
      <c r="A155" s="4" t="s">
        <v>2111</v>
      </c>
      <c r="B155" s="4" t="s">
        <v>18</v>
      </c>
      <c r="C155" s="4" t="s">
        <v>103</v>
      </c>
      <c r="D155" s="4" t="s">
        <v>2053</v>
      </c>
      <c r="E155" s="4" t="n">
        <v>4</v>
      </c>
      <c r="F155" s="4" t="n">
        <v>0.1</v>
      </c>
      <c r="G155" s="4" t="n">
        <v>0.3</v>
      </c>
      <c r="H155" s="4" t="n">
        <v>0.6</v>
      </c>
      <c r="I155" s="4" t="n">
        <v>1</v>
      </c>
    </row>
    <row r="156" customFormat="false" ht="15" hidden="false" customHeight="false" outlineLevel="0" collapsed="false">
      <c r="A156" s="4" t="s">
        <v>2112</v>
      </c>
      <c r="B156" s="4" t="s">
        <v>18</v>
      </c>
      <c r="C156" s="4" t="s">
        <v>104</v>
      </c>
      <c r="D156" s="4" t="s">
        <v>2055</v>
      </c>
      <c r="E156" s="4" t="n">
        <v>5</v>
      </c>
      <c r="F156" s="4" t="n">
        <v>0.066667</v>
      </c>
      <c r="G156" s="4" t="n">
        <v>0.2</v>
      </c>
      <c r="H156" s="4" t="n">
        <v>0.4</v>
      </c>
      <c r="I156" s="4" t="n">
        <v>0.666667</v>
      </c>
      <c r="J156" s="4" t="n">
        <v>1</v>
      </c>
    </row>
    <row r="157" customFormat="false" ht="15" hidden="false" customHeight="false" outlineLevel="0" collapsed="false">
      <c r="A157" s="4" t="s">
        <v>2113</v>
      </c>
      <c r="B157" s="4" t="s">
        <v>18</v>
      </c>
      <c r="C157" s="4" t="s">
        <v>105</v>
      </c>
      <c r="D157" s="4" t="s">
        <v>2057</v>
      </c>
      <c r="E157" s="4" t="n">
        <v>6</v>
      </c>
      <c r="F157" s="4" t="n">
        <v>0.047619</v>
      </c>
      <c r="G157" s="4" t="n">
        <v>0.142857</v>
      </c>
      <c r="H157" s="4" t="n">
        <v>0.285714</v>
      </c>
      <c r="I157" s="4" t="n">
        <v>0.47619</v>
      </c>
      <c r="J157" s="4" t="n">
        <v>0.714286</v>
      </c>
      <c r="K157" s="4" t="n">
        <v>1</v>
      </c>
    </row>
    <row r="158" customFormat="false" ht="15" hidden="false" customHeight="false" outlineLevel="0" collapsed="false">
      <c r="A158" s="4" t="s">
        <v>2114</v>
      </c>
      <c r="B158" s="4" t="s">
        <v>18</v>
      </c>
      <c r="C158" s="4" t="s">
        <v>106</v>
      </c>
      <c r="D158" s="4" t="s">
        <v>2059</v>
      </c>
      <c r="E158" s="4" t="n">
        <v>5</v>
      </c>
      <c r="F158" s="4" t="n">
        <v>0.066667</v>
      </c>
      <c r="G158" s="4" t="n">
        <v>0.2</v>
      </c>
      <c r="H158" s="4" t="n">
        <v>0.4</v>
      </c>
      <c r="I158" s="4" t="n">
        <v>0.666667</v>
      </c>
      <c r="J158" s="4" t="n">
        <v>1</v>
      </c>
    </row>
    <row r="159" customFormat="false" ht="15" hidden="false" customHeight="false" outlineLevel="0" collapsed="false">
      <c r="A159" s="4" t="s">
        <v>2115</v>
      </c>
      <c r="B159" s="4" t="s">
        <v>2116</v>
      </c>
      <c r="C159" s="4" t="s">
        <v>83</v>
      </c>
      <c r="D159" s="4" t="s">
        <v>1924</v>
      </c>
      <c r="E159" s="4" t="n">
        <v>7</v>
      </c>
      <c r="F159" s="4" t="n">
        <v>0.035714</v>
      </c>
      <c r="G159" s="4" t="n">
        <v>0.107143</v>
      </c>
      <c r="H159" s="4" t="n">
        <v>0.214286</v>
      </c>
      <c r="I159" s="4" t="n">
        <v>0.357143</v>
      </c>
      <c r="J159" s="4" t="n">
        <v>0.535714</v>
      </c>
      <c r="K159" s="4" t="n">
        <v>0.75</v>
      </c>
      <c r="L159" s="4" t="n">
        <v>1</v>
      </c>
      <c r="N159" s="4" t="n">
        <v>31.74</v>
      </c>
    </row>
    <row r="160" customFormat="false" ht="15" hidden="false" customHeight="false" outlineLevel="0" collapsed="false">
      <c r="A160" s="4" t="s">
        <v>2117</v>
      </c>
      <c r="B160" s="4" t="s">
        <v>2116</v>
      </c>
      <c r="C160" s="4" t="s">
        <v>85</v>
      </c>
      <c r="D160" s="4" t="s">
        <v>1947</v>
      </c>
      <c r="E160" s="4" t="n">
        <v>8</v>
      </c>
      <c r="F160" s="4" t="n">
        <v>0.027778</v>
      </c>
      <c r="G160" s="4" t="n">
        <v>0.083333</v>
      </c>
      <c r="H160" s="4" t="n">
        <v>0.166667</v>
      </c>
      <c r="I160" s="4" t="n">
        <v>0.277778</v>
      </c>
      <c r="J160" s="4" t="n">
        <v>0.416667</v>
      </c>
      <c r="K160" s="4" t="n">
        <v>0.583333</v>
      </c>
      <c r="L160" s="4" t="n">
        <v>0.777778</v>
      </c>
      <c r="M160" s="4" t="n">
        <v>1</v>
      </c>
      <c r="N160" s="4" t="n">
        <v>30.78</v>
      </c>
    </row>
    <row r="161" customFormat="false" ht="15" hidden="false" customHeight="false" outlineLevel="0" collapsed="false">
      <c r="A161" s="4" t="s">
        <v>2118</v>
      </c>
      <c r="B161" s="4" t="s">
        <v>2116</v>
      </c>
      <c r="C161" s="4" t="s">
        <v>86</v>
      </c>
      <c r="D161" s="4" t="s">
        <v>1919</v>
      </c>
      <c r="E161" s="4" t="n">
        <v>8</v>
      </c>
      <c r="F161" s="4" t="n">
        <v>0.027778</v>
      </c>
      <c r="G161" s="4" t="n">
        <v>0.083333</v>
      </c>
      <c r="H161" s="4" t="n">
        <v>0.166667</v>
      </c>
      <c r="I161" s="4" t="n">
        <v>0.277778</v>
      </c>
      <c r="J161" s="4" t="n">
        <v>0.416667</v>
      </c>
      <c r="K161" s="4" t="n">
        <v>0.583333</v>
      </c>
      <c r="L161" s="4" t="n">
        <v>0.777778</v>
      </c>
      <c r="M161" s="4" t="n">
        <v>1</v>
      </c>
      <c r="N161" s="4" t="n">
        <v>45.12</v>
      </c>
    </row>
    <row r="162" customFormat="false" ht="15" hidden="false" customHeight="false" outlineLevel="0" collapsed="false">
      <c r="A162" s="4" t="s">
        <v>2119</v>
      </c>
      <c r="B162" s="4" t="s">
        <v>2116</v>
      </c>
      <c r="C162" s="4" t="s">
        <v>87</v>
      </c>
      <c r="D162" s="4" t="s">
        <v>1911</v>
      </c>
      <c r="E162" s="4" t="n">
        <v>5</v>
      </c>
      <c r="F162" s="4" t="n">
        <v>0.066667</v>
      </c>
      <c r="G162" s="4" t="n">
        <v>0.2</v>
      </c>
      <c r="H162" s="4" t="n">
        <v>0.4</v>
      </c>
      <c r="I162" s="4" t="n">
        <v>0.666667</v>
      </c>
      <c r="J162" s="4" t="n">
        <v>1</v>
      </c>
    </row>
    <row r="163" customFormat="false" ht="15" hidden="false" customHeight="false" outlineLevel="0" collapsed="false">
      <c r="A163" s="4" t="s">
        <v>2120</v>
      </c>
      <c r="B163" s="4" t="s">
        <v>2116</v>
      </c>
      <c r="C163" s="4" t="s">
        <v>88</v>
      </c>
      <c r="D163" s="4" t="s">
        <v>1913</v>
      </c>
      <c r="E163" s="4" t="n">
        <v>5</v>
      </c>
      <c r="F163" s="4" t="n">
        <v>0.066667</v>
      </c>
      <c r="G163" s="4" t="n">
        <v>0.2</v>
      </c>
      <c r="H163" s="4" t="n">
        <v>0.4</v>
      </c>
      <c r="I163" s="4" t="n">
        <v>0.666667</v>
      </c>
      <c r="J163" s="4" t="n">
        <v>1</v>
      </c>
    </row>
    <row r="164" customFormat="false" ht="15" hidden="false" customHeight="false" outlineLevel="0" collapsed="false">
      <c r="A164" s="4" t="s">
        <v>2121</v>
      </c>
      <c r="B164" s="4" t="s">
        <v>2116</v>
      </c>
      <c r="C164" s="4" t="s">
        <v>89</v>
      </c>
      <c r="D164" s="4" t="s">
        <v>1991</v>
      </c>
      <c r="E164" s="4" t="n">
        <v>8</v>
      </c>
      <c r="F164" s="4" t="n">
        <v>0.027778</v>
      </c>
      <c r="G164" s="4" t="n">
        <v>0.083333</v>
      </c>
      <c r="H164" s="4" t="n">
        <v>0.166667</v>
      </c>
      <c r="I164" s="4" t="n">
        <v>0.277778</v>
      </c>
      <c r="J164" s="4" t="n">
        <v>0.416667</v>
      </c>
      <c r="K164" s="4" t="n">
        <v>0.583333</v>
      </c>
      <c r="L164" s="4" t="n">
        <v>0.777778</v>
      </c>
      <c r="M164" s="4" t="n">
        <v>1</v>
      </c>
      <c r="N164" s="4" t="n">
        <v>30.59</v>
      </c>
    </row>
    <row r="165" customFormat="false" ht="15" hidden="false" customHeight="false" outlineLevel="0" collapsed="false">
      <c r="A165" s="4" t="s">
        <v>2122</v>
      </c>
      <c r="B165" s="4" t="s">
        <v>2116</v>
      </c>
      <c r="C165" s="4" t="s">
        <v>90</v>
      </c>
      <c r="D165" s="4" t="s">
        <v>1974</v>
      </c>
      <c r="E165" s="4" t="n">
        <v>7</v>
      </c>
      <c r="F165" s="4" t="n">
        <v>0.035714</v>
      </c>
      <c r="G165" s="4" t="n">
        <v>0.107143</v>
      </c>
      <c r="H165" s="4" t="n">
        <v>0.214286</v>
      </c>
      <c r="I165" s="4" t="n">
        <v>0.357143</v>
      </c>
      <c r="J165" s="4" t="n">
        <v>0.535714</v>
      </c>
      <c r="K165" s="4" t="n">
        <v>0.75</v>
      </c>
      <c r="L165" s="4" t="n">
        <v>1</v>
      </c>
    </row>
    <row r="166" customFormat="false" ht="15" hidden="false" customHeight="false" outlineLevel="0" collapsed="false">
      <c r="A166" s="4" t="s">
        <v>2123</v>
      </c>
      <c r="B166" s="4" t="s">
        <v>2116</v>
      </c>
      <c r="C166" s="4" t="s">
        <v>91</v>
      </c>
      <c r="D166" s="4" t="s">
        <v>1994</v>
      </c>
      <c r="E166" s="4" t="n">
        <v>7</v>
      </c>
      <c r="F166" s="4" t="n">
        <v>0.035714</v>
      </c>
      <c r="G166" s="4" t="n">
        <v>0.107143</v>
      </c>
      <c r="H166" s="4" t="n">
        <v>0.214286</v>
      </c>
      <c r="I166" s="4" t="n">
        <v>0.357143</v>
      </c>
      <c r="J166" s="4" t="n">
        <v>0.535714</v>
      </c>
      <c r="K166" s="4" t="n">
        <v>0.75</v>
      </c>
      <c r="L166" s="4" t="n">
        <v>1</v>
      </c>
    </row>
    <row r="167" customFormat="false" ht="15" hidden="false" customHeight="false" outlineLevel="0" collapsed="false">
      <c r="A167" s="4" t="s">
        <v>2124</v>
      </c>
      <c r="B167" s="4" t="s">
        <v>2116</v>
      </c>
      <c r="C167" s="4" t="s">
        <v>92</v>
      </c>
      <c r="D167" s="4" t="s">
        <v>1959</v>
      </c>
      <c r="E167" s="4" t="n">
        <v>6</v>
      </c>
      <c r="F167" s="4" t="n">
        <v>0.047619</v>
      </c>
      <c r="G167" s="4" t="n">
        <v>0.142857</v>
      </c>
      <c r="H167" s="4" t="n">
        <v>0.285714</v>
      </c>
      <c r="I167" s="4" t="n">
        <v>0.47619</v>
      </c>
      <c r="J167" s="4" t="n">
        <v>0.714286</v>
      </c>
      <c r="K167" s="4" t="n">
        <v>1</v>
      </c>
    </row>
    <row r="168" customFormat="false" ht="15" hidden="false" customHeight="false" outlineLevel="0" collapsed="false">
      <c r="A168" s="4" t="s">
        <v>2125</v>
      </c>
      <c r="B168" s="4" t="s">
        <v>2116</v>
      </c>
      <c r="C168" s="4" t="s">
        <v>93</v>
      </c>
      <c r="D168" s="4" t="s">
        <v>1961</v>
      </c>
      <c r="E168" s="4" t="n">
        <v>4</v>
      </c>
      <c r="F168" s="4" t="n">
        <v>0.1</v>
      </c>
      <c r="G168" s="4" t="n">
        <v>0.3</v>
      </c>
      <c r="H168" s="4" t="n">
        <v>0.6</v>
      </c>
      <c r="I168" s="4" t="n">
        <v>1</v>
      </c>
    </row>
    <row r="169" customFormat="false" ht="15" hidden="false" customHeight="false" outlineLevel="0" collapsed="false">
      <c r="A169" s="4" t="s">
        <v>2126</v>
      </c>
      <c r="B169" s="4" t="s">
        <v>2116</v>
      </c>
      <c r="C169" s="4" t="s">
        <v>94</v>
      </c>
      <c r="D169" s="4" t="s">
        <v>1963</v>
      </c>
      <c r="E169" s="4" t="n">
        <v>5</v>
      </c>
      <c r="F169" s="4" t="n">
        <v>0.066667</v>
      </c>
      <c r="G169" s="4" t="n">
        <v>0.2</v>
      </c>
      <c r="H169" s="4" t="n">
        <v>0.4</v>
      </c>
      <c r="I169" s="4" t="n">
        <v>0.666667</v>
      </c>
      <c r="J169" s="4" t="n">
        <v>1</v>
      </c>
    </row>
    <row r="170" customFormat="false" ht="15" hidden="false" customHeight="false" outlineLevel="0" collapsed="false">
      <c r="A170" s="4" t="s">
        <v>2127</v>
      </c>
      <c r="B170" s="4" t="s">
        <v>2116</v>
      </c>
      <c r="C170" s="4" t="s">
        <v>95</v>
      </c>
      <c r="D170" s="4" t="s">
        <v>2020</v>
      </c>
      <c r="E170" s="4" t="n">
        <v>8</v>
      </c>
      <c r="F170" s="4" t="n">
        <v>0.027778</v>
      </c>
      <c r="G170" s="4" t="n">
        <v>0.083333</v>
      </c>
      <c r="H170" s="4" t="n">
        <v>0.166667</v>
      </c>
      <c r="I170" s="4" t="n">
        <v>0.277778</v>
      </c>
      <c r="J170" s="4" t="n">
        <v>0.416667</v>
      </c>
      <c r="K170" s="4" t="n">
        <v>0.583333</v>
      </c>
      <c r="L170" s="4" t="n">
        <v>0.777778</v>
      </c>
      <c r="M170" s="4" t="n">
        <v>1</v>
      </c>
      <c r="N170" s="4" t="n">
        <v>39.1</v>
      </c>
    </row>
    <row r="171" customFormat="false" ht="15" hidden="false" customHeight="false" outlineLevel="0" collapsed="false">
      <c r="A171" s="4" t="s">
        <v>2128</v>
      </c>
      <c r="B171" s="4" t="s">
        <v>2116</v>
      </c>
      <c r="C171" s="4" t="s">
        <v>96</v>
      </c>
      <c r="D171" s="4" t="s">
        <v>2042</v>
      </c>
      <c r="E171" s="4" t="n">
        <v>7</v>
      </c>
      <c r="F171" s="4" t="n">
        <v>0.035714</v>
      </c>
      <c r="G171" s="4" t="n">
        <v>0.107143</v>
      </c>
      <c r="H171" s="4" t="n">
        <v>0.214286</v>
      </c>
      <c r="I171" s="4" t="n">
        <v>0.357143</v>
      </c>
      <c r="J171" s="4" t="n">
        <v>0.535714</v>
      </c>
      <c r="K171" s="4" t="n">
        <v>0.75</v>
      </c>
      <c r="L171" s="4" t="n">
        <v>1</v>
      </c>
    </row>
    <row r="172" customFormat="false" ht="15" hidden="false" customHeight="false" outlineLevel="0" collapsed="false">
      <c r="A172" s="4" t="s">
        <v>2129</v>
      </c>
      <c r="B172" s="4" t="s">
        <v>2116</v>
      </c>
      <c r="C172" s="4" t="s">
        <v>97</v>
      </c>
      <c r="D172" s="4" t="s">
        <v>2023</v>
      </c>
      <c r="E172" s="4" t="n">
        <v>7</v>
      </c>
      <c r="F172" s="4" t="n">
        <v>0.035714</v>
      </c>
      <c r="G172" s="4" t="n">
        <v>0.107143</v>
      </c>
      <c r="H172" s="4" t="n">
        <v>0.214286</v>
      </c>
      <c r="I172" s="4" t="n">
        <v>0.357143</v>
      </c>
      <c r="J172" s="4" t="n">
        <v>0.535714</v>
      </c>
      <c r="K172" s="4" t="n">
        <v>0.75</v>
      </c>
      <c r="L172" s="4" t="n">
        <v>1</v>
      </c>
    </row>
    <row r="173" customFormat="false" ht="15" hidden="false" customHeight="false" outlineLevel="0" collapsed="false">
      <c r="A173" s="4" t="s">
        <v>2130</v>
      </c>
      <c r="B173" s="4" t="s">
        <v>2116</v>
      </c>
      <c r="C173" s="4" t="s">
        <v>98</v>
      </c>
      <c r="D173" s="4" t="s">
        <v>2025</v>
      </c>
      <c r="E173" s="4" t="n">
        <v>7</v>
      </c>
      <c r="F173" s="4" t="n">
        <v>0.035714</v>
      </c>
      <c r="G173" s="4" t="n">
        <v>0.107143</v>
      </c>
      <c r="H173" s="4" t="n">
        <v>0.214286</v>
      </c>
      <c r="I173" s="4" t="n">
        <v>0.357143</v>
      </c>
      <c r="J173" s="4" t="n">
        <v>0.535714</v>
      </c>
      <c r="K173" s="4" t="n">
        <v>0.75</v>
      </c>
      <c r="L173" s="4" t="n">
        <v>1</v>
      </c>
    </row>
    <row r="174" customFormat="false" ht="15" hidden="false" customHeight="false" outlineLevel="0" collapsed="false">
      <c r="A174" s="4" t="s">
        <v>2131</v>
      </c>
      <c r="B174" s="4" t="s">
        <v>2116</v>
      </c>
      <c r="C174" s="4" t="s">
        <v>99</v>
      </c>
      <c r="D174" s="4" t="s">
        <v>2008</v>
      </c>
      <c r="E174" s="4" t="n">
        <v>5</v>
      </c>
      <c r="F174" s="4" t="n">
        <v>0.066667</v>
      </c>
      <c r="G174" s="4" t="n">
        <v>0.2</v>
      </c>
      <c r="H174" s="4" t="n">
        <v>0.4</v>
      </c>
      <c r="I174" s="4" t="n">
        <v>0.666667</v>
      </c>
      <c r="J174" s="4" t="n">
        <v>1</v>
      </c>
    </row>
    <row r="175" customFormat="false" ht="15" hidden="false" customHeight="false" outlineLevel="0" collapsed="false">
      <c r="A175" s="4" t="s">
        <v>2132</v>
      </c>
      <c r="B175" s="4" t="s">
        <v>2116</v>
      </c>
      <c r="C175" s="4" t="s">
        <v>100</v>
      </c>
      <c r="D175" s="4" t="s">
        <v>2010</v>
      </c>
      <c r="E175" s="4" t="n">
        <v>5</v>
      </c>
      <c r="F175" s="4" t="n">
        <v>0.066667</v>
      </c>
      <c r="G175" s="4" t="n">
        <v>0.2</v>
      </c>
      <c r="H175" s="4" t="n">
        <v>0.4</v>
      </c>
      <c r="I175" s="4" t="n">
        <v>0.666667</v>
      </c>
      <c r="J175" s="4" t="n">
        <v>1</v>
      </c>
    </row>
    <row r="176" customFormat="false" ht="15" hidden="false" customHeight="false" outlineLevel="0" collapsed="false">
      <c r="A176" s="4" t="s">
        <v>2133</v>
      </c>
      <c r="B176" s="4" t="s">
        <v>2116</v>
      </c>
      <c r="C176" s="4" t="s">
        <v>101</v>
      </c>
      <c r="D176" s="4" t="s">
        <v>2049</v>
      </c>
      <c r="E176" s="4" t="n">
        <v>5</v>
      </c>
      <c r="F176" s="4" t="n">
        <v>0.066667</v>
      </c>
      <c r="G176" s="4" t="n">
        <v>0.2</v>
      </c>
      <c r="H176" s="4" t="n">
        <v>0.4</v>
      </c>
      <c r="I176" s="4" t="n">
        <v>0.666667</v>
      </c>
      <c r="J176" s="4" t="n">
        <v>1</v>
      </c>
    </row>
    <row r="177" customFormat="false" ht="15" hidden="false" customHeight="false" outlineLevel="0" collapsed="false">
      <c r="A177" s="4" t="s">
        <v>2134</v>
      </c>
      <c r="B177" s="4" t="s">
        <v>2116</v>
      </c>
      <c r="C177" s="4" t="s">
        <v>102</v>
      </c>
      <c r="D177" s="4" t="s">
        <v>2051</v>
      </c>
      <c r="E177" s="4" t="n">
        <v>5</v>
      </c>
      <c r="F177" s="4" t="n">
        <v>0.066667</v>
      </c>
      <c r="G177" s="4" t="n">
        <v>0.2</v>
      </c>
      <c r="H177" s="4" t="n">
        <v>0.4</v>
      </c>
      <c r="I177" s="4" t="n">
        <v>0.666667</v>
      </c>
      <c r="J177" s="4" t="n">
        <v>1</v>
      </c>
    </row>
    <row r="178" customFormat="false" ht="15" hidden="false" customHeight="false" outlineLevel="0" collapsed="false">
      <c r="A178" s="4" t="s">
        <v>2135</v>
      </c>
      <c r="B178" s="4" t="s">
        <v>2116</v>
      </c>
      <c r="C178" s="4" t="s">
        <v>103</v>
      </c>
      <c r="D178" s="4" t="s">
        <v>2053</v>
      </c>
      <c r="E178" s="4" t="n">
        <v>4</v>
      </c>
      <c r="F178" s="4" t="n">
        <v>0.1</v>
      </c>
      <c r="G178" s="4" t="n">
        <v>0.3</v>
      </c>
      <c r="H178" s="4" t="n">
        <v>0.6</v>
      </c>
      <c r="I178" s="4" t="n">
        <v>1</v>
      </c>
    </row>
    <row r="179" customFormat="false" ht="15" hidden="false" customHeight="false" outlineLevel="0" collapsed="false">
      <c r="A179" s="4" t="s">
        <v>2136</v>
      </c>
      <c r="B179" s="4" t="s">
        <v>2116</v>
      </c>
      <c r="C179" s="4" t="s">
        <v>104</v>
      </c>
      <c r="D179" s="4" t="s">
        <v>2055</v>
      </c>
      <c r="E179" s="4" t="n">
        <v>5</v>
      </c>
      <c r="F179" s="4" t="n">
        <v>0.066667</v>
      </c>
      <c r="G179" s="4" t="n">
        <v>0.2</v>
      </c>
      <c r="H179" s="4" t="n">
        <v>0.4</v>
      </c>
      <c r="I179" s="4" t="n">
        <v>0.666667</v>
      </c>
      <c r="J179" s="4" t="n">
        <v>1</v>
      </c>
    </row>
    <row r="180" customFormat="false" ht="15" hidden="false" customHeight="false" outlineLevel="0" collapsed="false">
      <c r="A180" s="4" t="s">
        <v>2137</v>
      </c>
      <c r="B180" s="4" t="s">
        <v>2116</v>
      </c>
      <c r="C180" s="4" t="s">
        <v>105</v>
      </c>
      <c r="D180" s="4" t="s">
        <v>2057</v>
      </c>
      <c r="E180" s="4" t="n">
        <v>6</v>
      </c>
      <c r="F180" s="4" t="n">
        <v>0.047619</v>
      </c>
      <c r="G180" s="4" t="n">
        <v>0.142857</v>
      </c>
      <c r="H180" s="4" t="n">
        <v>0.285714</v>
      </c>
      <c r="I180" s="4" t="n">
        <v>0.47619</v>
      </c>
      <c r="J180" s="4" t="n">
        <v>0.714286</v>
      </c>
      <c r="K180" s="4" t="n">
        <v>1</v>
      </c>
    </row>
    <row r="181" customFormat="false" ht="15" hidden="false" customHeight="false" outlineLevel="0" collapsed="false">
      <c r="A181" s="4" t="s">
        <v>2138</v>
      </c>
      <c r="B181" s="4" t="s">
        <v>2116</v>
      </c>
      <c r="C181" s="4" t="s">
        <v>106</v>
      </c>
      <c r="D181" s="4" t="s">
        <v>2059</v>
      </c>
      <c r="E181" s="4" t="n">
        <v>5</v>
      </c>
      <c r="F181" s="4" t="n">
        <v>0.066667</v>
      </c>
      <c r="G181" s="4" t="n">
        <v>0.2</v>
      </c>
      <c r="H181" s="4" t="n">
        <v>0.4</v>
      </c>
      <c r="I181" s="4" t="n">
        <v>0.666667</v>
      </c>
      <c r="J181" s="4" t="n">
        <v>1</v>
      </c>
    </row>
    <row r="182" customFormat="false" ht="15" hidden="false" customHeight="false" outlineLevel="0" collapsed="false">
      <c r="A182" s="4" t="s">
        <v>2139</v>
      </c>
      <c r="B182" s="4" t="s">
        <v>2140</v>
      </c>
      <c r="C182" s="4" t="s">
        <v>83</v>
      </c>
      <c r="D182" s="4" t="s">
        <v>1924</v>
      </c>
      <c r="E182" s="4" t="n">
        <v>7</v>
      </c>
      <c r="F182" s="4" t="n">
        <v>0.035714</v>
      </c>
      <c r="G182" s="4" t="n">
        <v>0.107143</v>
      </c>
      <c r="H182" s="4" t="n">
        <v>0.214286</v>
      </c>
      <c r="I182" s="4" t="n">
        <v>0.357143</v>
      </c>
      <c r="J182" s="4" t="n">
        <v>0.535714</v>
      </c>
      <c r="K182" s="4" t="n">
        <v>0.75</v>
      </c>
      <c r="L182" s="4" t="n">
        <v>1</v>
      </c>
      <c r="N182" s="4" t="n">
        <v>31.74</v>
      </c>
    </row>
    <row r="183" customFormat="false" ht="15" hidden="false" customHeight="false" outlineLevel="0" collapsed="false">
      <c r="A183" s="4" t="s">
        <v>2141</v>
      </c>
      <c r="B183" s="4" t="s">
        <v>2140</v>
      </c>
      <c r="C183" s="4" t="s">
        <v>84</v>
      </c>
      <c r="D183" s="4" t="s">
        <v>1945</v>
      </c>
      <c r="E183" s="4" t="n">
        <v>7</v>
      </c>
      <c r="F183" s="4" t="n">
        <v>0.035714</v>
      </c>
      <c r="G183" s="4" t="n">
        <v>0.107143</v>
      </c>
      <c r="H183" s="4" t="n">
        <v>0.214286</v>
      </c>
      <c r="I183" s="4" t="n">
        <v>0.357143</v>
      </c>
      <c r="J183" s="4" t="n">
        <v>0.535714</v>
      </c>
      <c r="K183" s="4" t="n">
        <v>0.75</v>
      </c>
      <c r="L183" s="4" t="n">
        <v>1</v>
      </c>
      <c r="N183" s="4" t="n">
        <v>34.67</v>
      </c>
    </row>
    <row r="184" customFormat="false" ht="15" hidden="false" customHeight="false" outlineLevel="0" collapsed="false">
      <c r="A184" s="4" t="s">
        <v>2142</v>
      </c>
      <c r="B184" s="4" t="s">
        <v>2140</v>
      </c>
      <c r="C184" s="4" t="s">
        <v>89</v>
      </c>
      <c r="D184" s="4" t="s">
        <v>1991</v>
      </c>
      <c r="E184" s="4" t="n">
        <v>8</v>
      </c>
      <c r="F184" s="4" t="n">
        <v>0.027778</v>
      </c>
      <c r="G184" s="4" t="n">
        <v>0.083333</v>
      </c>
      <c r="H184" s="4" t="n">
        <v>0.166667</v>
      </c>
      <c r="I184" s="4" t="n">
        <v>0.277778</v>
      </c>
      <c r="J184" s="4" t="n">
        <v>0.416667</v>
      </c>
      <c r="K184" s="4" t="n">
        <v>0.583333</v>
      </c>
      <c r="L184" s="4" t="n">
        <v>0.777778</v>
      </c>
      <c r="M184" s="4" t="n">
        <v>1</v>
      </c>
      <c r="N184" s="4" t="n">
        <v>30.59</v>
      </c>
    </row>
    <row r="185" customFormat="false" ht="15" hidden="false" customHeight="false" outlineLevel="0" collapsed="false">
      <c r="A185" s="4" t="s">
        <v>2143</v>
      </c>
      <c r="B185" s="4" t="s">
        <v>2140</v>
      </c>
      <c r="C185" s="4" t="s">
        <v>90</v>
      </c>
      <c r="D185" s="4" t="s">
        <v>1974</v>
      </c>
      <c r="E185" s="4" t="n">
        <v>7</v>
      </c>
      <c r="F185" s="4" t="n">
        <v>0.035714</v>
      </c>
      <c r="G185" s="4" t="n">
        <v>0.107143</v>
      </c>
      <c r="H185" s="4" t="n">
        <v>0.214286</v>
      </c>
      <c r="I185" s="4" t="n">
        <v>0.357143</v>
      </c>
      <c r="J185" s="4" t="n">
        <v>0.535714</v>
      </c>
      <c r="K185" s="4" t="n">
        <v>0.75</v>
      </c>
      <c r="L185" s="4" t="n">
        <v>1</v>
      </c>
    </row>
    <row r="186" customFormat="false" ht="15" hidden="false" customHeight="false" outlineLevel="0" collapsed="false">
      <c r="A186" s="4" t="s">
        <v>2144</v>
      </c>
      <c r="B186" s="4" t="s">
        <v>2140</v>
      </c>
      <c r="C186" s="4" t="s">
        <v>95</v>
      </c>
      <c r="D186" s="4" t="s">
        <v>2020</v>
      </c>
      <c r="E186" s="4" t="n">
        <v>8</v>
      </c>
      <c r="F186" s="4" t="n">
        <v>0.027778</v>
      </c>
      <c r="G186" s="4" t="n">
        <v>0.083333</v>
      </c>
      <c r="H186" s="4" t="n">
        <v>0.166667</v>
      </c>
      <c r="I186" s="4" t="n">
        <v>0.277778</v>
      </c>
      <c r="J186" s="4" t="n">
        <v>0.416667</v>
      </c>
      <c r="K186" s="4" t="n">
        <v>0.583333</v>
      </c>
      <c r="L186" s="4" t="n">
        <v>0.777778</v>
      </c>
      <c r="M186" s="4" t="n">
        <v>1</v>
      </c>
      <c r="N186" s="4" t="n">
        <v>39.1</v>
      </c>
    </row>
    <row r="187" customFormat="false" ht="15" hidden="false" customHeight="false" outlineLevel="0" collapsed="false">
      <c r="A187" s="4" t="s">
        <v>2145</v>
      </c>
      <c r="B187" s="4" t="s">
        <v>2146</v>
      </c>
      <c r="C187" s="4" t="s">
        <v>87</v>
      </c>
      <c r="D187" s="4" t="s">
        <v>1911</v>
      </c>
      <c r="E187" s="4" t="n">
        <v>5</v>
      </c>
      <c r="F187" s="4" t="n">
        <v>0.066667</v>
      </c>
      <c r="G187" s="4" t="n">
        <v>0.2</v>
      </c>
      <c r="H187" s="4" t="n">
        <v>0.4</v>
      </c>
      <c r="I187" s="4" t="n">
        <v>0.666667</v>
      </c>
      <c r="J187" s="4" t="n">
        <v>1</v>
      </c>
    </row>
    <row r="188" customFormat="false" ht="15" hidden="false" customHeight="false" outlineLevel="0" collapsed="false">
      <c r="A188" s="4" t="s">
        <v>2147</v>
      </c>
      <c r="B188" s="4" t="s">
        <v>2146</v>
      </c>
      <c r="C188" s="4" t="s">
        <v>93</v>
      </c>
      <c r="D188" s="4" t="s">
        <v>1961</v>
      </c>
      <c r="E188" s="4" t="n">
        <v>4</v>
      </c>
      <c r="F188" s="4" t="n">
        <v>0.1</v>
      </c>
      <c r="G188" s="4" t="n">
        <v>0.3</v>
      </c>
      <c r="H188" s="4" t="n">
        <v>0.6</v>
      </c>
      <c r="I188" s="4" t="n">
        <v>1</v>
      </c>
    </row>
    <row r="189" customFormat="false" ht="15" hidden="false" customHeight="false" outlineLevel="0" collapsed="false">
      <c r="A189" s="4" t="s">
        <v>2148</v>
      </c>
      <c r="B189" s="4" t="s">
        <v>2146</v>
      </c>
      <c r="C189" s="4" t="s">
        <v>99</v>
      </c>
      <c r="D189" s="4" t="s">
        <v>2008</v>
      </c>
      <c r="E189" s="4" t="n">
        <v>5</v>
      </c>
      <c r="F189" s="4" t="n">
        <v>0.066667</v>
      </c>
      <c r="G189" s="4" t="n">
        <v>0.2</v>
      </c>
      <c r="H189" s="4" t="n">
        <v>0.4</v>
      </c>
      <c r="I189" s="4" t="n">
        <v>0.666667</v>
      </c>
      <c r="J189" s="4" t="n">
        <v>1</v>
      </c>
    </row>
    <row r="190" customFormat="false" ht="15" hidden="false" customHeight="false" outlineLevel="0" collapsed="false">
      <c r="A190" s="4" t="s">
        <v>2149</v>
      </c>
      <c r="B190" s="4" t="s">
        <v>2146</v>
      </c>
      <c r="C190" s="4" t="s">
        <v>101</v>
      </c>
      <c r="D190" s="4" t="s">
        <v>2049</v>
      </c>
      <c r="E190" s="4" t="n">
        <v>5</v>
      </c>
      <c r="F190" s="4" t="n">
        <v>0.066667</v>
      </c>
      <c r="G190" s="4" t="n">
        <v>0.2</v>
      </c>
      <c r="H190" s="4" t="n">
        <v>0.4</v>
      </c>
      <c r="I190" s="4" t="n">
        <v>0.666667</v>
      </c>
      <c r="J190" s="4" t="n">
        <v>1</v>
      </c>
    </row>
    <row r="191" customFormat="false" ht="15" hidden="false" customHeight="false" outlineLevel="0" collapsed="false">
      <c r="A191" s="4" t="s">
        <v>2150</v>
      </c>
      <c r="B191" s="4" t="s">
        <v>2146</v>
      </c>
      <c r="C191" s="4" t="s">
        <v>102</v>
      </c>
      <c r="D191" s="4" t="s">
        <v>2051</v>
      </c>
      <c r="E191" s="4" t="n">
        <v>5</v>
      </c>
      <c r="F191" s="4" t="n">
        <v>0.066667</v>
      </c>
      <c r="G191" s="4" t="n">
        <v>0.2</v>
      </c>
      <c r="H191" s="4" t="n">
        <v>0.4</v>
      </c>
      <c r="I191" s="4" t="n">
        <v>0.666667</v>
      </c>
      <c r="J191" s="4" t="n">
        <v>1</v>
      </c>
    </row>
    <row r="192" customFormat="false" ht="15" hidden="false" customHeight="false" outlineLevel="0" collapsed="false">
      <c r="A192" s="4" t="s">
        <v>2151</v>
      </c>
      <c r="B192" s="4" t="s">
        <v>2146</v>
      </c>
      <c r="C192" s="4" t="s">
        <v>105</v>
      </c>
      <c r="D192" s="4" t="s">
        <v>2057</v>
      </c>
      <c r="E192" s="4" t="n">
        <v>6</v>
      </c>
      <c r="F192" s="4" t="n">
        <v>0.047619</v>
      </c>
      <c r="G192" s="4" t="n">
        <v>0.142857</v>
      </c>
      <c r="H192" s="4" t="n">
        <v>0.285714</v>
      </c>
      <c r="I192" s="4" t="n">
        <v>0.47619</v>
      </c>
      <c r="J192" s="4" t="n">
        <v>0.714286</v>
      </c>
      <c r="K192" s="4" t="n">
        <v>1</v>
      </c>
    </row>
    <row r="193" customFormat="false" ht="15" hidden="false" customHeight="false" outlineLevel="0" collapsed="false">
      <c r="A193" s="4" t="s">
        <v>2152</v>
      </c>
      <c r="B193" s="4" t="s">
        <v>2146</v>
      </c>
      <c r="C193" s="4" t="s">
        <v>106</v>
      </c>
      <c r="D193" s="4" t="s">
        <v>2059</v>
      </c>
      <c r="E193" s="4" t="n">
        <v>5</v>
      </c>
      <c r="F193" s="4" t="n">
        <v>0.066667</v>
      </c>
      <c r="G193" s="4" t="n">
        <v>0.2</v>
      </c>
      <c r="H193" s="4" t="n">
        <v>0.4</v>
      </c>
      <c r="I193" s="4" t="n">
        <v>0.666667</v>
      </c>
      <c r="J193" s="4" t="n">
        <v>1</v>
      </c>
    </row>
    <row r="194" customFormat="false" ht="15" hidden="false" customHeight="false" outlineLevel="0" collapsed="false">
      <c r="A194" s="4" t="s">
        <v>2153</v>
      </c>
      <c r="B194" s="4" t="s">
        <v>2154</v>
      </c>
      <c r="C194" s="4" t="s">
        <v>87</v>
      </c>
      <c r="D194" s="4" t="s">
        <v>1911</v>
      </c>
      <c r="E194" s="4" t="n">
        <v>5</v>
      </c>
      <c r="F194" s="4" t="n">
        <v>0.066667</v>
      </c>
      <c r="G194" s="4" t="n">
        <v>0.2</v>
      </c>
      <c r="H194" s="4" t="n">
        <v>0.4</v>
      </c>
      <c r="I194" s="4" t="n">
        <v>0.666667</v>
      </c>
      <c r="J194" s="4" t="n">
        <v>1</v>
      </c>
    </row>
    <row r="195" customFormat="false" ht="15" hidden="false" customHeight="false" outlineLevel="0" collapsed="false">
      <c r="A195" s="4" t="s">
        <v>2155</v>
      </c>
      <c r="B195" s="4" t="s">
        <v>2154</v>
      </c>
      <c r="C195" s="4" t="s">
        <v>88</v>
      </c>
      <c r="D195" s="4" t="s">
        <v>1913</v>
      </c>
      <c r="E195" s="4" t="n">
        <v>5</v>
      </c>
      <c r="F195" s="4" t="n">
        <v>0.066667</v>
      </c>
      <c r="G195" s="4" t="n">
        <v>0.2</v>
      </c>
      <c r="H195" s="4" t="n">
        <v>0.4</v>
      </c>
      <c r="I195" s="4" t="n">
        <v>0.666667</v>
      </c>
      <c r="J195" s="4" t="n">
        <v>1</v>
      </c>
    </row>
    <row r="196" customFormat="false" ht="15" hidden="false" customHeight="false" outlineLevel="0" collapsed="false">
      <c r="A196" s="4" t="s">
        <v>2156</v>
      </c>
      <c r="B196" s="4" t="s">
        <v>2154</v>
      </c>
      <c r="C196" s="4" t="s">
        <v>93</v>
      </c>
      <c r="D196" s="4" t="s">
        <v>1961</v>
      </c>
      <c r="E196" s="4" t="n">
        <v>4</v>
      </c>
      <c r="F196" s="4" t="n">
        <v>0.1</v>
      </c>
      <c r="G196" s="4" t="n">
        <v>0.3</v>
      </c>
      <c r="H196" s="4" t="n">
        <v>0.6</v>
      </c>
      <c r="I196" s="4" t="n">
        <v>1</v>
      </c>
    </row>
    <row r="197" customFormat="false" ht="15" hidden="false" customHeight="false" outlineLevel="0" collapsed="false">
      <c r="A197" s="4" t="s">
        <v>2157</v>
      </c>
      <c r="B197" s="4" t="s">
        <v>2154</v>
      </c>
      <c r="C197" s="4" t="s">
        <v>94</v>
      </c>
      <c r="D197" s="4" t="s">
        <v>1963</v>
      </c>
      <c r="E197" s="4" t="n">
        <v>5</v>
      </c>
      <c r="F197" s="4" t="n">
        <v>0.066667</v>
      </c>
      <c r="G197" s="4" t="n">
        <v>0.2</v>
      </c>
      <c r="H197" s="4" t="n">
        <v>0.4</v>
      </c>
      <c r="I197" s="4" t="n">
        <v>0.666667</v>
      </c>
      <c r="J197" s="4" t="n">
        <v>1</v>
      </c>
    </row>
    <row r="198" customFormat="false" ht="15" hidden="false" customHeight="false" outlineLevel="0" collapsed="false">
      <c r="A198" s="4" t="s">
        <v>2158</v>
      </c>
      <c r="B198" s="4" t="s">
        <v>2154</v>
      </c>
      <c r="C198" s="4" t="s">
        <v>99</v>
      </c>
      <c r="D198" s="4" t="s">
        <v>2008</v>
      </c>
      <c r="E198" s="4" t="n">
        <v>5</v>
      </c>
      <c r="F198" s="4" t="n">
        <v>0.066667</v>
      </c>
      <c r="G198" s="4" t="n">
        <v>0.2</v>
      </c>
      <c r="H198" s="4" t="n">
        <v>0.4</v>
      </c>
      <c r="I198" s="4" t="n">
        <v>0.666667</v>
      </c>
      <c r="J198" s="4" t="n">
        <v>1</v>
      </c>
    </row>
    <row r="199" customFormat="false" ht="15" hidden="false" customHeight="false" outlineLevel="0" collapsed="false">
      <c r="A199" s="4" t="s">
        <v>2159</v>
      </c>
      <c r="B199" s="4" t="s">
        <v>2154</v>
      </c>
      <c r="C199" s="4" t="s">
        <v>100</v>
      </c>
      <c r="D199" s="4" t="s">
        <v>2010</v>
      </c>
      <c r="E199" s="4" t="n">
        <v>5</v>
      </c>
      <c r="F199" s="4" t="n">
        <v>0.066667</v>
      </c>
      <c r="G199" s="4" t="n">
        <v>0.2</v>
      </c>
      <c r="H199" s="4" t="n">
        <v>0.4</v>
      </c>
      <c r="I199" s="4" t="n">
        <v>0.666667</v>
      </c>
      <c r="J199" s="4" t="n">
        <v>1</v>
      </c>
    </row>
    <row r="200" customFormat="false" ht="15" hidden="false" customHeight="false" outlineLevel="0" collapsed="false">
      <c r="A200" s="4" t="s">
        <v>2160</v>
      </c>
      <c r="B200" s="4" t="s">
        <v>2154</v>
      </c>
      <c r="C200" s="4" t="s">
        <v>101</v>
      </c>
      <c r="D200" s="4" t="s">
        <v>2049</v>
      </c>
      <c r="E200" s="4" t="n">
        <v>5</v>
      </c>
      <c r="F200" s="4" t="n">
        <v>0.066667</v>
      </c>
      <c r="G200" s="4" t="n">
        <v>0.2</v>
      </c>
      <c r="H200" s="4" t="n">
        <v>0.4</v>
      </c>
      <c r="I200" s="4" t="n">
        <v>0.666667</v>
      </c>
      <c r="J200" s="4" t="n">
        <v>1</v>
      </c>
    </row>
    <row r="201" customFormat="false" ht="15" hidden="false" customHeight="false" outlineLevel="0" collapsed="false">
      <c r="A201" s="4" t="s">
        <v>2161</v>
      </c>
      <c r="B201" s="4" t="s">
        <v>2154</v>
      </c>
      <c r="C201" s="4" t="s">
        <v>102</v>
      </c>
      <c r="D201" s="4" t="s">
        <v>2051</v>
      </c>
      <c r="E201" s="4" t="n">
        <v>5</v>
      </c>
      <c r="F201" s="4" t="n">
        <v>0.066667</v>
      </c>
      <c r="G201" s="4" t="n">
        <v>0.2</v>
      </c>
      <c r="H201" s="4" t="n">
        <v>0.4</v>
      </c>
      <c r="I201" s="4" t="n">
        <v>0.666667</v>
      </c>
      <c r="J201" s="4" t="n">
        <v>1</v>
      </c>
    </row>
    <row r="202" customFormat="false" ht="15" hidden="false" customHeight="false" outlineLevel="0" collapsed="false">
      <c r="A202" s="4" t="s">
        <v>2162</v>
      </c>
      <c r="B202" s="4" t="s">
        <v>2154</v>
      </c>
      <c r="C202" s="4" t="s">
        <v>103</v>
      </c>
      <c r="D202" s="4" t="s">
        <v>2053</v>
      </c>
      <c r="E202" s="4" t="n">
        <v>4</v>
      </c>
      <c r="F202" s="4" t="n">
        <v>0.1</v>
      </c>
      <c r="G202" s="4" t="n">
        <v>0.3</v>
      </c>
      <c r="H202" s="4" t="n">
        <v>0.6</v>
      </c>
      <c r="I202" s="4" t="n">
        <v>1</v>
      </c>
    </row>
    <row r="203" customFormat="false" ht="15" hidden="false" customHeight="false" outlineLevel="0" collapsed="false">
      <c r="A203" s="4" t="s">
        <v>2163</v>
      </c>
      <c r="B203" s="4" t="s">
        <v>2154</v>
      </c>
      <c r="C203" s="4" t="s">
        <v>104</v>
      </c>
      <c r="D203" s="4" t="s">
        <v>2055</v>
      </c>
      <c r="E203" s="4" t="n">
        <v>5</v>
      </c>
      <c r="F203" s="4" t="n">
        <v>0.066667</v>
      </c>
      <c r="G203" s="4" t="n">
        <v>0.2</v>
      </c>
      <c r="H203" s="4" t="n">
        <v>0.4</v>
      </c>
      <c r="I203" s="4" t="n">
        <v>0.666667</v>
      </c>
      <c r="J203" s="4" t="n">
        <v>1</v>
      </c>
    </row>
    <row r="204" customFormat="false" ht="15" hidden="false" customHeight="false" outlineLevel="0" collapsed="false">
      <c r="A204" s="4" t="s">
        <v>2164</v>
      </c>
      <c r="B204" s="4" t="s">
        <v>2165</v>
      </c>
      <c r="C204" s="4" t="s">
        <v>85</v>
      </c>
      <c r="D204" s="4" t="s">
        <v>1947</v>
      </c>
      <c r="E204" s="4" t="n">
        <v>8</v>
      </c>
      <c r="F204" s="4" t="n">
        <v>0.027778</v>
      </c>
      <c r="G204" s="4" t="n">
        <v>0.083333</v>
      </c>
      <c r="H204" s="4" t="n">
        <v>0.166667</v>
      </c>
      <c r="I204" s="4" t="n">
        <v>0.277778</v>
      </c>
      <c r="J204" s="4" t="n">
        <v>0.416667</v>
      </c>
      <c r="K204" s="4" t="n">
        <v>0.583333</v>
      </c>
      <c r="L204" s="4" t="n">
        <v>0.777778</v>
      </c>
      <c r="M204" s="4" t="n">
        <v>1</v>
      </c>
      <c r="N204" s="4" t="n">
        <v>30.78</v>
      </c>
    </row>
    <row r="205" customFormat="false" ht="15" hidden="false" customHeight="false" outlineLevel="0" collapsed="false">
      <c r="A205" s="4" t="s">
        <v>2166</v>
      </c>
      <c r="B205" s="4" t="s">
        <v>2165</v>
      </c>
      <c r="C205" s="4" t="s">
        <v>86</v>
      </c>
      <c r="D205" s="4" t="s">
        <v>1919</v>
      </c>
      <c r="E205" s="4" t="n">
        <v>8</v>
      </c>
      <c r="F205" s="4" t="n">
        <v>0.027778</v>
      </c>
      <c r="G205" s="4" t="n">
        <v>0.083333</v>
      </c>
      <c r="H205" s="4" t="n">
        <v>0.166667</v>
      </c>
      <c r="I205" s="4" t="n">
        <v>0.277778</v>
      </c>
      <c r="J205" s="4" t="n">
        <v>0.416667</v>
      </c>
      <c r="K205" s="4" t="n">
        <v>0.583333</v>
      </c>
      <c r="L205" s="4" t="n">
        <v>0.777778</v>
      </c>
      <c r="M205" s="4" t="n">
        <v>1</v>
      </c>
      <c r="N205" s="4" t="n">
        <v>45.12</v>
      </c>
    </row>
    <row r="206" customFormat="false" ht="15" hidden="false" customHeight="false" outlineLevel="0" collapsed="false">
      <c r="A206" s="4" t="s">
        <v>2167</v>
      </c>
      <c r="B206" s="4" t="s">
        <v>2165</v>
      </c>
      <c r="C206" s="4" t="s">
        <v>90</v>
      </c>
      <c r="D206" s="4" t="s">
        <v>1974</v>
      </c>
      <c r="E206" s="4" t="n">
        <v>7</v>
      </c>
      <c r="F206" s="4" t="n">
        <v>0.035714</v>
      </c>
      <c r="G206" s="4" t="n">
        <v>0.107143</v>
      </c>
      <c r="H206" s="4" t="n">
        <v>0.214286</v>
      </c>
      <c r="I206" s="4" t="n">
        <v>0.357143</v>
      </c>
      <c r="J206" s="4" t="n">
        <v>0.535714</v>
      </c>
      <c r="K206" s="4" t="n">
        <v>0.75</v>
      </c>
      <c r="L206" s="4" t="n">
        <v>1</v>
      </c>
    </row>
    <row r="207" customFormat="false" ht="15" hidden="false" customHeight="false" outlineLevel="0" collapsed="false">
      <c r="A207" s="4" t="s">
        <v>2168</v>
      </c>
      <c r="B207" s="4" t="s">
        <v>2165</v>
      </c>
      <c r="C207" s="4" t="s">
        <v>91</v>
      </c>
      <c r="D207" s="4" t="s">
        <v>1994</v>
      </c>
      <c r="E207" s="4" t="n">
        <v>7</v>
      </c>
      <c r="F207" s="4" t="n">
        <v>0.035714</v>
      </c>
      <c r="G207" s="4" t="n">
        <v>0.107143</v>
      </c>
      <c r="H207" s="4" t="n">
        <v>0.214286</v>
      </c>
      <c r="I207" s="4" t="n">
        <v>0.357143</v>
      </c>
      <c r="J207" s="4" t="n">
        <v>0.535714</v>
      </c>
      <c r="K207" s="4" t="n">
        <v>0.75</v>
      </c>
      <c r="L207" s="4" t="n">
        <v>1</v>
      </c>
    </row>
    <row r="208" customFormat="false" ht="15" hidden="false" customHeight="false" outlineLevel="0" collapsed="false">
      <c r="A208" s="4" t="s">
        <v>2169</v>
      </c>
      <c r="B208" s="4" t="s">
        <v>2165</v>
      </c>
      <c r="C208" s="4" t="s">
        <v>92</v>
      </c>
      <c r="D208" s="4" t="s">
        <v>1959</v>
      </c>
      <c r="E208" s="4" t="n">
        <v>6</v>
      </c>
      <c r="F208" s="4" t="n">
        <v>0.047619</v>
      </c>
      <c r="G208" s="4" t="n">
        <v>0.142857</v>
      </c>
      <c r="H208" s="4" t="n">
        <v>0.285714</v>
      </c>
      <c r="I208" s="4" t="n">
        <v>0.47619</v>
      </c>
      <c r="J208" s="4" t="n">
        <v>0.714286</v>
      </c>
      <c r="K208" s="4" t="n">
        <v>1</v>
      </c>
    </row>
    <row r="209" customFormat="false" ht="15" hidden="false" customHeight="false" outlineLevel="0" collapsed="false">
      <c r="A209" s="4" t="s">
        <v>2170</v>
      </c>
      <c r="B209" s="4" t="s">
        <v>2165</v>
      </c>
      <c r="C209" s="4" t="s">
        <v>95</v>
      </c>
      <c r="D209" s="4" t="s">
        <v>2020</v>
      </c>
      <c r="E209" s="4" t="n">
        <v>8</v>
      </c>
      <c r="F209" s="4" t="n">
        <v>0.027778</v>
      </c>
      <c r="G209" s="4" t="n">
        <v>0.083333</v>
      </c>
      <c r="H209" s="4" t="n">
        <v>0.166667</v>
      </c>
      <c r="I209" s="4" t="n">
        <v>0.277778</v>
      </c>
      <c r="J209" s="4" t="n">
        <v>0.416667</v>
      </c>
      <c r="K209" s="4" t="n">
        <v>0.583333</v>
      </c>
      <c r="L209" s="4" t="n">
        <v>0.777778</v>
      </c>
      <c r="M209" s="4" t="n">
        <v>1</v>
      </c>
      <c r="N209" s="4" t="n">
        <v>39.1</v>
      </c>
    </row>
    <row r="210" customFormat="false" ht="15" hidden="false" customHeight="false" outlineLevel="0" collapsed="false">
      <c r="A210" s="4" t="s">
        <v>2171</v>
      </c>
      <c r="B210" s="4" t="s">
        <v>2165</v>
      </c>
      <c r="C210" s="4" t="s">
        <v>96</v>
      </c>
      <c r="D210" s="4" t="s">
        <v>2042</v>
      </c>
      <c r="E210" s="4" t="n">
        <v>7</v>
      </c>
      <c r="F210" s="4" t="n">
        <v>0.035714</v>
      </c>
      <c r="G210" s="4" t="n">
        <v>0.107143</v>
      </c>
      <c r="H210" s="4" t="n">
        <v>0.214286</v>
      </c>
      <c r="I210" s="4" t="n">
        <v>0.357143</v>
      </c>
      <c r="J210" s="4" t="n">
        <v>0.535714</v>
      </c>
      <c r="K210" s="4" t="n">
        <v>0.75</v>
      </c>
      <c r="L210" s="4" t="n">
        <v>1</v>
      </c>
    </row>
    <row r="211" customFormat="false" ht="15" hidden="false" customHeight="false" outlineLevel="0" collapsed="false">
      <c r="A211" s="4" t="s">
        <v>2172</v>
      </c>
      <c r="B211" s="4" t="s">
        <v>2165</v>
      </c>
      <c r="C211" s="4" t="s">
        <v>98</v>
      </c>
      <c r="D211" s="4" t="s">
        <v>2025</v>
      </c>
      <c r="E211" s="4" t="n">
        <v>7</v>
      </c>
      <c r="F211" s="4" t="n">
        <v>0.035714</v>
      </c>
      <c r="G211" s="4" t="n">
        <v>0.107143</v>
      </c>
      <c r="H211" s="4" t="n">
        <v>0.214286</v>
      </c>
      <c r="I211" s="4" t="n">
        <v>0.357143</v>
      </c>
      <c r="J211" s="4" t="n">
        <v>0.535714</v>
      </c>
      <c r="K211" s="4" t="n">
        <v>0.75</v>
      </c>
      <c r="L211" s="4" t="n">
        <v>1</v>
      </c>
    </row>
    <row r="212" customFormat="false" ht="15" hidden="false" customHeight="false" outlineLevel="0" collapsed="false">
      <c r="A212" s="4" t="s">
        <v>2173</v>
      </c>
      <c r="B212" s="4" t="s">
        <v>2165</v>
      </c>
      <c r="C212" s="4" t="s">
        <v>105</v>
      </c>
      <c r="D212" s="4" t="s">
        <v>2057</v>
      </c>
      <c r="E212" s="4" t="n">
        <v>6</v>
      </c>
      <c r="F212" s="4" t="n">
        <v>0.047619</v>
      </c>
      <c r="G212" s="4" t="n">
        <v>0.142857</v>
      </c>
      <c r="H212" s="4" t="n">
        <v>0.285714</v>
      </c>
      <c r="I212" s="4" t="n">
        <v>0.47619</v>
      </c>
      <c r="J212" s="4" t="n">
        <v>0.714286</v>
      </c>
      <c r="K212" s="4" t="n">
        <v>1</v>
      </c>
    </row>
    <row r="213" customFormat="false" ht="15" hidden="false" customHeight="false" outlineLevel="0" collapsed="false">
      <c r="A213" s="4" t="s">
        <v>2174</v>
      </c>
      <c r="B213" s="4" t="s">
        <v>2165</v>
      </c>
      <c r="C213" s="4" t="s">
        <v>106</v>
      </c>
      <c r="D213" s="4" t="s">
        <v>2059</v>
      </c>
      <c r="E213" s="4" t="n">
        <v>5</v>
      </c>
      <c r="F213" s="4" t="n">
        <v>0.066667</v>
      </c>
      <c r="G213" s="4" t="n">
        <v>0.2</v>
      </c>
      <c r="H213" s="4" t="n">
        <v>0.4</v>
      </c>
      <c r="I213" s="4" t="n">
        <v>0.666667</v>
      </c>
      <c r="J213" s="4"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7" min="7" style="0" width="18"/>
  </cols>
  <sheetData>
    <row r="1" customFormat="false" ht="17.35" hidden="false" customHeight="false" outlineLevel="0" collapsed="false">
      <c r="A1" s="1" t="s">
        <v>2175</v>
      </c>
    </row>
    <row r="2" customFormat="false" ht="15" hidden="false" customHeight="false" outlineLevel="0" collapsed="false">
      <c r="A2" s="0" t="s">
        <v>2176</v>
      </c>
    </row>
    <row r="3" customFormat="false" ht="28.35" hidden="false" customHeight="false" outlineLevel="0" collapsed="false">
      <c r="A3" s="10" t="s">
        <v>1890</v>
      </c>
      <c r="B3" s="10" t="s">
        <v>975</v>
      </c>
      <c r="C3" s="10" t="s">
        <v>2177</v>
      </c>
      <c r="D3" s="10" t="s">
        <v>2178</v>
      </c>
      <c r="E3" s="10" t="s">
        <v>2179</v>
      </c>
      <c r="F3" s="10" t="s">
        <v>2180</v>
      </c>
      <c r="G3" s="10" t="s">
        <v>2181</v>
      </c>
      <c r="H3" s="10" t="s">
        <v>2182</v>
      </c>
      <c r="I3" s="10" t="s">
        <v>2183</v>
      </c>
      <c r="J3" s="10" t="s">
        <v>2184</v>
      </c>
    </row>
    <row r="4" customFormat="false" ht="15" hidden="false" customHeight="false" outlineLevel="0" collapsed="false">
      <c r="A4" s="4" t="s">
        <v>1902</v>
      </c>
      <c r="B4" s="4" t="s">
        <v>1012</v>
      </c>
      <c r="C4" s="4" t="s">
        <v>2185</v>
      </c>
      <c r="D4" s="4" t="n">
        <v>0.08</v>
      </c>
      <c r="E4" s="4" t="n">
        <v>0.006434</v>
      </c>
      <c r="F4" s="4" t="n">
        <v>36</v>
      </c>
      <c r="G4" s="5" t="n">
        <v>46063.3333333333</v>
      </c>
      <c r="H4" s="4" t="n">
        <v>6</v>
      </c>
      <c r="I4" s="7" t="n">
        <f aca="false">IF(C4=Controls!$B$5,D4,E4)</f>
        <v>0.006434</v>
      </c>
      <c r="J4" s="0" t="str">
        <f aca="false">IF(C4=Controls!$B$5,"declared","conversion")</f>
        <v>conversion</v>
      </c>
    </row>
    <row r="5" customFormat="false" ht="15" hidden="false" customHeight="false" outlineLevel="0" collapsed="false">
      <c r="A5" s="4" t="s">
        <v>1915</v>
      </c>
      <c r="B5" s="4" t="s">
        <v>1012</v>
      </c>
      <c r="C5" s="4" t="s">
        <v>2185</v>
      </c>
      <c r="D5" s="4" t="n">
        <v>0.12</v>
      </c>
      <c r="E5" s="4" t="n">
        <v>0.009489</v>
      </c>
      <c r="F5" s="4" t="n">
        <v>36</v>
      </c>
      <c r="G5" s="5" t="n">
        <v>46188.5833333333</v>
      </c>
      <c r="H5" s="4" t="n">
        <v>6</v>
      </c>
      <c r="I5" s="7" t="n">
        <f aca="false">IF(C5=Controls!$B$5,D5,E5)</f>
        <v>0.009489</v>
      </c>
      <c r="J5" s="0" t="str">
        <f aca="false">IF(C5=Controls!$B$5,"declared","conversion")</f>
        <v>conversion</v>
      </c>
    </row>
    <row r="6" customFormat="false" ht="15" hidden="false" customHeight="false" outlineLevel="0" collapsed="false">
      <c r="A6" s="4" t="s">
        <v>1923</v>
      </c>
      <c r="B6" s="4" t="s">
        <v>1012</v>
      </c>
      <c r="C6" s="4" t="s">
        <v>2185</v>
      </c>
      <c r="D6" s="4" t="n">
        <v>0.08</v>
      </c>
      <c r="E6" s="4" t="n">
        <v>0.006434</v>
      </c>
      <c r="F6" s="4" t="n">
        <v>24</v>
      </c>
      <c r="G6" s="5" t="n">
        <v>46205.6666666667</v>
      </c>
      <c r="H6" s="4" t="n">
        <v>6</v>
      </c>
      <c r="I6" s="7" t="n">
        <f aca="false">IF(C6=Controls!$B$5,D6,E6)</f>
        <v>0.006434</v>
      </c>
      <c r="J6" s="0" t="str">
        <f aca="false">IF(C6=Controls!$B$5,"declared","conversion")</f>
        <v>conversion</v>
      </c>
    </row>
    <row r="7" customFormat="false" ht="15" hidden="false" customHeight="false" outlineLevel="0" collapsed="false">
      <c r="A7" s="4" t="s">
        <v>1931</v>
      </c>
      <c r="B7" s="4" t="s">
        <v>1012</v>
      </c>
      <c r="C7" s="4" t="s">
        <v>2185</v>
      </c>
      <c r="D7" s="4" t="n">
        <v>0.1</v>
      </c>
      <c r="E7" s="4" t="n">
        <v>0.007974</v>
      </c>
      <c r="F7" s="4" t="n">
        <v>36</v>
      </c>
      <c r="G7" s="5" t="n">
        <v>46134.4166666667</v>
      </c>
      <c r="H7" s="4" t="n">
        <v>4</v>
      </c>
      <c r="I7" s="7" t="n">
        <f aca="false">IF(C7=Controls!$B$5,D7,E7)</f>
        <v>0.007974</v>
      </c>
      <c r="J7" s="0" t="str">
        <f aca="false">IF(C7=Controls!$B$5,"declared","conversion")</f>
        <v>conversion</v>
      </c>
    </row>
    <row r="8" customFormat="false" ht="15" hidden="false" customHeight="false" outlineLevel="0" collapsed="false">
      <c r="A8" s="4" t="s">
        <v>1936</v>
      </c>
      <c r="B8" s="4" t="s">
        <v>1012</v>
      </c>
      <c r="C8" s="4" t="s">
        <v>2185</v>
      </c>
      <c r="D8" s="4" t="n">
        <v>0.1</v>
      </c>
      <c r="E8" s="4" t="n">
        <v>0.007974</v>
      </c>
      <c r="F8" s="4" t="n">
        <v>36</v>
      </c>
      <c r="G8" s="5" t="n">
        <v>46223.3333333333</v>
      </c>
      <c r="H8" s="4" t="n">
        <v>6</v>
      </c>
      <c r="I8" s="7" t="n">
        <f aca="false">IF(C8=Controls!$B$5,D8,E8)</f>
        <v>0.007974</v>
      </c>
      <c r="J8" s="0" t="str">
        <f aca="false">IF(C8=Controls!$B$5,"declared","conversion")</f>
        <v>conversion</v>
      </c>
    </row>
    <row r="9" customFormat="false" ht="15" hidden="false" customHeight="false" outlineLevel="0" collapsed="false">
      <c r="A9" s="4" t="s">
        <v>1943</v>
      </c>
      <c r="B9" s="4" t="s">
        <v>1012</v>
      </c>
      <c r="C9" s="4" t="s">
        <v>21</v>
      </c>
      <c r="D9" s="4" t="n">
        <v>0.007</v>
      </c>
      <c r="F9" s="4" t="n">
        <v>36</v>
      </c>
      <c r="G9" s="5" t="n">
        <v>46238.5833333333</v>
      </c>
      <c r="H9" s="4" t="n">
        <v>6</v>
      </c>
      <c r="I9" s="7" t="n">
        <f aca="false">IF(C9=Controls!$B$5,D9,E9)</f>
        <v>0.007</v>
      </c>
      <c r="J9" s="0" t="str">
        <f aca="false">IF(C9=Controls!$B$5,"declared","conversion")</f>
        <v>declared</v>
      </c>
    </row>
    <row r="10" customFormat="false" ht="15" hidden="false" customHeight="false" outlineLevel="0" collapsed="false">
      <c r="A10" s="4" t="s">
        <v>1952</v>
      </c>
      <c r="B10" s="4" t="s">
        <v>1012</v>
      </c>
      <c r="C10" s="4" t="s">
        <v>2185</v>
      </c>
      <c r="D10" s="4" t="n">
        <v>0.08</v>
      </c>
      <c r="E10" s="4" t="n">
        <v>0.006434</v>
      </c>
      <c r="F10" s="4" t="n">
        <v>36</v>
      </c>
      <c r="G10" s="5" t="n">
        <v>46065.6666666667</v>
      </c>
      <c r="H10" s="4" t="n">
        <v>6</v>
      </c>
      <c r="I10" s="7" t="n">
        <f aca="false">IF(C10=Controls!$B$5,D10,E10)</f>
        <v>0.006434</v>
      </c>
      <c r="J10" s="0" t="str">
        <f aca="false">IF(C10=Controls!$B$5,"declared","conversion")</f>
        <v>conversion</v>
      </c>
    </row>
    <row r="11" customFormat="false" ht="15" hidden="false" customHeight="false" outlineLevel="0" collapsed="false">
      <c r="A11" s="4" t="s">
        <v>1965</v>
      </c>
      <c r="B11" s="4" t="s">
        <v>1012</v>
      </c>
      <c r="C11" s="4" t="s">
        <v>2185</v>
      </c>
      <c r="D11" s="4" t="n">
        <v>0.12</v>
      </c>
      <c r="E11" s="4" t="n">
        <v>0.009489</v>
      </c>
      <c r="F11" s="4" t="n">
        <v>36</v>
      </c>
      <c r="G11" s="5" t="n">
        <v>46182.5</v>
      </c>
      <c r="H11" s="4" t="n">
        <v>6</v>
      </c>
      <c r="I11" s="7" t="n">
        <f aca="false">IF(C11=Controls!$B$5,D11,E11)</f>
        <v>0.009489</v>
      </c>
      <c r="J11" s="0" t="str">
        <f aca="false">IF(C11=Controls!$B$5,"declared","conversion")</f>
        <v>conversion</v>
      </c>
    </row>
    <row r="12" customFormat="false" ht="15" hidden="false" customHeight="false" outlineLevel="0" collapsed="false">
      <c r="A12" s="4" t="s">
        <v>1972</v>
      </c>
      <c r="B12" s="4" t="s">
        <v>1012</v>
      </c>
      <c r="C12" s="4" t="s">
        <v>2185</v>
      </c>
      <c r="D12" s="4" t="n">
        <v>0.08</v>
      </c>
      <c r="E12" s="4" t="n">
        <v>0.006434</v>
      </c>
      <c r="F12" s="4" t="n">
        <v>24</v>
      </c>
      <c r="G12" s="5" t="n">
        <v>46209.5416666667</v>
      </c>
      <c r="H12" s="4" t="n">
        <v>6</v>
      </c>
      <c r="I12" s="7" t="n">
        <f aca="false">IF(C12=Controls!$B$5,D12,E12)</f>
        <v>0.006434</v>
      </c>
      <c r="J12" s="0" t="str">
        <f aca="false">IF(C12=Controls!$B$5,"declared","conversion")</f>
        <v>conversion</v>
      </c>
    </row>
    <row r="13" customFormat="false" ht="15" hidden="false" customHeight="false" outlineLevel="0" collapsed="false">
      <c r="A13" s="4" t="s">
        <v>1980</v>
      </c>
      <c r="B13" s="4" t="s">
        <v>1012</v>
      </c>
      <c r="C13" s="4" t="s">
        <v>2185</v>
      </c>
      <c r="D13" s="4" t="n">
        <v>0.1</v>
      </c>
      <c r="E13" s="4" t="n">
        <v>0.007974</v>
      </c>
      <c r="F13" s="4" t="n">
        <v>36</v>
      </c>
      <c r="G13" s="5" t="n">
        <v>46162.5</v>
      </c>
      <c r="H13" s="4" t="n">
        <v>2</v>
      </c>
      <c r="I13" s="7" t="n">
        <f aca="false">IF(C13=Controls!$B$5,D13,E13)</f>
        <v>0.007974</v>
      </c>
      <c r="J13" s="0" t="str">
        <f aca="false">IF(C13=Controls!$B$5,"declared","conversion")</f>
        <v>conversion</v>
      </c>
    </row>
    <row r="14" customFormat="false" ht="15" hidden="false" customHeight="false" outlineLevel="0" collapsed="false">
      <c r="A14" s="4" t="s">
        <v>1983</v>
      </c>
      <c r="B14" s="4" t="s">
        <v>1012</v>
      </c>
      <c r="C14" s="4" t="s">
        <v>2185</v>
      </c>
      <c r="D14" s="4" t="n">
        <v>0.1</v>
      </c>
      <c r="E14" s="4" t="n">
        <v>0.007974</v>
      </c>
      <c r="F14" s="4" t="n">
        <v>36</v>
      </c>
      <c r="G14" s="5" t="n">
        <v>46230.6666666667</v>
      </c>
      <c r="H14" s="4" t="n">
        <v>6</v>
      </c>
      <c r="I14" s="7" t="n">
        <f aca="false">IF(C14=Controls!$B$5,D14,E14)</f>
        <v>0.007974</v>
      </c>
      <c r="J14" s="0" t="str">
        <f aca="false">IF(C14=Controls!$B$5,"declared","conversion")</f>
        <v>conversion</v>
      </c>
    </row>
    <row r="15" customFormat="false" ht="15" hidden="false" customHeight="false" outlineLevel="0" collapsed="false">
      <c r="A15" s="4" t="s">
        <v>1990</v>
      </c>
      <c r="B15" s="4" t="s">
        <v>1012</v>
      </c>
      <c r="C15" s="4" t="s">
        <v>21</v>
      </c>
      <c r="D15" s="4" t="n">
        <v>0.007</v>
      </c>
      <c r="F15" s="4" t="n">
        <v>36</v>
      </c>
      <c r="G15" s="5" t="n">
        <v>46245.5833333333</v>
      </c>
      <c r="H15" s="4" t="n">
        <v>6</v>
      </c>
      <c r="I15" s="7" t="n">
        <f aca="false">IF(C15=Controls!$B$5,D15,E15)</f>
        <v>0.007</v>
      </c>
      <c r="J15" s="0" t="str">
        <f aca="false">IF(C15=Controls!$B$5,"declared","conversion")</f>
        <v>declared</v>
      </c>
    </row>
    <row r="16" customFormat="false" ht="15" hidden="false" customHeight="false" outlineLevel="0" collapsed="false">
      <c r="A16" s="4" t="s">
        <v>1999</v>
      </c>
      <c r="B16" s="4" t="s">
        <v>1519</v>
      </c>
      <c r="C16" s="4" t="s">
        <v>2185</v>
      </c>
      <c r="D16" s="4" t="n">
        <v>0.08</v>
      </c>
      <c r="E16" s="4" t="n">
        <v>0.006434</v>
      </c>
      <c r="F16" s="4" t="n">
        <v>36</v>
      </c>
      <c r="G16" s="5" t="n">
        <v>46069.7083333333</v>
      </c>
      <c r="H16" s="4" t="n">
        <v>6</v>
      </c>
      <c r="I16" s="7" t="n">
        <f aca="false">IF(C16=Controls!$B$5,D16,E16)</f>
        <v>0.006434</v>
      </c>
      <c r="J16" s="0" t="str">
        <f aca="false">IF(C16=Controls!$B$5,"declared","conversion")</f>
        <v>conversion</v>
      </c>
    </row>
    <row r="17" customFormat="false" ht="15" hidden="false" customHeight="false" outlineLevel="0" collapsed="false">
      <c r="A17" s="4" t="s">
        <v>2012</v>
      </c>
      <c r="B17" s="4" t="s">
        <v>1519</v>
      </c>
      <c r="C17" s="4" t="s">
        <v>2185</v>
      </c>
      <c r="D17" s="4" t="n">
        <v>0.12</v>
      </c>
      <c r="E17" s="4" t="n">
        <v>0.009489</v>
      </c>
      <c r="F17" s="4" t="n">
        <v>36</v>
      </c>
      <c r="G17" s="5" t="n">
        <v>46184.5833333333</v>
      </c>
      <c r="H17" s="4" t="n">
        <v>6</v>
      </c>
      <c r="I17" s="7" t="n">
        <f aca="false">IF(C17=Controls!$B$5,D17,E17)</f>
        <v>0.009489</v>
      </c>
      <c r="J17" s="0" t="str">
        <f aca="false">IF(C17=Controls!$B$5,"declared","conversion")</f>
        <v>conversion</v>
      </c>
    </row>
    <row r="18" customFormat="false" ht="15" hidden="false" customHeight="false" outlineLevel="0" collapsed="false">
      <c r="A18" s="4" t="s">
        <v>2019</v>
      </c>
      <c r="B18" s="4" t="s">
        <v>1519</v>
      </c>
      <c r="C18" s="4" t="s">
        <v>2185</v>
      </c>
      <c r="D18" s="4" t="n">
        <v>0.08</v>
      </c>
      <c r="E18" s="4" t="n">
        <v>0.006434</v>
      </c>
      <c r="F18" s="4" t="n">
        <v>24</v>
      </c>
      <c r="G18" s="5" t="n">
        <v>46211.4166666667</v>
      </c>
      <c r="H18" s="4" t="n">
        <v>6</v>
      </c>
      <c r="I18" s="7" t="n">
        <f aca="false">IF(C18=Controls!$B$5,D18,E18)</f>
        <v>0.006434</v>
      </c>
      <c r="J18" s="0" t="str">
        <f aca="false">IF(C18=Controls!$B$5,"declared","conversion")</f>
        <v>conversion</v>
      </c>
    </row>
    <row r="19" customFormat="false" ht="15" hidden="false" customHeight="false" outlineLevel="0" collapsed="false">
      <c r="A19" s="4" t="s">
        <v>2029</v>
      </c>
      <c r="B19" s="4" t="s">
        <v>1519</v>
      </c>
      <c r="C19" s="4" t="s">
        <v>2185</v>
      </c>
      <c r="D19" s="4" t="n">
        <v>0.1</v>
      </c>
      <c r="E19" s="4" t="n">
        <v>0.007974</v>
      </c>
      <c r="F19" s="4" t="n">
        <v>36</v>
      </c>
      <c r="G19" s="5" t="n">
        <v>46169.375</v>
      </c>
      <c r="H19" s="4" t="n">
        <v>3</v>
      </c>
      <c r="I19" s="7" t="n">
        <f aca="false">IF(C19=Controls!$B$5,D19,E19)</f>
        <v>0.007974</v>
      </c>
      <c r="J19" s="0" t="str">
        <f aca="false">IF(C19=Controls!$B$5,"declared","conversion")</f>
        <v>conversion</v>
      </c>
    </row>
    <row r="20" customFormat="false" ht="15" hidden="false" customHeight="false" outlineLevel="0" collapsed="false">
      <c r="A20" s="4" t="s">
        <v>2033</v>
      </c>
      <c r="B20" s="4" t="s">
        <v>1519</v>
      </c>
      <c r="C20" s="4" t="s">
        <v>2185</v>
      </c>
      <c r="D20" s="4" t="n">
        <v>0.1</v>
      </c>
      <c r="E20" s="4" t="n">
        <v>0.007974</v>
      </c>
      <c r="F20" s="4" t="n">
        <v>36</v>
      </c>
      <c r="G20" s="5" t="n">
        <v>46237.5416666667</v>
      </c>
      <c r="H20" s="4" t="n">
        <v>6</v>
      </c>
      <c r="I20" s="7" t="n">
        <f aca="false">IF(C20=Controls!$B$5,D20,E20)</f>
        <v>0.007974</v>
      </c>
      <c r="J20" s="0" t="str">
        <f aca="false">IF(C20=Controls!$B$5,"declared","conversion")</f>
        <v>conversion</v>
      </c>
    </row>
    <row r="21" customFormat="false" ht="15" hidden="false" customHeight="false" outlineLevel="0" collapsed="false">
      <c r="A21" s="4" t="s">
        <v>2040</v>
      </c>
      <c r="B21" s="4" t="s">
        <v>1519</v>
      </c>
      <c r="C21" s="4" t="s">
        <v>21</v>
      </c>
      <c r="D21" s="4" t="n">
        <v>0.007</v>
      </c>
      <c r="F21" s="4" t="n">
        <v>36</v>
      </c>
      <c r="G21" s="5" t="n">
        <v>46252.625</v>
      </c>
      <c r="H21" s="4" t="n">
        <v>6</v>
      </c>
      <c r="I21" s="7" t="n">
        <f aca="false">IF(C21=Controls!$B$5,D21,E21)</f>
        <v>0.007</v>
      </c>
      <c r="J21" s="0" t="str">
        <f aca="false">IF(C21=Controls!$B$5,"declared","conversion")</f>
        <v>declared</v>
      </c>
    </row>
    <row r="22" customFormat="false" ht="15" hidden="false" customHeight="false" outlineLevel="0" collapsed="false">
      <c r="A22" s="4" t="s">
        <v>2048</v>
      </c>
      <c r="B22" s="4" t="s">
        <v>1519</v>
      </c>
      <c r="C22" s="4" t="s">
        <v>2185</v>
      </c>
      <c r="D22" s="4" t="n">
        <v>0.08</v>
      </c>
      <c r="E22" s="4" t="n">
        <v>0.006434</v>
      </c>
      <c r="F22" s="4" t="n">
        <v>36</v>
      </c>
      <c r="G22" s="5" t="n">
        <v>46072.7083333333</v>
      </c>
      <c r="H22" s="4" t="n">
        <v>6</v>
      </c>
      <c r="I22" s="7" t="n">
        <f aca="false">IF(C22=Controls!$B$5,D22,E22)</f>
        <v>0.006434</v>
      </c>
      <c r="J22" s="0" t="str">
        <f aca="false">IF(C22=Controls!$B$5,"declared","conversion")</f>
        <v>conversion</v>
      </c>
    </row>
    <row r="23" customFormat="false" ht="15" hidden="false" customHeight="false" outlineLevel="0" collapsed="false">
      <c r="A23" s="4" t="s">
        <v>2061</v>
      </c>
      <c r="B23" s="4" t="s">
        <v>1519</v>
      </c>
      <c r="C23" s="4" t="s">
        <v>2185</v>
      </c>
      <c r="D23" s="4" t="n">
        <v>0.12</v>
      </c>
      <c r="E23" s="4" t="n">
        <v>0.009489</v>
      </c>
      <c r="F23" s="4" t="n">
        <v>36</v>
      </c>
      <c r="G23" s="5" t="n">
        <v>46197.4166666667</v>
      </c>
      <c r="H23" s="4" t="n">
        <v>6</v>
      </c>
      <c r="I23" s="7" t="n">
        <f aca="false">IF(C23=Controls!$B$5,D23,E23)</f>
        <v>0.009489</v>
      </c>
      <c r="J23" s="0" t="str">
        <f aca="false">IF(C23=Controls!$B$5,"declared","conversion")</f>
        <v>conversion</v>
      </c>
    </row>
    <row r="24" customFormat="false" ht="15" hidden="false" customHeight="false" outlineLevel="0" collapsed="false">
      <c r="A24" s="4" t="s">
        <v>2068</v>
      </c>
      <c r="B24" s="4" t="s">
        <v>1519</v>
      </c>
      <c r="C24" s="4" t="s">
        <v>2185</v>
      </c>
      <c r="D24" s="4" t="n">
        <v>0.08</v>
      </c>
      <c r="E24" s="4" t="n">
        <v>0.006434</v>
      </c>
      <c r="F24" s="4" t="n">
        <v>24</v>
      </c>
      <c r="G24" s="5" t="n">
        <v>46216.5</v>
      </c>
      <c r="H24" s="4" t="n">
        <v>6</v>
      </c>
      <c r="I24" s="7" t="n">
        <f aca="false">IF(C24=Controls!$B$5,D24,E24)</f>
        <v>0.006434</v>
      </c>
      <c r="J24" s="0" t="str">
        <f aca="false">IF(C24=Controls!$B$5,"declared","conversion")</f>
        <v>conversion</v>
      </c>
    </row>
    <row r="25" customFormat="false" ht="15" hidden="false" customHeight="false" outlineLevel="0" collapsed="false">
      <c r="A25" s="4" t="s">
        <v>2075</v>
      </c>
      <c r="B25" s="4" t="s">
        <v>1519</v>
      </c>
      <c r="C25" s="4" t="s">
        <v>2185</v>
      </c>
      <c r="D25" s="4" t="n">
        <v>0.1</v>
      </c>
      <c r="E25" s="4" t="n">
        <v>0.007974</v>
      </c>
      <c r="F25" s="4" t="n">
        <v>36</v>
      </c>
      <c r="G25" s="5" t="n">
        <v>46176.7083333333</v>
      </c>
      <c r="H25" s="4" t="n">
        <v>2</v>
      </c>
      <c r="I25" s="7" t="n">
        <f aca="false">IF(C25=Controls!$B$5,D25,E25)</f>
        <v>0.007974</v>
      </c>
      <c r="J25" s="0" t="str">
        <f aca="false">IF(C25=Controls!$B$5,"declared","conversion")</f>
        <v>conversion</v>
      </c>
    </row>
    <row r="26" customFormat="false" ht="15" hidden="false" customHeight="false" outlineLevel="0" collapsed="false">
      <c r="A26" s="4" t="s">
        <v>2078</v>
      </c>
      <c r="B26" s="4" t="s">
        <v>1519</v>
      </c>
      <c r="C26" s="4" t="s">
        <v>2185</v>
      </c>
      <c r="D26" s="4" t="n">
        <v>0.1</v>
      </c>
      <c r="E26" s="4" t="n">
        <v>0.007974</v>
      </c>
      <c r="F26" s="4" t="n">
        <v>36</v>
      </c>
      <c r="G26" s="5" t="n">
        <v>46244.6666666667</v>
      </c>
      <c r="H26" s="4" t="n">
        <v>6</v>
      </c>
      <c r="I26" s="7" t="n">
        <f aca="false">IF(C26=Controls!$B$5,D26,E26)</f>
        <v>0.007974</v>
      </c>
      <c r="J26" s="0" t="str">
        <f aca="false">IF(C26=Controls!$B$5,"declared","conversion")</f>
        <v>conversion</v>
      </c>
    </row>
    <row r="27" customFormat="false" ht="15" hidden="false" customHeight="false" outlineLevel="0" collapsed="false">
      <c r="A27" s="4" t="s">
        <v>2085</v>
      </c>
      <c r="B27" s="4" t="s">
        <v>1519</v>
      </c>
      <c r="C27" s="4" t="s">
        <v>21</v>
      </c>
      <c r="D27" s="4" t="n">
        <v>0.007</v>
      </c>
      <c r="F27" s="4" t="n">
        <v>36</v>
      </c>
      <c r="G27" s="5" t="n">
        <v>46266.4166666667</v>
      </c>
      <c r="H27" s="4" t="n">
        <v>6</v>
      </c>
      <c r="I27" s="7" t="n">
        <f aca="false">IF(C27=Controls!$B$5,D27,E27)</f>
        <v>0.007</v>
      </c>
      <c r="J27" s="0" t="str">
        <f aca="false">IF(C27=Controls!$B$5,"declared","conversion")</f>
        <v>declared</v>
      </c>
    </row>
    <row r="28" customFormat="false" ht="15" hidden="false" customHeight="false" outlineLevel="0" collapsed="false">
      <c r="A28" s="4" t="s">
        <v>18</v>
      </c>
      <c r="B28" s="4" t="s">
        <v>1012</v>
      </c>
      <c r="C28" s="4" t="s">
        <v>2185</v>
      </c>
      <c r="D28" s="4" t="n">
        <v>0.08</v>
      </c>
      <c r="E28" s="4" t="n">
        <v>0.006434</v>
      </c>
      <c r="F28" s="4" t="n">
        <v>36</v>
      </c>
      <c r="G28" s="5" t="n">
        <v>46267.3333333333</v>
      </c>
      <c r="H28" s="4" t="n">
        <v>24</v>
      </c>
      <c r="I28" s="7" t="n">
        <f aca="false">IF(C28=Controls!$B$5,D28,E28)</f>
        <v>0.006434</v>
      </c>
      <c r="J28" s="0" t="str">
        <f aca="false">IF(C28=Controls!$B$5,"declared","conversion")</f>
        <v>conversion</v>
      </c>
    </row>
    <row r="29" customFormat="false" ht="15" hidden="false" customHeight="false" outlineLevel="0" collapsed="false">
      <c r="A29" s="4" t="s">
        <v>2116</v>
      </c>
      <c r="B29" s="4" t="s">
        <v>1012</v>
      </c>
      <c r="C29" s="4" t="s">
        <v>2185</v>
      </c>
      <c r="D29" s="4" t="n">
        <v>0.08</v>
      </c>
      <c r="E29" s="4" t="n">
        <v>0.006434</v>
      </c>
      <c r="F29" s="4" t="n">
        <v>36</v>
      </c>
      <c r="G29" s="5" t="n">
        <v>46268.5833333333</v>
      </c>
      <c r="H29" s="4" t="n">
        <v>23</v>
      </c>
      <c r="I29" s="7" t="n">
        <f aca="false">IF(C29=Controls!$B$5,D29,E29)</f>
        <v>0.006434</v>
      </c>
      <c r="J29" s="0" t="str">
        <f aca="false">IF(C29=Controls!$B$5,"declared","conversion")</f>
        <v>conversion</v>
      </c>
    </row>
    <row r="30" customFormat="false" ht="15" hidden="false" customHeight="false" outlineLevel="0" collapsed="false">
      <c r="A30" s="4" t="s">
        <v>2140</v>
      </c>
      <c r="B30" s="4" t="s">
        <v>1012</v>
      </c>
      <c r="C30" s="4" t="s">
        <v>2185</v>
      </c>
      <c r="D30" s="4" t="n">
        <v>0.1</v>
      </c>
      <c r="E30" s="4" t="n">
        <v>0.007974</v>
      </c>
      <c r="F30" s="4" t="n">
        <v>24</v>
      </c>
      <c r="G30" s="5" t="n">
        <v>46259.7083333333</v>
      </c>
      <c r="H30" s="4" t="n">
        <v>5</v>
      </c>
      <c r="I30" s="7" t="n">
        <f aca="false">IF(C30=Controls!$B$5,D30,E30)</f>
        <v>0.007974</v>
      </c>
      <c r="J30" s="0" t="str">
        <f aca="false">IF(C30=Controls!$B$5,"declared","conversion")</f>
        <v>conversion</v>
      </c>
    </row>
    <row r="31" customFormat="false" ht="15" hidden="false" customHeight="false" outlineLevel="0" collapsed="false">
      <c r="A31" s="4" t="s">
        <v>2146</v>
      </c>
      <c r="B31" s="4" t="s">
        <v>1012</v>
      </c>
      <c r="C31" s="4" t="s">
        <v>2185</v>
      </c>
      <c r="D31" s="4" t="n">
        <v>0.1</v>
      </c>
      <c r="E31" s="4" t="n">
        <v>0.007974</v>
      </c>
      <c r="F31" s="4" t="n">
        <v>36</v>
      </c>
      <c r="G31" s="5" t="n">
        <v>46262.4166666667</v>
      </c>
      <c r="H31" s="4" t="n">
        <v>7</v>
      </c>
      <c r="I31" s="7" t="n">
        <f aca="false">IF(C31=Controls!$B$5,D31,E31)</f>
        <v>0.007974</v>
      </c>
      <c r="J31" s="0" t="str">
        <f aca="false">IF(C31=Controls!$B$5,"declared","conversion")</f>
        <v>conversion</v>
      </c>
    </row>
    <row r="32" customFormat="false" ht="15" hidden="false" customHeight="false" outlineLevel="0" collapsed="false">
      <c r="A32" s="4" t="s">
        <v>2154</v>
      </c>
      <c r="B32" s="4" t="s">
        <v>1012</v>
      </c>
      <c r="C32" s="4" t="s">
        <v>2185</v>
      </c>
      <c r="D32" s="4" t="n">
        <v>0.12</v>
      </c>
      <c r="E32" s="4" t="n">
        <v>0.009489</v>
      </c>
      <c r="F32" s="4" t="n">
        <v>36</v>
      </c>
      <c r="G32" s="5" t="n">
        <v>46272.6666666667</v>
      </c>
      <c r="H32" s="4" t="n">
        <v>10</v>
      </c>
      <c r="I32" s="7" t="n">
        <f aca="false">IF(C32=Controls!$B$5,D32,E32)</f>
        <v>0.009489</v>
      </c>
      <c r="J32" s="0" t="str">
        <f aca="false">IF(C32=Controls!$B$5,"declared","conversion")</f>
        <v>conversion</v>
      </c>
    </row>
    <row r="33" customFormat="false" ht="15" hidden="false" customHeight="false" outlineLevel="0" collapsed="false">
      <c r="A33" s="4" t="s">
        <v>2165</v>
      </c>
      <c r="B33" s="4" t="s">
        <v>1012</v>
      </c>
      <c r="C33" s="4" t="s">
        <v>2185</v>
      </c>
      <c r="D33" s="4" t="n">
        <v>0.1</v>
      </c>
      <c r="E33" s="4" t="n">
        <v>0.007974</v>
      </c>
      <c r="F33" s="4" t="n">
        <v>36</v>
      </c>
      <c r="G33" s="5" t="n">
        <v>46274.375</v>
      </c>
      <c r="H33" s="4" t="n">
        <v>10</v>
      </c>
      <c r="I33" s="7" t="n">
        <f aca="false">IF(C33=Controls!$B$5,D33,E33)</f>
        <v>0.007974</v>
      </c>
      <c r="J33" s="0" t="str">
        <f aca="false">IF(C33=Controls!$B$5,"declared","conversion")</f>
        <v>conversion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2" style="0" width="12"/>
  </cols>
  <sheetData>
    <row r="1" customFormat="false" ht="17.35" hidden="false" customHeight="false" outlineLevel="0" collapsed="false">
      <c r="A1" s="1" t="s">
        <v>2186</v>
      </c>
    </row>
    <row r="3" customFormat="false" ht="28.35" hidden="false" customHeight="false" outlineLevel="0" collapsed="false">
      <c r="A3" s="10" t="s">
        <v>109</v>
      </c>
      <c r="B3" s="10" t="s">
        <v>2187</v>
      </c>
      <c r="C3" s="10" t="s">
        <v>2188</v>
      </c>
      <c r="D3" s="10" t="s">
        <v>2189</v>
      </c>
    </row>
    <row r="4" customFormat="false" ht="15" hidden="false" customHeight="false" outlineLevel="0" collapsed="false">
      <c r="A4" s="4" t="n">
        <v>0</v>
      </c>
      <c r="B4" s="14" t="n">
        <f aca="false">DATE(YEAR(Controls!$B$7),MONTH(Controls!$B$7)+A4,DAY(Controls!$B$7))</f>
        <v>46023</v>
      </c>
      <c r="C4" s="14" t="n">
        <f aca="false">DATE(YEAR(Controls!$B$7),MONTH(Controls!$B$7)+A4+1,DAY(Controls!$B$7))</f>
        <v>46054</v>
      </c>
      <c r="D4" s="11" t="n">
        <f aca="false">IF(C4&lt;=Controls!$B$6,1,0)</f>
        <v>1</v>
      </c>
    </row>
    <row r="5" customFormat="false" ht="15" hidden="false" customHeight="false" outlineLevel="0" collapsed="false">
      <c r="A5" s="4" t="n">
        <v>1</v>
      </c>
      <c r="B5" s="14" t="n">
        <f aca="false">DATE(YEAR(Controls!$B$7),MONTH(Controls!$B$7)+A5,DAY(Controls!$B$7))</f>
        <v>46054</v>
      </c>
      <c r="C5" s="14" t="n">
        <f aca="false">DATE(YEAR(Controls!$B$7),MONTH(Controls!$B$7)+A5+1,DAY(Controls!$B$7))</f>
        <v>46082</v>
      </c>
      <c r="D5" s="11" t="n">
        <f aca="false">IF(C5&lt;=Controls!$B$6,1,0)</f>
        <v>1</v>
      </c>
    </row>
    <row r="6" customFormat="false" ht="15" hidden="false" customHeight="false" outlineLevel="0" collapsed="false">
      <c r="A6" s="4" t="n">
        <v>2</v>
      </c>
      <c r="B6" s="14" t="n">
        <f aca="false">DATE(YEAR(Controls!$B$7),MONTH(Controls!$B$7)+A6,DAY(Controls!$B$7))</f>
        <v>46082</v>
      </c>
      <c r="C6" s="14" t="n">
        <f aca="false">DATE(YEAR(Controls!$B$7),MONTH(Controls!$B$7)+A6+1,DAY(Controls!$B$7))</f>
        <v>46113</v>
      </c>
      <c r="D6" s="11" t="n">
        <f aca="false">IF(C6&lt;=Controls!$B$6,1,0)</f>
        <v>1</v>
      </c>
    </row>
    <row r="7" customFormat="false" ht="15" hidden="false" customHeight="false" outlineLevel="0" collapsed="false">
      <c r="A7" s="4" t="n">
        <v>3</v>
      </c>
      <c r="B7" s="14" t="n">
        <f aca="false">DATE(YEAR(Controls!$B$7),MONTH(Controls!$B$7)+A7,DAY(Controls!$B$7))</f>
        <v>46113</v>
      </c>
      <c r="C7" s="14" t="n">
        <f aca="false">DATE(YEAR(Controls!$B$7),MONTH(Controls!$B$7)+A7+1,DAY(Controls!$B$7))</f>
        <v>46143</v>
      </c>
      <c r="D7" s="11" t="n">
        <f aca="false">IF(C7&lt;=Controls!$B$6,1,0)</f>
        <v>1</v>
      </c>
    </row>
    <row r="8" customFormat="false" ht="15" hidden="false" customHeight="false" outlineLevel="0" collapsed="false">
      <c r="A8" s="4" t="n">
        <v>4</v>
      </c>
      <c r="B8" s="14" t="n">
        <f aca="false">DATE(YEAR(Controls!$B$7),MONTH(Controls!$B$7)+A8,DAY(Controls!$B$7))</f>
        <v>46143</v>
      </c>
      <c r="C8" s="14" t="n">
        <f aca="false">DATE(YEAR(Controls!$B$7),MONTH(Controls!$B$7)+A8+1,DAY(Controls!$B$7))</f>
        <v>46174</v>
      </c>
      <c r="D8" s="11" t="n">
        <f aca="false">IF(C8&lt;=Controls!$B$6,1,0)</f>
        <v>1</v>
      </c>
    </row>
    <row r="9" customFormat="false" ht="15" hidden="false" customHeight="false" outlineLevel="0" collapsed="false">
      <c r="A9" s="4" t="n">
        <v>5</v>
      </c>
      <c r="B9" s="14" t="n">
        <f aca="false">DATE(YEAR(Controls!$B$7),MONTH(Controls!$B$7)+A9,DAY(Controls!$B$7))</f>
        <v>46174</v>
      </c>
      <c r="C9" s="14" t="n">
        <f aca="false">DATE(YEAR(Controls!$B$7),MONTH(Controls!$B$7)+A9+1,DAY(Controls!$B$7))</f>
        <v>46204</v>
      </c>
      <c r="D9" s="11" t="n">
        <f aca="false">IF(C9&lt;=Controls!$B$6,1,0)</f>
        <v>1</v>
      </c>
    </row>
    <row r="10" customFormat="false" ht="15" hidden="false" customHeight="false" outlineLevel="0" collapsed="false">
      <c r="A10" s="4" t="n">
        <v>6</v>
      </c>
      <c r="B10" s="14" t="n">
        <f aca="false">DATE(YEAR(Controls!$B$7),MONTH(Controls!$B$7)+A10,DAY(Controls!$B$7))</f>
        <v>46204</v>
      </c>
      <c r="C10" s="14" t="n">
        <f aca="false">DATE(YEAR(Controls!$B$7),MONTH(Controls!$B$7)+A10+1,DAY(Controls!$B$7))</f>
        <v>46235</v>
      </c>
      <c r="D10" s="11" t="n">
        <f aca="false">IF(C10&lt;=Controls!$B$6,1,0)</f>
        <v>1</v>
      </c>
    </row>
    <row r="11" customFormat="false" ht="15" hidden="false" customHeight="false" outlineLevel="0" collapsed="false">
      <c r="A11" s="4" t="n">
        <v>7</v>
      </c>
      <c r="B11" s="14" t="n">
        <f aca="false">DATE(YEAR(Controls!$B$7),MONTH(Controls!$B$7)+A11,DAY(Controls!$B$7))</f>
        <v>46235</v>
      </c>
      <c r="C11" s="14" t="n">
        <f aca="false">DATE(YEAR(Controls!$B$7),MONTH(Controls!$B$7)+A11+1,DAY(Controls!$B$7))</f>
        <v>46266</v>
      </c>
      <c r="D11" s="11" t="n">
        <f aca="false">IF(C11&lt;=Controls!$B$6,1,0)</f>
        <v>1</v>
      </c>
    </row>
    <row r="12" customFormat="false" ht="15" hidden="false" customHeight="false" outlineLevel="0" collapsed="false">
      <c r="A12" s="4" t="n">
        <v>8</v>
      </c>
      <c r="B12" s="14" t="n">
        <f aca="false">DATE(YEAR(Controls!$B$7),MONTH(Controls!$B$7)+A12,DAY(Controls!$B$7))</f>
        <v>46266</v>
      </c>
      <c r="C12" s="14" t="n">
        <f aca="false">DATE(YEAR(Controls!$B$7),MONTH(Controls!$B$7)+A12+1,DAY(Controls!$B$7))</f>
        <v>46296</v>
      </c>
      <c r="D12" s="11" t="n">
        <f aca="false">IF(C12&lt;=Controls!$B$6,1,0)</f>
        <v>1</v>
      </c>
    </row>
    <row r="13" customFormat="false" ht="15" hidden="false" customHeight="false" outlineLevel="0" collapsed="false">
      <c r="A13" s="4" t="n">
        <v>9</v>
      </c>
      <c r="B13" s="14" t="n">
        <f aca="false">DATE(YEAR(Controls!$B$7),MONTH(Controls!$B$7)+A13,DAY(Controls!$B$7))</f>
        <v>46296</v>
      </c>
      <c r="C13" s="14" t="n">
        <f aca="false">DATE(YEAR(Controls!$B$7),MONTH(Controls!$B$7)+A13+1,DAY(Controls!$B$7))</f>
        <v>46327</v>
      </c>
      <c r="D13" s="11" t="n">
        <f aca="false">IF(C13&lt;=Controls!$B$6,1,0)</f>
        <v>0</v>
      </c>
    </row>
    <row r="14" customFormat="false" ht="15" hidden="false" customHeight="false" outlineLevel="0" collapsed="false">
      <c r="A14" s="4" t="n">
        <v>10</v>
      </c>
      <c r="B14" s="14" t="n">
        <f aca="false">DATE(YEAR(Controls!$B$7),MONTH(Controls!$B$7)+A14,DAY(Controls!$B$7))</f>
        <v>46327</v>
      </c>
      <c r="C14" s="14" t="n">
        <f aca="false">DATE(YEAR(Controls!$B$7),MONTH(Controls!$B$7)+A14+1,DAY(Controls!$B$7))</f>
        <v>46357</v>
      </c>
      <c r="D14" s="11" t="n">
        <f aca="false">IF(C14&lt;=Controls!$B$6,1,0)</f>
        <v>0</v>
      </c>
    </row>
    <row r="15" customFormat="false" ht="15" hidden="false" customHeight="false" outlineLevel="0" collapsed="false">
      <c r="A15" s="4" t="n">
        <v>11</v>
      </c>
      <c r="B15" s="14" t="n">
        <f aca="false">DATE(YEAR(Controls!$B$7),MONTH(Controls!$B$7)+A15,DAY(Controls!$B$7))</f>
        <v>46357</v>
      </c>
      <c r="C15" s="14" t="n">
        <f aca="false">DATE(YEAR(Controls!$B$7),MONTH(Controls!$B$7)+A15+1,DAY(Controls!$B$7))</f>
        <v>46388</v>
      </c>
      <c r="D15" s="11" t="n">
        <f aca="false">IF(C15&lt;=Controls!$B$6,1,0)</f>
        <v>0</v>
      </c>
    </row>
    <row r="16" customFormat="false" ht="15" hidden="false" customHeight="false" outlineLevel="0" collapsed="false">
      <c r="A16" s="4" t="n">
        <v>12</v>
      </c>
      <c r="B16" s="14" t="n">
        <f aca="false">DATE(YEAR(Controls!$B$7),MONTH(Controls!$B$7)+A16,DAY(Controls!$B$7))</f>
        <v>46388</v>
      </c>
      <c r="C16" s="14" t="n">
        <f aca="false">DATE(YEAR(Controls!$B$7),MONTH(Controls!$B$7)+A16+1,DAY(Controls!$B$7))</f>
        <v>46419</v>
      </c>
      <c r="D16" s="11" t="n">
        <f aca="false">IF(C16&lt;=Controls!$B$6,1,0)</f>
        <v>0</v>
      </c>
    </row>
    <row r="17" customFormat="false" ht="15" hidden="false" customHeight="false" outlineLevel="0" collapsed="false">
      <c r="A17" s="4" t="n">
        <v>13</v>
      </c>
      <c r="B17" s="14" t="n">
        <f aca="false">DATE(YEAR(Controls!$B$7),MONTH(Controls!$B$7)+A17,DAY(Controls!$B$7))</f>
        <v>46419</v>
      </c>
      <c r="C17" s="14" t="n">
        <f aca="false">DATE(YEAR(Controls!$B$7),MONTH(Controls!$B$7)+A17+1,DAY(Controls!$B$7))</f>
        <v>46447</v>
      </c>
      <c r="D17" s="11" t="n">
        <f aca="false">IF(C17&lt;=Controls!$B$6,1,0)</f>
        <v>0</v>
      </c>
    </row>
    <row r="18" customFormat="false" ht="15" hidden="false" customHeight="false" outlineLevel="0" collapsed="false">
      <c r="A18" s="4" t="n">
        <v>14</v>
      </c>
      <c r="B18" s="14" t="n">
        <f aca="false">DATE(YEAR(Controls!$B$7),MONTH(Controls!$B$7)+A18,DAY(Controls!$B$7))</f>
        <v>46447</v>
      </c>
      <c r="C18" s="14" t="n">
        <f aca="false">DATE(YEAR(Controls!$B$7),MONTH(Controls!$B$7)+A18+1,DAY(Controls!$B$7))</f>
        <v>46478</v>
      </c>
      <c r="D18" s="11" t="n">
        <f aca="false">IF(C18&lt;=Controls!$B$6,1,0)</f>
        <v>0</v>
      </c>
    </row>
    <row r="19" customFormat="false" ht="15" hidden="false" customHeight="false" outlineLevel="0" collapsed="false">
      <c r="A19" s="4" t="n">
        <v>15</v>
      </c>
      <c r="B19" s="14" t="n">
        <f aca="false">DATE(YEAR(Controls!$B$7),MONTH(Controls!$B$7)+A19,DAY(Controls!$B$7))</f>
        <v>46478</v>
      </c>
      <c r="C19" s="14" t="n">
        <f aca="false">DATE(YEAR(Controls!$B$7),MONTH(Controls!$B$7)+A19+1,DAY(Controls!$B$7))</f>
        <v>46508</v>
      </c>
      <c r="D19" s="11" t="n">
        <f aca="false">IF(C19&lt;=Controls!$B$6,1,0)</f>
        <v>0</v>
      </c>
    </row>
    <row r="20" customFormat="false" ht="15" hidden="false" customHeight="false" outlineLevel="0" collapsed="false">
      <c r="A20" s="4" t="n">
        <v>16</v>
      </c>
      <c r="B20" s="14" t="n">
        <f aca="false">DATE(YEAR(Controls!$B$7),MONTH(Controls!$B$7)+A20,DAY(Controls!$B$7))</f>
        <v>46508</v>
      </c>
      <c r="C20" s="14" t="n">
        <f aca="false">DATE(YEAR(Controls!$B$7),MONTH(Controls!$B$7)+A20+1,DAY(Controls!$B$7))</f>
        <v>46539</v>
      </c>
      <c r="D20" s="11" t="n">
        <f aca="false">IF(C20&lt;=Controls!$B$6,1,0)</f>
        <v>0</v>
      </c>
    </row>
    <row r="21" customFormat="false" ht="15" hidden="false" customHeight="false" outlineLevel="0" collapsed="false">
      <c r="A21" s="4" t="n">
        <v>17</v>
      </c>
      <c r="B21" s="14" t="n">
        <f aca="false">DATE(YEAR(Controls!$B$7),MONTH(Controls!$B$7)+A21,DAY(Controls!$B$7))</f>
        <v>46539</v>
      </c>
      <c r="C21" s="14" t="n">
        <f aca="false">DATE(YEAR(Controls!$B$7),MONTH(Controls!$B$7)+A21+1,DAY(Controls!$B$7))</f>
        <v>46569</v>
      </c>
      <c r="D21" s="11" t="n">
        <f aca="false">IF(C21&lt;=Controls!$B$6,1,0)</f>
        <v>0</v>
      </c>
    </row>
    <row r="22" customFormat="false" ht="15" hidden="false" customHeight="false" outlineLevel="0" collapsed="false">
      <c r="A22" s="4" t="n">
        <v>18</v>
      </c>
      <c r="B22" s="14" t="n">
        <f aca="false">DATE(YEAR(Controls!$B$7),MONTH(Controls!$B$7)+A22,DAY(Controls!$B$7))</f>
        <v>46569</v>
      </c>
      <c r="C22" s="14" t="n">
        <f aca="false">DATE(YEAR(Controls!$B$7),MONTH(Controls!$B$7)+A22+1,DAY(Controls!$B$7))</f>
        <v>46600</v>
      </c>
      <c r="D22" s="11" t="n">
        <f aca="false">IF(C22&lt;=Controls!$B$6,1,0)</f>
        <v>0</v>
      </c>
    </row>
    <row r="23" customFormat="false" ht="15" hidden="false" customHeight="false" outlineLevel="0" collapsed="false">
      <c r="A23" s="4" t="n">
        <v>19</v>
      </c>
      <c r="B23" s="14" t="n">
        <f aca="false">DATE(YEAR(Controls!$B$7),MONTH(Controls!$B$7)+A23,DAY(Controls!$B$7))</f>
        <v>46600</v>
      </c>
      <c r="C23" s="14" t="n">
        <f aca="false">DATE(YEAR(Controls!$B$7),MONTH(Controls!$B$7)+A23+1,DAY(Controls!$B$7))</f>
        <v>46631</v>
      </c>
      <c r="D23" s="11" t="n">
        <f aca="false">IF(C23&lt;=Controls!$B$6,1,0)</f>
        <v>0</v>
      </c>
    </row>
    <row r="24" customFormat="false" ht="15" hidden="false" customHeight="false" outlineLevel="0" collapsed="false">
      <c r="A24" s="4" t="n">
        <v>20</v>
      </c>
      <c r="B24" s="14" t="n">
        <f aca="false">DATE(YEAR(Controls!$B$7),MONTH(Controls!$B$7)+A24,DAY(Controls!$B$7))</f>
        <v>46631</v>
      </c>
      <c r="C24" s="14" t="n">
        <f aca="false">DATE(YEAR(Controls!$B$7),MONTH(Controls!$B$7)+A24+1,DAY(Controls!$B$7))</f>
        <v>46661</v>
      </c>
      <c r="D24" s="11" t="n">
        <f aca="false">IF(C24&lt;=Controls!$B$6,1,0)</f>
        <v>0</v>
      </c>
    </row>
    <row r="25" customFormat="false" ht="15" hidden="false" customHeight="false" outlineLevel="0" collapsed="false">
      <c r="A25" s="4" t="n">
        <v>21</v>
      </c>
      <c r="B25" s="14" t="n">
        <f aca="false">DATE(YEAR(Controls!$B$7),MONTH(Controls!$B$7)+A25,DAY(Controls!$B$7))</f>
        <v>46661</v>
      </c>
      <c r="C25" s="14" t="n">
        <f aca="false">DATE(YEAR(Controls!$B$7),MONTH(Controls!$B$7)+A25+1,DAY(Controls!$B$7))</f>
        <v>46692</v>
      </c>
      <c r="D25" s="11" t="n">
        <f aca="false">IF(C25&lt;=Controls!$B$6,1,0)</f>
        <v>0</v>
      </c>
    </row>
    <row r="26" customFormat="false" ht="15" hidden="false" customHeight="false" outlineLevel="0" collapsed="false">
      <c r="A26" s="4" t="n">
        <v>22</v>
      </c>
      <c r="B26" s="14" t="n">
        <f aca="false">DATE(YEAR(Controls!$B$7),MONTH(Controls!$B$7)+A26,DAY(Controls!$B$7))</f>
        <v>46692</v>
      </c>
      <c r="C26" s="14" t="n">
        <f aca="false">DATE(YEAR(Controls!$B$7),MONTH(Controls!$B$7)+A26+1,DAY(Controls!$B$7))</f>
        <v>46722</v>
      </c>
      <c r="D26" s="11" t="n">
        <f aca="false">IF(C26&lt;=Controls!$B$6,1,0)</f>
        <v>0</v>
      </c>
    </row>
    <row r="27" customFormat="false" ht="15" hidden="false" customHeight="false" outlineLevel="0" collapsed="false">
      <c r="A27" s="4" t="n">
        <v>23</v>
      </c>
      <c r="B27" s="14" t="n">
        <f aca="false">DATE(YEAR(Controls!$B$7),MONTH(Controls!$B$7)+A27,DAY(Controls!$B$7))</f>
        <v>46722</v>
      </c>
      <c r="C27" s="14" t="n">
        <f aca="false">DATE(YEAR(Controls!$B$7),MONTH(Controls!$B$7)+A27+1,DAY(Controls!$B$7))</f>
        <v>46753</v>
      </c>
      <c r="D27" s="11" t="n">
        <f aca="false">IF(C27&lt;=Controls!$B$6,1,0)</f>
        <v>0</v>
      </c>
    </row>
    <row r="28" customFormat="false" ht="15" hidden="false" customHeight="false" outlineLevel="0" collapsed="false">
      <c r="A28" s="4" t="n">
        <v>24</v>
      </c>
      <c r="B28" s="14" t="n">
        <f aca="false">DATE(YEAR(Controls!$B$7),MONTH(Controls!$B$7)+A28,DAY(Controls!$B$7))</f>
        <v>46753</v>
      </c>
      <c r="C28" s="14" t="n">
        <f aca="false">DATE(YEAR(Controls!$B$7),MONTH(Controls!$B$7)+A28+1,DAY(Controls!$B$7))</f>
        <v>46784</v>
      </c>
      <c r="D28" s="11" t="n">
        <f aca="false">IF(C28&lt;=Controls!$B$6,1,0)</f>
        <v>0</v>
      </c>
    </row>
    <row r="29" customFormat="false" ht="15" hidden="false" customHeight="false" outlineLevel="0" collapsed="false">
      <c r="A29" s="4" t="n">
        <v>25</v>
      </c>
      <c r="B29" s="14" t="n">
        <f aca="false">DATE(YEAR(Controls!$B$7),MONTH(Controls!$B$7)+A29,DAY(Controls!$B$7))</f>
        <v>46784</v>
      </c>
      <c r="C29" s="14" t="n">
        <f aca="false">DATE(YEAR(Controls!$B$7),MONTH(Controls!$B$7)+A29+1,DAY(Controls!$B$7))</f>
        <v>46813</v>
      </c>
      <c r="D29" s="11" t="n">
        <f aca="false">IF(C29&lt;=Controls!$B$6,1,0)</f>
        <v>0</v>
      </c>
    </row>
    <row r="30" customFormat="false" ht="15" hidden="false" customHeight="false" outlineLevel="0" collapsed="false">
      <c r="A30" s="4" t="n">
        <v>26</v>
      </c>
      <c r="B30" s="14" t="n">
        <f aca="false">DATE(YEAR(Controls!$B$7),MONTH(Controls!$B$7)+A30,DAY(Controls!$B$7))</f>
        <v>46813</v>
      </c>
      <c r="C30" s="14" t="n">
        <f aca="false">DATE(YEAR(Controls!$B$7),MONTH(Controls!$B$7)+A30+1,DAY(Controls!$B$7))</f>
        <v>46844</v>
      </c>
      <c r="D30" s="11" t="n">
        <f aca="false">IF(C30&lt;=Controls!$B$6,1,0)</f>
        <v>0</v>
      </c>
    </row>
    <row r="31" customFormat="false" ht="15" hidden="false" customHeight="false" outlineLevel="0" collapsed="false">
      <c r="A31" s="4" t="n">
        <v>27</v>
      </c>
      <c r="B31" s="14" t="n">
        <f aca="false">DATE(YEAR(Controls!$B$7),MONTH(Controls!$B$7)+A31,DAY(Controls!$B$7))</f>
        <v>46844</v>
      </c>
      <c r="C31" s="14" t="n">
        <f aca="false">DATE(YEAR(Controls!$B$7),MONTH(Controls!$B$7)+A31+1,DAY(Controls!$B$7))</f>
        <v>46874</v>
      </c>
      <c r="D31" s="11" t="n">
        <f aca="false">IF(C31&lt;=Controls!$B$6,1,0)</f>
        <v>0</v>
      </c>
    </row>
    <row r="32" customFormat="false" ht="15" hidden="false" customHeight="false" outlineLevel="0" collapsed="false">
      <c r="A32" s="4" t="n">
        <v>28</v>
      </c>
      <c r="B32" s="14" t="n">
        <f aca="false">DATE(YEAR(Controls!$B$7),MONTH(Controls!$B$7)+A32,DAY(Controls!$B$7))</f>
        <v>46874</v>
      </c>
      <c r="C32" s="14" t="n">
        <f aca="false">DATE(YEAR(Controls!$B$7),MONTH(Controls!$B$7)+A32+1,DAY(Controls!$B$7))</f>
        <v>46905</v>
      </c>
      <c r="D32" s="11" t="n">
        <f aca="false">IF(C32&lt;=Controls!$B$6,1,0)</f>
        <v>0</v>
      </c>
    </row>
    <row r="33" customFormat="false" ht="15" hidden="false" customHeight="false" outlineLevel="0" collapsed="false">
      <c r="A33" s="4" t="n">
        <v>29</v>
      </c>
      <c r="B33" s="14" t="n">
        <f aca="false">DATE(YEAR(Controls!$B$7),MONTH(Controls!$B$7)+A33,DAY(Controls!$B$7))</f>
        <v>46905</v>
      </c>
      <c r="C33" s="14" t="n">
        <f aca="false">DATE(YEAR(Controls!$B$7),MONTH(Controls!$B$7)+A33+1,DAY(Controls!$B$7))</f>
        <v>46935</v>
      </c>
      <c r="D33" s="11" t="n">
        <f aca="false">IF(C33&lt;=Controls!$B$6,1,0)</f>
        <v>0</v>
      </c>
    </row>
    <row r="34" customFormat="false" ht="15" hidden="false" customHeight="false" outlineLevel="0" collapsed="false">
      <c r="A34" s="4" t="n">
        <v>30</v>
      </c>
      <c r="B34" s="14" t="n">
        <f aca="false">DATE(YEAR(Controls!$B$7),MONTH(Controls!$B$7)+A34,DAY(Controls!$B$7))</f>
        <v>46935</v>
      </c>
      <c r="C34" s="14" t="n">
        <f aca="false">DATE(YEAR(Controls!$B$7),MONTH(Controls!$B$7)+A34+1,DAY(Controls!$B$7))</f>
        <v>46966</v>
      </c>
      <c r="D34" s="11" t="n">
        <f aca="false">IF(C34&lt;=Controls!$B$6,1,0)</f>
        <v>0</v>
      </c>
    </row>
    <row r="35" customFormat="false" ht="15" hidden="false" customHeight="false" outlineLevel="0" collapsed="false">
      <c r="A35" s="4" t="n">
        <v>31</v>
      </c>
      <c r="B35" s="14" t="n">
        <f aca="false">DATE(YEAR(Controls!$B$7),MONTH(Controls!$B$7)+A35,DAY(Controls!$B$7))</f>
        <v>46966</v>
      </c>
      <c r="C35" s="14" t="n">
        <f aca="false">DATE(YEAR(Controls!$B$7),MONTH(Controls!$B$7)+A35+1,DAY(Controls!$B$7))</f>
        <v>46997</v>
      </c>
      <c r="D35" s="11" t="n">
        <f aca="false">IF(C35&lt;=Controls!$B$6,1,0)</f>
        <v>0</v>
      </c>
    </row>
    <row r="36" customFormat="false" ht="15" hidden="false" customHeight="false" outlineLevel="0" collapsed="false">
      <c r="A36" s="4" t="n">
        <v>32</v>
      </c>
      <c r="B36" s="14" t="n">
        <f aca="false">DATE(YEAR(Controls!$B$7),MONTH(Controls!$B$7)+A36,DAY(Controls!$B$7))</f>
        <v>46997</v>
      </c>
      <c r="C36" s="14" t="n">
        <f aca="false">DATE(YEAR(Controls!$B$7),MONTH(Controls!$B$7)+A36+1,DAY(Controls!$B$7))</f>
        <v>47027</v>
      </c>
      <c r="D36" s="11" t="n">
        <f aca="false">IF(C36&lt;=Controls!$B$6,1,0)</f>
        <v>0</v>
      </c>
    </row>
    <row r="37" customFormat="false" ht="15" hidden="false" customHeight="false" outlineLevel="0" collapsed="false">
      <c r="A37" s="4" t="n">
        <v>33</v>
      </c>
      <c r="B37" s="14" t="n">
        <f aca="false">DATE(YEAR(Controls!$B$7),MONTH(Controls!$B$7)+A37,DAY(Controls!$B$7))</f>
        <v>47027</v>
      </c>
      <c r="C37" s="14" t="n">
        <f aca="false">DATE(YEAR(Controls!$B$7),MONTH(Controls!$B$7)+A37+1,DAY(Controls!$B$7))</f>
        <v>47058</v>
      </c>
      <c r="D37" s="11" t="n">
        <f aca="false">IF(C37&lt;=Controls!$B$6,1,0)</f>
        <v>0</v>
      </c>
    </row>
    <row r="38" customFormat="false" ht="15" hidden="false" customHeight="false" outlineLevel="0" collapsed="false">
      <c r="A38" s="4" t="n">
        <v>34</v>
      </c>
      <c r="B38" s="14" t="n">
        <f aca="false">DATE(YEAR(Controls!$B$7),MONTH(Controls!$B$7)+A38,DAY(Controls!$B$7))</f>
        <v>47058</v>
      </c>
      <c r="C38" s="14" t="n">
        <f aca="false">DATE(YEAR(Controls!$B$7),MONTH(Controls!$B$7)+A38+1,DAY(Controls!$B$7))</f>
        <v>47088</v>
      </c>
      <c r="D38" s="11" t="n">
        <f aca="false">IF(C38&lt;=Controls!$B$6,1,0)</f>
        <v>0</v>
      </c>
    </row>
    <row r="39" customFormat="false" ht="15" hidden="false" customHeight="false" outlineLevel="0" collapsed="false">
      <c r="A39" s="4" t="n">
        <v>35</v>
      </c>
      <c r="B39" s="14" t="n">
        <f aca="false">DATE(YEAR(Controls!$B$7),MONTH(Controls!$B$7)+A39,DAY(Controls!$B$7))</f>
        <v>47088</v>
      </c>
      <c r="C39" s="14" t="n">
        <f aca="false">DATE(YEAR(Controls!$B$7),MONTH(Controls!$B$7)+A39+1,DAY(Controls!$B$7))</f>
        <v>47119</v>
      </c>
      <c r="D39" s="11" t="n">
        <f aca="false">IF(C39&lt;=Controls!$B$6,1,0)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s>
  <sheetData>
    <row r="1" customFormat="false" ht="17.35" hidden="false" customHeight="false" outlineLevel="0" collapsed="false">
      <c r="A1" s="1" t="s">
        <v>2190</v>
      </c>
    </row>
    <row r="3" customFormat="false" ht="68.65" hidden="false" customHeight="false" outlineLevel="0" collapsed="false">
      <c r="A3" s="10" t="s">
        <v>1890</v>
      </c>
      <c r="B3" s="10" t="s">
        <v>2191</v>
      </c>
      <c r="C3" s="10" t="s">
        <v>2192</v>
      </c>
      <c r="D3" s="10" t="s">
        <v>2193</v>
      </c>
      <c r="E3" s="10" t="s">
        <v>2194</v>
      </c>
      <c r="F3" s="10" t="s">
        <v>2195</v>
      </c>
      <c r="G3" s="10" t="s">
        <v>2196</v>
      </c>
      <c r="H3" s="10" t="s">
        <v>2197</v>
      </c>
      <c r="I3" s="10" t="s">
        <v>2198</v>
      </c>
      <c r="J3" s="10" t="s">
        <v>2199</v>
      </c>
      <c r="K3" s="10" t="s">
        <v>2200</v>
      </c>
      <c r="L3" s="10" t="s">
        <v>2201</v>
      </c>
      <c r="M3" s="10" t="s">
        <v>2202</v>
      </c>
      <c r="N3" s="10" t="s">
        <v>2203</v>
      </c>
      <c r="O3" s="10" t="s">
        <v>2204</v>
      </c>
      <c r="P3" s="10" t="s">
        <v>2205</v>
      </c>
    </row>
    <row r="4" customFormat="false" ht="15" hidden="false" customHeight="false" outlineLevel="0" collapsed="false">
      <c r="A4" s="4" t="s">
        <v>1902</v>
      </c>
      <c r="B4" s="4" t="n">
        <v>953382.86</v>
      </c>
      <c r="C4" s="4" t="n">
        <v>0</v>
      </c>
      <c r="D4" s="4" t="n">
        <v>953382.86</v>
      </c>
      <c r="E4" s="4" t="n">
        <v>7624466.78</v>
      </c>
      <c r="F4" s="4" t="n">
        <v>0</v>
      </c>
      <c r="G4" s="4" t="n">
        <v>81230.96</v>
      </c>
      <c r="H4" s="4" t="n">
        <v>7302.53</v>
      </c>
      <c r="I4" s="4" t="n">
        <v>5564850</v>
      </c>
      <c r="J4" s="4" t="n">
        <v>5111800.12</v>
      </c>
      <c r="K4" s="4" t="n">
        <v>0</v>
      </c>
      <c r="L4" s="4" t="n">
        <v>1675266.64</v>
      </c>
      <c r="M4" s="4" t="n">
        <v>0</v>
      </c>
      <c r="N4" s="4" t="n">
        <v>837400.02</v>
      </c>
      <c r="O4" s="4" t="n">
        <v>81230.96</v>
      </c>
      <c r="P4" s="4" t="n">
        <v>7624466.78</v>
      </c>
    </row>
    <row r="5" customFormat="false" ht="15" hidden="false" customHeight="false" outlineLevel="0" collapsed="false">
      <c r="A5" s="4" t="s">
        <v>1915</v>
      </c>
      <c r="B5" s="4" t="n">
        <v>2083397.09</v>
      </c>
      <c r="C5" s="4" t="n">
        <v>233202.37</v>
      </c>
      <c r="D5" s="4" t="n">
        <v>1850194.72</v>
      </c>
      <c r="E5" s="4" t="n">
        <v>9008552.27</v>
      </c>
      <c r="F5" s="4" t="n">
        <v>253178.85</v>
      </c>
      <c r="G5" s="4" t="n">
        <v>78996.66</v>
      </c>
      <c r="H5" s="4" t="n">
        <v>7302.53</v>
      </c>
      <c r="I5" s="4" t="n">
        <v>5564850</v>
      </c>
      <c r="J5" s="4" t="n">
        <v>4988733.57</v>
      </c>
      <c r="K5" s="4" t="n">
        <v>0</v>
      </c>
      <c r="L5" s="4" t="n">
        <v>1524866.79</v>
      </c>
      <c r="M5" s="4" t="n">
        <v>1657551.89</v>
      </c>
      <c r="N5" s="4" t="n">
        <v>837400.02</v>
      </c>
      <c r="O5" s="4" t="n">
        <v>32429.32</v>
      </c>
      <c r="P5" s="4" t="n">
        <v>8755373.42</v>
      </c>
    </row>
    <row r="6" customFormat="false" ht="15" hidden="false" customHeight="false" outlineLevel="0" collapsed="false">
      <c r="A6" s="4" t="s">
        <v>1923</v>
      </c>
      <c r="B6" s="4" t="n">
        <v>1980952.24</v>
      </c>
      <c r="C6" s="4" t="n">
        <v>239423.08</v>
      </c>
      <c r="D6" s="4" t="n">
        <v>1741529.16</v>
      </c>
      <c r="E6" s="4" t="n">
        <v>8635351.21</v>
      </c>
      <c r="F6" s="4" t="n">
        <v>253178.85</v>
      </c>
      <c r="G6" s="4" t="n">
        <v>70915.16</v>
      </c>
      <c r="H6" s="4" t="n">
        <v>7302.53</v>
      </c>
      <c r="I6" s="4" t="n">
        <v>5526650</v>
      </c>
      <c r="J6" s="4" t="n">
        <v>4839200.16</v>
      </c>
      <c r="K6" s="4" t="n">
        <v>0</v>
      </c>
      <c r="L6" s="4" t="n">
        <v>1425200.08</v>
      </c>
      <c r="M6" s="4" t="n">
        <v>1601650.95</v>
      </c>
      <c r="N6" s="4" t="n">
        <v>769300.02</v>
      </c>
      <c r="O6" s="4" t="n">
        <v>26109.04</v>
      </c>
      <c r="P6" s="4" t="n">
        <v>8382172.36</v>
      </c>
    </row>
    <row r="7" customFormat="false" ht="15" hidden="false" customHeight="false" outlineLevel="0" collapsed="false">
      <c r="A7" s="4" t="s">
        <v>1931</v>
      </c>
      <c r="B7" s="4" t="n">
        <v>99957.44</v>
      </c>
      <c r="C7" s="4" t="n">
        <v>0</v>
      </c>
      <c r="D7" s="4" t="n">
        <v>99957.44</v>
      </c>
      <c r="E7" s="4" t="n">
        <v>4314399.87</v>
      </c>
      <c r="F7" s="4" t="n">
        <v>0</v>
      </c>
      <c r="G7" s="4" t="n">
        <v>59608.33</v>
      </c>
      <c r="H7" s="4" t="n">
        <v>0</v>
      </c>
      <c r="I7" s="4" t="n">
        <v>3571000</v>
      </c>
      <c r="J7" s="4" t="n">
        <v>2860599.95</v>
      </c>
      <c r="K7" s="4" t="n">
        <v>0</v>
      </c>
      <c r="L7" s="4" t="n">
        <v>977599.92</v>
      </c>
      <c r="M7" s="4" t="n">
        <v>0</v>
      </c>
      <c r="N7" s="4" t="n">
        <v>476199.99</v>
      </c>
      <c r="O7" s="4" t="n">
        <v>59608.33</v>
      </c>
      <c r="P7" s="4" t="n">
        <v>4314399.87</v>
      </c>
    </row>
    <row r="8" customFormat="false" ht="15" hidden="false" customHeight="false" outlineLevel="0" collapsed="false">
      <c r="A8" s="4" t="s">
        <v>1936</v>
      </c>
      <c r="B8" s="4" t="n">
        <v>892632.76</v>
      </c>
      <c r="C8" s="4" t="n">
        <v>0</v>
      </c>
      <c r="D8" s="4" t="n">
        <v>892632.76</v>
      </c>
      <c r="E8" s="4" t="n">
        <v>7624466.78</v>
      </c>
      <c r="F8" s="4" t="n">
        <v>0</v>
      </c>
      <c r="G8" s="4" t="n">
        <v>81230.96</v>
      </c>
      <c r="H8" s="4" t="n">
        <v>7302.53</v>
      </c>
      <c r="I8" s="4" t="n">
        <v>5564850</v>
      </c>
      <c r="J8" s="4" t="n">
        <v>5111800.12</v>
      </c>
      <c r="K8" s="4" t="n">
        <v>0</v>
      </c>
      <c r="L8" s="4" t="n">
        <v>1675266.64</v>
      </c>
      <c r="M8" s="4" t="n">
        <v>0</v>
      </c>
      <c r="N8" s="4" t="n">
        <v>837400.02</v>
      </c>
      <c r="O8" s="4" t="n">
        <v>81230.96</v>
      </c>
      <c r="P8" s="4" t="n">
        <v>7624466.78</v>
      </c>
    </row>
    <row r="9" customFormat="false" ht="15" hidden="false" customHeight="false" outlineLevel="0" collapsed="false">
      <c r="A9" s="4" t="s">
        <v>1943</v>
      </c>
      <c r="B9" s="4" t="n">
        <v>1523563.61</v>
      </c>
      <c r="C9" s="4" t="n">
        <v>194223.83</v>
      </c>
      <c r="D9" s="4" t="n">
        <v>1329339.78</v>
      </c>
      <c r="E9" s="4" t="n">
        <v>8197554.34</v>
      </c>
      <c r="F9" s="4" t="n">
        <v>207146.32</v>
      </c>
      <c r="G9" s="4" t="n">
        <v>73960.63</v>
      </c>
      <c r="H9" s="4" t="n">
        <v>5974.8</v>
      </c>
      <c r="I9" s="4" t="n">
        <v>5564850</v>
      </c>
      <c r="J9" s="4" t="n">
        <v>4531533.55</v>
      </c>
      <c r="K9" s="4" t="n">
        <v>0</v>
      </c>
      <c r="L9" s="4" t="n">
        <v>1425200.08</v>
      </c>
      <c r="M9" s="4" t="n">
        <v>1495687.35</v>
      </c>
      <c r="N9" s="4" t="n">
        <v>745133.37</v>
      </c>
      <c r="O9" s="4" t="n">
        <v>32429.32</v>
      </c>
      <c r="P9" s="4" t="n">
        <v>7990408.03</v>
      </c>
    </row>
    <row r="10" customFormat="false" ht="15" hidden="false" customHeight="false" outlineLevel="0" collapsed="false">
      <c r="A10" s="4" t="s">
        <v>1952</v>
      </c>
      <c r="B10" s="4" t="n">
        <v>791876.77</v>
      </c>
      <c r="C10" s="4" t="n">
        <v>0</v>
      </c>
      <c r="D10" s="4" t="n">
        <v>791876.77</v>
      </c>
      <c r="E10" s="4" t="n">
        <v>9723216.38</v>
      </c>
      <c r="F10" s="4" t="n">
        <v>0</v>
      </c>
      <c r="G10" s="4" t="n">
        <v>51825.8</v>
      </c>
      <c r="H10" s="4" t="n">
        <v>0</v>
      </c>
      <c r="I10" s="4" t="n">
        <v>6772650</v>
      </c>
      <c r="J10" s="4" t="n">
        <v>1377066.72</v>
      </c>
      <c r="K10" s="4" t="n">
        <v>6573733.08</v>
      </c>
      <c r="L10" s="4" t="n">
        <v>0</v>
      </c>
      <c r="M10" s="4" t="n">
        <v>0</v>
      </c>
      <c r="N10" s="4" t="n">
        <v>1772416.58</v>
      </c>
      <c r="O10" s="4" t="n">
        <v>51825.8</v>
      </c>
      <c r="P10" s="4" t="n">
        <v>9723216.38</v>
      </c>
    </row>
    <row r="11" customFormat="false" ht="15" hidden="false" customHeight="false" outlineLevel="0" collapsed="false">
      <c r="A11" s="4" t="s">
        <v>1965</v>
      </c>
      <c r="B11" s="4" t="n">
        <v>804919.25</v>
      </c>
      <c r="C11" s="4" t="n">
        <v>0</v>
      </c>
      <c r="D11" s="4" t="n">
        <v>804919.25</v>
      </c>
      <c r="E11" s="4" t="n">
        <v>9919341.91</v>
      </c>
      <c r="F11" s="4" t="n">
        <v>0</v>
      </c>
      <c r="G11" s="4" t="n">
        <v>51825.8</v>
      </c>
      <c r="H11" s="4" t="n">
        <v>0</v>
      </c>
      <c r="I11" s="4" t="n">
        <v>6772650</v>
      </c>
      <c r="J11" s="4" t="n">
        <v>1377066.72</v>
      </c>
      <c r="K11" s="4" t="n">
        <v>6573733.08</v>
      </c>
      <c r="L11" s="4" t="n">
        <v>0</v>
      </c>
      <c r="M11" s="4" t="n">
        <v>196125.53</v>
      </c>
      <c r="N11" s="4" t="n">
        <v>1772416.58</v>
      </c>
      <c r="O11" s="4" t="n">
        <v>45414.38</v>
      </c>
      <c r="P11" s="4" t="n">
        <v>9919341.91</v>
      </c>
    </row>
    <row r="12" customFormat="false" ht="15" hidden="false" customHeight="false" outlineLevel="0" collapsed="false">
      <c r="A12" s="4" t="s">
        <v>1972</v>
      </c>
      <c r="B12" s="4" t="n">
        <v>334667.51</v>
      </c>
      <c r="C12" s="4" t="n">
        <v>0</v>
      </c>
      <c r="D12" s="4" t="n">
        <v>334667.51</v>
      </c>
      <c r="E12" s="4" t="n">
        <v>8914958.48</v>
      </c>
      <c r="F12" s="4" t="n">
        <v>0</v>
      </c>
      <c r="G12" s="4" t="n">
        <v>36891.24</v>
      </c>
      <c r="H12" s="4" t="n">
        <v>0</v>
      </c>
      <c r="I12" s="4" t="n">
        <v>6687700</v>
      </c>
      <c r="J12" s="4" t="n">
        <v>1261200</v>
      </c>
      <c r="K12" s="4" t="n">
        <v>5872466.38</v>
      </c>
      <c r="L12" s="4" t="n">
        <v>0</v>
      </c>
      <c r="M12" s="4" t="n">
        <v>196125.53</v>
      </c>
      <c r="N12" s="4" t="n">
        <v>1585166.58</v>
      </c>
      <c r="O12" s="4" t="n">
        <v>30479.81</v>
      </c>
      <c r="P12" s="4" t="n">
        <v>8914958.48</v>
      </c>
    </row>
    <row r="13" customFormat="false" ht="15" hidden="false" customHeight="false" outlineLevel="0" collapsed="false">
      <c r="A13" s="4" t="s">
        <v>1980</v>
      </c>
      <c r="B13" s="4" t="n">
        <v>-362653.93</v>
      </c>
      <c r="C13" s="4" t="n">
        <v>0</v>
      </c>
      <c r="D13" s="4" t="n">
        <v>-362653.93</v>
      </c>
      <c r="E13" s="4" t="n">
        <v>2758599.79</v>
      </c>
      <c r="F13" s="4" t="n">
        <v>0</v>
      </c>
      <c r="G13" s="4" t="n">
        <v>11441.31</v>
      </c>
      <c r="H13" s="4" t="n">
        <v>0</v>
      </c>
      <c r="I13" s="4" t="n">
        <v>2347700</v>
      </c>
      <c r="J13" s="4" t="n">
        <v>0</v>
      </c>
      <c r="K13" s="4" t="n">
        <v>2122033.17</v>
      </c>
      <c r="L13" s="4" t="n">
        <v>0</v>
      </c>
      <c r="M13" s="4" t="n">
        <v>0</v>
      </c>
      <c r="N13" s="4" t="n">
        <v>636566.62</v>
      </c>
      <c r="O13" s="4" t="n">
        <v>11441.31</v>
      </c>
      <c r="P13" s="4" t="n">
        <v>2758599.79</v>
      </c>
    </row>
    <row r="14" customFormat="false" ht="15" hidden="false" customHeight="false" outlineLevel="0" collapsed="false">
      <c r="A14" s="4" t="s">
        <v>1983</v>
      </c>
      <c r="B14" s="4" t="n">
        <v>706407.57</v>
      </c>
      <c r="C14" s="4" t="n">
        <v>0</v>
      </c>
      <c r="D14" s="4" t="n">
        <v>706407.57</v>
      </c>
      <c r="E14" s="4" t="n">
        <v>9723216.38</v>
      </c>
      <c r="F14" s="4" t="n">
        <v>0</v>
      </c>
      <c r="G14" s="4" t="n">
        <v>51825.8</v>
      </c>
      <c r="H14" s="4" t="n">
        <v>0</v>
      </c>
      <c r="I14" s="4" t="n">
        <v>6772650</v>
      </c>
      <c r="J14" s="4" t="n">
        <v>1377066.72</v>
      </c>
      <c r="K14" s="4" t="n">
        <v>6573733.08</v>
      </c>
      <c r="L14" s="4" t="n">
        <v>0</v>
      </c>
      <c r="M14" s="4" t="n">
        <v>0</v>
      </c>
      <c r="N14" s="4" t="n">
        <v>1772416.58</v>
      </c>
      <c r="O14" s="4" t="n">
        <v>51825.8</v>
      </c>
      <c r="P14" s="4" t="n">
        <v>9723216.38</v>
      </c>
    </row>
    <row r="15" customFormat="false" ht="15" hidden="false" customHeight="false" outlineLevel="0" collapsed="false">
      <c r="A15" s="4" t="s">
        <v>1990</v>
      </c>
      <c r="B15" s="4" t="n">
        <v>322261.6</v>
      </c>
      <c r="C15" s="4" t="n">
        <v>0</v>
      </c>
      <c r="D15" s="4" t="n">
        <v>322261.6</v>
      </c>
      <c r="E15" s="4" t="n">
        <v>9146835.9</v>
      </c>
      <c r="F15" s="4" t="n">
        <v>0</v>
      </c>
      <c r="G15" s="4" t="n">
        <v>49261.27</v>
      </c>
      <c r="H15" s="4" t="n">
        <v>0</v>
      </c>
      <c r="I15" s="4" t="n">
        <v>6772650</v>
      </c>
      <c r="J15" s="4" t="n">
        <v>1261200</v>
      </c>
      <c r="K15" s="4" t="n">
        <v>6074000.13</v>
      </c>
      <c r="L15" s="4" t="n">
        <v>0</v>
      </c>
      <c r="M15" s="4" t="n">
        <v>165952.4</v>
      </c>
      <c r="N15" s="4" t="n">
        <v>1645683.37</v>
      </c>
      <c r="O15" s="4" t="n">
        <v>43836.21</v>
      </c>
      <c r="P15" s="4" t="n">
        <v>9146835.9</v>
      </c>
    </row>
    <row r="16" customFormat="false" ht="15" hidden="false" customHeight="false" outlineLevel="0" collapsed="false">
      <c r="A16" s="4" t="s">
        <v>1999</v>
      </c>
      <c r="B16" s="4" t="n">
        <v>817592.33</v>
      </c>
      <c r="C16" s="4" t="n">
        <v>0</v>
      </c>
      <c r="D16" s="4" t="n">
        <v>817592.33</v>
      </c>
      <c r="E16" s="4" t="n">
        <v>8063433.53</v>
      </c>
      <c r="F16" s="4" t="n">
        <v>0</v>
      </c>
      <c r="G16" s="4" t="n">
        <v>49795.74</v>
      </c>
      <c r="H16" s="4" t="n">
        <v>0</v>
      </c>
      <c r="I16" s="4" t="n">
        <v>6189550</v>
      </c>
      <c r="J16" s="4" t="n">
        <v>5324500.14</v>
      </c>
      <c r="K16" s="4" t="n">
        <v>0</v>
      </c>
      <c r="L16" s="4" t="n">
        <v>2010466.68</v>
      </c>
      <c r="M16" s="4" t="n">
        <v>0</v>
      </c>
      <c r="N16" s="4" t="n">
        <v>728466.72</v>
      </c>
      <c r="O16" s="4" t="n">
        <v>49795.74</v>
      </c>
      <c r="P16" s="4" t="n">
        <v>8063433.53</v>
      </c>
    </row>
    <row r="17" customFormat="false" ht="15" hidden="false" customHeight="false" outlineLevel="0" collapsed="false">
      <c r="A17" s="4" t="s">
        <v>2012</v>
      </c>
      <c r="B17" s="4" t="n">
        <v>796700.44</v>
      </c>
      <c r="C17" s="4" t="n">
        <v>0</v>
      </c>
      <c r="D17" s="4" t="n">
        <v>796700.44</v>
      </c>
      <c r="E17" s="4" t="n">
        <v>8196235.37</v>
      </c>
      <c r="F17" s="4" t="n">
        <v>0</v>
      </c>
      <c r="G17" s="4" t="n">
        <v>49795.74</v>
      </c>
      <c r="H17" s="4" t="n">
        <v>0</v>
      </c>
      <c r="I17" s="4" t="n">
        <v>6189550</v>
      </c>
      <c r="J17" s="4" t="n">
        <v>5324500.14</v>
      </c>
      <c r="K17" s="4" t="n">
        <v>0</v>
      </c>
      <c r="L17" s="4" t="n">
        <v>2010466.68</v>
      </c>
      <c r="M17" s="4" t="n">
        <v>132801.84</v>
      </c>
      <c r="N17" s="4" t="n">
        <v>728466.72</v>
      </c>
      <c r="O17" s="4" t="n">
        <v>46399.27</v>
      </c>
      <c r="P17" s="4" t="n">
        <v>8196235.37</v>
      </c>
    </row>
    <row r="18" customFormat="false" ht="15" hidden="false" customHeight="false" outlineLevel="0" collapsed="false">
      <c r="A18" s="4" t="s">
        <v>2019</v>
      </c>
      <c r="B18" s="4" t="n">
        <v>-47204.81</v>
      </c>
      <c r="C18" s="4" t="n">
        <v>0</v>
      </c>
      <c r="D18" s="4" t="n">
        <v>-47204.81</v>
      </c>
      <c r="E18" s="4" t="n">
        <v>7013371.25</v>
      </c>
      <c r="F18" s="4" t="n">
        <v>0</v>
      </c>
      <c r="G18" s="4" t="n">
        <v>44119.03</v>
      </c>
      <c r="H18" s="4" t="n">
        <v>0</v>
      </c>
      <c r="I18" s="4" t="n">
        <v>6121500</v>
      </c>
      <c r="J18" s="4" t="n">
        <v>4470233.63</v>
      </c>
      <c r="K18" s="4" t="n">
        <v>0</v>
      </c>
      <c r="L18" s="4" t="n">
        <v>1736833.45</v>
      </c>
      <c r="M18" s="4" t="n">
        <v>112370.8</v>
      </c>
      <c r="N18" s="4" t="n">
        <v>693933.37</v>
      </c>
      <c r="O18" s="4" t="n">
        <v>41245.09</v>
      </c>
      <c r="P18" s="4" t="n">
        <v>7013371.25</v>
      </c>
    </row>
    <row r="19" customFormat="false" ht="15" hidden="false" customHeight="false" outlineLevel="0" collapsed="false">
      <c r="A19" s="4" t="s">
        <v>2029</v>
      </c>
      <c r="B19" s="4" t="n">
        <v>-61970.9</v>
      </c>
      <c r="C19" s="4" t="n">
        <v>0</v>
      </c>
      <c r="D19" s="4" t="n">
        <v>-61970.9</v>
      </c>
      <c r="E19" s="4" t="n">
        <v>4172466.96</v>
      </c>
      <c r="F19" s="4" t="n">
        <v>0</v>
      </c>
      <c r="G19" s="4" t="n">
        <v>38540.98</v>
      </c>
      <c r="H19" s="4" t="n">
        <v>0</v>
      </c>
      <c r="I19" s="4" t="n">
        <v>3328800</v>
      </c>
      <c r="J19" s="4" t="n">
        <v>2986666.88</v>
      </c>
      <c r="K19" s="4" t="n">
        <v>0</v>
      </c>
      <c r="L19" s="4" t="n">
        <v>457333.37</v>
      </c>
      <c r="M19" s="4" t="n">
        <v>0</v>
      </c>
      <c r="N19" s="4" t="n">
        <v>728466.72</v>
      </c>
      <c r="O19" s="4" t="n">
        <v>38540.98</v>
      </c>
      <c r="P19" s="4" t="n">
        <v>4172466.96</v>
      </c>
    </row>
    <row r="20" customFormat="false" ht="15" hidden="false" customHeight="false" outlineLevel="0" collapsed="false">
      <c r="A20" s="4" t="s">
        <v>2033</v>
      </c>
      <c r="B20" s="4" t="n">
        <v>744598.77</v>
      </c>
      <c r="C20" s="4" t="n">
        <v>0</v>
      </c>
      <c r="D20" s="4" t="n">
        <v>744598.77</v>
      </c>
      <c r="E20" s="4" t="n">
        <v>8063433.53</v>
      </c>
      <c r="F20" s="4" t="n">
        <v>0</v>
      </c>
      <c r="G20" s="4" t="n">
        <v>49795.74</v>
      </c>
      <c r="H20" s="4" t="n">
        <v>0</v>
      </c>
      <c r="I20" s="4" t="n">
        <v>6189550</v>
      </c>
      <c r="J20" s="4" t="n">
        <v>5324500.14</v>
      </c>
      <c r="K20" s="4" t="n">
        <v>0</v>
      </c>
      <c r="L20" s="4" t="n">
        <v>2010466.68</v>
      </c>
      <c r="M20" s="4" t="n">
        <v>0</v>
      </c>
      <c r="N20" s="4" t="n">
        <v>728466.72</v>
      </c>
      <c r="O20" s="4" t="n">
        <v>49795.74</v>
      </c>
      <c r="P20" s="4" t="n">
        <v>8063433.53</v>
      </c>
    </row>
    <row r="21" customFormat="false" ht="15" hidden="false" customHeight="false" outlineLevel="0" collapsed="false">
      <c r="A21" s="4" t="s">
        <v>2040</v>
      </c>
      <c r="B21" s="4" t="n">
        <v>52603.38</v>
      </c>
      <c r="C21" s="4" t="n">
        <v>0</v>
      </c>
      <c r="D21" s="4" t="n">
        <v>52603.38</v>
      </c>
      <c r="E21" s="4" t="n">
        <v>7185404.43</v>
      </c>
      <c r="F21" s="4" t="n">
        <v>0</v>
      </c>
      <c r="G21" s="4" t="n">
        <v>43767.35</v>
      </c>
      <c r="H21" s="4" t="n">
        <v>0</v>
      </c>
      <c r="I21" s="4" t="n">
        <v>6189550</v>
      </c>
      <c r="J21" s="4" t="n">
        <v>4641500.18</v>
      </c>
      <c r="K21" s="4" t="n">
        <v>0</v>
      </c>
      <c r="L21" s="4" t="n">
        <v>1807133.45</v>
      </c>
      <c r="M21" s="4" t="n">
        <v>112370.8</v>
      </c>
      <c r="N21" s="4" t="n">
        <v>624400</v>
      </c>
      <c r="O21" s="4" t="n">
        <v>40893.41</v>
      </c>
      <c r="P21" s="4" t="n">
        <v>7185404.43</v>
      </c>
    </row>
    <row r="22" customFormat="false" ht="15" hidden="false" customHeight="false" outlineLevel="0" collapsed="false">
      <c r="A22" s="4" t="s">
        <v>2048</v>
      </c>
      <c r="B22" s="4" t="n">
        <v>-543120.97</v>
      </c>
      <c r="C22" s="4" t="n">
        <v>0</v>
      </c>
      <c r="D22" s="4" t="n">
        <v>-543120.97</v>
      </c>
      <c r="E22" s="4" t="n">
        <v>8148100.02</v>
      </c>
      <c r="F22" s="4" t="n">
        <v>0</v>
      </c>
      <c r="G22" s="4" t="n">
        <v>27886.67</v>
      </c>
      <c r="H22" s="4" t="n">
        <v>0</v>
      </c>
      <c r="I22" s="4" t="n">
        <v>7387150</v>
      </c>
      <c r="J22" s="4" t="n">
        <v>4853833.47</v>
      </c>
      <c r="K22" s="4" t="n">
        <v>0</v>
      </c>
      <c r="L22" s="4" t="n">
        <v>2284099.82</v>
      </c>
      <c r="M22" s="4" t="n">
        <v>0</v>
      </c>
      <c r="N22" s="4" t="n">
        <v>1010166.73</v>
      </c>
      <c r="O22" s="4" t="n">
        <v>27886.67</v>
      </c>
      <c r="P22" s="4" t="n">
        <v>8148100.02</v>
      </c>
    </row>
    <row r="23" customFormat="false" ht="15" hidden="false" customHeight="false" outlineLevel="0" collapsed="false">
      <c r="A23" s="4" t="s">
        <v>2061</v>
      </c>
      <c r="B23" s="4" t="n">
        <v>-661017.95</v>
      </c>
      <c r="C23" s="4" t="n">
        <v>0</v>
      </c>
      <c r="D23" s="4" t="n">
        <v>-661017.95</v>
      </c>
      <c r="E23" s="4" t="n">
        <v>8148100.02</v>
      </c>
      <c r="F23" s="4" t="n">
        <v>0</v>
      </c>
      <c r="G23" s="4" t="n">
        <v>27886.67</v>
      </c>
      <c r="H23" s="4" t="n">
        <v>0</v>
      </c>
      <c r="I23" s="4" t="n">
        <v>7387150</v>
      </c>
      <c r="J23" s="4" t="n">
        <v>4853833.47</v>
      </c>
      <c r="K23" s="4" t="n">
        <v>0</v>
      </c>
      <c r="L23" s="4" t="n">
        <v>2284099.82</v>
      </c>
      <c r="M23" s="4" t="n">
        <v>0</v>
      </c>
      <c r="N23" s="4" t="n">
        <v>1010166.73</v>
      </c>
      <c r="O23" s="4" t="n">
        <v>27886.67</v>
      </c>
      <c r="P23" s="4" t="n">
        <v>8148100.02</v>
      </c>
    </row>
    <row r="24" customFormat="false" ht="15" hidden="false" customHeight="false" outlineLevel="0" collapsed="false">
      <c r="A24" s="4" t="s">
        <v>2068</v>
      </c>
      <c r="B24" s="4" t="n">
        <v>-1380296.98</v>
      </c>
      <c r="C24" s="4" t="n">
        <v>0</v>
      </c>
      <c r="D24" s="4" t="n">
        <v>-1380296.98</v>
      </c>
      <c r="E24" s="4" t="n">
        <v>6538483.3</v>
      </c>
      <c r="F24" s="4" t="n">
        <v>0</v>
      </c>
      <c r="G24" s="4" t="n">
        <v>13466</v>
      </c>
      <c r="H24" s="4" t="n">
        <v>0</v>
      </c>
      <c r="I24" s="4" t="n">
        <v>6993000</v>
      </c>
      <c r="J24" s="4" t="n">
        <v>3454666.74</v>
      </c>
      <c r="K24" s="4" t="n">
        <v>0</v>
      </c>
      <c r="L24" s="4" t="n">
        <v>2284099.82</v>
      </c>
      <c r="M24" s="4" t="n">
        <v>0</v>
      </c>
      <c r="N24" s="4" t="n">
        <v>799716.73</v>
      </c>
      <c r="O24" s="4" t="n">
        <v>13466</v>
      </c>
      <c r="P24" s="4" t="n">
        <v>6538483.3</v>
      </c>
    </row>
    <row r="25" customFormat="false" ht="15" hidden="false" customHeight="false" outlineLevel="0" collapsed="false">
      <c r="A25" s="4" t="s">
        <v>2075</v>
      </c>
      <c r="B25" s="4" t="n">
        <v>673071.47</v>
      </c>
      <c r="C25" s="4" t="n">
        <v>0</v>
      </c>
      <c r="D25" s="4" t="n">
        <v>673071.47</v>
      </c>
      <c r="E25" s="4" t="n">
        <v>5895166.52</v>
      </c>
      <c r="F25" s="4" t="n">
        <v>0</v>
      </c>
      <c r="G25" s="4" t="n">
        <v>7812</v>
      </c>
      <c r="H25" s="4" t="n">
        <v>0</v>
      </c>
      <c r="I25" s="4" t="n">
        <v>4330500</v>
      </c>
      <c r="J25" s="4" t="n">
        <v>3129000</v>
      </c>
      <c r="K25" s="4" t="n">
        <v>0</v>
      </c>
      <c r="L25" s="4" t="n">
        <v>2284099.82</v>
      </c>
      <c r="M25" s="4" t="n">
        <v>0</v>
      </c>
      <c r="N25" s="4" t="n">
        <v>482066.7</v>
      </c>
      <c r="O25" s="4" t="n">
        <v>7812</v>
      </c>
      <c r="P25" s="4" t="n">
        <v>5895166.52</v>
      </c>
    </row>
    <row r="26" customFormat="false" ht="15" hidden="false" customHeight="false" outlineLevel="0" collapsed="false">
      <c r="A26" s="4" t="s">
        <v>2078</v>
      </c>
      <c r="B26" s="4" t="n">
        <v>-604162.03</v>
      </c>
      <c r="C26" s="4" t="n">
        <v>0</v>
      </c>
      <c r="D26" s="4" t="n">
        <v>-604162.03</v>
      </c>
      <c r="E26" s="4" t="n">
        <v>8148100.02</v>
      </c>
      <c r="F26" s="4" t="n">
        <v>0</v>
      </c>
      <c r="G26" s="4" t="n">
        <v>27886.67</v>
      </c>
      <c r="H26" s="4" t="n">
        <v>0</v>
      </c>
      <c r="I26" s="4" t="n">
        <v>7387150</v>
      </c>
      <c r="J26" s="4" t="n">
        <v>4853833.47</v>
      </c>
      <c r="K26" s="4" t="n">
        <v>0</v>
      </c>
      <c r="L26" s="4" t="n">
        <v>2284099.82</v>
      </c>
      <c r="M26" s="4" t="n">
        <v>0</v>
      </c>
      <c r="N26" s="4" t="n">
        <v>1010166.73</v>
      </c>
      <c r="O26" s="4" t="n">
        <v>27886.67</v>
      </c>
      <c r="P26" s="4" t="n">
        <v>8148100.02</v>
      </c>
    </row>
    <row r="27" customFormat="false" ht="15" hidden="false" customHeight="false" outlineLevel="0" collapsed="false">
      <c r="A27" s="4" t="s">
        <v>2085</v>
      </c>
      <c r="B27" s="4" t="n">
        <v>-565945.3</v>
      </c>
      <c r="C27" s="4" t="n">
        <v>0</v>
      </c>
      <c r="D27" s="4" t="n">
        <v>-565945.3</v>
      </c>
      <c r="E27" s="4" t="n">
        <v>8148100.02</v>
      </c>
      <c r="F27" s="4" t="n">
        <v>0</v>
      </c>
      <c r="G27" s="4" t="n">
        <v>27886.67</v>
      </c>
      <c r="H27" s="4" t="n">
        <v>0</v>
      </c>
      <c r="I27" s="4" t="n">
        <v>7387150</v>
      </c>
      <c r="J27" s="4" t="n">
        <v>4853833.47</v>
      </c>
      <c r="K27" s="4" t="n">
        <v>0</v>
      </c>
      <c r="L27" s="4" t="n">
        <v>2284099.82</v>
      </c>
      <c r="M27" s="4" t="n">
        <v>0</v>
      </c>
      <c r="N27" s="4" t="n">
        <v>1010166.73</v>
      </c>
      <c r="O27" s="4" t="n">
        <v>27886.67</v>
      </c>
      <c r="P27" s="4" t="n">
        <v>8148100.02</v>
      </c>
    </row>
    <row r="28" customFormat="false" ht="15" hidden="false" customHeight="false" outlineLevel="0" collapsed="false">
      <c r="A28" s="4" t="s">
        <v>18</v>
      </c>
      <c r="B28" s="4" t="n">
        <v>1438382.25</v>
      </c>
      <c r="C28" s="4" t="n">
        <v>195233.2</v>
      </c>
      <c r="D28" s="4" t="n">
        <v>1243149.05</v>
      </c>
      <c r="E28" s="4" t="n">
        <v>32677894.7</v>
      </c>
      <c r="F28" s="4" t="n">
        <v>207146.32</v>
      </c>
      <c r="G28" s="4" t="n">
        <v>194875.92</v>
      </c>
      <c r="H28" s="4" t="n">
        <v>5974.8</v>
      </c>
      <c r="I28" s="4" t="n">
        <v>25914200</v>
      </c>
      <c r="J28" s="4" t="n">
        <v>15288067.2</v>
      </c>
      <c r="K28" s="4" t="n">
        <v>6074000.13</v>
      </c>
      <c r="L28" s="4" t="n">
        <v>5516433.35</v>
      </c>
      <c r="M28" s="4" t="n">
        <v>1774010.55</v>
      </c>
      <c r="N28" s="4" t="n">
        <v>4025383.47</v>
      </c>
      <c r="O28" s="4" t="n">
        <v>145045.62</v>
      </c>
      <c r="P28" s="4" t="n">
        <v>32470748.38</v>
      </c>
    </row>
    <row r="29" customFormat="false" ht="15" hidden="false" customHeight="false" outlineLevel="0" collapsed="false">
      <c r="A29" s="4" t="s">
        <v>2116</v>
      </c>
      <c r="B29" s="4" t="n">
        <v>1024993.83</v>
      </c>
      <c r="C29" s="4" t="n">
        <v>0</v>
      </c>
      <c r="D29" s="4" t="n">
        <v>1024993.83</v>
      </c>
      <c r="E29" s="4" t="n">
        <v>31059699.61</v>
      </c>
      <c r="F29" s="4" t="n">
        <v>0</v>
      </c>
      <c r="G29" s="4" t="n">
        <v>186909.52</v>
      </c>
      <c r="H29" s="4" t="n">
        <v>0</v>
      </c>
      <c r="I29" s="4" t="n">
        <v>25083450</v>
      </c>
      <c r="J29" s="4" t="n">
        <v>14255667.2</v>
      </c>
      <c r="K29" s="4" t="n">
        <v>6074000.13</v>
      </c>
      <c r="L29" s="4" t="n">
        <v>5516433.35</v>
      </c>
      <c r="M29" s="4" t="n">
        <v>1497815.46</v>
      </c>
      <c r="N29" s="4" t="n">
        <v>3715783.47</v>
      </c>
      <c r="O29" s="4" t="n">
        <v>145045.62</v>
      </c>
      <c r="P29" s="4" t="n">
        <v>31059699.61</v>
      </c>
    </row>
    <row r="30" customFormat="false" ht="15" hidden="false" customHeight="false" outlineLevel="0" collapsed="false">
      <c r="A30" s="4" t="s">
        <v>2140</v>
      </c>
      <c r="B30" s="4" t="n">
        <v>1838021.19</v>
      </c>
      <c r="C30" s="4" t="n">
        <v>192501.02</v>
      </c>
      <c r="D30" s="4" t="n">
        <v>1645520.17</v>
      </c>
      <c r="E30" s="4" t="n">
        <v>10075357.56</v>
      </c>
      <c r="F30" s="4" t="n">
        <v>207146.32</v>
      </c>
      <c r="G30" s="4" t="n">
        <v>33381.15</v>
      </c>
      <c r="H30" s="4" t="n">
        <v>5974.8</v>
      </c>
      <c r="I30" s="4" t="n">
        <v>6704050</v>
      </c>
      <c r="J30" s="4" t="n">
        <v>4034633.46</v>
      </c>
      <c r="K30" s="4" t="n">
        <v>2787166.88</v>
      </c>
      <c r="L30" s="4" t="n">
        <v>1357000.07</v>
      </c>
      <c r="M30" s="4" t="n">
        <v>889923.76</v>
      </c>
      <c r="N30" s="4" t="n">
        <v>1006633.4</v>
      </c>
      <c r="O30" s="4" t="n">
        <v>6548.48</v>
      </c>
      <c r="P30" s="4" t="n">
        <v>9868211.24</v>
      </c>
    </row>
    <row r="31" customFormat="false" ht="15" hidden="false" customHeight="false" outlineLevel="0" collapsed="false">
      <c r="A31" s="4" t="s">
        <v>2146</v>
      </c>
      <c r="B31" s="4" t="n">
        <v>147903.44</v>
      </c>
      <c r="C31" s="4" t="n">
        <v>0</v>
      </c>
      <c r="D31" s="4" t="n">
        <v>147903.44</v>
      </c>
      <c r="E31" s="4" t="n">
        <v>9786633.43</v>
      </c>
      <c r="F31" s="4" t="n">
        <v>0</v>
      </c>
      <c r="G31" s="4" t="n">
        <v>44237.8</v>
      </c>
      <c r="H31" s="4" t="n">
        <v>0</v>
      </c>
      <c r="I31" s="4" t="n">
        <v>8209100</v>
      </c>
      <c r="J31" s="4" t="n">
        <v>5954133.49</v>
      </c>
      <c r="K31" s="4" t="n">
        <v>0</v>
      </c>
      <c r="L31" s="4" t="n">
        <v>2940233.2</v>
      </c>
      <c r="M31" s="4" t="n">
        <v>0</v>
      </c>
      <c r="N31" s="4" t="n">
        <v>892266.73</v>
      </c>
      <c r="O31" s="4" t="n">
        <v>44237.8</v>
      </c>
      <c r="P31" s="4" t="n">
        <v>9786633.43</v>
      </c>
    </row>
    <row r="32" customFormat="false" ht="15" hidden="false" customHeight="false" outlineLevel="0" collapsed="false">
      <c r="A32" s="4" t="s">
        <v>2154</v>
      </c>
      <c r="B32" s="4" t="n">
        <v>-1343076.84</v>
      </c>
      <c r="C32" s="4" t="n">
        <v>0</v>
      </c>
      <c r="D32" s="4" t="n">
        <v>-1343076.84</v>
      </c>
      <c r="E32" s="4" t="n">
        <v>7014750.47</v>
      </c>
      <c r="F32" s="4" t="n">
        <v>0</v>
      </c>
      <c r="G32" s="4" t="n">
        <v>86695.45</v>
      </c>
      <c r="H32" s="4" t="n">
        <v>0</v>
      </c>
      <c r="I32" s="4" t="n">
        <v>7128200</v>
      </c>
      <c r="J32" s="4" t="n">
        <v>4141766.94</v>
      </c>
      <c r="K32" s="4" t="n">
        <v>1164800.08</v>
      </c>
      <c r="L32" s="4" t="n">
        <v>656133.38</v>
      </c>
      <c r="M32" s="4" t="n">
        <v>0</v>
      </c>
      <c r="N32" s="4" t="n">
        <v>1052050.07</v>
      </c>
      <c r="O32" s="4" t="n">
        <v>86695.45</v>
      </c>
      <c r="P32" s="4" t="n">
        <v>7014750.47</v>
      </c>
    </row>
    <row r="33" customFormat="false" ht="15" hidden="false" customHeight="false" outlineLevel="0" collapsed="false">
      <c r="A33" s="4" t="s">
        <v>2165</v>
      </c>
      <c r="B33" s="4" t="n">
        <v>1748559.44</v>
      </c>
      <c r="C33" s="4" t="n">
        <v>0</v>
      </c>
      <c r="D33" s="4" t="n">
        <v>1748559.44</v>
      </c>
      <c r="E33" s="4" t="n">
        <v>18130191</v>
      </c>
      <c r="F33" s="4" t="n">
        <v>0</v>
      </c>
      <c r="G33" s="4" t="n">
        <v>70709.65</v>
      </c>
      <c r="H33" s="4" t="n">
        <v>0</v>
      </c>
      <c r="I33" s="4" t="n">
        <v>13531550</v>
      </c>
      <c r="J33" s="4" t="n">
        <v>8526300.26</v>
      </c>
      <c r="K33" s="4" t="n">
        <v>2585633.17</v>
      </c>
      <c r="L33" s="4" t="n">
        <v>4262299.97</v>
      </c>
      <c r="M33" s="4" t="n">
        <v>996457.6</v>
      </c>
      <c r="N33" s="4" t="n">
        <v>1759500.01</v>
      </c>
      <c r="O33" s="4" t="n">
        <v>44838.09</v>
      </c>
      <c r="P33" s="4" t="n">
        <v>18130191</v>
      </c>
    </row>
    <row r="38" customFormat="false" ht="15" hidden="false" customHeight="false" outlineLevel="0" collapsed="false">
      <c r="A38" s="2" t="s">
        <v>2206</v>
      </c>
    </row>
    <row r="39" customFormat="false" ht="41.75" hidden="false" customHeight="false" outlineLevel="0" collapsed="false">
      <c r="A39" s="10" t="s">
        <v>1889</v>
      </c>
      <c r="B39" s="10" t="s">
        <v>1890</v>
      </c>
      <c r="C39" s="10" t="s">
        <v>69</v>
      </c>
      <c r="D39" s="10" t="s">
        <v>72</v>
      </c>
      <c r="E39" s="10" t="s">
        <v>77</v>
      </c>
      <c r="F39" s="10" t="s">
        <v>73</v>
      </c>
      <c r="G39" s="10" t="s">
        <v>78</v>
      </c>
    </row>
    <row r="40" customFormat="false" ht="15" hidden="false" customHeight="false" outlineLevel="0" collapsed="false">
      <c r="A40" s="4" t="s">
        <v>1901</v>
      </c>
      <c r="B40" s="4" t="s">
        <v>1902</v>
      </c>
      <c r="C40" s="4" t="n">
        <v>501879.09</v>
      </c>
      <c r="D40" s="4" t="n">
        <v>10</v>
      </c>
      <c r="E40" s="4" t="n">
        <v>10</v>
      </c>
    </row>
    <row r="41" customFormat="false" ht="15" hidden="false" customHeight="false" outlineLevel="0" collapsed="false">
      <c r="A41" s="4" t="s">
        <v>1904</v>
      </c>
      <c r="B41" s="4" t="s">
        <v>1902</v>
      </c>
      <c r="C41" s="4" t="n">
        <v>321074.7</v>
      </c>
      <c r="D41" s="4" t="n">
        <v>10</v>
      </c>
      <c r="E41" s="4" t="n">
        <v>10</v>
      </c>
    </row>
    <row r="42" customFormat="false" ht="15" hidden="false" customHeight="false" outlineLevel="0" collapsed="false">
      <c r="A42" s="4" t="s">
        <v>1906</v>
      </c>
      <c r="B42" s="4" t="s">
        <v>1902</v>
      </c>
      <c r="C42" s="4" t="n">
        <v>186506.12</v>
      </c>
      <c r="D42" s="4" t="n">
        <v>12</v>
      </c>
      <c r="E42" s="4" t="n">
        <v>12</v>
      </c>
    </row>
    <row r="43" customFormat="false" ht="15" hidden="false" customHeight="false" outlineLevel="0" collapsed="false">
      <c r="A43" s="4" t="s">
        <v>1908</v>
      </c>
      <c r="B43" s="4" t="s">
        <v>1902</v>
      </c>
      <c r="C43" s="4" t="n">
        <v>270552.67</v>
      </c>
      <c r="D43" s="4" t="n">
        <v>14</v>
      </c>
      <c r="E43" s="4" t="n">
        <v>14</v>
      </c>
    </row>
    <row r="44" customFormat="false" ht="15" hidden="false" customHeight="false" outlineLevel="0" collapsed="false">
      <c r="A44" s="4" t="s">
        <v>1910</v>
      </c>
      <c r="B44" s="4" t="s">
        <v>1902</v>
      </c>
      <c r="C44" s="4" t="n">
        <v>209002.21</v>
      </c>
      <c r="D44" s="4" t="n">
        <v>19</v>
      </c>
      <c r="E44" s="4" t="n">
        <v>19</v>
      </c>
    </row>
    <row r="45" customFormat="false" ht="15" hidden="false" customHeight="false" outlineLevel="0" collapsed="false">
      <c r="A45" s="4" t="s">
        <v>1912</v>
      </c>
      <c r="B45" s="4" t="s">
        <v>1902</v>
      </c>
      <c r="C45" s="4" t="n">
        <v>-535631.92</v>
      </c>
      <c r="D45" s="4" t="n">
        <v>-1</v>
      </c>
      <c r="E45" s="4" t="n">
        <v>-1</v>
      </c>
      <c r="F45" s="4" t="s">
        <v>2207</v>
      </c>
      <c r="G45" s="4" t="s">
        <v>2207</v>
      </c>
    </row>
    <row r="46" customFormat="false" ht="15" hidden="false" customHeight="false" outlineLevel="0" collapsed="false">
      <c r="A46" s="4" t="s">
        <v>1914</v>
      </c>
      <c r="B46" s="4" t="s">
        <v>1915</v>
      </c>
      <c r="C46" s="4" t="n">
        <v>829805.03</v>
      </c>
      <c r="D46" s="4" t="n">
        <v>8</v>
      </c>
      <c r="E46" s="4" t="n">
        <v>9</v>
      </c>
    </row>
    <row r="47" customFormat="false" ht="15" hidden="false" customHeight="false" outlineLevel="0" collapsed="false">
      <c r="A47" s="4" t="s">
        <v>1916</v>
      </c>
      <c r="B47" s="4" t="s">
        <v>1915</v>
      </c>
      <c r="C47" s="4" t="n">
        <v>591370.96</v>
      </c>
      <c r="D47" s="4" t="n">
        <v>9</v>
      </c>
      <c r="E47" s="4" t="n">
        <v>9</v>
      </c>
    </row>
    <row r="48" customFormat="false" ht="15" hidden="false" customHeight="false" outlineLevel="0" collapsed="false">
      <c r="A48" s="4" t="s">
        <v>1917</v>
      </c>
      <c r="B48" s="4" t="s">
        <v>1915</v>
      </c>
      <c r="C48" s="4" t="n">
        <v>518805.04</v>
      </c>
      <c r="D48" s="4" t="n">
        <v>10</v>
      </c>
      <c r="E48" s="4" t="n">
        <v>10</v>
      </c>
    </row>
    <row r="49" customFormat="false" ht="15" hidden="false" customHeight="false" outlineLevel="0" collapsed="false">
      <c r="A49" s="4" t="s">
        <v>1918</v>
      </c>
      <c r="B49" s="4" t="s">
        <v>1915</v>
      </c>
      <c r="C49" s="4" t="n">
        <v>473494.3</v>
      </c>
      <c r="D49" s="4" t="n">
        <v>14</v>
      </c>
      <c r="E49" s="4" t="n">
        <v>14</v>
      </c>
    </row>
    <row r="50" customFormat="false" ht="15" hidden="false" customHeight="false" outlineLevel="0" collapsed="false">
      <c r="A50" s="4" t="s">
        <v>1920</v>
      </c>
      <c r="B50" s="4" t="s">
        <v>1915</v>
      </c>
      <c r="C50" s="4" t="n">
        <v>182226.5</v>
      </c>
      <c r="D50" s="4" t="n">
        <v>19</v>
      </c>
      <c r="E50" s="4" t="n">
        <v>19</v>
      </c>
    </row>
    <row r="51" customFormat="false" ht="15" hidden="false" customHeight="false" outlineLevel="0" collapsed="false">
      <c r="A51" s="4" t="s">
        <v>1921</v>
      </c>
      <c r="B51" s="4" t="s">
        <v>1915</v>
      </c>
      <c r="C51" s="4" t="n">
        <v>-512304.75</v>
      </c>
      <c r="D51" s="4" t="n">
        <v>-1</v>
      </c>
      <c r="E51" s="4" t="n">
        <v>-1</v>
      </c>
      <c r="F51" s="4" t="s">
        <v>2207</v>
      </c>
      <c r="G51" s="4" t="s">
        <v>2207</v>
      </c>
    </row>
    <row r="52" customFormat="false" ht="15" hidden="false" customHeight="false" outlineLevel="0" collapsed="false">
      <c r="A52" s="4" t="s">
        <v>1922</v>
      </c>
      <c r="B52" s="4" t="s">
        <v>1923</v>
      </c>
      <c r="C52" s="4" t="n">
        <v>578533.26</v>
      </c>
      <c r="D52" s="4" t="n">
        <v>10</v>
      </c>
      <c r="E52" s="4" t="n">
        <v>10</v>
      </c>
    </row>
    <row r="53" customFormat="false" ht="15" hidden="false" customHeight="false" outlineLevel="0" collapsed="false">
      <c r="A53" s="4" t="s">
        <v>1925</v>
      </c>
      <c r="B53" s="4" t="s">
        <v>1923</v>
      </c>
      <c r="C53" s="4" t="n">
        <v>623820.07</v>
      </c>
      <c r="D53" s="4" t="n">
        <v>9</v>
      </c>
      <c r="E53" s="4" t="n">
        <v>9</v>
      </c>
    </row>
    <row r="54" customFormat="false" ht="15" hidden="false" customHeight="false" outlineLevel="0" collapsed="false">
      <c r="A54" s="4" t="s">
        <v>1926</v>
      </c>
      <c r="B54" s="4" t="s">
        <v>1923</v>
      </c>
      <c r="C54" s="4" t="n">
        <v>549488.89</v>
      </c>
      <c r="D54" s="4" t="n">
        <v>10</v>
      </c>
      <c r="E54" s="4" t="n">
        <v>10</v>
      </c>
    </row>
    <row r="55" customFormat="false" ht="15" hidden="false" customHeight="false" outlineLevel="0" collapsed="false">
      <c r="A55" s="4" t="s">
        <v>1927</v>
      </c>
      <c r="B55" s="4" t="s">
        <v>1923</v>
      </c>
      <c r="C55" s="4" t="n">
        <v>523302.08</v>
      </c>
      <c r="D55" s="4" t="n">
        <v>14</v>
      </c>
      <c r="E55" s="4" t="n">
        <v>14</v>
      </c>
    </row>
    <row r="56" customFormat="false" ht="15" hidden="false" customHeight="false" outlineLevel="0" collapsed="false">
      <c r="A56" s="4" t="s">
        <v>1928</v>
      </c>
      <c r="B56" s="4" t="s">
        <v>1923</v>
      </c>
      <c r="C56" s="4" t="n">
        <v>209002.21</v>
      </c>
      <c r="D56" s="4" t="n">
        <v>19</v>
      </c>
      <c r="E56" s="4" t="n">
        <v>19</v>
      </c>
    </row>
    <row r="57" customFormat="false" ht="15" hidden="false" customHeight="false" outlineLevel="0" collapsed="false">
      <c r="A57" s="4" t="s">
        <v>1929</v>
      </c>
      <c r="B57" s="4" t="s">
        <v>1923</v>
      </c>
      <c r="C57" s="4" t="n">
        <v>-503194.27</v>
      </c>
      <c r="D57" s="4" t="n">
        <v>-1</v>
      </c>
      <c r="E57" s="4" t="n">
        <v>-1</v>
      </c>
      <c r="F57" s="4" t="s">
        <v>2207</v>
      </c>
      <c r="G57" s="4" t="s">
        <v>2207</v>
      </c>
    </row>
    <row r="58" customFormat="false" ht="15" hidden="false" customHeight="false" outlineLevel="0" collapsed="false">
      <c r="A58" s="4" t="s">
        <v>1930</v>
      </c>
      <c r="B58" s="4" t="s">
        <v>1931</v>
      </c>
      <c r="C58" s="4" t="n">
        <v>176935.81</v>
      </c>
      <c r="D58" s="4" t="n">
        <v>12</v>
      </c>
      <c r="E58" s="4" t="n">
        <v>12</v>
      </c>
    </row>
    <row r="59" customFormat="false" ht="15" hidden="false" customHeight="false" outlineLevel="0" collapsed="false">
      <c r="A59" s="4" t="s">
        <v>1932</v>
      </c>
      <c r="B59" s="4" t="s">
        <v>1931</v>
      </c>
      <c r="C59" s="4" t="n">
        <v>251481.63</v>
      </c>
      <c r="D59" s="4" t="n">
        <v>14</v>
      </c>
      <c r="E59" s="4" t="n">
        <v>14</v>
      </c>
    </row>
    <row r="60" customFormat="false" ht="15" hidden="false" customHeight="false" outlineLevel="0" collapsed="false">
      <c r="A60" s="4" t="s">
        <v>1933</v>
      </c>
      <c r="B60" s="4" t="s">
        <v>1931</v>
      </c>
      <c r="C60" s="4" t="n">
        <v>195264.32</v>
      </c>
      <c r="D60" s="4" t="n">
        <v>19</v>
      </c>
      <c r="E60" s="4" t="n">
        <v>19</v>
      </c>
    </row>
    <row r="61" customFormat="false" ht="15" hidden="false" customHeight="false" outlineLevel="0" collapsed="false">
      <c r="A61" s="4" t="s">
        <v>1934</v>
      </c>
      <c r="B61" s="4" t="s">
        <v>1931</v>
      </c>
      <c r="C61" s="4" t="n">
        <v>-523724.32</v>
      </c>
      <c r="D61" s="4" t="n">
        <v>-1</v>
      </c>
      <c r="E61" s="4" t="n">
        <v>-1</v>
      </c>
      <c r="F61" s="4" t="s">
        <v>2207</v>
      </c>
      <c r="G61" s="4" t="s">
        <v>2207</v>
      </c>
    </row>
    <row r="62" customFormat="false" ht="15" hidden="false" customHeight="false" outlineLevel="0" collapsed="false">
      <c r="A62" s="4" t="s">
        <v>1935</v>
      </c>
      <c r="B62" s="4" t="s">
        <v>1936</v>
      </c>
      <c r="C62" s="4" t="n">
        <v>483644.28</v>
      </c>
      <c r="D62" s="4" t="n">
        <v>10</v>
      </c>
      <c r="E62" s="4" t="n">
        <v>10</v>
      </c>
    </row>
    <row r="63" customFormat="false" ht="15" hidden="false" customHeight="false" outlineLevel="0" collapsed="false">
      <c r="A63" s="4" t="s">
        <v>1937</v>
      </c>
      <c r="B63" s="4" t="s">
        <v>1936</v>
      </c>
      <c r="C63" s="4" t="n">
        <v>309031.05</v>
      </c>
      <c r="D63" s="4" t="n">
        <v>10</v>
      </c>
      <c r="E63" s="4" t="n">
        <v>10</v>
      </c>
    </row>
    <row r="64" customFormat="false" ht="15" hidden="false" customHeight="false" outlineLevel="0" collapsed="false">
      <c r="A64" s="4" t="s">
        <v>1938</v>
      </c>
      <c r="B64" s="4" t="s">
        <v>1936</v>
      </c>
      <c r="C64" s="4" t="n">
        <v>176935.81</v>
      </c>
      <c r="D64" s="4" t="n">
        <v>12</v>
      </c>
      <c r="E64" s="4" t="n">
        <v>12</v>
      </c>
    </row>
    <row r="65" customFormat="false" ht="15" hidden="false" customHeight="false" outlineLevel="0" collapsed="false">
      <c r="A65" s="4" t="s">
        <v>1939</v>
      </c>
      <c r="B65" s="4" t="s">
        <v>1936</v>
      </c>
      <c r="C65" s="4" t="n">
        <v>251481.63</v>
      </c>
      <c r="D65" s="4" t="n">
        <v>14</v>
      </c>
      <c r="E65" s="4" t="n">
        <v>14</v>
      </c>
    </row>
    <row r="66" customFormat="false" ht="15" hidden="false" customHeight="false" outlineLevel="0" collapsed="false">
      <c r="A66" s="4" t="s">
        <v>1940</v>
      </c>
      <c r="B66" s="4" t="s">
        <v>1936</v>
      </c>
      <c r="C66" s="4" t="n">
        <v>195264.32</v>
      </c>
      <c r="D66" s="4" t="n">
        <v>19</v>
      </c>
      <c r="E66" s="4" t="n">
        <v>19</v>
      </c>
    </row>
    <row r="67" customFormat="false" ht="15" hidden="false" customHeight="false" outlineLevel="0" collapsed="false">
      <c r="A67" s="4" t="s">
        <v>1941</v>
      </c>
      <c r="B67" s="4" t="s">
        <v>1936</v>
      </c>
      <c r="C67" s="4" t="n">
        <v>-523724.32</v>
      </c>
      <c r="D67" s="4" t="n">
        <v>-1</v>
      </c>
      <c r="E67" s="4" t="n">
        <v>-1</v>
      </c>
      <c r="F67" s="4" t="s">
        <v>2207</v>
      </c>
      <c r="G67" s="4" t="s">
        <v>2207</v>
      </c>
    </row>
    <row r="68" customFormat="false" ht="15" hidden="false" customHeight="false" outlineLevel="0" collapsed="false">
      <c r="A68" s="4" t="s">
        <v>1942</v>
      </c>
      <c r="B68" s="4" t="s">
        <v>1943</v>
      </c>
      <c r="C68" s="4" t="n">
        <v>570995.43</v>
      </c>
      <c r="D68" s="4" t="n">
        <v>10</v>
      </c>
      <c r="E68" s="4" t="n">
        <v>10</v>
      </c>
    </row>
    <row r="69" customFormat="false" ht="15" hidden="false" customHeight="false" outlineLevel="0" collapsed="false">
      <c r="A69" s="4" t="s">
        <v>1944</v>
      </c>
      <c r="B69" s="4" t="s">
        <v>1943</v>
      </c>
      <c r="C69" s="4" t="n">
        <v>407950.24</v>
      </c>
      <c r="D69" s="4" t="n">
        <v>10</v>
      </c>
      <c r="E69" s="4" t="n">
        <v>11</v>
      </c>
    </row>
    <row r="70" customFormat="false" ht="15" hidden="false" customHeight="false" outlineLevel="0" collapsed="false">
      <c r="A70" s="4" t="s">
        <v>1946</v>
      </c>
      <c r="B70" s="4" t="s">
        <v>1943</v>
      </c>
      <c r="C70" s="4" t="n">
        <v>358050.3</v>
      </c>
      <c r="D70" s="4" t="n">
        <v>12</v>
      </c>
      <c r="E70" s="4" t="n">
        <v>12</v>
      </c>
    </row>
    <row r="71" customFormat="false" ht="15" hidden="false" customHeight="false" outlineLevel="0" collapsed="false">
      <c r="A71" s="4" t="s">
        <v>1948</v>
      </c>
      <c r="B71" s="4" t="s">
        <v>1943</v>
      </c>
      <c r="C71" s="4" t="n">
        <v>513892.24</v>
      </c>
      <c r="D71" s="4" t="n">
        <v>14</v>
      </c>
      <c r="E71" s="4" t="n">
        <v>14</v>
      </c>
    </row>
    <row r="72" customFormat="false" ht="15" hidden="false" customHeight="false" outlineLevel="0" collapsed="false">
      <c r="A72" s="4" t="s">
        <v>1949</v>
      </c>
      <c r="B72" s="4" t="s">
        <v>1943</v>
      </c>
      <c r="C72" s="4" t="n">
        <v>203895.23</v>
      </c>
      <c r="D72" s="4" t="n">
        <v>19</v>
      </c>
      <c r="E72" s="4" t="n">
        <v>19</v>
      </c>
    </row>
    <row r="73" customFormat="false" ht="15" hidden="false" customHeight="false" outlineLevel="0" collapsed="false">
      <c r="A73" s="4" t="s">
        <v>1950</v>
      </c>
      <c r="B73" s="4" t="s">
        <v>1943</v>
      </c>
      <c r="C73" s="4" t="n">
        <v>-531219.84</v>
      </c>
      <c r="D73" s="4" t="n">
        <v>-1</v>
      </c>
      <c r="E73" s="4" t="n">
        <v>-1</v>
      </c>
      <c r="F73" s="4" t="s">
        <v>2207</v>
      </c>
      <c r="G73" s="4" t="s">
        <v>2207</v>
      </c>
    </row>
    <row r="74" customFormat="false" ht="15" hidden="false" customHeight="false" outlineLevel="0" collapsed="false">
      <c r="A74" s="4" t="s">
        <v>1951</v>
      </c>
      <c r="B74" s="4" t="s">
        <v>1952</v>
      </c>
      <c r="C74" s="4" t="n">
        <v>668094.04</v>
      </c>
      <c r="D74" s="4" t="n">
        <v>10</v>
      </c>
      <c r="E74" s="4" t="n">
        <v>10</v>
      </c>
    </row>
    <row r="75" customFormat="false" ht="15" hidden="false" customHeight="false" outlineLevel="0" collapsed="false">
      <c r="A75" s="4" t="s">
        <v>1954</v>
      </c>
      <c r="B75" s="4" t="s">
        <v>1952</v>
      </c>
      <c r="C75" s="4" t="n">
        <v>251371.95</v>
      </c>
      <c r="D75" s="4" t="n">
        <v>11</v>
      </c>
      <c r="E75" s="4" t="n">
        <v>12</v>
      </c>
    </row>
    <row r="76" customFormat="false" ht="15" hidden="false" customHeight="false" outlineLevel="0" collapsed="false">
      <c r="A76" s="4" t="s">
        <v>1956</v>
      </c>
      <c r="B76" s="4" t="s">
        <v>1952</v>
      </c>
      <c r="C76" s="4" t="n">
        <v>-761535.73</v>
      </c>
      <c r="D76" s="4" t="n">
        <v>-1</v>
      </c>
      <c r="E76" s="4" t="n">
        <v>-1</v>
      </c>
      <c r="F76" s="4" t="s">
        <v>2207</v>
      </c>
      <c r="G76" s="4" t="s">
        <v>2207</v>
      </c>
    </row>
    <row r="77" customFormat="false" ht="15" hidden="false" customHeight="false" outlineLevel="0" collapsed="false">
      <c r="A77" s="4" t="s">
        <v>1958</v>
      </c>
      <c r="B77" s="4" t="s">
        <v>1952</v>
      </c>
      <c r="C77" s="4" t="n">
        <v>423409.74</v>
      </c>
      <c r="D77" s="4" t="n">
        <v>18</v>
      </c>
      <c r="E77" s="4" t="n">
        <v>18</v>
      </c>
    </row>
    <row r="78" customFormat="false" ht="15" hidden="false" customHeight="false" outlineLevel="0" collapsed="false">
      <c r="A78" s="4" t="s">
        <v>1960</v>
      </c>
      <c r="B78" s="4" t="s">
        <v>1952</v>
      </c>
      <c r="C78" s="4" t="n">
        <v>84012.76</v>
      </c>
      <c r="D78" s="4" t="n">
        <v>21</v>
      </c>
      <c r="E78" s="4" t="n">
        <v>21</v>
      </c>
    </row>
    <row r="79" customFormat="false" ht="15" hidden="false" customHeight="false" outlineLevel="0" collapsed="false">
      <c r="A79" s="4" t="s">
        <v>1962</v>
      </c>
      <c r="B79" s="4" t="s">
        <v>1952</v>
      </c>
      <c r="C79" s="4" t="n">
        <v>126524.02</v>
      </c>
      <c r="D79" s="4" t="n">
        <v>27</v>
      </c>
      <c r="E79" s="4" t="n">
        <v>27</v>
      </c>
    </row>
    <row r="80" customFormat="false" ht="15" hidden="false" customHeight="false" outlineLevel="0" collapsed="false">
      <c r="A80" s="4" t="s">
        <v>1964</v>
      </c>
      <c r="B80" s="4" t="s">
        <v>1965</v>
      </c>
      <c r="C80" s="4" t="n">
        <v>795559.54</v>
      </c>
      <c r="D80" s="4" t="n">
        <v>9</v>
      </c>
      <c r="E80" s="4" t="n">
        <v>10</v>
      </c>
    </row>
    <row r="81" customFormat="false" ht="15" hidden="false" customHeight="false" outlineLevel="0" collapsed="false">
      <c r="A81" s="4" t="s">
        <v>1966</v>
      </c>
      <c r="B81" s="4" t="s">
        <v>1965</v>
      </c>
      <c r="C81" s="4" t="n">
        <v>224040.49</v>
      </c>
      <c r="D81" s="4" t="n">
        <v>11</v>
      </c>
      <c r="E81" s="4" t="n">
        <v>12</v>
      </c>
    </row>
    <row r="82" customFormat="false" ht="15" hidden="false" customHeight="false" outlineLevel="0" collapsed="false">
      <c r="A82" s="4" t="s">
        <v>1967</v>
      </c>
      <c r="B82" s="4" t="s">
        <v>1965</v>
      </c>
      <c r="C82" s="4" t="n">
        <v>-754989.99</v>
      </c>
      <c r="D82" s="4" t="n">
        <v>-1</v>
      </c>
      <c r="E82" s="4" t="n">
        <v>-1</v>
      </c>
      <c r="F82" s="4" t="s">
        <v>2207</v>
      </c>
      <c r="G82" s="4" t="s">
        <v>2207</v>
      </c>
    </row>
    <row r="83" customFormat="false" ht="15" hidden="false" customHeight="false" outlineLevel="0" collapsed="false">
      <c r="A83" s="4" t="s">
        <v>1968</v>
      </c>
      <c r="B83" s="4" t="s">
        <v>1965</v>
      </c>
      <c r="C83" s="4" t="n">
        <v>369049.69</v>
      </c>
      <c r="D83" s="4" t="n">
        <v>18</v>
      </c>
      <c r="E83" s="4" t="n">
        <v>18</v>
      </c>
    </row>
    <row r="84" customFormat="false" ht="15" hidden="false" customHeight="false" outlineLevel="0" collapsed="false">
      <c r="A84" s="4" t="s">
        <v>1969</v>
      </c>
      <c r="B84" s="4" t="s">
        <v>1965</v>
      </c>
      <c r="C84" s="4" t="n">
        <v>71841.22</v>
      </c>
      <c r="D84" s="4" t="n">
        <v>21</v>
      </c>
      <c r="E84" s="4" t="n">
        <v>22</v>
      </c>
    </row>
    <row r="85" customFormat="false" ht="15" hidden="false" customHeight="false" outlineLevel="0" collapsed="false">
      <c r="A85" s="4" t="s">
        <v>1970</v>
      </c>
      <c r="B85" s="4" t="s">
        <v>1965</v>
      </c>
      <c r="C85" s="4" t="n">
        <v>99418.29</v>
      </c>
      <c r="D85" s="4" t="n">
        <v>27</v>
      </c>
      <c r="E85" s="4" t="n">
        <v>27</v>
      </c>
    </row>
    <row r="86" customFormat="false" ht="15" hidden="false" customHeight="false" outlineLevel="0" collapsed="false">
      <c r="A86" s="4" t="s">
        <v>1971</v>
      </c>
      <c r="B86" s="4" t="s">
        <v>1972</v>
      </c>
      <c r="C86" s="4" t="n">
        <v>853201.96</v>
      </c>
      <c r="D86" s="4" t="n">
        <v>9</v>
      </c>
      <c r="E86" s="4" t="n">
        <v>9</v>
      </c>
    </row>
    <row r="87" customFormat="false" ht="15" hidden="false" customHeight="false" outlineLevel="0" collapsed="false">
      <c r="A87" s="4" t="s">
        <v>1973</v>
      </c>
      <c r="B87" s="4" t="s">
        <v>1972</v>
      </c>
      <c r="C87" s="4" t="n">
        <v>65253.91</v>
      </c>
      <c r="D87" s="4" t="n">
        <v>13</v>
      </c>
      <c r="E87" s="4" t="n">
        <v>13</v>
      </c>
    </row>
    <row r="88" customFormat="false" ht="15" hidden="false" customHeight="false" outlineLevel="0" collapsed="false">
      <c r="A88" s="4" t="s">
        <v>1975</v>
      </c>
      <c r="B88" s="4" t="s">
        <v>1972</v>
      </c>
      <c r="C88" s="4" t="n">
        <v>-761535.73</v>
      </c>
      <c r="D88" s="4" t="n">
        <v>-1</v>
      </c>
      <c r="E88" s="4" t="n">
        <v>-1</v>
      </c>
      <c r="F88" s="4" t="s">
        <v>2207</v>
      </c>
      <c r="G88" s="4" t="s">
        <v>2207</v>
      </c>
    </row>
    <row r="89" customFormat="false" ht="15" hidden="false" customHeight="false" outlineLevel="0" collapsed="false">
      <c r="A89" s="4" t="s">
        <v>1976</v>
      </c>
      <c r="B89" s="4" t="s">
        <v>1972</v>
      </c>
      <c r="C89" s="4" t="n">
        <v>423409.74</v>
      </c>
      <c r="D89" s="4" t="n">
        <v>18</v>
      </c>
      <c r="E89" s="4" t="n">
        <v>18</v>
      </c>
    </row>
    <row r="90" customFormat="false" ht="15" hidden="false" customHeight="false" outlineLevel="0" collapsed="false">
      <c r="A90" s="4" t="s">
        <v>1977</v>
      </c>
      <c r="B90" s="4" t="s">
        <v>1972</v>
      </c>
      <c r="C90" s="4" t="n">
        <v>90185.6</v>
      </c>
      <c r="D90" s="4" t="n">
        <v>21</v>
      </c>
      <c r="E90" s="4" t="n">
        <v>21</v>
      </c>
    </row>
    <row r="91" customFormat="false" ht="15" hidden="false" customHeight="false" outlineLevel="0" collapsed="false">
      <c r="A91" s="4" t="s">
        <v>1978</v>
      </c>
      <c r="B91" s="4" t="s">
        <v>1972</v>
      </c>
      <c r="C91" s="4" t="n">
        <v>-335847.97</v>
      </c>
      <c r="D91" s="4" t="n">
        <v>-1</v>
      </c>
      <c r="E91" s="4" t="n">
        <v>-1</v>
      </c>
      <c r="F91" s="4" t="s">
        <v>2207</v>
      </c>
      <c r="G91" s="4" t="s">
        <v>2207</v>
      </c>
    </row>
    <row r="92" customFormat="false" ht="15" hidden="false" customHeight="false" outlineLevel="0" collapsed="false">
      <c r="A92" s="4" t="s">
        <v>1979</v>
      </c>
      <c r="B92" s="4" t="s">
        <v>1980</v>
      </c>
      <c r="C92" s="4" t="n">
        <v>-758218.32</v>
      </c>
      <c r="D92" s="4" t="n">
        <v>-1</v>
      </c>
      <c r="E92" s="4" t="n">
        <v>-1</v>
      </c>
      <c r="F92" s="4" t="s">
        <v>2207</v>
      </c>
      <c r="G92" s="4" t="s">
        <v>2207</v>
      </c>
    </row>
    <row r="93" customFormat="false" ht="15" hidden="false" customHeight="false" outlineLevel="0" collapsed="false">
      <c r="A93" s="4" t="s">
        <v>1981</v>
      </c>
      <c r="B93" s="4" t="s">
        <v>1980</v>
      </c>
      <c r="C93" s="4" t="n">
        <v>395564.4</v>
      </c>
      <c r="D93" s="4" t="n">
        <v>18</v>
      </c>
      <c r="E93" s="4" t="n">
        <v>18</v>
      </c>
    </row>
    <row r="94" customFormat="false" ht="15" hidden="false" customHeight="false" outlineLevel="0" collapsed="false">
      <c r="A94" s="4" t="s">
        <v>1982</v>
      </c>
      <c r="B94" s="4" t="s">
        <v>1983</v>
      </c>
      <c r="C94" s="4" t="n">
        <v>641340.11</v>
      </c>
      <c r="D94" s="4" t="n">
        <v>10</v>
      </c>
      <c r="E94" s="4" t="n">
        <v>10</v>
      </c>
    </row>
    <row r="95" customFormat="false" ht="15" hidden="false" customHeight="false" outlineLevel="0" collapsed="false">
      <c r="A95" s="4" t="s">
        <v>1984</v>
      </c>
      <c r="B95" s="4" t="s">
        <v>1983</v>
      </c>
      <c r="C95" s="4" t="n">
        <v>237472.51</v>
      </c>
      <c r="D95" s="4" t="n">
        <v>11</v>
      </c>
      <c r="E95" s="4" t="n">
        <v>12</v>
      </c>
    </row>
    <row r="96" customFormat="false" ht="15" hidden="false" customHeight="false" outlineLevel="0" collapsed="false">
      <c r="A96" s="4" t="s">
        <v>1985</v>
      </c>
      <c r="B96" s="4" t="s">
        <v>1983</v>
      </c>
      <c r="C96" s="4" t="n">
        <v>-758218.32</v>
      </c>
      <c r="D96" s="4" t="n">
        <v>-1</v>
      </c>
      <c r="E96" s="4" t="n">
        <v>-1</v>
      </c>
      <c r="F96" s="4" t="s">
        <v>2207</v>
      </c>
      <c r="G96" s="4" t="s">
        <v>2207</v>
      </c>
    </row>
    <row r="97" customFormat="false" ht="15" hidden="false" customHeight="false" outlineLevel="0" collapsed="false">
      <c r="A97" s="4" t="s">
        <v>1986</v>
      </c>
      <c r="B97" s="4" t="s">
        <v>1983</v>
      </c>
      <c r="C97" s="4" t="n">
        <v>395564.4</v>
      </c>
      <c r="D97" s="4" t="n">
        <v>18</v>
      </c>
      <c r="E97" s="4" t="n">
        <v>18</v>
      </c>
    </row>
    <row r="98" customFormat="false" ht="15" hidden="false" customHeight="false" outlineLevel="0" collapsed="false">
      <c r="A98" s="4" t="s">
        <v>1987</v>
      </c>
      <c r="B98" s="4" t="s">
        <v>1983</v>
      </c>
      <c r="C98" s="4" t="n">
        <v>77753.6</v>
      </c>
      <c r="D98" s="4" t="n">
        <v>21</v>
      </c>
      <c r="E98" s="4" t="n">
        <v>21</v>
      </c>
    </row>
    <row r="99" customFormat="false" ht="15" hidden="false" customHeight="false" outlineLevel="0" collapsed="false">
      <c r="A99" s="4" t="s">
        <v>1988</v>
      </c>
      <c r="B99" s="4" t="s">
        <v>1983</v>
      </c>
      <c r="C99" s="4" t="n">
        <v>112495.29</v>
      </c>
      <c r="D99" s="4" t="n">
        <v>27</v>
      </c>
      <c r="E99" s="4" t="n">
        <v>27</v>
      </c>
    </row>
    <row r="100" customFormat="false" ht="15" hidden="false" customHeight="false" outlineLevel="0" collapsed="false">
      <c r="A100" s="4" t="s">
        <v>1989</v>
      </c>
      <c r="B100" s="4" t="s">
        <v>1990</v>
      </c>
      <c r="C100" s="4" t="n">
        <v>405824.19</v>
      </c>
      <c r="D100" s="4" t="n">
        <v>11</v>
      </c>
      <c r="E100" s="4" t="n">
        <v>11</v>
      </c>
    </row>
    <row r="101" customFormat="false" ht="15" hidden="false" customHeight="false" outlineLevel="0" collapsed="false">
      <c r="A101" s="4" t="s">
        <v>1992</v>
      </c>
      <c r="B101" s="4" t="s">
        <v>1990</v>
      </c>
      <c r="C101" s="4" t="n">
        <v>60718.36</v>
      </c>
      <c r="D101" s="4" t="n">
        <v>13</v>
      </c>
      <c r="E101" s="4" t="n">
        <v>13</v>
      </c>
    </row>
    <row r="102" customFormat="false" ht="15" hidden="false" customHeight="false" outlineLevel="0" collapsed="false">
      <c r="A102" s="4" t="s">
        <v>1993</v>
      </c>
      <c r="B102" s="4" t="s">
        <v>1990</v>
      </c>
      <c r="C102" s="4" t="n">
        <v>-760312.24</v>
      </c>
      <c r="D102" s="4" t="n">
        <v>-1</v>
      </c>
      <c r="E102" s="4" t="n">
        <v>-1</v>
      </c>
      <c r="F102" s="4" t="s">
        <v>2207</v>
      </c>
      <c r="G102" s="4" t="s">
        <v>2207</v>
      </c>
    </row>
    <row r="103" customFormat="false" ht="15" hidden="false" customHeight="false" outlineLevel="0" collapsed="false">
      <c r="A103" s="4" t="s">
        <v>1995</v>
      </c>
      <c r="B103" s="4" t="s">
        <v>1990</v>
      </c>
      <c r="C103" s="4" t="n">
        <v>413069.26</v>
      </c>
      <c r="D103" s="4" t="n">
        <v>18</v>
      </c>
      <c r="E103" s="4" t="n">
        <v>18</v>
      </c>
    </row>
    <row r="104" customFormat="false" ht="15" hidden="false" customHeight="false" outlineLevel="0" collapsed="false">
      <c r="A104" s="4" t="s">
        <v>1996</v>
      </c>
      <c r="B104" s="4" t="s">
        <v>1990</v>
      </c>
      <c r="C104" s="4" t="n">
        <v>81682.52</v>
      </c>
      <c r="D104" s="4" t="n">
        <v>21</v>
      </c>
      <c r="E104" s="4" t="n">
        <v>21</v>
      </c>
    </row>
    <row r="105" customFormat="false" ht="15" hidden="false" customHeight="false" outlineLevel="0" collapsed="false">
      <c r="A105" s="4" t="s">
        <v>1997</v>
      </c>
      <c r="B105" s="4" t="s">
        <v>1990</v>
      </c>
      <c r="C105" s="4" t="n">
        <v>121279.53</v>
      </c>
      <c r="D105" s="4" t="n">
        <v>27</v>
      </c>
      <c r="E105" s="4" t="n">
        <v>27</v>
      </c>
    </row>
    <row r="106" customFormat="false" ht="15" hidden="false" customHeight="false" outlineLevel="0" collapsed="false">
      <c r="A106" s="4" t="s">
        <v>1998</v>
      </c>
      <c r="B106" s="4" t="s">
        <v>1999</v>
      </c>
      <c r="C106" s="4" t="n">
        <v>738630.96</v>
      </c>
      <c r="D106" s="4" t="n">
        <v>10</v>
      </c>
      <c r="E106" s="4" t="n">
        <v>10</v>
      </c>
    </row>
    <row r="107" customFormat="false" ht="15" hidden="false" customHeight="false" outlineLevel="0" collapsed="false">
      <c r="A107" s="4" t="s">
        <v>2001</v>
      </c>
      <c r="B107" s="4" t="s">
        <v>1999</v>
      </c>
      <c r="C107" s="4" t="n">
        <v>296552.86</v>
      </c>
      <c r="D107" s="4" t="n">
        <v>14</v>
      </c>
      <c r="E107" s="4" t="n">
        <v>14</v>
      </c>
    </row>
    <row r="108" customFormat="false" ht="15" hidden="false" customHeight="false" outlineLevel="0" collapsed="false">
      <c r="A108" s="4" t="s">
        <v>2003</v>
      </c>
      <c r="B108" s="4" t="s">
        <v>1999</v>
      </c>
      <c r="C108" s="4" t="n">
        <v>-508801.53</v>
      </c>
      <c r="D108" s="4" t="n">
        <v>-1</v>
      </c>
      <c r="E108" s="4" t="n">
        <v>-1</v>
      </c>
      <c r="F108" s="4" t="s">
        <v>2207</v>
      </c>
      <c r="G108" s="4" t="s">
        <v>2207</v>
      </c>
    </row>
    <row r="109" customFormat="false" ht="15" hidden="false" customHeight="false" outlineLevel="0" collapsed="false">
      <c r="A109" s="4" t="s">
        <v>2005</v>
      </c>
      <c r="B109" s="4" t="s">
        <v>1999</v>
      </c>
      <c r="C109" s="4" t="n">
        <v>182623.67</v>
      </c>
      <c r="D109" s="4" t="n">
        <v>15</v>
      </c>
      <c r="E109" s="4" t="n">
        <v>16</v>
      </c>
    </row>
    <row r="110" customFormat="false" ht="15" hidden="false" customHeight="false" outlineLevel="0" collapsed="false">
      <c r="A110" s="4" t="s">
        <v>2007</v>
      </c>
      <c r="B110" s="4" t="s">
        <v>1999</v>
      </c>
      <c r="C110" s="4" t="n">
        <v>93546.29</v>
      </c>
      <c r="D110" s="4" t="n">
        <v>22</v>
      </c>
      <c r="E110" s="4" t="n">
        <v>23</v>
      </c>
    </row>
    <row r="111" customFormat="false" ht="15" hidden="false" customHeight="false" outlineLevel="0" collapsed="false">
      <c r="A111" s="4" t="s">
        <v>2009</v>
      </c>
      <c r="B111" s="4" t="s">
        <v>1999</v>
      </c>
      <c r="C111" s="4" t="n">
        <v>15040.08</v>
      </c>
      <c r="D111" s="4" t="n">
        <v>28</v>
      </c>
      <c r="E111" s="4" t="n">
        <v>28</v>
      </c>
    </row>
    <row r="112" customFormat="false" ht="15" hidden="false" customHeight="false" outlineLevel="0" collapsed="false">
      <c r="A112" s="4" t="s">
        <v>2011</v>
      </c>
      <c r="B112" s="4" t="s">
        <v>2012</v>
      </c>
      <c r="C112" s="4" t="n">
        <v>808392.01</v>
      </c>
      <c r="D112" s="4" t="n">
        <v>9</v>
      </c>
      <c r="E112" s="4" t="n">
        <v>10</v>
      </c>
    </row>
    <row r="113" customFormat="false" ht="15" hidden="false" customHeight="false" outlineLevel="0" collapsed="false">
      <c r="A113" s="4" t="s">
        <v>2013</v>
      </c>
      <c r="B113" s="4" t="s">
        <v>2012</v>
      </c>
      <c r="C113" s="4" t="n">
        <v>262249.23</v>
      </c>
      <c r="D113" s="4" t="n">
        <v>14</v>
      </c>
      <c r="E113" s="4" t="n">
        <v>14</v>
      </c>
    </row>
    <row r="114" customFormat="false" ht="15" hidden="false" customHeight="false" outlineLevel="0" collapsed="false">
      <c r="A114" s="4" t="s">
        <v>2014</v>
      </c>
      <c r="B114" s="4" t="s">
        <v>2012</v>
      </c>
      <c r="C114" s="4" t="n">
        <v>-515329.28</v>
      </c>
      <c r="D114" s="4" t="n">
        <v>-1</v>
      </c>
      <c r="E114" s="4" t="n">
        <v>-1</v>
      </c>
      <c r="F114" s="4" t="s">
        <v>2207</v>
      </c>
      <c r="G114" s="4" t="s">
        <v>2207</v>
      </c>
    </row>
    <row r="115" customFormat="false" ht="15" hidden="false" customHeight="false" outlineLevel="0" collapsed="false">
      <c r="A115" s="4" t="s">
        <v>2015</v>
      </c>
      <c r="B115" s="4" t="s">
        <v>2012</v>
      </c>
      <c r="C115" s="4" t="n">
        <v>160118.2</v>
      </c>
      <c r="D115" s="4" t="n">
        <v>15</v>
      </c>
      <c r="E115" s="4" t="n">
        <v>16</v>
      </c>
    </row>
    <row r="116" customFormat="false" ht="15" hidden="false" customHeight="false" outlineLevel="0" collapsed="false">
      <c r="A116" s="4" t="s">
        <v>2016</v>
      </c>
      <c r="B116" s="4" t="s">
        <v>2012</v>
      </c>
      <c r="C116" s="4" t="n">
        <v>77959.68</v>
      </c>
      <c r="D116" s="4" t="n">
        <v>22</v>
      </c>
      <c r="E116" s="4" t="n">
        <v>23</v>
      </c>
    </row>
    <row r="117" customFormat="false" ht="15" hidden="false" customHeight="false" outlineLevel="0" collapsed="false">
      <c r="A117" s="4" t="s">
        <v>2017</v>
      </c>
      <c r="B117" s="4" t="s">
        <v>2012</v>
      </c>
      <c r="C117" s="4" t="n">
        <v>3310.6</v>
      </c>
      <c r="D117" s="4" t="n">
        <v>28</v>
      </c>
      <c r="E117" s="4" t="n">
        <v>28</v>
      </c>
    </row>
    <row r="118" customFormat="false" ht="15" hidden="false" customHeight="false" outlineLevel="0" collapsed="false">
      <c r="A118" s="4" t="s">
        <v>2018</v>
      </c>
      <c r="B118" s="4" t="s">
        <v>2019</v>
      </c>
      <c r="C118" s="4" t="n">
        <v>463582.3</v>
      </c>
      <c r="D118" s="4" t="n">
        <v>11</v>
      </c>
      <c r="E118" s="4" t="n">
        <v>11</v>
      </c>
    </row>
    <row r="119" customFormat="false" ht="15" hidden="false" customHeight="false" outlineLevel="0" collapsed="false">
      <c r="A119" s="4" t="s">
        <v>2021</v>
      </c>
      <c r="B119" s="4" t="s">
        <v>2019</v>
      </c>
      <c r="C119" s="4" t="n">
        <v>296552.86</v>
      </c>
      <c r="D119" s="4" t="n">
        <v>14</v>
      </c>
      <c r="E119" s="4" t="n">
        <v>14</v>
      </c>
    </row>
    <row r="120" customFormat="false" ht="15" hidden="false" customHeight="false" outlineLevel="0" collapsed="false">
      <c r="A120" s="4" t="s">
        <v>2022</v>
      </c>
      <c r="B120" s="4" t="s">
        <v>2019</v>
      </c>
      <c r="C120" s="4" t="n">
        <v>-618556.03</v>
      </c>
      <c r="D120" s="4" t="n">
        <v>-1</v>
      </c>
      <c r="E120" s="4" t="n">
        <v>-1</v>
      </c>
      <c r="F120" s="4" t="s">
        <v>2207</v>
      </c>
      <c r="G120" s="4" t="s">
        <v>2207</v>
      </c>
    </row>
    <row r="121" customFormat="false" ht="15" hidden="false" customHeight="false" outlineLevel="0" collapsed="false">
      <c r="A121" s="4" t="s">
        <v>2024</v>
      </c>
      <c r="B121" s="4" t="s">
        <v>2019</v>
      </c>
      <c r="C121" s="4" t="n">
        <v>46285.4</v>
      </c>
      <c r="D121" s="4" t="n">
        <v>17</v>
      </c>
      <c r="E121" s="4" t="n">
        <v>17</v>
      </c>
    </row>
    <row r="122" customFormat="false" ht="15" hidden="false" customHeight="false" outlineLevel="0" collapsed="false">
      <c r="A122" s="4" t="s">
        <v>2026</v>
      </c>
      <c r="B122" s="4" t="s">
        <v>2019</v>
      </c>
      <c r="C122" s="4" t="n">
        <v>47205.29</v>
      </c>
      <c r="D122" s="4" t="n">
        <v>22</v>
      </c>
      <c r="E122" s="4" t="n">
        <v>23</v>
      </c>
    </row>
    <row r="123" customFormat="false" ht="15" hidden="false" customHeight="false" outlineLevel="0" collapsed="false">
      <c r="A123" s="4" t="s">
        <v>2027</v>
      </c>
      <c r="B123" s="4" t="s">
        <v>2019</v>
      </c>
      <c r="C123" s="4" t="n">
        <v>-282274.63</v>
      </c>
      <c r="D123" s="4" t="n">
        <v>-1</v>
      </c>
      <c r="E123" s="4" t="n">
        <v>-1</v>
      </c>
      <c r="F123" s="4" t="s">
        <v>2207</v>
      </c>
      <c r="G123" s="4" t="s">
        <v>2207</v>
      </c>
    </row>
    <row r="124" customFormat="false" ht="15" hidden="false" customHeight="false" outlineLevel="0" collapsed="false">
      <c r="A124" s="4" t="s">
        <v>2028</v>
      </c>
      <c r="B124" s="4" t="s">
        <v>2029</v>
      </c>
      <c r="C124" s="4" t="n">
        <v>279052.34</v>
      </c>
      <c r="D124" s="4" t="n">
        <v>14</v>
      </c>
      <c r="E124" s="4" t="n">
        <v>14</v>
      </c>
    </row>
    <row r="125" customFormat="false" ht="15" hidden="false" customHeight="false" outlineLevel="0" collapsed="false">
      <c r="A125" s="4" t="s">
        <v>2030</v>
      </c>
      <c r="B125" s="4" t="s">
        <v>2029</v>
      </c>
      <c r="C125" s="4" t="n">
        <v>-512146.04</v>
      </c>
      <c r="D125" s="4" t="n">
        <v>-1</v>
      </c>
      <c r="E125" s="4" t="n">
        <v>-1</v>
      </c>
      <c r="F125" s="4" t="s">
        <v>2207</v>
      </c>
      <c r="G125" s="4" t="s">
        <v>2207</v>
      </c>
    </row>
    <row r="126" customFormat="false" ht="15" hidden="false" customHeight="false" outlineLevel="0" collapsed="false">
      <c r="A126" s="4" t="s">
        <v>2031</v>
      </c>
      <c r="B126" s="4" t="s">
        <v>2029</v>
      </c>
      <c r="C126" s="4" t="n">
        <v>171122.81</v>
      </c>
      <c r="D126" s="4" t="n">
        <v>15</v>
      </c>
      <c r="E126" s="4" t="n">
        <v>16</v>
      </c>
    </row>
    <row r="127" customFormat="false" ht="15" hidden="false" customHeight="false" outlineLevel="0" collapsed="false">
      <c r="A127" s="4" t="s">
        <v>2032</v>
      </c>
      <c r="B127" s="4" t="s">
        <v>2033</v>
      </c>
      <c r="C127" s="4" t="n">
        <v>712101.82</v>
      </c>
      <c r="D127" s="4" t="n">
        <v>10</v>
      </c>
      <c r="E127" s="4" t="n">
        <v>10</v>
      </c>
    </row>
    <row r="128" customFormat="false" ht="15" hidden="false" customHeight="false" outlineLevel="0" collapsed="false">
      <c r="A128" s="4" t="s">
        <v>2034</v>
      </c>
      <c r="B128" s="4" t="s">
        <v>2033</v>
      </c>
      <c r="C128" s="4" t="n">
        <v>279052.34</v>
      </c>
      <c r="D128" s="4" t="n">
        <v>14</v>
      </c>
      <c r="E128" s="4" t="n">
        <v>14</v>
      </c>
    </row>
    <row r="129" customFormat="false" ht="15" hidden="false" customHeight="false" outlineLevel="0" collapsed="false">
      <c r="A129" s="4" t="s">
        <v>2035</v>
      </c>
      <c r="B129" s="4" t="s">
        <v>2033</v>
      </c>
      <c r="C129" s="4" t="n">
        <v>-512146.04</v>
      </c>
      <c r="D129" s="4" t="n">
        <v>-1</v>
      </c>
      <c r="E129" s="4" t="n">
        <v>-1</v>
      </c>
      <c r="F129" s="4" t="s">
        <v>2207</v>
      </c>
      <c r="G129" s="4" t="s">
        <v>2207</v>
      </c>
    </row>
    <row r="130" customFormat="false" ht="15" hidden="false" customHeight="false" outlineLevel="0" collapsed="false">
      <c r="A130" s="4" t="s">
        <v>2036</v>
      </c>
      <c r="B130" s="4" t="s">
        <v>2033</v>
      </c>
      <c r="C130" s="4" t="n">
        <v>171122.81</v>
      </c>
      <c r="D130" s="4" t="n">
        <v>15</v>
      </c>
      <c r="E130" s="4" t="n">
        <v>16</v>
      </c>
    </row>
    <row r="131" customFormat="false" ht="15" hidden="false" customHeight="false" outlineLevel="0" collapsed="false">
      <c r="A131" s="4" t="s">
        <v>2037</v>
      </c>
      <c r="B131" s="4" t="s">
        <v>2033</v>
      </c>
      <c r="C131" s="4" t="n">
        <v>85521.17</v>
      </c>
      <c r="D131" s="4" t="n">
        <v>22</v>
      </c>
      <c r="E131" s="4" t="n">
        <v>23</v>
      </c>
    </row>
    <row r="132" customFormat="false" ht="15" hidden="false" customHeight="false" outlineLevel="0" collapsed="false">
      <c r="A132" s="4" t="s">
        <v>2038</v>
      </c>
      <c r="B132" s="4" t="s">
        <v>2033</v>
      </c>
      <c r="C132" s="4" t="n">
        <v>8946.68</v>
      </c>
      <c r="D132" s="4" t="n">
        <v>28</v>
      </c>
      <c r="E132" s="4" t="n">
        <v>28</v>
      </c>
    </row>
    <row r="133" customFormat="false" ht="15" hidden="false" customHeight="false" outlineLevel="0" collapsed="false">
      <c r="A133" s="4" t="s">
        <v>2039</v>
      </c>
      <c r="B133" s="4" t="s">
        <v>2040</v>
      </c>
      <c r="C133" s="4" t="n">
        <v>454384.7</v>
      </c>
      <c r="D133" s="4" t="n">
        <v>11</v>
      </c>
      <c r="E133" s="4" t="n">
        <v>11</v>
      </c>
    </row>
    <row r="134" customFormat="false" ht="15" hidden="false" customHeight="false" outlineLevel="0" collapsed="false">
      <c r="A134" s="4" t="s">
        <v>2041</v>
      </c>
      <c r="B134" s="4" t="s">
        <v>2040</v>
      </c>
      <c r="C134" s="4" t="n">
        <v>71479.27</v>
      </c>
      <c r="D134" s="4" t="n">
        <v>15</v>
      </c>
      <c r="E134" s="4" t="n">
        <v>16</v>
      </c>
    </row>
    <row r="135" customFormat="false" ht="15" hidden="false" customHeight="false" outlineLevel="0" collapsed="false">
      <c r="A135" s="4" t="s">
        <v>2043</v>
      </c>
      <c r="B135" s="4" t="s">
        <v>2040</v>
      </c>
      <c r="C135" s="4" t="n">
        <v>-619344.67</v>
      </c>
      <c r="D135" s="4" t="n">
        <v>-1</v>
      </c>
      <c r="E135" s="4" t="n">
        <v>-1</v>
      </c>
      <c r="F135" s="4" t="s">
        <v>2207</v>
      </c>
      <c r="G135" s="4" t="s">
        <v>2207</v>
      </c>
    </row>
    <row r="136" customFormat="false" ht="15" hidden="false" customHeight="false" outlineLevel="0" collapsed="false">
      <c r="A136" s="4" t="s">
        <v>2044</v>
      </c>
      <c r="B136" s="4" t="s">
        <v>2040</v>
      </c>
      <c r="C136" s="4" t="n">
        <v>42771.15</v>
      </c>
      <c r="D136" s="4" t="n">
        <v>17</v>
      </c>
      <c r="E136" s="4" t="n">
        <v>17</v>
      </c>
    </row>
    <row r="137" customFormat="false" ht="15" hidden="false" customHeight="false" outlineLevel="0" collapsed="false">
      <c r="A137" s="4" t="s">
        <v>2045</v>
      </c>
      <c r="B137" s="4" t="s">
        <v>2040</v>
      </c>
      <c r="C137" s="4" t="n">
        <v>90556.25</v>
      </c>
      <c r="D137" s="4" t="n">
        <v>22</v>
      </c>
      <c r="E137" s="4" t="n">
        <v>23</v>
      </c>
    </row>
    <row r="138" customFormat="false" ht="15" hidden="false" customHeight="false" outlineLevel="0" collapsed="false">
      <c r="A138" s="4" t="s">
        <v>2046</v>
      </c>
      <c r="B138" s="4" t="s">
        <v>2040</v>
      </c>
      <c r="C138" s="4" t="n">
        <v>12756.68</v>
      </c>
      <c r="D138" s="4" t="n">
        <v>28</v>
      </c>
      <c r="E138" s="4" t="n">
        <v>28</v>
      </c>
    </row>
    <row r="139" customFormat="false" ht="15" hidden="false" customHeight="false" outlineLevel="0" collapsed="false">
      <c r="A139" s="4" t="s">
        <v>2047</v>
      </c>
      <c r="B139" s="4" t="s">
        <v>2048</v>
      </c>
      <c r="C139" s="4" t="n">
        <v>-1002807.01</v>
      </c>
      <c r="D139" s="4" t="n">
        <v>-1</v>
      </c>
      <c r="E139" s="4" t="n">
        <v>-1</v>
      </c>
      <c r="F139" s="4" t="s">
        <v>2207</v>
      </c>
      <c r="G139" s="4" t="s">
        <v>2207</v>
      </c>
    </row>
    <row r="140" customFormat="false" ht="15" hidden="false" customHeight="false" outlineLevel="0" collapsed="false">
      <c r="A140" s="4" t="s">
        <v>2050</v>
      </c>
      <c r="B140" s="4" t="s">
        <v>2048</v>
      </c>
      <c r="C140" s="4" t="n">
        <v>112711.77</v>
      </c>
      <c r="D140" s="4" t="n">
        <v>27</v>
      </c>
      <c r="E140" s="4" t="n">
        <v>27</v>
      </c>
    </row>
    <row r="141" customFormat="false" ht="15" hidden="false" customHeight="false" outlineLevel="0" collapsed="false">
      <c r="A141" s="4" t="s">
        <v>2052</v>
      </c>
      <c r="B141" s="4" t="s">
        <v>2048</v>
      </c>
      <c r="C141" s="4" t="n">
        <v>-337229.75</v>
      </c>
      <c r="D141" s="4" t="n">
        <v>-1</v>
      </c>
      <c r="E141" s="4" t="n">
        <v>-1</v>
      </c>
      <c r="F141" s="4" t="s">
        <v>2207</v>
      </c>
      <c r="G141" s="4" t="s">
        <v>2207</v>
      </c>
    </row>
    <row r="142" customFormat="false" ht="15" hidden="false" customHeight="false" outlineLevel="0" collapsed="false">
      <c r="A142" s="4" t="s">
        <v>2054</v>
      </c>
      <c r="B142" s="4" t="s">
        <v>2048</v>
      </c>
      <c r="C142" s="4" t="n">
        <v>-61430.84</v>
      </c>
      <c r="D142" s="4" t="n">
        <v>-1</v>
      </c>
      <c r="E142" s="4" t="n">
        <v>-1</v>
      </c>
      <c r="F142" s="4" t="s">
        <v>2207</v>
      </c>
      <c r="G142" s="4" t="s">
        <v>2207</v>
      </c>
    </row>
    <row r="143" customFormat="false" ht="15" hidden="false" customHeight="false" outlineLevel="0" collapsed="false">
      <c r="A143" s="4" t="s">
        <v>2056</v>
      </c>
      <c r="B143" s="4" t="s">
        <v>2048</v>
      </c>
      <c r="C143" s="4" t="n">
        <v>515502.07</v>
      </c>
      <c r="D143" s="4" t="n">
        <v>22</v>
      </c>
      <c r="E143" s="4" t="n">
        <v>22</v>
      </c>
    </row>
    <row r="144" customFormat="false" ht="15" hidden="false" customHeight="false" outlineLevel="0" collapsed="false">
      <c r="A144" s="4" t="s">
        <v>2058</v>
      </c>
      <c r="B144" s="4" t="s">
        <v>2048</v>
      </c>
      <c r="C144" s="4" t="n">
        <v>230132.79</v>
      </c>
      <c r="D144" s="4" t="n">
        <v>20</v>
      </c>
      <c r="E144" s="4" t="n">
        <v>21</v>
      </c>
    </row>
    <row r="145" customFormat="false" ht="15" hidden="false" customHeight="false" outlineLevel="0" collapsed="false">
      <c r="A145" s="4" t="s">
        <v>2060</v>
      </c>
      <c r="B145" s="4" t="s">
        <v>2061</v>
      </c>
      <c r="C145" s="4" t="n">
        <v>-962804.62</v>
      </c>
      <c r="D145" s="4" t="n">
        <v>-1</v>
      </c>
      <c r="E145" s="4" t="n">
        <v>-1</v>
      </c>
      <c r="F145" s="4" t="s">
        <v>2207</v>
      </c>
      <c r="G145" s="4" t="s">
        <v>2207</v>
      </c>
    </row>
    <row r="146" customFormat="false" ht="15" hidden="false" customHeight="false" outlineLevel="0" collapsed="false">
      <c r="A146" s="4" t="s">
        <v>2062</v>
      </c>
      <c r="B146" s="4" t="s">
        <v>2061</v>
      </c>
      <c r="C146" s="4" t="n">
        <v>85624.84</v>
      </c>
      <c r="D146" s="4" t="n">
        <v>27</v>
      </c>
      <c r="E146" s="4" t="n">
        <v>27</v>
      </c>
    </row>
    <row r="147" customFormat="false" ht="15" hidden="false" customHeight="false" outlineLevel="0" collapsed="false">
      <c r="A147" s="4" t="s">
        <v>2063</v>
      </c>
      <c r="B147" s="4" t="s">
        <v>2061</v>
      </c>
      <c r="C147" s="4" t="n">
        <v>-319122.62</v>
      </c>
      <c r="D147" s="4" t="n">
        <v>-1</v>
      </c>
      <c r="E147" s="4" t="n">
        <v>-1</v>
      </c>
      <c r="F147" s="4" t="s">
        <v>2207</v>
      </c>
      <c r="G147" s="4" t="s">
        <v>2207</v>
      </c>
    </row>
    <row r="148" customFormat="false" ht="15" hidden="false" customHeight="false" outlineLevel="0" collapsed="false">
      <c r="A148" s="4" t="s">
        <v>2064</v>
      </c>
      <c r="B148" s="4" t="s">
        <v>2061</v>
      </c>
      <c r="C148" s="4" t="n">
        <v>-69225.98</v>
      </c>
      <c r="D148" s="4" t="n">
        <v>-1</v>
      </c>
      <c r="E148" s="4" t="n">
        <v>-1</v>
      </c>
      <c r="F148" s="4" t="s">
        <v>2207</v>
      </c>
      <c r="G148" s="4" t="s">
        <v>2207</v>
      </c>
    </row>
    <row r="149" customFormat="false" ht="15" hidden="false" customHeight="false" outlineLevel="0" collapsed="false">
      <c r="A149" s="4" t="s">
        <v>2065</v>
      </c>
      <c r="B149" s="4" t="s">
        <v>2061</v>
      </c>
      <c r="C149" s="4" t="n">
        <v>412852.52</v>
      </c>
      <c r="D149" s="4" t="n">
        <v>22</v>
      </c>
      <c r="E149" s="4" t="n">
        <v>23</v>
      </c>
    </row>
    <row r="150" customFormat="false" ht="15" hidden="false" customHeight="false" outlineLevel="0" collapsed="false">
      <c r="A150" s="4" t="s">
        <v>2066</v>
      </c>
      <c r="B150" s="4" t="s">
        <v>2061</v>
      </c>
      <c r="C150" s="4" t="n">
        <v>191657.89</v>
      </c>
      <c r="D150" s="4" t="n">
        <v>20</v>
      </c>
      <c r="E150" s="4" t="n">
        <v>21</v>
      </c>
    </row>
    <row r="151" customFormat="false" ht="15" hidden="false" customHeight="false" outlineLevel="0" collapsed="false">
      <c r="A151" s="4" t="s">
        <v>2067</v>
      </c>
      <c r="B151" s="4" t="s">
        <v>2068</v>
      </c>
      <c r="C151" s="4" t="n">
        <v>-957317.14</v>
      </c>
      <c r="D151" s="4" t="n">
        <v>-1</v>
      </c>
      <c r="E151" s="4" t="n">
        <v>-1</v>
      </c>
      <c r="F151" s="4" t="s">
        <v>2207</v>
      </c>
      <c r="G151" s="4" t="s">
        <v>2207</v>
      </c>
    </row>
    <row r="152" customFormat="false" ht="15" hidden="false" customHeight="false" outlineLevel="0" collapsed="false">
      <c r="A152" s="4" t="s">
        <v>2069</v>
      </c>
      <c r="B152" s="4" t="s">
        <v>2068</v>
      </c>
      <c r="C152" s="4" t="n">
        <v>-315379.09</v>
      </c>
      <c r="D152" s="4" t="n">
        <v>-1</v>
      </c>
      <c r="E152" s="4" t="n">
        <v>-1</v>
      </c>
      <c r="F152" s="4" t="s">
        <v>2207</v>
      </c>
      <c r="G152" s="4" t="s">
        <v>2207</v>
      </c>
    </row>
    <row r="153" customFormat="false" ht="15" hidden="false" customHeight="false" outlineLevel="0" collapsed="false">
      <c r="A153" s="4" t="s">
        <v>2070</v>
      </c>
      <c r="B153" s="4" t="s">
        <v>2068</v>
      </c>
      <c r="C153" s="4" t="n">
        <v>-300898.74</v>
      </c>
      <c r="D153" s="4" t="n">
        <v>-1</v>
      </c>
      <c r="E153" s="4" t="n">
        <v>-1</v>
      </c>
      <c r="F153" s="4" t="s">
        <v>2207</v>
      </c>
      <c r="G153" s="4" t="s">
        <v>2207</v>
      </c>
    </row>
    <row r="154" customFormat="false" ht="15" hidden="false" customHeight="false" outlineLevel="0" collapsed="false">
      <c r="A154" s="4" t="s">
        <v>2071</v>
      </c>
      <c r="B154" s="4" t="s">
        <v>2068</v>
      </c>
      <c r="C154" s="4" t="n">
        <v>-441825.82</v>
      </c>
      <c r="D154" s="4" t="n">
        <v>-1</v>
      </c>
      <c r="E154" s="4" t="n">
        <v>-1</v>
      </c>
      <c r="F154" s="4" t="s">
        <v>2207</v>
      </c>
      <c r="G154" s="4" t="s">
        <v>2207</v>
      </c>
    </row>
    <row r="155" customFormat="false" ht="15" hidden="false" customHeight="false" outlineLevel="0" collapsed="false">
      <c r="A155" s="4" t="s">
        <v>2072</v>
      </c>
      <c r="B155" s="4" t="s">
        <v>2068</v>
      </c>
      <c r="C155" s="4" t="n">
        <v>404991.01</v>
      </c>
      <c r="D155" s="4" t="n">
        <v>22</v>
      </c>
      <c r="E155" s="4" t="n">
        <v>22</v>
      </c>
    </row>
    <row r="156" customFormat="false" ht="15" hidden="false" customHeight="false" outlineLevel="0" collapsed="false">
      <c r="A156" s="4" t="s">
        <v>2073</v>
      </c>
      <c r="B156" s="4" t="s">
        <v>2068</v>
      </c>
      <c r="C156" s="4" t="n">
        <v>230132.79</v>
      </c>
      <c r="D156" s="4" t="n">
        <v>20</v>
      </c>
      <c r="E156" s="4" t="n">
        <v>21</v>
      </c>
    </row>
    <row r="157" customFormat="false" ht="15" hidden="false" customHeight="false" outlineLevel="0" collapsed="false">
      <c r="A157" s="4" t="s">
        <v>2074</v>
      </c>
      <c r="B157" s="4" t="s">
        <v>2075</v>
      </c>
      <c r="C157" s="4" t="n">
        <v>462700.28</v>
      </c>
      <c r="D157" s="4" t="n">
        <v>22</v>
      </c>
      <c r="E157" s="4" t="n">
        <v>22</v>
      </c>
    </row>
    <row r="158" customFormat="false" ht="15" hidden="false" customHeight="false" outlineLevel="0" collapsed="false">
      <c r="A158" s="4" t="s">
        <v>2076</v>
      </c>
      <c r="B158" s="4" t="s">
        <v>2075</v>
      </c>
      <c r="C158" s="4" t="n">
        <v>210371.19</v>
      </c>
      <c r="D158" s="4" t="n">
        <v>20</v>
      </c>
      <c r="E158" s="4" t="n">
        <v>21</v>
      </c>
    </row>
    <row r="159" customFormat="false" ht="15" hidden="false" customHeight="false" outlineLevel="0" collapsed="false">
      <c r="A159" s="4" t="s">
        <v>2077</v>
      </c>
      <c r="B159" s="4" t="s">
        <v>2078</v>
      </c>
      <c r="C159" s="4" t="n">
        <v>-982403.78</v>
      </c>
      <c r="D159" s="4" t="n">
        <v>-1</v>
      </c>
      <c r="E159" s="4" t="n">
        <v>-1</v>
      </c>
      <c r="F159" s="4" t="s">
        <v>2207</v>
      </c>
      <c r="G159" s="4" t="s">
        <v>2207</v>
      </c>
    </row>
    <row r="160" customFormat="false" ht="15" hidden="false" customHeight="false" outlineLevel="0" collapsed="false">
      <c r="A160" s="4" t="s">
        <v>2079</v>
      </c>
      <c r="B160" s="4" t="s">
        <v>2078</v>
      </c>
      <c r="C160" s="4" t="n">
        <v>98696.66</v>
      </c>
      <c r="D160" s="4" t="n">
        <v>27</v>
      </c>
      <c r="E160" s="4" t="n">
        <v>27</v>
      </c>
    </row>
    <row r="161" customFormat="false" ht="15" hidden="false" customHeight="false" outlineLevel="0" collapsed="false">
      <c r="A161" s="4" t="s">
        <v>2080</v>
      </c>
      <c r="B161" s="4" t="s">
        <v>2078</v>
      </c>
      <c r="C161" s="4" t="n">
        <v>-327963.89</v>
      </c>
      <c r="D161" s="4" t="n">
        <v>-1</v>
      </c>
      <c r="E161" s="4" t="n">
        <v>-1</v>
      </c>
      <c r="F161" s="4" t="s">
        <v>2207</v>
      </c>
      <c r="G161" s="4" t="s">
        <v>2207</v>
      </c>
    </row>
    <row r="162" customFormat="false" ht="15" hidden="false" customHeight="false" outlineLevel="0" collapsed="false">
      <c r="A162" s="4" t="s">
        <v>2081</v>
      </c>
      <c r="B162" s="4" t="s">
        <v>2078</v>
      </c>
      <c r="C162" s="4" t="n">
        <v>-65562.5</v>
      </c>
      <c r="D162" s="4" t="n">
        <v>-1</v>
      </c>
      <c r="E162" s="4" t="n">
        <v>-1</v>
      </c>
      <c r="F162" s="4" t="s">
        <v>2207</v>
      </c>
      <c r="G162" s="4" t="s">
        <v>2207</v>
      </c>
    </row>
    <row r="163" customFormat="false" ht="15" hidden="false" customHeight="false" outlineLevel="0" collapsed="false">
      <c r="A163" s="4" t="s">
        <v>2082</v>
      </c>
      <c r="B163" s="4" t="s">
        <v>2078</v>
      </c>
      <c r="C163" s="4" t="n">
        <v>462700.28</v>
      </c>
      <c r="D163" s="4" t="n">
        <v>22</v>
      </c>
      <c r="E163" s="4" t="n">
        <v>22</v>
      </c>
    </row>
    <row r="164" customFormat="false" ht="15" hidden="false" customHeight="false" outlineLevel="0" collapsed="false">
      <c r="A164" s="4" t="s">
        <v>2083</v>
      </c>
      <c r="B164" s="4" t="s">
        <v>2078</v>
      </c>
      <c r="C164" s="4" t="n">
        <v>210371.19</v>
      </c>
      <c r="D164" s="4" t="n">
        <v>20</v>
      </c>
      <c r="E164" s="4" t="n">
        <v>21</v>
      </c>
    </row>
    <row r="165" customFormat="false" ht="15" hidden="false" customHeight="false" outlineLevel="0" collapsed="false">
      <c r="A165" s="4" t="s">
        <v>2084</v>
      </c>
      <c r="B165" s="4" t="s">
        <v>2085</v>
      </c>
      <c r="C165" s="4" t="n">
        <v>-995251</v>
      </c>
      <c r="D165" s="4" t="n">
        <v>-1</v>
      </c>
      <c r="E165" s="4" t="n">
        <v>-1</v>
      </c>
      <c r="F165" s="4" t="s">
        <v>2207</v>
      </c>
      <c r="G165" s="4" t="s">
        <v>2207</v>
      </c>
    </row>
    <row r="166" customFormat="false" ht="15" hidden="false" customHeight="false" outlineLevel="0" collapsed="false">
      <c r="A166" s="4" t="s">
        <v>2086</v>
      </c>
      <c r="B166" s="4" t="s">
        <v>2085</v>
      </c>
      <c r="C166" s="4" t="n">
        <v>107473.32</v>
      </c>
      <c r="D166" s="4" t="n">
        <v>27</v>
      </c>
      <c r="E166" s="4" t="n">
        <v>27</v>
      </c>
    </row>
    <row r="167" customFormat="false" ht="15" hidden="false" customHeight="false" outlineLevel="0" collapsed="false">
      <c r="A167" s="4" t="s">
        <v>2087</v>
      </c>
      <c r="B167" s="4" t="s">
        <v>2085</v>
      </c>
      <c r="C167" s="4" t="n">
        <v>-333791</v>
      </c>
      <c r="D167" s="4" t="n">
        <v>-1</v>
      </c>
      <c r="E167" s="4" t="n">
        <v>-1</v>
      </c>
      <c r="F167" s="4" t="s">
        <v>2207</v>
      </c>
      <c r="G167" s="4" t="s">
        <v>2207</v>
      </c>
    </row>
    <row r="168" customFormat="false" ht="15" hidden="false" customHeight="false" outlineLevel="0" collapsed="false">
      <c r="A168" s="4" t="s">
        <v>2088</v>
      </c>
      <c r="B168" s="4" t="s">
        <v>2085</v>
      </c>
      <c r="C168" s="4" t="n">
        <v>-62998.94</v>
      </c>
      <c r="D168" s="4" t="n">
        <v>-1</v>
      </c>
      <c r="E168" s="4" t="n">
        <v>-1</v>
      </c>
      <c r="F168" s="4" t="s">
        <v>2207</v>
      </c>
      <c r="G168" s="4" t="s">
        <v>2207</v>
      </c>
    </row>
    <row r="169" customFormat="false" ht="15" hidden="false" customHeight="false" outlineLevel="0" collapsed="false">
      <c r="A169" s="4" t="s">
        <v>2089</v>
      </c>
      <c r="B169" s="4" t="s">
        <v>2085</v>
      </c>
      <c r="C169" s="4" t="n">
        <v>495840.85</v>
      </c>
      <c r="D169" s="4" t="n">
        <v>22</v>
      </c>
      <c r="E169" s="4" t="n">
        <v>22</v>
      </c>
    </row>
    <row r="170" customFormat="false" ht="15" hidden="false" customHeight="false" outlineLevel="0" collapsed="false">
      <c r="A170" s="4" t="s">
        <v>2090</v>
      </c>
      <c r="B170" s="4" t="s">
        <v>2085</v>
      </c>
      <c r="C170" s="4" t="n">
        <v>222781.46</v>
      </c>
      <c r="D170" s="4" t="n">
        <v>20</v>
      </c>
      <c r="E170" s="4" t="n">
        <v>21</v>
      </c>
    </row>
    <row r="171" customFormat="false" ht="15" hidden="false" customHeight="false" outlineLevel="0" collapsed="false">
      <c r="A171" s="4" t="s">
        <v>2091</v>
      </c>
      <c r="B171" s="4" t="s">
        <v>18</v>
      </c>
      <c r="C171" s="4" t="n">
        <v>578533.26</v>
      </c>
      <c r="D171" s="4" t="n">
        <v>10</v>
      </c>
      <c r="E171" s="4" t="n">
        <v>10</v>
      </c>
    </row>
    <row r="172" customFormat="false" ht="15" hidden="false" customHeight="false" outlineLevel="0" collapsed="false">
      <c r="A172" s="4" t="s">
        <v>2092</v>
      </c>
      <c r="B172" s="4" t="s">
        <v>18</v>
      </c>
      <c r="C172" s="4" t="n">
        <v>413388.43</v>
      </c>
      <c r="D172" s="4" t="n">
        <v>10</v>
      </c>
      <c r="E172" s="4" t="n">
        <v>11</v>
      </c>
    </row>
    <row r="173" customFormat="false" ht="15" hidden="false" customHeight="false" outlineLevel="0" collapsed="false">
      <c r="A173" s="4" t="s">
        <v>2093</v>
      </c>
      <c r="B173" s="4" t="s">
        <v>18</v>
      </c>
      <c r="C173" s="4" t="n">
        <v>363049.68</v>
      </c>
      <c r="D173" s="4" t="n">
        <v>12</v>
      </c>
      <c r="E173" s="4" t="n">
        <v>12</v>
      </c>
    </row>
    <row r="174" customFormat="false" ht="15" hidden="false" customHeight="false" outlineLevel="0" collapsed="false">
      <c r="A174" s="4" t="s">
        <v>2094</v>
      </c>
      <c r="B174" s="4" t="s">
        <v>18</v>
      </c>
      <c r="C174" s="4" t="n">
        <v>523302.08</v>
      </c>
      <c r="D174" s="4" t="n">
        <v>14</v>
      </c>
      <c r="E174" s="4" t="n">
        <v>14</v>
      </c>
    </row>
    <row r="175" customFormat="false" ht="15" hidden="false" customHeight="false" outlineLevel="0" collapsed="false">
      <c r="A175" s="4" t="s">
        <v>2095</v>
      </c>
      <c r="B175" s="4" t="s">
        <v>18</v>
      </c>
      <c r="C175" s="4" t="n">
        <v>209002.21</v>
      </c>
      <c r="D175" s="4" t="n">
        <v>19</v>
      </c>
      <c r="E175" s="4" t="n">
        <v>19</v>
      </c>
    </row>
    <row r="176" customFormat="false" ht="15" hidden="false" customHeight="false" outlineLevel="0" collapsed="false">
      <c r="A176" s="4" t="s">
        <v>2096</v>
      </c>
      <c r="B176" s="4" t="s">
        <v>18</v>
      </c>
      <c r="C176" s="4" t="n">
        <v>-535631.92</v>
      </c>
      <c r="D176" s="4" t="n">
        <v>-1</v>
      </c>
      <c r="E176" s="4" t="n">
        <v>-1</v>
      </c>
      <c r="F176" s="4" t="s">
        <v>2207</v>
      </c>
      <c r="G176" s="4" t="s">
        <v>2207</v>
      </c>
    </row>
    <row r="177" customFormat="false" ht="15" hidden="false" customHeight="false" outlineLevel="0" collapsed="false">
      <c r="A177" s="4" t="s">
        <v>2097</v>
      </c>
      <c r="B177" s="4" t="s">
        <v>18</v>
      </c>
      <c r="C177" s="4" t="n">
        <v>415366</v>
      </c>
      <c r="D177" s="4" t="n">
        <v>11</v>
      </c>
      <c r="E177" s="4" t="n">
        <v>11</v>
      </c>
    </row>
    <row r="178" customFormat="false" ht="15" hidden="false" customHeight="false" outlineLevel="0" collapsed="false">
      <c r="A178" s="4" t="s">
        <v>2098</v>
      </c>
      <c r="B178" s="4" t="s">
        <v>18</v>
      </c>
      <c r="C178" s="4" t="n">
        <v>65253.91</v>
      </c>
      <c r="D178" s="4" t="n">
        <v>13</v>
      </c>
      <c r="E178" s="4" t="n">
        <v>13</v>
      </c>
    </row>
    <row r="179" customFormat="false" ht="15" hidden="false" customHeight="false" outlineLevel="0" collapsed="false">
      <c r="A179" s="4" t="s">
        <v>2099</v>
      </c>
      <c r="B179" s="4" t="s">
        <v>18</v>
      </c>
      <c r="C179" s="4" t="n">
        <v>-761535.73</v>
      </c>
      <c r="D179" s="4" t="n">
        <v>-1</v>
      </c>
      <c r="E179" s="4" t="n">
        <v>-1</v>
      </c>
      <c r="F179" s="4" t="s">
        <v>2207</v>
      </c>
      <c r="G179" s="4" t="s">
        <v>2207</v>
      </c>
    </row>
    <row r="180" customFormat="false" ht="15" hidden="false" customHeight="false" outlineLevel="0" collapsed="false">
      <c r="A180" s="4" t="s">
        <v>2100</v>
      </c>
      <c r="B180" s="4" t="s">
        <v>18</v>
      </c>
      <c r="C180" s="4" t="n">
        <v>423409.74</v>
      </c>
      <c r="D180" s="4" t="n">
        <v>18</v>
      </c>
      <c r="E180" s="4" t="n">
        <v>18</v>
      </c>
    </row>
    <row r="181" customFormat="false" ht="15" hidden="false" customHeight="false" outlineLevel="0" collapsed="false">
      <c r="A181" s="4" t="s">
        <v>2101</v>
      </c>
      <c r="B181" s="4" t="s">
        <v>18</v>
      </c>
      <c r="C181" s="4" t="n">
        <v>84012.76</v>
      </c>
      <c r="D181" s="4" t="n">
        <v>21</v>
      </c>
      <c r="E181" s="4" t="n">
        <v>21</v>
      </c>
    </row>
    <row r="182" customFormat="false" ht="15" hidden="false" customHeight="false" outlineLevel="0" collapsed="false">
      <c r="A182" s="4" t="s">
        <v>2102</v>
      </c>
      <c r="B182" s="4" t="s">
        <v>18</v>
      </c>
      <c r="C182" s="4" t="n">
        <v>126524.02</v>
      </c>
      <c r="D182" s="4" t="n">
        <v>27</v>
      </c>
      <c r="E182" s="4" t="n">
        <v>27</v>
      </c>
    </row>
    <row r="183" customFormat="false" ht="15" hidden="false" customHeight="false" outlineLevel="0" collapsed="false">
      <c r="A183" s="4" t="s">
        <v>2103</v>
      </c>
      <c r="B183" s="4" t="s">
        <v>18</v>
      </c>
      <c r="C183" s="4" t="n">
        <v>463582.3</v>
      </c>
      <c r="D183" s="4" t="n">
        <v>11</v>
      </c>
      <c r="E183" s="4" t="n">
        <v>11</v>
      </c>
    </row>
    <row r="184" customFormat="false" ht="15" hidden="false" customHeight="false" outlineLevel="0" collapsed="false">
      <c r="A184" s="4" t="s">
        <v>2104</v>
      </c>
      <c r="B184" s="4" t="s">
        <v>18</v>
      </c>
      <c r="C184" s="4" t="n">
        <v>76930.78</v>
      </c>
      <c r="D184" s="4" t="n">
        <v>15</v>
      </c>
      <c r="E184" s="4" t="n">
        <v>16</v>
      </c>
    </row>
    <row r="185" customFormat="false" ht="15" hidden="false" customHeight="false" outlineLevel="0" collapsed="false">
      <c r="A185" s="4" t="s">
        <v>2105</v>
      </c>
      <c r="B185" s="4" t="s">
        <v>18</v>
      </c>
      <c r="C185" s="4" t="n">
        <v>-618556.03</v>
      </c>
      <c r="D185" s="4" t="n">
        <v>-1</v>
      </c>
      <c r="E185" s="4" t="n">
        <v>-1</v>
      </c>
      <c r="F185" s="4" t="s">
        <v>2207</v>
      </c>
      <c r="G185" s="4" t="s">
        <v>2207</v>
      </c>
    </row>
    <row r="186" customFormat="false" ht="15" hidden="false" customHeight="false" outlineLevel="0" collapsed="false">
      <c r="A186" s="4" t="s">
        <v>2106</v>
      </c>
      <c r="B186" s="4" t="s">
        <v>18</v>
      </c>
      <c r="C186" s="4" t="n">
        <v>46285.4</v>
      </c>
      <c r="D186" s="4" t="n">
        <v>17</v>
      </c>
      <c r="E186" s="4" t="n">
        <v>17</v>
      </c>
    </row>
    <row r="187" customFormat="false" ht="15" hidden="false" customHeight="false" outlineLevel="0" collapsed="false">
      <c r="A187" s="4" t="s">
        <v>2107</v>
      </c>
      <c r="B187" s="4" t="s">
        <v>18</v>
      </c>
      <c r="C187" s="4" t="n">
        <v>93546.29</v>
      </c>
      <c r="D187" s="4" t="n">
        <v>22</v>
      </c>
      <c r="E187" s="4" t="n">
        <v>23</v>
      </c>
    </row>
    <row r="188" customFormat="false" ht="15" hidden="false" customHeight="false" outlineLevel="0" collapsed="false">
      <c r="A188" s="4" t="s">
        <v>2108</v>
      </c>
      <c r="B188" s="4" t="s">
        <v>18</v>
      </c>
      <c r="C188" s="4" t="n">
        <v>15040.08</v>
      </c>
      <c r="D188" s="4" t="n">
        <v>28</v>
      </c>
      <c r="E188" s="4" t="n">
        <v>28</v>
      </c>
    </row>
    <row r="189" customFormat="false" ht="15" hidden="false" customHeight="false" outlineLevel="0" collapsed="false">
      <c r="A189" s="4" t="s">
        <v>2109</v>
      </c>
      <c r="B189" s="4" t="s">
        <v>18</v>
      </c>
      <c r="C189" s="4" t="n">
        <v>-1002807.01</v>
      </c>
      <c r="D189" s="4" t="n">
        <v>-1</v>
      </c>
      <c r="E189" s="4" t="n">
        <v>-1</v>
      </c>
      <c r="F189" s="4" t="s">
        <v>2207</v>
      </c>
      <c r="G189" s="4" t="s">
        <v>2207</v>
      </c>
    </row>
    <row r="190" customFormat="false" ht="15" hidden="false" customHeight="false" outlineLevel="0" collapsed="false">
      <c r="A190" s="4" t="s">
        <v>2110</v>
      </c>
      <c r="B190" s="4" t="s">
        <v>18</v>
      </c>
      <c r="C190" s="4" t="n">
        <v>112711.77</v>
      </c>
      <c r="D190" s="4" t="n">
        <v>27</v>
      </c>
      <c r="E190" s="4" t="n">
        <v>27</v>
      </c>
    </row>
    <row r="191" customFormat="false" ht="15" hidden="false" customHeight="false" outlineLevel="0" collapsed="false">
      <c r="A191" s="4" t="s">
        <v>2111</v>
      </c>
      <c r="B191" s="4" t="s">
        <v>18</v>
      </c>
      <c r="C191" s="4" t="n">
        <v>-337229.75</v>
      </c>
      <c r="D191" s="4" t="n">
        <v>-1</v>
      </c>
      <c r="E191" s="4" t="n">
        <v>-1</v>
      </c>
      <c r="F191" s="4" t="s">
        <v>2207</v>
      </c>
      <c r="G191" s="4" t="s">
        <v>2207</v>
      </c>
    </row>
    <row r="192" customFormat="false" ht="15" hidden="false" customHeight="false" outlineLevel="0" collapsed="false">
      <c r="A192" s="4" t="s">
        <v>2112</v>
      </c>
      <c r="B192" s="4" t="s">
        <v>18</v>
      </c>
      <c r="C192" s="4" t="n">
        <v>-61430.84</v>
      </c>
      <c r="D192" s="4" t="n">
        <v>-1</v>
      </c>
      <c r="E192" s="4" t="n">
        <v>-1</v>
      </c>
      <c r="F192" s="4" t="s">
        <v>2207</v>
      </c>
      <c r="G192" s="4" t="s">
        <v>2207</v>
      </c>
    </row>
    <row r="193" customFormat="false" ht="15" hidden="false" customHeight="false" outlineLevel="0" collapsed="false">
      <c r="A193" s="4" t="s">
        <v>2113</v>
      </c>
      <c r="B193" s="4" t="s">
        <v>18</v>
      </c>
      <c r="C193" s="4" t="n">
        <v>515502.07</v>
      </c>
      <c r="D193" s="4" t="n">
        <v>22</v>
      </c>
      <c r="E193" s="4" t="n">
        <v>22</v>
      </c>
    </row>
    <row r="194" customFormat="false" ht="15" hidden="false" customHeight="false" outlineLevel="0" collapsed="false">
      <c r="A194" s="4" t="s">
        <v>2114</v>
      </c>
      <c r="B194" s="4" t="s">
        <v>18</v>
      </c>
      <c r="C194" s="4" t="n">
        <v>230132.79</v>
      </c>
      <c r="D194" s="4" t="n">
        <v>20</v>
      </c>
      <c r="E194" s="4" t="n">
        <v>21</v>
      </c>
    </row>
    <row r="195" customFormat="false" ht="15" hidden="false" customHeight="false" outlineLevel="0" collapsed="false">
      <c r="A195" s="4" t="s">
        <v>2115</v>
      </c>
      <c r="B195" s="4" t="s">
        <v>2116</v>
      </c>
      <c r="C195" s="4" t="n">
        <v>578533.26</v>
      </c>
      <c r="D195" s="4" t="n">
        <v>10</v>
      </c>
      <c r="E195" s="4" t="n">
        <v>10</v>
      </c>
    </row>
    <row r="196" customFormat="false" ht="15" hidden="false" customHeight="false" outlineLevel="0" collapsed="false">
      <c r="A196" s="4" t="s">
        <v>2117</v>
      </c>
      <c r="B196" s="4" t="s">
        <v>2116</v>
      </c>
      <c r="C196" s="4" t="n">
        <v>363049.68</v>
      </c>
      <c r="D196" s="4" t="n">
        <v>12</v>
      </c>
      <c r="E196" s="4" t="n">
        <v>12</v>
      </c>
    </row>
    <row r="197" customFormat="false" ht="15" hidden="false" customHeight="false" outlineLevel="0" collapsed="false">
      <c r="A197" s="4" t="s">
        <v>2118</v>
      </c>
      <c r="B197" s="4" t="s">
        <v>2116</v>
      </c>
      <c r="C197" s="4" t="n">
        <v>523302.08</v>
      </c>
      <c r="D197" s="4" t="n">
        <v>14</v>
      </c>
      <c r="E197" s="4" t="n">
        <v>14</v>
      </c>
    </row>
    <row r="198" customFormat="false" ht="15" hidden="false" customHeight="false" outlineLevel="0" collapsed="false">
      <c r="A198" s="4" t="s">
        <v>2119</v>
      </c>
      <c r="B198" s="4" t="s">
        <v>2116</v>
      </c>
      <c r="C198" s="4" t="n">
        <v>209002.21</v>
      </c>
      <c r="D198" s="4" t="n">
        <v>19</v>
      </c>
      <c r="E198" s="4" t="n">
        <v>19</v>
      </c>
    </row>
    <row r="199" customFormat="false" ht="15" hidden="false" customHeight="false" outlineLevel="0" collapsed="false">
      <c r="A199" s="4" t="s">
        <v>2120</v>
      </c>
      <c r="B199" s="4" t="s">
        <v>2116</v>
      </c>
      <c r="C199" s="4" t="n">
        <v>-535631.92</v>
      </c>
      <c r="D199" s="4" t="n">
        <v>-1</v>
      </c>
      <c r="E199" s="4" t="n">
        <v>-1</v>
      </c>
      <c r="F199" s="4" t="s">
        <v>2207</v>
      </c>
      <c r="G199" s="4" t="s">
        <v>2207</v>
      </c>
    </row>
    <row r="200" customFormat="false" ht="15" hidden="false" customHeight="false" outlineLevel="0" collapsed="false">
      <c r="A200" s="4" t="s">
        <v>2121</v>
      </c>
      <c r="B200" s="4" t="s">
        <v>2116</v>
      </c>
      <c r="C200" s="4" t="n">
        <v>415366</v>
      </c>
      <c r="D200" s="4" t="n">
        <v>11</v>
      </c>
      <c r="E200" s="4" t="n">
        <v>11</v>
      </c>
    </row>
    <row r="201" customFormat="false" ht="15" hidden="false" customHeight="false" outlineLevel="0" collapsed="false">
      <c r="A201" s="4" t="s">
        <v>2122</v>
      </c>
      <c r="B201" s="4" t="s">
        <v>2116</v>
      </c>
      <c r="C201" s="4" t="n">
        <v>65253.91</v>
      </c>
      <c r="D201" s="4" t="n">
        <v>13</v>
      </c>
      <c r="E201" s="4" t="n">
        <v>13</v>
      </c>
    </row>
    <row r="202" customFormat="false" ht="15" hidden="false" customHeight="false" outlineLevel="0" collapsed="false">
      <c r="A202" s="4" t="s">
        <v>2123</v>
      </c>
      <c r="B202" s="4" t="s">
        <v>2116</v>
      </c>
      <c r="C202" s="4" t="n">
        <v>-761535.73</v>
      </c>
      <c r="D202" s="4" t="n">
        <v>-1</v>
      </c>
      <c r="E202" s="4" t="n">
        <v>-1</v>
      </c>
      <c r="F202" s="4" t="s">
        <v>2207</v>
      </c>
      <c r="G202" s="4" t="s">
        <v>2207</v>
      </c>
    </row>
    <row r="203" customFormat="false" ht="15" hidden="false" customHeight="false" outlineLevel="0" collapsed="false">
      <c r="A203" s="4" t="s">
        <v>2124</v>
      </c>
      <c r="B203" s="4" t="s">
        <v>2116</v>
      </c>
      <c r="C203" s="4" t="n">
        <v>423409.74</v>
      </c>
      <c r="D203" s="4" t="n">
        <v>18</v>
      </c>
      <c r="E203" s="4" t="n">
        <v>18</v>
      </c>
    </row>
    <row r="204" customFormat="false" ht="15" hidden="false" customHeight="false" outlineLevel="0" collapsed="false">
      <c r="A204" s="4" t="s">
        <v>2125</v>
      </c>
      <c r="B204" s="4" t="s">
        <v>2116</v>
      </c>
      <c r="C204" s="4" t="n">
        <v>84012.76</v>
      </c>
      <c r="D204" s="4" t="n">
        <v>21</v>
      </c>
      <c r="E204" s="4" t="n">
        <v>21</v>
      </c>
    </row>
    <row r="205" customFormat="false" ht="15" hidden="false" customHeight="false" outlineLevel="0" collapsed="false">
      <c r="A205" s="4" t="s">
        <v>2126</v>
      </c>
      <c r="B205" s="4" t="s">
        <v>2116</v>
      </c>
      <c r="C205" s="4" t="n">
        <v>126524.02</v>
      </c>
      <c r="D205" s="4" t="n">
        <v>27</v>
      </c>
      <c r="E205" s="4" t="n">
        <v>27</v>
      </c>
    </row>
    <row r="206" customFormat="false" ht="15" hidden="false" customHeight="false" outlineLevel="0" collapsed="false">
      <c r="A206" s="4" t="s">
        <v>2127</v>
      </c>
      <c r="B206" s="4" t="s">
        <v>2116</v>
      </c>
      <c r="C206" s="4" t="n">
        <v>463582.3</v>
      </c>
      <c r="D206" s="4" t="n">
        <v>11</v>
      </c>
      <c r="E206" s="4" t="n">
        <v>11</v>
      </c>
    </row>
    <row r="207" customFormat="false" ht="15" hidden="false" customHeight="false" outlineLevel="0" collapsed="false">
      <c r="A207" s="4" t="s">
        <v>2128</v>
      </c>
      <c r="B207" s="4" t="s">
        <v>2116</v>
      </c>
      <c r="C207" s="4" t="n">
        <v>76930.78</v>
      </c>
      <c r="D207" s="4" t="n">
        <v>15</v>
      </c>
      <c r="E207" s="4" t="n">
        <v>16</v>
      </c>
    </row>
    <row r="208" customFormat="false" ht="15" hidden="false" customHeight="false" outlineLevel="0" collapsed="false">
      <c r="A208" s="4" t="s">
        <v>2129</v>
      </c>
      <c r="B208" s="4" t="s">
        <v>2116</v>
      </c>
      <c r="C208" s="4" t="n">
        <v>-618556.03</v>
      </c>
      <c r="D208" s="4" t="n">
        <v>-1</v>
      </c>
      <c r="E208" s="4" t="n">
        <v>-1</v>
      </c>
      <c r="F208" s="4" t="s">
        <v>2207</v>
      </c>
      <c r="G208" s="4" t="s">
        <v>2207</v>
      </c>
    </row>
    <row r="209" customFormat="false" ht="15" hidden="false" customHeight="false" outlineLevel="0" collapsed="false">
      <c r="A209" s="4" t="s">
        <v>2130</v>
      </c>
      <c r="B209" s="4" t="s">
        <v>2116</v>
      </c>
      <c r="C209" s="4" t="n">
        <v>46285.4</v>
      </c>
      <c r="D209" s="4" t="n">
        <v>17</v>
      </c>
      <c r="E209" s="4" t="n">
        <v>17</v>
      </c>
    </row>
    <row r="210" customFormat="false" ht="15" hidden="false" customHeight="false" outlineLevel="0" collapsed="false">
      <c r="A210" s="4" t="s">
        <v>2131</v>
      </c>
      <c r="B210" s="4" t="s">
        <v>2116</v>
      </c>
      <c r="C210" s="4" t="n">
        <v>93546.29</v>
      </c>
      <c r="D210" s="4" t="n">
        <v>22</v>
      </c>
      <c r="E210" s="4" t="n">
        <v>23</v>
      </c>
    </row>
    <row r="211" customFormat="false" ht="15" hidden="false" customHeight="false" outlineLevel="0" collapsed="false">
      <c r="A211" s="4" t="s">
        <v>2132</v>
      </c>
      <c r="B211" s="4" t="s">
        <v>2116</v>
      </c>
      <c r="C211" s="4" t="n">
        <v>15040.08</v>
      </c>
      <c r="D211" s="4" t="n">
        <v>28</v>
      </c>
      <c r="E211" s="4" t="n">
        <v>28</v>
      </c>
    </row>
    <row r="212" customFormat="false" ht="15" hidden="false" customHeight="false" outlineLevel="0" collapsed="false">
      <c r="A212" s="4" t="s">
        <v>2133</v>
      </c>
      <c r="B212" s="4" t="s">
        <v>2116</v>
      </c>
      <c r="C212" s="4" t="n">
        <v>-1002807.01</v>
      </c>
      <c r="D212" s="4" t="n">
        <v>-1</v>
      </c>
      <c r="E212" s="4" t="n">
        <v>-1</v>
      </c>
      <c r="F212" s="4" t="s">
        <v>2207</v>
      </c>
      <c r="G212" s="4" t="s">
        <v>2207</v>
      </c>
    </row>
    <row r="213" customFormat="false" ht="15" hidden="false" customHeight="false" outlineLevel="0" collapsed="false">
      <c r="A213" s="4" t="s">
        <v>2134</v>
      </c>
      <c r="B213" s="4" t="s">
        <v>2116</v>
      </c>
      <c r="C213" s="4" t="n">
        <v>112711.77</v>
      </c>
      <c r="D213" s="4" t="n">
        <v>27</v>
      </c>
      <c r="E213" s="4" t="n">
        <v>27</v>
      </c>
    </row>
    <row r="214" customFormat="false" ht="15" hidden="false" customHeight="false" outlineLevel="0" collapsed="false">
      <c r="A214" s="4" t="s">
        <v>2135</v>
      </c>
      <c r="B214" s="4" t="s">
        <v>2116</v>
      </c>
      <c r="C214" s="4" t="n">
        <v>-337229.75</v>
      </c>
      <c r="D214" s="4" t="n">
        <v>-1</v>
      </c>
      <c r="E214" s="4" t="n">
        <v>-1</v>
      </c>
      <c r="F214" s="4" t="s">
        <v>2207</v>
      </c>
      <c r="G214" s="4" t="s">
        <v>2207</v>
      </c>
    </row>
    <row r="215" customFormat="false" ht="15" hidden="false" customHeight="false" outlineLevel="0" collapsed="false">
      <c r="A215" s="4" t="s">
        <v>2136</v>
      </c>
      <c r="B215" s="4" t="s">
        <v>2116</v>
      </c>
      <c r="C215" s="4" t="n">
        <v>-61430.84</v>
      </c>
      <c r="D215" s="4" t="n">
        <v>-1</v>
      </c>
      <c r="E215" s="4" t="n">
        <v>-1</v>
      </c>
      <c r="F215" s="4" t="s">
        <v>2207</v>
      </c>
      <c r="G215" s="4" t="s">
        <v>2207</v>
      </c>
    </row>
    <row r="216" customFormat="false" ht="15" hidden="false" customHeight="false" outlineLevel="0" collapsed="false">
      <c r="A216" s="4" t="s">
        <v>2137</v>
      </c>
      <c r="B216" s="4" t="s">
        <v>2116</v>
      </c>
      <c r="C216" s="4" t="n">
        <v>515502.07</v>
      </c>
      <c r="D216" s="4" t="n">
        <v>22</v>
      </c>
      <c r="E216" s="4" t="n">
        <v>22</v>
      </c>
    </row>
    <row r="217" customFormat="false" ht="15" hidden="false" customHeight="false" outlineLevel="0" collapsed="false">
      <c r="A217" s="4" t="s">
        <v>2138</v>
      </c>
      <c r="B217" s="4" t="s">
        <v>2116</v>
      </c>
      <c r="C217" s="4" t="n">
        <v>230132.79</v>
      </c>
      <c r="D217" s="4" t="n">
        <v>20</v>
      </c>
      <c r="E217" s="4" t="n">
        <v>21</v>
      </c>
    </row>
    <row r="218" customFormat="false" ht="15" hidden="false" customHeight="false" outlineLevel="0" collapsed="false">
      <c r="A218" s="4" t="s">
        <v>2139</v>
      </c>
      <c r="B218" s="4" t="s">
        <v>2140</v>
      </c>
      <c r="C218" s="4" t="n">
        <v>558129.91</v>
      </c>
      <c r="D218" s="4" t="n">
        <v>10</v>
      </c>
      <c r="E218" s="4" t="n">
        <v>10</v>
      </c>
    </row>
    <row r="219" customFormat="false" ht="15" hidden="false" customHeight="false" outlineLevel="0" collapsed="false">
      <c r="A219" s="4" t="s">
        <v>2141</v>
      </c>
      <c r="B219" s="4" t="s">
        <v>2140</v>
      </c>
      <c r="C219" s="4" t="n">
        <v>398676.86</v>
      </c>
      <c r="D219" s="4" t="n">
        <v>10</v>
      </c>
      <c r="E219" s="4" t="n">
        <v>11</v>
      </c>
    </row>
    <row r="220" customFormat="false" ht="15" hidden="false" customHeight="false" outlineLevel="0" collapsed="false">
      <c r="A220" s="4" t="s">
        <v>2142</v>
      </c>
      <c r="B220" s="4" t="s">
        <v>2140</v>
      </c>
      <c r="C220" s="4" t="n">
        <v>389537.67</v>
      </c>
      <c r="D220" s="4" t="n">
        <v>11</v>
      </c>
      <c r="E220" s="4" t="n">
        <v>11</v>
      </c>
    </row>
    <row r="221" customFormat="false" ht="15" hidden="false" customHeight="false" outlineLevel="0" collapsed="false">
      <c r="A221" s="4" t="s">
        <v>2143</v>
      </c>
      <c r="B221" s="4" t="s">
        <v>2140</v>
      </c>
      <c r="C221" s="4" t="n">
        <v>52986.95</v>
      </c>
      <c r="D221" s="4" t="n">
        <v>13</v>
      </c>
      <c r="E221" s="4" t="n">
        <v>13</v>
      </c>
    </row>
    <row r="222" customFormat="false" ht="15" hidden="false" customHeight="false" outlineLevel="0" collapsed="false">
      <c r="A222" s="4" t="s">
        <v>2144</v>
      </c>
      <c r="B222" s="4" t="s">
        <v>2140</v>
      </c>
      <c r="C222" s="4" t="n">
        <v>438689.8</v>
      </c>
      <c r="D222" s="4" t="n">
        <v>11</v>
      </c>
      <c r="E222" s="4" t="n">
        <v>11</v>
      </c>
    </row>
    <row r="223" customFormat="false" ht="15" hidden="false" customHeight="false" outlineLevel="0" collapsed="false">
      <c r="A223" s="4" t="s">
        <v>2145</v>
      </c>
      <c r="B223" s="4" t="s">
        <v>2146</v>
      </c>
      <c r="C223" s="4" t="n">
        <v>195264.32</v>
      </c>
      <c r="D223" s="4" t="n">
        <v>19</v>
      </c>
      <c r="E223" s="4" t="n">
        <v>19</v>
      </c>
    </row>
    <row r="224" customFormat="false" ht="15" hidden="false" customHeight="false" outlineLevel="0" collapsed="false">
      <c r="A224" s="4" t="s">
        <v>2147</v>
      </c>
      <c r="B224" s="4" t="s">
        <v>2146</v>
      </c>
      <c r="C224" s="4" t="n">
        <v>77753.6</v>
      </c>
      <c r="D224" s="4" t="n">
        <v>21</v>
      </c>
      <c r="E224" s="4" t="n">
        <v>21</v>
      </c>
    </row>
    <row r="225" customFormat="false" ht="15" hidden="false" customHeight="false" outlineLevel="0" collapsed="false">
      <c r="A225" s="4" t="s">
        <v>2148</v>
      </c>
      <c r="B225" s="4" t="s">
        <v>2146</v>
      </c>
      <c r="C225" s="4" t="n">
        <v>85521.17</v>
      </c>
      <c r="D225" s="4" t="n">
        <v>22</v>
      </c>
      <c r="E225" s="4" t="n">
        <v>23</v>
      </c>
    </row>
    <row r="226" customFormat="false" ht="15" hidden="false" customHeight="false" outlineLevel="0" collapsed="false">
      <c r="A226" s="4" t="s">
        <v>2149</v>
      </c>
      <c r="B226" s="4" t="s">
        <v>2146</v>
      </c>
      <c r="C226" s="4" t="n">
        <v>-982403.78</v>
      </c>
      <c r="D226" s="4" t="n">
        <v>-1</v>
      </c>
      <c r="E226" s="4" t="n">
        <v>-1</v>
      </c>
      <c r="F226" s="4" t="s">
        <v>2207</v>
      </c>
      <c r="G226" s="4" t="s">
        <v>2207</v>
      </c>
    </row>
    <row r="227" customFormat="false" ht="15" hidden="false" customHeight="false" outlineLevel="0" collapsed="false">
      <c r="A227" s="4" t="s">
        <v>2150</v>
      </c>
      <c r="B227" s="4" t="s">
        <v>2146</v>
      </c>
      <c r="C227" s="4" t="n">
        <v>98696.66</v>
      </c>
      <c r="D227" s="4" t="n">
        <v>27</v>
      </c>
      <c r="E227" s="4" t="n">
        <v>27</v>
      </c>
    </row>
    <row r="228" customFormat="false" ht="15" hidden="false" customHeight="false" outlineLevel="0" collapsed="false">
      <c r="A228" s="4" t="s">
        <v>2151</v>
      </c>
      <c r="B228" s="4" t="s">
        <v>2146</v>
      </c>
      <c r="C228" s="4" t="n">
        <v>462700.28</v>
      </c>
      <c r="D228" s="4" t="n">
        <v>22</v>
      </c>
      <c r="E228" s="4" t="n">
        <v>22</v>
      </c>
    </row>
    <row r="229" customFormat="false" ht="15" hidden="false" customHeight="false" outlineLevel="0" collapsed="false">
      <c r="A229" s="4" t="s">
        <v>2152</v>
      </c>
      <c r="B229" s="4" t="s">
        <v>2146</v>
      </c>
      <c r="C229" s="4" t="n">
        <v>210371.19</v>
      </c>
      <c r="D229" s="4" t="n">
        <v>20</v>
      </c>
      <c r="E229" s="4" t="n">
        <v>21</v>
      </c>
    </row>
    <row r="230" customFormat="false" ht="15" hidden="false" customHeight="false" outlineLevel="0" collapsed="false">
      <c r="A230" s="4" t="s">
        <v>2153</v>
      </c>
      <c r="B230" s="4" t="s">
        <v>2154</v>
      </c>
      <c r="C230" s="4" t="n">
        <v>182226.5</v>
      </c>
      <c r="D230" s="4" t="n">
        <v>19</v>
      </c>
      <c r="E230" s="4" t="n">
        <v>19</v>
      </c>
    </row>
    <row r="231" customFormat="false" ht="15" hidden="false" customHeight="false" outlineLevel="0" collapsed="false">
      <c r="A231" s="4" t="s">
        <v>2155</v>
      </c>
      <c r="B231" s="4" t="s">
        <v>2154</v>
      </c>
      <c r="C231" s="4" t="n">
        <v>-512304.75</v>
      </c>
      <c r="D231" s="4" t="n">
        <v>-1</v>
      </c>
      <c r="E231" s="4" t="n">
        <v>-1</v>
      </c>
      <c r="F231" s="4" t="s">
        <v>2207</v>
      </c>
      <c r="G231" s="4" t="s">
        <v>2207</v>
      </c>
    </row>
    <row r="232" customFormat="false" ht="15" hidden="false" customHeight="false" outlineLevel="0" collapsed="false">
      <c r="A232" s="4" t="s">
        <v>2156</v>
      </c>
      <c r="B232" s="4" t="s">
        <v>2154</v>
      </c>
      <c r="C232" s="4" t="n">
        <v>71841.22</v>
      </c>
      <c r="D232" s="4" t="n">
        <v>21</v>
      </c>
      <c r="E232" s="4" t="n">
        <v>22</v>
      </c>
    </row>
    <row r="233" customFormat="false" ht="15" hidden="false" customHeight="false" outlineLevel="0" collapsed="false">
      <c r="A233" s="4" t="s">
        <v>2157</v>
      </c>
      <c r="B233" s="4" t="s">
        <v>2154</v>
      </c>
      <c r="C233" s="4" t="n">
        <v>99418.29</v>
      </c>
      <c r="D233" s="4" t="n">
        <v>27</v>
      </c>
      <c r="E233" s="4" t="n">
        <v>27</v>
      </c>
    </row>
    <row r="234" customFormat="false" ht="15" hidden="false" customHeight="false" outlineLevel="0" collapsed="false">
      <c r="A234" s="4" t="s">
        <v>2158</v>
      </c>
      <c r="B234" s="4" t="s">
        <v>2154</v>
      </c>
      <c r="C234" s="4" t="n">
        <v>77959.68</v>
      </c>
      <c r="D234" s="4" t="n">
        <v>22</v>
      </c>
      <c r="E234" s="4" t="n">
        <v>23</v>
      </c>
    </row>
    <row r="235" customFormat="false" ht="15" hidden="false" customHeight="false" outlineLevel="0" collapsed="false">
      <c r="A235" s="4" t="s">
        <v>2159</v>
      </c>
      <c r="B235" s="4" t="s">
        <v>2154</v>
      </c>
      <c r="C235" s="4" t="n">
        <v>3310.6</v>
      </c>
      <c r="D235" s="4" t="n">
        <v>28</v>
      </c>
      <c r="E235" s="4" t="n">
        <v>28</v>
      </c>
    </row>
    <row r="236" customFormat="false" ht="15" hidden="false" customHeight="false" outlineLevel="0" collapsed="false">
      <c r="A236" s="4" t="s">
        <v>2160</v>
      </c>
      <c r="B236" s="4" t="s">
        <v>2154</v>
      </c>
      <c r="C236" s="4" t="n">
        <v>-962804.62</v>
      </c>
      <c r="D236" s="4" t="n">
        <v>-1</v>
      </c>
      <c r="E236" s="4" t="n">
        <v>-1</v>
      </c>
      <c r="F236" s="4" t="s">
        <v>2207</v>
      </c>
      <c r="G236" s="4" t="s">
        <v>2207</v>
      </c>
    </row>
    <row r="237" customFormat="false" ht="15" hidden="false" customHeight="false" outlineLevel="0" collapsed="false">
      <c r="A237" s="4" t="s">
        <v>2161</v>
      </c>
      <c r="B237" s="4" t="s">
        <v>2154</v>
      </c>
      <c r="C237" s="4" t="n">
        <v>85624.84</v>
      </c>
      <c r="D237" s="4" t="n">
        <v>27</v>
      </c>
      <c r="E237" s="4" t="n">
        <v>27</v>
      </c>
    </row>
    <row r="238" customFormat="false" ht="15" hidden="false" customHeight="false" outlineLevel="0" collapsed="false">
      <c r="A238" s="4" t="s">
        <v>2162</v>
      </c>
      <c r="B238" s="4" t="s">
        <v>2154</v>
      </c>
      <c r="C238" s="4" t="n">
        <v>-319122.62</v>
      </c>
      <c r="D238" s="4" t="n">
        <v>-1</v>
      </c>
      <c r="E238" s="4" t="n">
        <v>-1</v>
      </c>
      <c r="F238" s="4" t="s">
        <v>2207</v>
      </c>
      <c r="G238" s="4" t="s">
        <v>2207</v>
      </c>
    </row>
    <row r="239" customFormat="false" ht="15" hidden="false" customHeight="false" outlineLevel="0" collapsed="false">
      <c r="A239" s="4" t="s">
        <v>2163</v>
      </c>
      <c r="B239" s="4" t="s">
        <v>2154</v>
      </c>
      <c r="C239" s="4" t="n">
        <v>-69225.98</v>
      </c>
      <c r="D239" s="4" t="n">
        <v>-1</v>
      </c>
      <c r="E239" s="4" t="n">
        <v>-1</v>
      </c>
      <c r="F239" s="4" t="s">
        <v>2207</v>
      </c>
      <c r="G239" s="4" t="s">
        <v>2207</v>
      </c>
    </row>
    <row r="240" customFormat="false" ht="15" hidden="false" customHeight="false" outlineLevel="0" collapsed="false">
      <c r="A240" s="4" t="s">
        <v>2164</v>
      </c>
      <c r="B240" s="4" t="s">
        <v>2165</v>
      </c>
      <c r="C240" s="4" t="n">
        <v>349535.07</v>
      </c>
      <c r="D240" s="4" t="n">
        <v>12</v>
      </c>
      <c r="E240" s="4" t="n">
        <v>12</v>
      </c>
    </row>
    <row r="241" customFormat="false" ht="15" hidden="false" customHeight="false" outlineLevel="0" collapsed="false">
      <c r="A241" s="4" t="s">
        <v>2166</v>
      </c>
      <c r="B241" s="4" t="s">
        <v>2165</v>
      </c>
      <c r="C241" s="4" t="n">
        <v>497894.59</v>
      </c>
      <c r="D241" s="4" t="n">
        <v>14</v>
      </c>
      <c r="E241" s="4" t="n">
        <v>14</v>
      </c>
    </row>
    <row r="242" customFormat="false" ht="15" hidden="false" customHeight="false" outlineLevel="0" collapsed="false">
      <c r="A242" s="4" t="s">
        <v>2167</v>
      </c>
      <c r="B242" s="4" t="s">
        <v>2165</v>
      </c>
      <c r="C242" s="4" t="n">
        <v>52986.95</v>
      </c>
      <c r="D242" s="4" t="n">
        <v>13</v>
      </c>
      <c r="E242" s="4" t="n">
        <v>13</v>
      </c>
    </row>
    <row r="243" customFormat="false" ht="15" hidden="false" customHeight="false" outlineLevel="0" collapsed="false">
      <c r="A243" s="4" t="s">
        <v>2168</v>
      </c>
      <c r="B243" s="4" t="s">
        <v>2165</v>
      </c>
      <c r="C243" s="4" t="n">
        <v>-758218.32</v>
      </c>
      <c r="D243" s="4" t="n">
        <v>-1</v>
      </c>
      <c r="E243" s="4" t="n">
        <v>-1</v>
      </c>
      <c r="F243" s="4" t="s">
        <v>2207</v>
      </c>
      <c r="G243" s="4" t="s">
        <v>2207</v>
      </c>
    </row>
    <row r="244" customFormat="false" ht="15" hidden="false" customHeight="false" outlineLevel="0" collapsed="false">
      <c r="A244" s="4" t="s">
        <v>2169</v>
      </c>
      <c r="B244" s="4" t="s">
        <v>2165</v>
      </c>
      <c r="C244" s="4" t="n">
        <v>395564.4</v>
      </c>
      <c r="D244" s="4" t="n">
        <v>18</v>
      </c>
      <c r="E244" s="4" t="n">
        <v>18</v>
      </c>
    </row>
    <row r="245" customFormat="false" ht="15" hidden="false" customHeight="false" outlineLevel="0" collapsed="false">
      <c r="A245" s="4" t="s">
        <v>2170</v>
      </c>
      <c r="B245" s="4" t="s">
        <v>2165</v>
      </c>
      <c r="C245" s="4" t="n">
        <v>438689.8</v>
      </c>
      <c r="D245" s="4" t="n">
        <v>11</v>
      </c>
      <c r="E245" s="4" t="n">
        <v>11</v>
      </c>
    </row>
    <row r="246" customFormat="false" ht="15" hidden="false" customHeight="false" outlineLevel="0" collapsed="false">
      <c r="A246" s="4" t="s">
        <v>2171</v>
      </c>
      <c r="B246" s="4" t="s">
        <v>2165</v>
      </c>
      <c r="C246" s="4" t="n">
        <v>62220.85</v>
      </c>
      <c r="D246" s="4" t="n">
        <v>15</v>
      </c>
      <c r="E246" s="4" t="n">
        <v>16</v>
      </c>
    </row>
    <row r="247" customFormat="false" ht="15" hidden="false" customHeight="false" outlineLevel="0" collapsed="false">
      <c r="A247" s="4" t="s">
        <v>2172</v>
      </c>
      <c r="B247" s="4" t="s">
        <v>2165</v>
      </c>
      <c r="C247" s="4" t="n">
        <v>36814.63</v>
      </c>
      <c r="D247" s="4" t="n">
        <v>17</v>
      </c>
      <c r="E247" s="4" t="n">
        <v>17</v>
      </c>
    </row>
    <row r="248" customFormat="false" ht="15" hidden="false" customHeight="false" outlineLevel="0" collapsed="false">
      <c r="A248" s="4" t="s">
        <v>2173</v>
      </c>
      <c r="B248" s="4" t="s">
        <v>2165</v>
      </c>
      <c r="C248" s="4" t="n">
        <v>462700.28</v>
      </c>
      <c r="D248" s="4" t="n">
        <v>22</v>
      </c>
      <c r="E248" s="4" t="n">
        <v>22</v>
      </c>
    </row>
    <row r="249" customFormat="false" ht="15" hidden="false" customHeight="false" outlineLevel="0" collapsed="false">
      <c r="A249" s="4" t="s">
        <v>2174</v>
      </c>
      <c r="B249" s="4" t="s">
        <v>2165</v>
      </c>
      <c r="C249" s="4" t="n">
        <v>210371.19</v>
      </c>
      <c r="D249" s="4" t="n">
        <v>20</v>
      </c>
      <c r="E249" s="4" t="n">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s>
  <sheetData>
    <row r="1" customFormat="false" ht="17.35" hidden="false" customHeight="false" outlineLevel="0" collapsed="false">
      <c r="A1" s="1" t="s">
        <v>2208</v>
      </c>
    </row>
    <row r="2" customFormat="false" ht="15" hidden="false" customHeight="false" outlineLevel="0" collapsed="false">
      <c r="A2" s="0" t="s">
        <v>2209</v>
      </c>
    </row>
    <row r="4" customFormat="false" ht="15" hidden="false" customHeight="false" outlineLevel="0" collapsed="false">
      <c r="A4" s="2" t="s">
        <v>2210</v>
      </c>
    </row>
    <row r="6" customFormat="false" ht="15" hidden="false" customHeight="false" outlineLevel="0" collapsed="false">
      <c r="A6" s="2" t="s">
        <v>2211</v>
      </c>
    </row>
    <row r="7" customFormat="false" ht="41.75" hidden="false" customHeight="false" outlineLevel="0" collapsed="false">
      <c r="A7" s="10" t="s">
        <v>1890</v>
      </c>
      <c r="B7" s="10" t="s">
        <v>2212</v>
      </c>
      <c r="C7" s="10" t="s">
        <v>2191</v>
      </c>
      <c r="D7" s="10" t="s">
        <v>2192</v>
      </c>
      <c r="E7" s="10" t="s">
        <v>2193</v>
      </c>
      <c r="F7" s="10" t="s">
        <v>2213</v>
      </c>
    </row>
    <row r="8" customFormat="false" ht="15" hidden="false" customHeight="false" outlineLevel="0" collapsed="false">
      <c r="A8" s="4" t="s">
        <v>18</v>
      </c>
      <c r="B8" s="4" t="n">
        <v>24</v>
      </c>
      <c r="C8" s="4" t="n">
        <v>1438382.25</v>
      </c>
      <c r="D8" s="4" t="n">
        <v>195233.2</v>
      </c>
      <c r="E8" s="4" t="n">
        <v>1243149.05</v>
      </c>
      <c r="F8" s="4" t="n">
        <v>195233.2</v>
      </c>
    </row>
    <row r="10" customFormat="false" ht="15" hidden="false" customHeight="false" outlineLevel="0" collapsed="false">
      <c r="A10" s="2" t="s">
        <v>2214</v>
      </c>
    </row>
    <row r="11" customFormat="false" ht="41.75" hidden="false" customHeight="false" outlineLevel="0" collapsed="false">
      <c r="A11" s="10" t="s">
        <v>2215</v>
      </c>
      <c r="B11" s="10" t="s">
        <v>185</v>
      </c>
      <c r="C11" s="10" t="s">
        <v>2216</v>
      </c>
      <c r="D11" s="10" t="s">
        <v>2217</v>
      </c>
      <c r="E11" s="10" t="s">
        <v>2218</v>
      </c>
      <c r="F11" s="10" t="s">
        <v>2182</v>
      </c>
      <c r="G11" s="10" t="s">
        <v>2219</v>
      </c>
      <c r="H11" s="10" t="s">
        <v>2220</v>
      </c>
      <c r="I11" s="10" t="s">
        <v>2195</v>
      </c>
    </row>
    <row r="12" customFormat="false" ht="15" hidden="false" customHeight="false" outlineLevel="0" collapsed="false">
      <c r="A12" s="4" t="s">
        <v>2221</v>
      </c>
      <c r="B12" s="4" t="s">
        <v>234</v>
      </c>
      <c r="C12" s="4" t="n">
        <v>10</v>
      </c>
      <c r="D12" s="4" t="n">
        <v>3</v>
      </c>
      <c r="E12" s="4" t="n">
        <v>12</v>
      </c>
      <c r="F12" s="4" t="s">
        <v>2222</v>
      </c>
      <c r="G12" s="4" t="n">
        <v>536562.41</v>
      </c>
      <c r="H12" s="4" t="n">
        <v>329416.09</v>
      </c>
      <c r="I12" s="4" t="n">
        <v>207146.32</v>
      </c>
    </row>
    <row r="13" customFormat="false" ht="15" hidden="false" customHeight="false" outlineLevel="0" collapsed="false">
      <c r="A13" s="4" t="s">
        <v>2223</v>
      </c>
      <c r="B13" s="4" t="s">
        <v>234</v>
      </c>
      <c r="C13" s="4" t="n">
        <v>10</v>
      </c>
      <c r="D13" s="4" t="n">
        <v>3</v>
      </c>
      <c r="E13" s="4" t="n">
        <v>12</v>
      </c>
      <c r="F13" s="4" t="s">
        <v>2222</v>
      </c>
      <c r="G13" s="4" t="n">
        <v>16353.38</v>
      </c>
      <c r="H13" s="4" t="n">
        <v>10378.58</v>
      </c>
      <c r="I13" s="4" t="n">
        <v>5974.8</v>
      </c>
    </row>
    <row r="15" customFormat="false" ht="15" hidden="false" customHeight="false" outlineLevel="0" collapsed="false">
      <c r="A15" s="2" t="s">
        <v>2224</v>
      </c>
    </row>
    <row r="16" customFormat="false" ht="55.2" hidden="false" customHeight="false" outlineLevel="0" collapsed="false">
      <c r="A16" s="10" t="s">
        <v>1890</v>
      </c>
      <c r="B16" s="10" t="s">
        <v>1891</v>
      </c>
      <c r="C16" s="10" t="s">
        <v>2225</v>
      </c>
      <c r="D16" s="10" t="s">
        <v>2226</v>
      </c>
      <c r="E16" s="10" t="s">
        <v>2227</v>
      </c>
      <c r="F16" s="10" t="s">
        <v>69</v>
      </c>
      <c r="G16" s="10" t="s">
        <v>2228</v>
      </c>
      <c r="H16" s="10" t="s">
        <v>2229</v>
      </c>
      <c r="I16" s="10" t="s">
        <v>73</v>
      </c>
    </row>
    <row r="17" customFormat="false" ht="15" hidden="false" customHeight="false" outlineLevel="0" collapsed="false">
      <c r="A17" s="4" t="s">
        <v>1999</v>
      </c>
      <c r="B17" s="4" t="s">
        <v>2004</v>
      </c>
      <c r="C17" s="4" t="n">
        <v>1299050</v>
      </c>
      <c r="D17" s="4" t="n">
        <v>805466.72</v>
      </c>
      <c r="E17" s="4" t="n">
        <v>0.620043</v>
      </c>
      <c r="F17" s="4" t="n">
        <v>-508801.53</v>
      </c>
      <c r="G17" s="4"/>
      <c r="H17" s="4"/>
      <c r="I17" s="4" t="s">
        <v>2207</v>
      </c>
    </row>
    <row r="18" customFormat="false" ht="15" hidden="false" customHeight="false" outlineLevel="0" collapsed="false">
      <c r="A18" s="4" t="s">
        <v>2012</v>
      </c>
      <c r="B18" s="4" t="s">
        <v>2004</v>
      </c>
      <c r="C18" s="4" t="n">
        <v>1299050</v>
      </c>
      <c r="D18" s="4" t="n">
        <v>805466.72</v>
      </c>
      <c r="E18" s="4" t="n">
        <v>0.620043</v>
      </c>
      <c r="F18" s="4" t="n">
        <v>-515329.28</v>
      </c>
      <c r="G18" s="4"/>
      <c r="H18" s="4"/>
      <c r="I18" s="4" t="s">
        <v>2207</v>
      </c>
    </row>
    <row r="19" customFormat="false" ht="15" hidden="false" customHeight="false" outlineLevel="0" collapsed="false">
      <c r="A19" s="4" t="s">
        <v>2019</v>
      </c>
      <c r="B19" s="4" t="s">
        <v>2023</v>
      </c>
      <c r="C19" s="4" t="n">
        <v>1299050</v>
      </c>
      <c r="D19" s="4" t="n">
        <v>690400</v>
      </c>
      <c r="E19" s="4" t="n">
        <v>0.531465</v>
      </c>
      <c r="F19" s="4" t="n">
        <v>-618556.03</v>
      </c>
      <c r="G19" s="4"/>
      <c r="H19" s="4"/>
      <c r="I19" s="4" t="s">
        <v>2207</v>
      </c>
    </row>
    <row r="20" customFormat="false" ht="15" hidden="false" customHeight="false" outlineLevel="0" collapsed="false">
      <c r="A20" s="4" t="s">
        <v>2029</v>
      </c>
      <c r="B20" s="4" t="s">
        <v>2004</v>
      </c>
      <c r="C20" s="4" t="n">
        <v>1299050</v>
      </c>
      <c r="D20" s="4" t="n">
        <v>805466.72</v>
      </c>
      <c r="E20" s="4" t="n">
        <v>0.620043</v>
      </c>
      <c r="F20" s="4" t="n">
        <v>-512146.04</v>
      </c>
      <c r="G20" s="4"/>
      <c r="H20" s="4"/>
      <c r="I20" s="4" t="s">
        <v>2207</v>
      </c>
    </row>
    <row r="21" customFormat="false" ht="15" hidden="false" customHeight="false" outlineLevel="0" collapsed="false">
      <c r="A21" s="4" t="s">
        <v>2033</v>
      </c>
      <c r="B21" s="4" t="s">
        <v>2004</v>
      </c>
      <c r="C21" s="4" t="n">
        <v>1299050</v>
      </c>
      <c r="D21" s="4" t="n">
        <v>805466.72</v>
      </c>
      <c r="E21" s="4" t="n">
        <v>0.620043</v>
      </c>
      <c r="F21" s="4" t="n">
        <v>-512146.04</v>
      </c>
      <c r="G21" s="4"/>
      <c r="H21" s="4"/>
      <c r="I21" s="4" t="s">
        <v>2207</v>
      </c>
    </row>
    <row r="22" customFormat="false" ht="15" hidden="false" customHeight="false" outlineLevel="0" collapsed="false">
      <c r="A22" s="4" t="s">
        <v>2040</v>
      </c>
      <c r="B22" s="4" t="s">
        <v>2023</v>
      </c>
      <c r="C22" s="4" t="n">
        <v>1299050</v>
      </c>
      <c r="D22" s="4" t="n">
        <v>690400</v>
      </c>
      <c r="E22" s="4" t="n">
        <v>0.531465</v>
      </c>
      <c r="F22" s="4" t="n">
        <v>-619344.67</v>
      </c>
      <c r="G22" s="4"/>
      <c r="H22" s="4"/>
      <c r="I22" s="4" t="s">
        <v>2207</v>
      </c>
    </row>
    <row r="23" customFormat="false" ht="15" hidden="false" customHeight="false" outlineLevel="0" collapsed="false">
      <c r="A23" s="4" t="s">
        <v>18</v>
      </c>
      <c r="B23" s="4" t="s">
        <v>2023</v>
      </c>
      <c r="C23" s="4" t="n">
        <v>1299050</v>
      </c>
      <c r="D23" s="4" t="n">
        <v>690400</v>
      </c>
      <c r="E23" s="4" t="n">
        <v>0.531465</v>
      </c>
      <c r="F23" s="4" t="n">
        <v>-618556.03</v>
      </c>
      <c r="G23" s="4"/>
      <c r="H23" s="4"/>
      <c r="I23" s="4" t="s">
        <v>2207</v>
      </c>
    </row>
    <row r="24" customFormat="false" ht="15" hidden="false" customHeight="false" outlineLevel="0" collapsed="false">
      <c r="A24" s="4" t="s">
        <v>2116</v>
      </c>
      <c r="B24" s="4" t="s">
        <v>2023</v>
      </c>
      <c r="C24" s="4" t="n">
        <v>1299050</v>
      </c>
      <c r="D24" s="4" t="n">
        <v>690400</v>
      </c>
      <c r="E24" s="4" t="n">
        <v>0.531465</v>
      </c>
      <c r="F24" s="4" t="n">
        <v>-618556.03</v>
      </c>
      <c r="G24" s="4"/>
      <c r="H24" s="4"/>
      <c r="I24" s="4" t="s">
        <v>2207</v>
      </c>
    </row>
    <row r="26" customFormat="false" ht="15" hidden="false" customHeight="false" outlineLevel="0" collapsed="false">
      <c r="A26" s="2" t="s">
        <v>2230</v>
      </c>
    </row>
    <row r="27" customFormat="false" ht="55.2" hidden="false" customHeight="false" outlineLevel="0" collapsed="false">
      <c r="A27" s="10" t="s">
        <v>2231</v>
      </c>
      <c r="B27" s="10" t="s">
        <v>2232</v>
      </c>
      <c r="C27" s="10" t="s">
        <v>2233</v>
      </c>
      <c r="D27" s="10" t="s">
        <v>2234</v>
      </c>
      <c r="E27" s="10" t="s">
        <v>2235</v>
      </c>
      <c r="F27" s="10" t="s">
        <v>2236</v>
      </c>
      <c r="G27" s="10" t="s">
        <v>2237</v>
      </c>
      <c r="H27" s="10" t="s">
        <v>2238</v>
      </c>
    </row>
    <row r="28" customFormat="false" ht="15" hidden="false" customHeight="false" outlineLevel="0" collapsed="false">
      <c r="A28" s="4" t="n">
        <v>11</v>
      </c>
      <c r="B28" s="4" t="n">
        <v>3063</v>
      </c>
      <c r="C28" s="4" t="n">
        <v>5748</v>
      </c>
      <c r="D28" s="4" t="n">
        <v>0.532881</v>
      </c>
      <c r="E28" s="4" t="n">
        <v>15</v>
      </c>
      <c r="F28" s="4" t="n">
        <v>6427</v>
      </c>
      <c r="G28" s="4" t="n">
        <v>7234</v>
      </c>
      <c r="H28" s="4" t="n">
        <v>0.888443</v>
      </c>
    </row>
    <row r="30" customFormat="false" ht="15" hidden="false" customHeight="false" outlineLevel="0" collapsed="false">
      <c r="A30" s="2" t="s">
        <v>2239</v>
      </c>
    </row>
    <row r="31" customFormat="false" ht="41.75" hidden="false" customHeight="false" outlineLevel="0" collapsed="false">
      <c r="A31" s="10" t="s">
        <v>2240</v>
      </c>
      <c r="B31" s="10" t="s">
        <v>2241</v>
      </c>
      <c r="C31" s="10" t="s">
        <v>2242</v>
      </c>
      <c r="D31" s="10" t="s">
        <v>2243</v>
      </c>
      <c r="E31" s="10" t="s">
        <v>2244</v>
      </c>
      <c r="F31" s="10" t="s">
        <v>2245</v>
      </c>
    </row>
    <row r="32" customFormat="false" ht="15" hidden="false" customHeight="false" outlineLevel="0" collapsed="false">
      <c r="A32" s="4" t="n">
        <v>1</v>
      </c>
      <c r="B32" s="4" t="s">
        <v>2246</v>
      </c>
      <c r="C32" s="4" t="n">
        <v>745800.06</v>
      </c>
      <c r="D32" s="4" t="n">
        <v>0</v>
      </c>
      <c r="E32" s="4" t="n">
        <v>0</v>
      </c>
      <c r="F32" s="4" t="s">
        <v>2247</v>
      </c>
    </row>
    <row r="33" customFormat="false" ht="15" hidden="false" customHeight="false" outlineLevel="0" collapsed="false">
      <c r="A33" s="4" t="n">
        <v>2</v>
      </c>
      <c r="B33" s="4" t="s">
        <v>2248</v>
      </c>
      <c r="C33" s="4" t="n">
        <v>598900.05</v>
      </c>
      <c r="D33" s="4" t="n">
        <v>-146900.01</v>
      </c>
      <c r="E33" s="4" t="n">
        <v>-146900.01</v>
      </c>
      <c r="F33" s="4" t="s">
        <v>2249</v>
      </c>
    </row>
    <row r="34" customFormat="false" ht="15" hidden="false" customHeight="false" outlineLevel="0" collapsed="false">
      <c r="A34" s="4" t="n">
        <v>3</v>
      </c>
      <c r="B34" s="4" t="s">
        <v>2250</v>
      </c>
      <c r="C34" s="4" t="n">
        <v>534207.54</v>
      </c>
      <c r="D34" s="4" t="n">
        <v>-211592.52</v>
      </c>
      <c r="E34" s="4" t="n">
        <v>-64692.51</v>
      </c>
      <c r="F34" s="4" t="s">
        <v>2251</v>
      </c>
    </row>
    <row r="36" customFormat="false" ht="15" hidden="false" customHeight="false" outlineLevel="0" collapsed="false">
      <c r="A36" s="2" t="s">
        <v>2252</v>
      </c>
    </row>
    <row r="37" customFormat="false" ht="55.2" hidden="false" customHeight="false" outlineLevel="0" collapsed="false">
      <c r="A37" s="10" t="s">
        <v>63</v>
      </c>
      <c r="B37" s="10" t="s">
        <v>2253</v>
      </c>
      <c r="C37" s="10" t="s">
        <v>2254</v>
      </c>
      <c r="D37" s="10" t="s">
        <v>2255</v>
      </c>
      <c r="E37" s="10" t="s">
        <v>2256</v>
      </c>
    </row>
    <row r="38" customFormat="false" ht="15" hidden="false" customHeight="false" outlineLevel="0" collapsed="false">
      <c r="A38" s="4" t="s">
        <v>100</v>
      </c>
      <c r="B38" s="4" t="n">
        <v>18</v>
      </c>
      <c r="C38" s="4" t="n">
        <v>22</v>
      </c>
      <c r="D38" s="4" t="n">
        <v>4</v>
      </c>
      <c r="E38" s="4" t="s">
        <v>2257</v>
      </c>
    </row>
    <row r="39" customFormat="false" ht="15" hidden="false" customHeight="false" outlineLevel="0" collapsed="false">
      <c r="A39" s="4" t="s">
        <v>101</v>
      </c>
      <c r="B39" s="4" t="n">
        <v>14</v>
      </c>
      <c r="C39" s="4" t="n">
        <v>19</v>
      </c>
      <c r="D39" s="4" t="n">
        <v>5</v>
      </c>
      <c r="E39" s="4" t="s">
        <v>2258</v>
      </c>
    </row>
    <row r="40" customFormat="false" ht="15" hidden="false" customHeight="false" outlineLevel="0" collapsed="false">
      <c r="A40" s="4" t="s">
        <v>102</v>
      </c>
      <c r="B40" s="4" t="n">
        <v>16</v>
      </c>
      <c r="C40" s="4" t="n">
        <v>18</v>
      </c>
      <c r="D40" s="4" t="n">
        <v>2</v>
      </c>
      <c r="E40" s="4" t="s">
        <v>2259</v>
      </c>
    </row>
    <row r="42" customFormat="false" ht="15" hidden="false" customHeight="false" outlineLevel="0" collapsed="false">
      <c r="A42" s="2" t="s">
        <v>2260</v>
      </c>
    </row>
    <row r="43" customFormat="false" ht="68.65" hidden="false" customHeight="false" outlineLevel="0" collapsed="false">
      <c r="A43" s="10" t="s">
        <v>2261</v>
      </c>
      <c r="B43" s="10" t="s">
        <v>2262</v>
      </c>
      <c r="C43" s="10" t="s">
        <v>2263</v>
      </c>
      <c r="D43" s="10" t="s">
        <v>2182</v>
      </c>
      <c r="E43" s="10" t="s">
        <v>66</v>
      </c>
      <c r="F43" s="10" t="s">
        <v>2191</v>
      </c>
      <c r="G43" s="10" t="s">
        <v>2192</v>
      </c>
      <c r="H43" s="10" t="s">
        <v>2193</v>
      </c>
      <c r="I43" s="10" t="s">
        <v>2264</v>
      </c>
      <c r="J43" s="10" t="s">
        <v>2265</v>
      </c>
      <c r="K43" s="10" t="s">
        <v>2266</v>
      </c>
      <c r="L43" s="10" t="s">
        <v>2267</v>
      </c>
    </row>
    <row r="44" customFormat="false" ht="15" hidden="false" customHeight="false" outlineLevel="0" collapsed="false">
      <c r="A44" s="4" t="s">
        <v>2268</v>
      </c>
      <c r="B44" s="4" t="s">
        <v>2269</v>
      </c>
      <c r="C44" s="4" t="s">
        <v>2270</v>
      </c>
      <c r="D44" s="4" t="n">
        <v>24</v>
      </c>
      <c r="E44" s="4" t="n">
        <v>25914200</v>
      </c>
      <c r="F44" s="4" t="n">
        <v>1438382.25</v>
      </c>
      <c r="G44" s="4" t="n">
        <v>195233.2</v>
      </c>
      <c r="H44" s="4" t="n">
        <v>1243149.05</v>
      </c>
      <c r="I44" s="4" t="n">
        <v>0</v>
      </c>
      <c r="J44" s="4" t="n">
        <v>0</v>
      </c>
      <c r="K44" s="4" t="n">
        <v>6</v>
      </c>
      <c r="L44" s="4"/>
    </row>
    <row r="45" customFormat="false" ht="15" hidden="false" customHeight="false" outlineLevel="0" collapsed="false">
      <c r="A45" s="4" t="s">
        <v>2271</v>
      </c>
      <c r="B45" s="4" t="s">
        <v>2272</v>
      </c>
      <c r="C45" s="4" t="s">
        <v>2273</v>
      </c>
      <c r="D45" s="4" t="n">
        <v>18</v>
      </c>
      <c r="E45" s="4" t="n">
        <v>21093700</v>
      </c>
      <c r="F45" s="4" t="n">
        <v>4755573.54</v>
      </c>
      <c r="G45" s="4" t="n">
        <v>195233.2</v>
      </c>
      <c r="H45" s="4" t="n">
        <v>4560340.34</v>
      </c>
      <c r="I45" s="4" t="n">
        <v>4</v>
      </c>
      <c r="J45" s="4" t="n">
        <v>0</v>
      </c>
      <c r="K45" s="4" t="n">
        <v>0</v>
      </c>
      <c r="L45" s="4" t="s">
        <v>2274</v>
      </c>
    </row>
    <row r="46" customFormat="false" ht="15" hidden="false" customHeight="false" outlineLevel="0" collapsed="false">
      <c r="A46" s="4" t="s">
        <v>2275</v>
      </c>
      <c r="B46" s="4" t="s">
        <v>2276</v>
      </c>
      <c r="C46" s="4" t="s">
        <v>2273</v>
      </c>
      <c r="D46" s="4" t="n">
        <v>21</v>
      </c>
      <c r="E46" s="4" t="n">
        <v>24262150</v>
      </c>
      <c r="F46" s="4" t="n">
        <v>2372674.76</v>
      </c>
      <c r="G46" s="4" t="n">
        <v>195233.2</v>
      </c>
      <c r="H46" s="4" t="n">
        <v>2177441.56</v>
      </c>
      <c r="I46" s="4" t="n">
        <v>0</v>
      </c>
      <c r="J46" s="4" t="n">
        <v>0</v>
      </c>
      <c r="K46" s="4" t="n">
        <v>3</v>
      </c>
      <c r="L46" s="4" t="s">
        <v>2277</v>
      </c>
    </row>
    <row r="47" customFormat="false" ht="15" hidden="false" customHeight="false" outlineLevel="0" collapsed="false">
      <c r="A47" s="4" t="s">
        <v>2278</v>
      </c>
      <c r="B47" s="4" t="s">
        <v>2279</v>
      </c>
      <c r="C47" s="4" t="s">
        <v>2273</v>
      </c>
      <c r="D47" s="4" t="n">
        <v>10</v>
      </c>
      <c r="E47" s="4" t="n">
        <v>11779550</v>
      </c>
      <c r="F47" s="4" t="n">
        <v>3072215.84</v>
      </c>
      <c r="G47" s="4" t="n">
        <v>195233.2</v>
      </c>
      <c r="H47" s="4" t="n">
        <v>2876982.64</v>
      </c>
      <c r="I47" s="4" t="n">
        <v>0</v>
      </c>
      <c r="J47" s="4" t="n">
        <v>0</v>
      </c>
      <c r="K47" s="4" t="n">
        <v>0</v>
      </c>
      <c r="L47" s="4" t="s">
        <v>2280</v>
      </c>
    </row>
    <row r="49" customFormat="false" ht="15" hidden="false" customHeight="false" outlineLevel="0" collapsed="false">
      <c r="A49" s="2" t="s">
        <v>2281</v>
      </c>
    </row>
    <row r="50" customFormat="false" ht="55.2" hidden="false" customHeight="false" outlineLevel="0" collapsed="false">
      <c r="A50" s="10" t="s">
        <v>63</v>
      </c>
      <c r="B50" s="10" t="s">
        <v>69</v>
      </c>
      <c r="C50" s="10" t="s">
        <v>2282</v>
      </c>
      <c r="D50" s="10" t="s">
        <v>2228</v>
      </c>
      <c r="E50" s="10" t="s">
        <v>2283</v>
      </c>
      <c r="F50" s="10" t="s">
        <v>2229</v>
      </c>
      <c r="G50" s="10" t="s">
        <v>2284</v>
      </c>
      <c r="H50" s="10" t="s">
        <v>2285</v>
      </c>
    </row>
    <row r="51" customFormat="false" ht="15" hidden="false" customHeight="false" outlineLevel="0" collapsed="false">
      <c r="A51" s="4" t="s">
        <v>83</v>
      </c>
      <c r="B51" s="4" t="n">
        <v>41.32</v>
      </c>
      <c r="C51" s="4" t="s">
        <v>2286</v>
      </c>
      <c r="D51" s="4" t="n">
        <v>2</v>
      </c>
      <c r="E51" s="4" t="n">
        <v>1.6667</v>
      </c>
      <c r="F51" s="4" t="n">
        <v>2</v>
      </c>
      <c r="G51" s="4" t="n">
        <v>1.9167</v>
      </c>
      <c r="H51" s="4" t="n">
        <v>800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2026-10-27T09:35:05Z</dcterms:created>
  <dc:creator>openpyxl</dc:creator>
  <dc:description/>
  <dc:language>en-US</dc:language>
  <cp:lastModifiedBy/>
  <dcterms:modified xsi:type="dcterms:W3CDTF">2026-10-27T09:35:06Z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