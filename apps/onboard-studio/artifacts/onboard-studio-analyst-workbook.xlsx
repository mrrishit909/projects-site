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lendar" sheetId="2" state="visible" r:id="rId4"/>
    <sheet name="Overlap" sheetId="3" state="visible" r:id="rId5"/>
    <sheet name="Figures" sheetId="4" state="visible" r:id="rId6"/>
    <sheet name="Assumptions" sheetId="5" state="visible" r:id="rId7"/>
    <sheet name="Snapshot summary" sheetId="6" state="visible" r:id="rId8"/>
  </sheet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<sst xmlns="http://schemas.openxmlformats.org/spreadsheetml/2006/main" count="691" uniqueCount="366">
  <si>
    <t xml:space="preserve">Inputs: the golden fixture rows (tests/fixtures/golden/inputs.json, fixture onboard-studio-golden-v1)</t>
  </si>
  <si>
    <t xml:space="preserve">SYNTHETIC. Every cell below is a typed input copied from the fixture (blue). Instants are UTC, shown as yyyy-mm-dd hh:mm. Contract v1, docs/contracts.md.</t>
  </si>
  <si>
    <t xml:space="preserve">organizations</t>
  </si>
  <si>
    <t xml:space="preserve">organization_id</t>
  </si>
  <si>
    <t xml:space="preserve">organization_name</t>
  </si>
  <si>
    <t xml:space="preserve">segment</t>
  </si>
  <si>
    <t xml:space="preserve">region</t>
  </si>
  <si>
    <t xml:space="preserve">created_at</t>
  </si>
  <si>
    <t xml:space="preserve">org-001</t>
  </si>
  <si>
    <t xml:space="preserve">Synthetic Holdings Ltd</t>
  </si>
  <si>
    <t xml:space="preserve">smb</t>
  </si>
  <si>
    <t xml:space="preserve">emea</t>
  </si>
  <si>
    <t xml:space="preserve">workflow_versions</t>
  </si>
  <si>
    <t xml:space="preserve">workflow_version_id</t>
  </si>
  <si>
    <t xml:space="preserve">template_id</t>
  </si>
  <si>
    <t xml:space="preserve">version_number</t>
  </si>
  <si>
    <t xml:space="preserve">published_at</t>
  </si>
  <si>
    <t xml:space="preserve">definition_hash</t>
  </si>
  <si>
    <t xml:space="preserve">wfv-001</t>
  </si>
  <si>
    <t xml:space="preserve">tpl-001</t>
  </si>
  <si>
    <t xml:space="preserve">3a4701f5d9e983fc4fa4643cd871ea03b5dd0d4bbaef4390a50545cfe4443bec</t>
  </si>
  <si>
    <t xml:space="preserve">step_definitions</t>
  </si>
  <si>
    <t xml:space="preserve">step_definition_id</t>
  </si>
  <si>
    <t xml:space="preserve">step_name</t>
  </si>
  <si>
    <t xml:space="preserve">required</t>
  </si>
  <si>
    <t xml:space="preserve">role_key</t>
  </si>
  <si>
    <t xml:space="preserve">sequence</t>
  </si>
  <si>
    <t xml:space="preserve">sd-001</t>
  </si>
  <si>
    <t xml:space="preserve">collect_documents</t>
  </si>
  <si>
    <t xml:space="preserve">true</t>
  </si>
  <si>
    <t xml:space="preserve">ops</t>
  </si>
  <si>
    <t xml:space="preserve">sd-002</t>
  </si>
  <si>
    <t xml:space="preserve">approve_account</t>
  </si>
  <si>
    <t xml:space="preserve">reviewer</t>
  </si>
  <si>
    <t xml:space="preserve">dependencies</t>
  </si>
  <si>
    <t xml:space="preserve">dependency_id</t>
  </si>
  <si>
    <t xml:space="preserve">prerequisite_id</t>
  </si>
  <si>
    <t xml:space="preserve">dependency_type</t>
  </si>
  <si>
    <t xml:space="preserve">dep-001</t>
  </si>
  <si>
    <t xml:space="preserve">mandatory</t>
  </si>
  <si>
    <t xml:space="preserve">sla_rules</t>
  </si>
  <si>
    <t xml:space="preserve">sla_rule_id</t>
  </si>
  <si>
    <t xml:space="preserve">business_minutes</t>
  </si>
  <si>
    <t xml:space="preserve">pause_policy</t>
  </si>
  <si>
    <t xml:space="preserve">calendar_id</t>
  </si>
  <si>
    <t xml:space="preserve">sla-001</t>
  </si>
  <si>
    <t xml:space="preserve">customer_info_requested</t>
  </si>
  <si>
    <t xml:space="preserve">cal-001</t>
  </si>
  <si>
    <t xml:space="preserve">calendar_intervals</t>
  </si>
  <si>
    <t xml:space="preserve">calendar_interval_id</t>
  </si>
  <si>
    <t xml:space="preserve">starts_at</t>
  </si>
  <si>
    <t xml:space="preserve">ends_at</t>
  </si>
  <si>
    <t xml:space="preserve">timezone</t>
  </si>
  <si>
    <t xml:space="preserve">ci-001</t>
  </si>
  <si>
    <t xml:space="preserve">UTC</t>
  </si>
  <si>
    <t xml:space="preserve">ci-002</t>
  </si>
  <si>
    <t xml:space="preserve">ci-003</t>
  </si>
  <si>
    <t xml:space="preserve">ci-004</t>
  </si>
  <si>
    <t xml:space="preserve">ci-005</t>
  </si>
  <si>
    <t xml:space="preserve">ci-006</t>
  </si>
  <si>
    <t xml:space="preserve">ci-007</t>
  </si>
  <si>
    <t xml:space="preserve">ci-008</t>
  </si>
  <si>
    <t xml:space="preserve">ci-009</t>
  </si>
  <si>
    <t xml:space="preserve">ci-010</t>
  </si>
  <si>
    <t xml:space="preserve">cases</t>
  </si>
  <si>
    <t xml:space="preserve">case_id</t>
  </si>
  <si>
    <t xml:space="preserve">status</t>
  </si>
  <si>
    <t xml:space="preserve">opened_at</t>
  </si>
  <si>
    <t xml:space="preserve">completed_at</t>
  </si>
  <si>
    <t xml:space="preserve">case-001</t>
  </si>
  <si>
    <t xml:space="preserve">completed</t>
  </si>
  <si>
    <t xml:space="preserve">step_instances</t>
  </si>
  <si>
    <t xml:space="preserve">step_instance_id</t>
  </si>
  <si>
    <t xml:space="preserve">ready_at</t>
  </si>
  <si>
    <t xml:space="preserve">started_at</t>
  </si>
  <si>
    <t xml:space="preserve">approved_at</t>
  </si>
  <si>
    <t xml:space="preserve">si-001</t>
  </si>
  <si>
    <t xml:space="preserve">approved</t>
  </si>
  <si>
    <t xml:space="preserve">si-002</t>
  </si>
  <si>
    <t xml:space="preserve">assignments</t>
  </si>
  <si>
    <t xml:space="preserve">assignment_id</t>
  </si>
  <si>
    <t xml:space="preserve">assignee_id</t>
  </si>
  <si>
    <t xml:space="preserve">assigned_at</t>
  </si>
  <si>
    <t xml:space="preserve">ended_at</t>
  </si>
  <si>
    <t xml:space="preserve">asg-001</t>
  </si>
  <si>
    <t xml:space="preserve">ops-001</t>
  </si>
  <si>
    <t xml:space="preserve">asg-002</t>
  </si>
  <si>
    <t xml:space="preserve">ops-002</t>
  </si>
  <si>
    <t xml:space="preserve">document_versions</t>
  </si>
  <si>
    <t xml:space="preserve">document_version_id</t>
  </si>
  <si>
    <t xml:space="preserve">document_type</t>
  </si>
  <si>
    <t xml:space="preserve">content_hash</t>
  </si>
  <si>
    <t xml:space="preserve">review_status</t>
  </si>
  <si>
    <t xml:space="preserve">submitted_at</t>
  </si>
  <si>
    <t xml:space="preserve">reviewed_at</t>
  </si>
  <si>
    <t xml:space="preserve">doc-001</t>
  </si>
  <si>
    <t xml:space="preserve">identity_proof</t>
  </si>
  <si>
    <t xml:space="preserve">sha256:0000000000000000000000000000000000000000000000000000000000000001</t>
  </si>
  <si>
    <t xml:space="preserve">accepted</t>
  </si>
  <si>
    <t xml:space="preserve">approvals</t>
  </si>
  <si>
    <t xml:space="preserve">approval_id</t>
  </si>
  <si>
    <t xml:space="preserve">reviewer_id</t>
  </si>
  <si>
    <t xml:space="preserve">decision</t>
  </si>
  <si>
    <t xml:space="preserve">decided_at</t>
  </si>
  <si>
    <t xml:space="preserve">reason</t>
  </si>
  <si>
    <t xml:space="preserve">apr-001</t>
  </si>
  <si>
    <t xml:space="preserve">rev-001</t>
  </si>
  <si>
    <t xml:space="preserve">apr-002</t>
  </si>
  <si>
    <t xml:space="preserve">rev-002</t>
  </si>
  <si>
    <t xml:space="preserve">waiting_intervals</t>
  </si>
  <si>
    <t xml:space="preserve">waiting_interval_id</t>
  </si>
  <si>
    <t xml:space="preserve">reason_code</t>
  </si>
  <si>
    <t xml:space="preserve">wi-001</t>
  </si>
  <si>
    <t xml:space="preserve">case_events</t>
  </si>
  <si>
    <t xml:space="preserve">event_id</t>
  </si>
  <si>
    <t xml:space="preserve">event_type</t>
  </si>
  <si>
    <t xml:space="preserve">actor_id</t>
  </si>
  <si>
    <t xml:space="preserve">occurred_at</t>
  </si>
  <si>
    <t xml:space="preserve">ev-001</t>
  </si>
  <si>
    <t xml:space="preserve">case_opened</t>
  </si>
  <si>
    <t xml:space="preserve">ev-002</t>
  </si>
  <si>
    <t xml:space="preserve">step_started</t>
  </si>
  <si>
    <t xml:space="preserve">ev-003</t>
  </si>
  <si>
    <t xml:space="preserve">document_submitted</t>
  </si>
  <si>
    <t xml:space="preserve">ev-004</t>
  </si>
  <si>
    <t xml:space="preserve">waiting_started</t>
  </si>
  <si>
    <t xml:space="preserve">ev-005</t>
  </si>
  <si>
    <t xml:space="preserve">waiting_ended</t>
  </si>
  <si>
    <t xml:space="preserve">ev-006</t>
  </si>
  <si>
    <t xml:space="preserve">document_accepted</t>
  </si>
  <si>
    <t xml:space="preserve">ev-007</t>
  </si>
  <si>
    <t xml:space="preserve">step_approved</t>
  </si>
  <si>
    <t xml:space="preserve">ev-008</t>
  </si>
  <si>
    <t xml:space="preserve">ev-009</t>
  </si>
  <si>
    <t xml:space="preserve">ev-010</t>
  </si>
  <si>
    <t xml:space="preserve">case_completed</t>
  </si>
  <si>
    <t xml:space="preserve">Calendar: working intervals of cal-001 (half-open [starts_at, ends_at); contract D-01)</t>
  </si>
  <si>
    <t xml:space="preserve">Live links to Inputs (calendar_intervals). `kind` is typed: the fixture rows carry none and D-06 defaults it to 'working'. No holidays in the fixture.</t>
  </si>
  <si>
    <t xml:space="preserve">starts_at (UTC)</t>
  </si>
  <si>
    <t xml:space="preserve">ends_at (UTC)</t>
  </si>
  <si>
    <t xml:space="preserve">kind</t>
  </si>
  <si>
    <t xml:space="preserve">hours (formula)</t>
  </si>
  <si>
    <t xml:space="preserve">working</t>
  </si>
  <si>
    <t xml:space="preserve">working hours in the calendar</t>
  </si>
  <si>
    <t xml:space="preserve">Overlap: the interval-overlap arithmetic as live formulas (docs/contracts.md D-01; golden P02-GOLD-01)</t>
  </si>
  <si>
    <t xml:space="preserve">overlap(range, working interval) = MAX(0, MIN(range_end, interval_end) - MAX(range_start, interval_start)) in hours. Intervals that are not 'working' contribute 0.</t>
  </si>
  <si>
    <t xml:space="preserve">Case span</t>
  </si>
  <si>
    <t xml:space="preserve">Waiting interval clipped to the case span (D-06)</t>
  </si>
  <si>
    <t xml:space="preserve">clipped start</t>
  </si>
  <si>
    <t xml:space="preserve">clipped end</t>
  </si>
  <si>
    <t xml:space="preserve">case overlap (h)</t>
  </si>
  <si>
    <t xml:space="preserve">waiting overlap (h)</t>
  </si>
  <si>
    <t xml:space="preserve">TOTAL business hours</t>
  </si>
  <si>
    <t xml:space="preserve">working intervals touched</t>
  </si>
  <si>
    <t xml:space="preserve">Reading: E = business cycle time (expected 2.0000: Fri 16:00-17:00 + Mon 09:00-10:00). F = business overlap of the waiting interval (expected 1.0000: Fri 16:30-17:00 + Mon 09:00-09:30).</t>
  </si>
  <si>
    <t xml:space="preserve">Figures: the golden case's durations from the Overlap formulas (contract D-01, D-04, D-05)</t>
  </si>
  <si>
    <t xml:space="preserve">Change B3 to see the effect of the pause policy: 1 = the waiting reason is pause-eligible, 0 = it is not. Columns C and D evaluate both states at once.</t>
  </si>
  <si>
    <t xml:space="preserve">Pause-eligible switch (1 / 0)</t>
  </si>
  <si>
    <t xml:space="preserve">Policy check (formula)</t>
  </si>
  <si>
    <t xml:space="preserve">&lt;- 1 when the SLA rule's pause_policy in Inputs lists the waiting reason</t>
  </si>
  <si>
    <t xml:space="preserve">Quantity (hours unless stated)</t>
  </si>
  <si>
    <t xml:space="preserve">Selected state (switch B3)</t>
  </si>
  <si>
    <t xml:space="preserve">State A: pause-eligible</t>
  </si>
  <si>
    <t xml:space="preserve">State B: not eligible</t>
  </si>
  <si>
    <t xml:space="preserve">Expected A (expected.json)</t>
  </si>
  <si>
    <t xml:space="preserve">Expected B (expected.json)</t>
  </si>
  <si>
    <t xml:space="preserve">A matches</t>
  </si>
  <si>
    <t xml:space="preserve">B matches</t>
  </si>
  <si>
    <t xml:space="preserve">switch used in the column</t>
  </si>
  <si>
    <t xml:space="preserve">Calendar cycle time</t>
  </si>
  <si>
    <t xml:space="preserve">Business cycle time</t>
  </si>
  <si>
    <t xml:space="preserve">Paused time (calendar)</t>
  </si>
  <si>
    <t xml:space="preserve">Paused business overlap</t>
  </si>
  <si>
    <t xml:space="preserve">Active elapsed time</t>
  </si>
  <si>
    <t xml:space="preserve">SLA business minutes (sla_rules)</t>
  </si>
  <si>
    <t xml:space="preserve">Active minutes (active hours x 60)</t>
  </si>
  <si>
    <t xml:space="preserve">SLA met (active minutes &lt;= SLA minutes)</t>
  </si>
  <si>
    <t xml:space="preserve">SLA attainment (met / completed eligible, 1 case)</t>
  </si>
  <si>
    <t xml:space="preserve">All checks (A and B) pass</t>
  </si>
  <si>
    <t xml:space="preserve">Why 66 / 2 / 65 / 1: calendar = Fri 16:00 -&gt; Mon 10:00 on the wall clock; business keeps only the working intervals (Fri 16:00-17:00, Mon 09:00-10:00); the waiting interval Fri 16:30 -&gt; Mon 09:30 is 65 h of wall clock and 1 h of working time, so active = 2 - 1 = 1 when its reason is pause-eligible and 2 when not.</t>
  </si>
  <si>
    <t xml:space="preserve">Assumptions: contract decisions D-01..D-06 and the workbook's own limits</t>
  </si>
  <si>
    <t xml:space="preserve">ID</t>
  </si>
  <si>
    <t xml:space="preserve">Statement</t>
  </si>
  <si>
    <t xml:space="preserve">D-01</t>
  </si>
  <si>
    <t xml:space="preserve">Time, calendars and intervals. UTC instants; calendar = Monday-Friday 09:00-17:00 UTC with no holidays in the fixture; durations in hours at 4 decimals; calendar cycle = completed - opened; business cycle = sum of overlap with working intervals; paused = waiting intervals whose reason is in the SLA rule's pause_policy; active = business - business overlap of eligible pauses; customer waiting is never counted as employee processing.</t>
  </si>
  <si>
    <t xml:space="preserve">D-02</t>
  </si>
  <si>
    <t xml:space="preserve">Workflow versions and cases. A published version is immutable and a case keeps the version it was created with. The workbook uses the single version wfv-001 of the golden fixture.</t>
  </si>
  <si>
    <t xml:space="preserve">D-03</t>
  </si>
  <si>
    <t xml:space="preserve">Steps, documents, approvals. Documents are append-only; approval needs an independent reviewer of the step's role; completion needs every required step approved and every required document accepted. Not modelled in the workbook (the fixture satisfies them).</t>
  </si>
  <si>
    <t xml:space="preserve">D-04</t>
  </si>
  <si>
    <t xml:space="preserve">Rates and backlog. SLA attainment = completed eligible cases within SLA / completed eligible cases; open cases are shown beside it. The workbook has one completed case, so attainment is 0 or 1.</t>
  </si>
  <si>
    <t xml:space="preserve">D-05</t>
  </si>
  <si>
    <t xml:space="preserve">Fixture-driven clarifications. SLA test: active hours x 60 &lt;= business minutes; step waiting = started_at - ready_at in business hours; population durations are means over accepted completed cases.</t>
  </si>
  <si>
    <t xml:space="preserve">D-06</t>
  </si>
  <si>
    <t xml:space="preserve">Schema clarifications. calendar_intervals.kind in {working, holiday} (default working); waiting intervals are clipped to the case span and merged before deduction; active hours floor at 0. The Overlap sheet clips the waiting interval but has one interval, so no merge is needed.</t>
  </si>
  <si>
    <t xml:space="preserve">W-01</t>
  </si>
  <si>
    <t xml:space="preserve">Workbook limit: one case, one waiting interval, no holidays. Holiday subtraction and merging of overlapping waits are done by the SQL and Python implementations (docs/sql-analysis.md), not by these formulas.</t>
  </si>
  <si>
    <t xml:space="preserve">W-02</t>
  </si>
  <si>
    <t xml:space="preserve">Workbook limit: instants are stored as Excel date serials (UTC, no zone). Each overlap row is ROUND(...,6) hours to remove binary floating-point noise (1 s = 0.000278 h, so 6 decimals cannot hide a real second); totals are ROUND(...,4).</t>
  </si>
  <si>
    <t xml:space="preserve">W-03</t>
  </si>
  <si>
    <t xml:space="preserve">Recalculation: openpyxl writes formulas only. The delivered file was recalculated by LibreOffice headless and carries its cached values; Excel was NOT run (see docs/workbook.md). fullCalcOnLoad is set so Excel recalculates on open.</t>
  </si>
  <si>
    <t xml:space="preserve">W-04</t>
  </si>
  <si>
    <t xml:space="preserve">Snapshot summary is a paste of the output of data/sql/analysis/run_all.py (artifacts/analysis-results.json) and goes stale if the data changes.</t>
  </si>
  <si>
    <t xml:space="preserve">PASTED VALUES (not formulas) from data/sql/analysis/run_all.py; each section is titled with its query file</t>
  </si>
  <si>
    <t xml:space="preserve">SYNTHETIC. Dataset os-20261026-20261026, generator dataset_hash 3c20d296bcf178065e9178cae04f763994b4d7197026af2c021ab55b4cc2bc6a, contract v1; database seeded through the domain's validate_batch (733 of 740 cases accepted; 269 rejected rows kept).</t>
  </si>
  <si>
    <t xml:space="preserve">01_cycle_time_by_opening_month.sql</t>
  </si>
  <si>
    <t xml:space="preserve">period</t>
  </si>
  <si>
    <t xml:space="preserve">completed_cases</t>
  </si>
  <si>
    <t xml:space="preserve">calendar_h</t>
  </si>
  <si>
    <t xml:space="preserve">business_h</t>
  </si>
  <si>
    <t xml:space="preserve">cal_to_bus</t>
  </si>
  <si>
    <t xml:space="preserve">active_h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</si>
  <si>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</si>
  <si>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</si>
  <si>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</si>
  <si>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</si>
  <si>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</si>
  <si>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</si>
  <si>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</si>
  <si>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</si>
  <si>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</si>
  <si>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</si>
  <si>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</si>
  <si>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</si>
  <si>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</si>
  <si>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</si>
  <si>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</si>
  <si>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</si>
  <si>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</si>
  <si>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</si>
  <si>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TOTAL</t>
  </si>
  <si>
    <t xml:space="preserve">02_version_comparison_comparable_window.sql</t>
  </si>
  <si>
    <t xml:space="preserve">window</t>
  </si>
  <si>
    <t xml:space="preserve">version</t>
  </si>
  <si>
    <t xml:space="preserve">open_cases</t>
  </si>
  <si>
    <t xml:space="preserve">paused_business_h</t>
  </si>
  <si>
    <t xml:space="preserve">active_sd_h</t>
  </si>
  <si>
    <t xml:space="preserve">handoffs_per_case</t>
  </si>
  <si>
    <t xml:space="preserve">sla_attainment</t>
  </si>
  <si>
    <t xml:space="preserve">sla_if_no_pause</t>
  </si>
  <si>
    <t xml:space="preserve">rework_rate</t>
  </si>
  <si>
    <t xml:space="preserve">first_pass_rate</t>
  </si>
  <si>
    <t xml:space="preserve">pct_enterprise</t>
  </si>
  <si>
    <t xml:space="preserve">pct_reg_north</t>
  </si>
  <si>
    <t xml:space="preserve">all (2025-04..2026-09)</t>
  </si>
  <si>
    <t xml:space="preserve">wfv-002</t>
  </si>
  <si>
    <t xml:space="preserve">overlap (2025-10..2026-09)</t>
  </si>
  <si>
    <t xml:space="preserve">03_sla_by_segment_region.sql</t>
  </si>
  <si>
    <t xml:space="preserve">within_sla</t>
  </si>
  <si>
    <t xml:space="preserve">open_cases_not_in_rate</t>
  </si>
  <si>
    <t xml:space="preserve">pct_v2</t>
  </si>
  <si>
    <t xml:space="preserve">enterprise</t>
  </si>
  <si>
    <t xml:space="preserve">reg-east</t>
  </si>
  <si>
    <t xml:space="preserve">reg-north</t>
  </si>
  <si>
    <t xml:space="preserve">reg-south</t>
  </si>
  <si>
    <t xml:space="preserve">reg-west</t>
  </si>
  <si>
    <t xml:space="preserve">ALL</t>
  </si>
  <si>
    <t xml:space="preserve">mid_market</t>
  </si>
  <si>
    <t xml:space="preserve">04_step_waiting_by_step_assignee.sql</t>
  </si>
  <si>
    <t xml:space="preserve">lens</t>
  </si>
  <si>
    <t xml:space="preserve">who</t>
  </si>
  <si>
    <t xml:space="preserve">wait_bh</t>
  </si>
  <si>
    <t xml:space="preserve">started_to_decision_bh</t>
  </si>
  <si>
    <t xml:space="preserve">started_to_decision_cal_h</t>
  </si>
  <si>
    <t xml:space="preserve">step</t>
  </si>
  <si>
    <t xml:space="preserve">compliance_review</t>
  </si>
  <si>
    <t xml:space="preserve">verify_identity</t>
  </si>
  <si>
    <t xml:space="preserve">collect_address_proof</t>
  </si>
  <si>
    <t xml:space="preserve">activate_account</t>
  </si>
  <si>
    <t xml:space="preserve">assignee</t>
  </si>
  <si>
    <t xml:space="preserve">acc-002</t>
  </si>
  <si>
    <t xml:space="preserve">acc-003</t>
  </si>
  <si>
    <t xml:space="preserve">acc-004</t>
  </si>
  <si>
    <t xml:space="preserve">acc-001</t>
  </si>
  <si>
    <t xml:space="preserve">rev-004</t>
  </si>
  <si>
    <t xml:space="preserve">undecided</t>
  </si>
  <si>
    <t xml:space="preserve">rev-006</t>
  </si>
  <si>
    <t xml:space="preserve">rev-005</t>
  </si>
  <si>
    <t xml:space="preserve">05_rework_first_pass_by_segment.sql</t>
  </si>
  <si>
    <t xml:space="preserve">cases_with_submission</t>
  </si>
  <si>
    <t xml:space="preserve">cases_reworked</t>
  </si>
  <si>
    <t xml:space="preserve">first_reviewed</t>
  </si>
  <si>
    <t xml:space="preserve">first_accepted</t>
  </si>
  <si>
    <t xml:space="preserve">address_proof</t>
  </si>
  <si>
    <t xml:space="preserve">approval_form</t>
  </si>
  <si>
    <t xml:space="preserve">business_registration</t>
  </si>
  <si>
    <t xml:space="preserve">06_paused_time_by_reason_region.sql</t>
  </si>
  <si>
    <t xml:space="preserve">in_pause_policy</t>
  </si>
  <si>
    <t xml:space="preserve">waits</t>
  </si>
  <si>
    <t xml:space="preserve">cases_with_wait</t>
  </si>
  <si>
    <t xml:space="preserve">wait_h</t>
  </si>
  <si>
    <t xml:space="preserve">wait_business_h</t>
  </si>
  <si>
    <t xml:space="preserve">paused_h_per_case</t>
  </si>
  <si>
    <t xml:space="preserve">ALL eligible</t>
  </si>
  <si>
    <t xml:space="preserve">reason_region</t>
  </si>
  <si>
    <t xml:space="preserve">external_verification</t>
  </si>
  <si>
    <t xml:space="preserve">07_backlog_month_ends.sql</t>
  </si>
  <si>
    <t xml:space="preserve">month</t>
  </si>
  <si>
    <t xml:space="preserve">cutoff</t>
  </si>
  <si>
    <t xml:space="preserve">opened</t>
  </si>
  <si>
    <t xml:space="preserve">open_at_end</t>
  </si>
  <si>
    <t xml:space="preserve">open_v1</t>
  </si>
  <si>
    <t xml:space="preserve">open_v2</t>
  </si>
  <si>
    <t xml:space="preserve">2025-05-01T00:00Z</t>
  </si>
  <si>
    <t xml:space="preserve">2025-06-01T00:00Z</t>
  </si>
  <si>
    <t xml:space="preserve">2025-07-01T00:00Z</t>
  </si>
  <si>
    <t xml:space="preserve">2025-08-01T00:00Z</t>
  </si>
  <si>
    <t xml:space="preserve">2025-09-01T00:00Z</t>
  </si>
  <si>
    <t xml:space="preserve">2025-10-01T00:00Z</t>
  </si>
  <si>
    <t xml:space="preserve">2025-11-01T00:00Z</t>
  </si>
  <si>
    <t xml:space="preserve">2025-12-01T00:00Z</t>
  </si>
  <si>
    <t xml:space="preserve">2026-01-01T00:00Z</t>
  </si>
  <si>
    <t xml:space="preserve">2026-02-01T00:00Z</t>
  </si>
  <si>
    <t xml:space="preserve">2026-03-01T00:00Z</t>
  </si>
  <si>
    <t xml:space="preserve">2026-04-01T00:00Z</t>
  </si>
  <si>
    <t xml:space="preserve">2026-05-01T00:00Z</t>
  </si>
  <si>
    <t xml:space="preserve">2026-06-01T00:00Z</t>
  </si>
  <si>
    <t xml:space="preserve">2026-07-01T00:00Z</t>
  </si>
  <si>
    <t xml:space="preserve">2026-08-01T00:00Z</t>
  </si>
  <si>
    <t xml:space="preserve">2026-09-01T00:00Z</t>
  </si>
  <si>
    <t xml:space="preserve">2026-10-01T00:00Z</t>
  </si>
  <si>
    <t xml:space="preserve">08_flags_and_rejections_by_reason.sql</t>
  </si>
  <si>
    <t xml:space="preserve">other_child_rows</t>
  </si>
  <si>
    <t xml:space="preserve">total_rows</t>
  </si>
  <si>
    <t xml:space="preserve">ids</t>
  </si>
  <si>
    <t xml:space="preserve">rejection</t>
  </si>
  <si>
    <t xml:space="preserve">DECISION_CONFLICT</t>
  </si>
  <si>
    <t xml:space="preserve">apr-000623, apr-003152</t>
  </si>
  <si>
    <t xml:space="preserve">MISSING_REQUIRED_DOCUMENT</t>
  </si>
  <si>
    <t xml:space="preserve">case-000218, case-000545</t>
  </si>
  <si>
    <t xml:space="preserve">PAUSE_REASON_NOT_CONFIGURED</t>
  </si>
  <si>
    <t xml:space="preserve">case-000138, case-000473, case-000541</t>
  </si>
  <si>
    <t xml:space="preserve">SELF_APPROVAL</t>
  </si>
  <si>
    <t xml:space="preserve">case-000075, case-000685</t>
  </si>
  <si>
    <t xml:space="preserve">flag</t>
  </si>
  <si>
    <t xml:space="preserve">PAUSE_OUTSIDE_WORKING_INTERVAL</t>
  </si>
  <si>
    <t xml:space="preserve">wi-00396, wi-00704, wi-00753</t>
  </si>
  <si>
    <t xml:space="preserve">09_golden_case_business_hours.sql</t>
  </si>
  <si>
    <t xml:space="preserve">paused_h</t>
  </si>
  <si>
    <t xml:space="preserve">paused_business_overlap_h</t>
  </si>
  <si>
    <t xml:space="preserve">active_h_pause_eligible</t>
  </si>
  <si>
    <t xml:space="preserve">active_h_pause_not_eligible</t>
  </si>
  <si>
    <t xml:space="preserve">golden case-001 per-case hours: analysis SQL 09 vs data/sql/reference_metrics.sql vs Python domain vs expected.json</t>
  </si>
  <si>
    <t xml:space="preserve">quantity</t>
  </si>
  <si>
    <t xml:space="preserve">analysis_sql_09</t>
  </si>
  <si>
    <t xml:space="preserve">reference_metrics_sql</t>
  </si>
  <si>
    <t xml:space="preserve">python_domain</t>
  </si>
  <si>
    <t xml:space="preserve">expected_json</t>
  </si>
  <si>
    <t xml:space="preserve">calendar hours</t>
  </si>
  <si>
    <t xml:space="preserve">BUSINESS hours</t>
  </si>
  <si>
    <t xml:space="preserve">paused hours</t>
  </si>
  <si>
    <t xml:space="preserve">paused business overlap</t>
  </si>
  <si>
    <t xml:space="preserve">active, pause eligible</t>
  </si>
  <si>
    <t xml:space="preserve">active, not eligible</t>
  </si>
  <si>
    <t xml:space="preserve">n/a (policy fixed in the rule)</t>
  </si>
  <si>
    <t xml:space="preserve">reference_metrics.sql over the whole snapshot (cross-check of query 01 TOTAL)</t>
  </si>
  <si>
    <t xml:space="preserve">completed_eligible_cases</t>
  </si>
  <si>
    <t xml:space="preserve">calendar_cycle_time_hours</t>
  </si>
  <si>
    <t xml:space="preserve">business_cycle_time_hours</t>
  </si>
  <si>
    <t xml:space="preserve">paused_time_hours</t>
  </si>
  <si>
    <t xml:space="preserve">paused_business_overlap_hours</t>
  </si>
  <si>
    <t xml:space="preserve">active_elapsed_hours</t>
  </si>
  <si>
    <t xml:space="preserve">within_sla_cases</t>
  </si>
  <si>
    <t xml:space="preserve">reconciliation (run_all.py): checks equal / checks run</t>
  </si>
  <si>
    <t xml:space="preserve">checks_equal</t>
  </si>
  <si>
    <t xml:space="preserve">checks_run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</si>
</sst>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h:mm"/>
    <numFmt numFmtId="166" formatCode="0.0000"/>
    <numFmt numFmtId="167" formatCode="General"/>
    <numFmt numFmtId="168" formatCode="0.0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2F0D9"/>
        <bgColor rgb="FFDCE6F1"/>
      </patternFill>
    </fill>
    <fill>
      <patternFill patternType="solid">
        <fgColor rgb="FFDCE6F1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8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  <c r="D6" s="4" t="s">
        <v>11</v>
      </c>
      <c r="E6" s="5" t="n">
        <v>46054</v>
      </c>
    </row>
    <row r="8" customFormat="false" ht="15" hidden="false" customHeight="false" outlineLevel="0" collapsed="false">
      <c r="A8" s="2" t="s">
        <v>12</v>
      </c>
    </row>
    <row r="9" customFormat="false" ht="15" hidden="false" customHeight="false" outlineLevel="0" collapsed="false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</row>
    <row r="10" customFormat="false" ht="15" hidden="false" customHeight="false" outlineLevel="0" collapsed="false">
      <c r="A10" s="4" t="s">
        <v>18</v>
      </c>
      <c r="B10" s="4" t="s">
        <v>19</v>
      </c>
      <c r="C10" s="4" t="n">
        <v>1</v>
      </c>
      <c r="D10" s="5" t="n">
        <v>46082</v>
      </c>
      <c r="E10" s="4" t="s">
        <v>20</v>
      </c>
    </row>
    <row r="12" customFormat="false" ht="15" hidden="false" customHeight="false" outlineLevel="0" collapsed="false">
      <c r="A12" s="2" t="s">
        <v>21</v>
      </c>
    </row>
    <row r="13" customFormat="false" ht="15" hidden="false" customHeight="false" outlineLevel="0" collapsed="false">
      <c r="A13" s="3" t="s">
        <v>22</v>
      </c>
      <c r="B13" s="3" t="s">
        <v>13</v>
      </c>
      <c r="C13" s="3" t="s">
        <v>23</v>
      </c>
      <c r="D13" s="3" t="s">
        <v>24</v>
      </c>
      <c r="E13" s="3" t="s">
        <v>25</v>
      </c>
      <c r="F13" s="3" t="s">
        <v>26</v>
      </c>
    </row>
    <row r="14" customFormat="false" ht="15" hidden="false" customHeight="false" outlineLevel="0" collapsed="false">
      <c r="A14" s="4" t="s">
        <v>27</v>
      </c>
      <c r="B14" s="4" t="s">
        <v>18</v>
      </c>
      <c r="C14" s="4" t="s">
        <v>28</v>
      </c>
      <c r="D14" s="4" t="s">
        <v>29</v>
      </c>
      <c r="E14" s="4" t="s">
        <v>30</v>
      </c>
      <c r="F14" s="4" t="n">
        <v>1</v>
      </c>
    </row>
    <row r="15" customFormat="false" ht="15" hidden="false" customHeight="false" outlineLevel="0" collapsed="false">
      <c r="A15" s="4" t="s">
        <v>31</v>
      </c>
      <c r="B15" s="4" t="s">
        <v>18</v>
      </c>
      <c r="C15" s="4" t="s">
        <v>32</v>
      </c>
      <c r="D15" s="4" t="s">
        <v>29</v>
      </c>
      <c r="E15" s="4" t="s">
        <v>33</v>
      </c>
      <c r="F15" s="4" t="n">
        <v>2</v>
      </c>
    </row>
    <row r="17" customFormat="false" ht="15" hidden="false" customHeight="false" outlineLevel="0" collapsed="false">
      <c r="A17" s="2" t="s">
        <v>34</v>
      </c>
    </row>
    <row r="18" customFormat="false" ht="15" hidden="false" customHeight="false" outlineLevel="0" collapsed="false">
      <c r="A18" s="3" t="s">
        <v>35</v>
      </c>
      <c r="B18" s="3" t="s">
        <v>22</v>
      </c>
      <c r="C18" s="3" t="s">
        <v>36</v>
      </c>
      <c r="D18" s="3" t="s">
        <v>37</v>
      </c>
      <c r="E18" s="3" t="s">
        <v>7</v>
      </c>
    </row>
    <row r="19" customFormat="false" ht="15" hidden="false" customHeight="false" outlineLevel="0" collapsed="false">
      <c r="A19" s="4" t="s">
        <v>38</v>
      </c>
      <c r="B19" s="4" t="s">
        <v>31</v>
      </c>
      <c r="C19" s="4" t="s">
        <v>27</v>
      </c>
      <c r="D19" s="4" t="s">
        <v>39</v>
      </c>
      <c r="E19" s="5" t="n">
        <v>46082</v>
      </c>
    </row>
    <row r="21" customFormat="false" ht="15" hidden="false" customHeight="false" outlineLevel="0" collapsed="false">
      <c r="A21" s="2" t="s">
        <v>40</v>
      </c>
    </row>
    <row r="22" customFormat="false" ht="15" hidden="false" customHeight="false" outlineLevel="0" collapsed="false">
      <c r="A22" s="3" t="s">
        <v>41</v>
      </c>
      <c r="B22" s="3" t="s">
        <v>13</v>
      </c>
      <c r="C22" s="3" t="s">
        <v>42</v>
      </c>
      <c r="D22" s="3" t="s">
        <v>43</v>
      </c>
      <c r="E22" s="3" t="s">
        <v>44</v>
      </c>
    </row>
    <row r="23" customFormat="false" ht="15" hidden="false" customHeight="false" outlineLevel="0" collapsed="false">
      <c r="A23" s="4" t="s">
        <v>45</v>
      </c>
      <c r="B23" s="4" t="s">
        <v>18</v>
      </c>
      <c r="C23" s="4" t="n">
        <v>480</v>
      </c>
      <c r="D23" s="4" t="s">
        <v>46</v>
      </c>
      <c r="E23" s="4" t="s">
        <v>47</v>
      </c>
    </row>
    <row r="25" customFormat="false" ht="15" hidden="false" customHeight="false" outlineLevel="0" collapsed="false">
      <c r="A25" s="2" t="s">
        <v>48</v>
      </c>
    </row>
    <row r="26" customFormat="false" ht="15" hidden="false" customHeight="false" outlineLevel="0" collapsed="false">
      <c r="A26" s="3" t="s">
        <v>49</v>
      </c>
      <c r="B26" s="3" t="s">
        <v>44</v>
      </c>
      <c r="C26" s="3" t="s">
        <v>50</v>
      </c>
      <c r="D26" s="3" t="s">
        <v>51</v>
      </c>
      <c r="E26" s="3" t="s">
        <v>52</v>
      </c>
    </row>
    <row r="27" customFormat="false" ht="15" hidden="false" customHeight="false" outlineLevel="0" collapsed="false">
      <c r="A27" s="4" t="s">
        <v>53</v>
      </c>
      <c r="B27" s="4" t="s">
        <v>47</v>
      </c>
      <c r="C27" s="5" t="n">
        <v>46083.375</v>
      </c>
      <c r="D27" s="5" t="n">
        <v>46083.7083333333</v>
      </c>
      <c r="E27" s="4" t="s">
        <v>54</v>
      </c>
    </row>
    <row r="28" customFormat="false" ht="15" hidden="false" customHeight="false" outlineLevel="0" collapsed="false">
      <c r="A28" s="4" t="s">
        <v>55</v>
      </c>
      <c r="B28" s="4" t="s">
        <v>47</v>
      </c>
      <c r="C28" s="5" t="n">
        <v>46084.375</v>
      </c>
      <c r="D28" s="5" t="n">
        <v>46084.7083333333</v>
      </c>
      <c r="E28" s="4" t="s">
        <v>54</v>
      </c>
    </row>
    <row r="29" customFormat="false" ht="15" hidden="false" customHeight="false" outlineLevel="0" collapsed="false">
      <c r="A29" s="4" t="s">
        <v>56</v>
      </c>
      <c r="B29" s="4" t="s">
        <v>47</v>
      </c>
      <c r="C29" s="5" t="n">
        <v>46085.375</v>
      </c>
      <c r="D29" s="5" t="n">
        <v>46085.7083333333</v>
      </c>
      <c r="E29" s="4" t="s">
        <v>54</v>
      </c>
    </row>
    <row r="30" customFormat="false" ht="15" hidden="false" customHeight="false" outlineLevel="0" collapsed="false">
      <c r="A30" s="4" t="s">
        <v>57</v>
      </c>
      <c r="B30" s="4" t="s">
        <v>47</v>
      </c>
      <c r="C30" s="5" t="n">
        <v>46086.375</v>
      </c>
      <c r="D30" s="5" t="n">
        <v>46086.7083333333</v>
      </c>
      <c r="E30" s="4" t="s">
        <v>54</v>
      </c>
    </row>
    <row r="31" customFormat="false" ht="15" hidden="false" customHeight="false" outlineLevel="0" collapsed="false">
      <c r="A31" s="4" t="s">
        <v>58</v>
      </c>
      <c r="B31" s="4" t="s">
        <v>47</v>
      </c>
      <c r="C31" s="5" t="n">
        <v>46087.375</v>
      </c>
      <c r="D31" s="5" t="n">
        <v>46087.7083333333</v>
      </c>
      <c r="E31" s="4" t="s">
        <v>54</v>
      </c>
    </row>
    <row r="32" customFormat="false" ht="15" hidden="false" customHeight="false" outlineLevel="0" collapsed="false">
      <c r="A32" s="4" t="s">
        <v>59</v>
      </c>
      <c r="B32" s="4" t="s">
        <v>47</v>
      </c>
      <c r="C32" s="5" t="n">
        <v>46090.375</v>
      </c>
      <c r="D32" s="5" t="n">
        <v>46090.7083333333</v>
      </c>
      <c r="E32" s="4" t="s">
        <v>54</v>
      </c>
    </row>
    <row r="33" customFormat="false" ht="15" hidden="false" customHeight="false" outlineLevel="0" collapsed="false">
      <c r="A33" s="4" t="s">
        <v>60</v>
      </c>
      <c r="B33" s="4" t="s">
        <v>47</v>
      </c>
      <c r="C33" s="5" t="n">
        <v>46091.375</v>
      </c>
      <c r="D33" s="5" t="n">
        <v>46091.7083333333</v>
      </c>
      <c r="E33" s="4" t="s">
        <v>54</v>
      </c>
    </row>
    <row r="34" customFormat="false" ht="15" hidden="false" customHeight="false" outlineLevel="0" collapsed="false">
      <c r="A34" s="4" t="s">
        <v>61</v>
      </c>
      <c r="B34" s="4" t="s">
        <v>47</v>
      </c>
      <c r="C34" s="5" t="n">
        <v>46092.375</v>
      </c>
      <c r="D34" s="5" t="n">
        <v>46092.7083333333</v>
      </c>
      <c r="E34" s="4" t="s">
        <v>54</v>
      </c>
    </row>
    <row r="35" customFormat="false" ht="15" hidden="false" customHeight="false" outlineLevel="0" collapsed="false">
      <c r="A35" s="4" t="s">
        <v>62</v>
      </c>
      <c r="B35" s="4" t="s">
        <v>47</v>
      </c>
      <c r="C35" s="5" t="n">
        <v>46093.375</v>
      </c>
      <c r="D35" s="5" t="n">
        <v>46093.7083333333</v>
      </c>
      <c r="E35" s="4" t="s">
        <v>54</v>
      </c>
    </row>
    <row r="36" customFormat="false" ht="15" hidden="false" customHeight="false" outlineLevel="0" collapsed="false">
      <c r="A36" s="4" t="s">
        <v>63</v>
      </c>
      <c r="B36" s="4" t="s">
        <v>47</v>
      </c>
      <c r="C36" s="5" t="n">
        <v>46094.375</v>
      </c>
      <c r="D36" s="5" t="n">
        <v>46094.7083333333</v>
      </c>
      <c r="E36" s="4" t="s">
        <v>54</v>
      </c>
    </row>
    <row r="38" customFormat="false" ht="15" hidden="false" customHeight="false" outlineLevel="0" collapsed="false">
      <c r="A38" s="2" t="s">
        <v>64</v>
      </c>
    </row>
    <row r="39" customFormat="false" ht="28.35" hidden="false" customHeight="false" outlineLevel="0" collapsed="false">
      <c r="A39" s="3" t="s">
        <v>65</v>
      </c>
      <c r="B39" s="3" t="s">
        <v>3</v>
      </c>
      <c r="C39" s="3" t="s">
        <v>13</v>
      </c>
      <c r="D39" s="3" t="s">
        <v>66</v>
      </c>
      <c r="E39" s="3" t="s">
        <v>67</v>
      </c>
      <c r="F39" s="3" t="s">
        <v>68</v>
      </c>
    </row>
    <row r="40" customFormat="false" ht="15" hidden="false" customHeight="false" outlineLevel="0" collapsed="false">
      <c r="A40" s="4" t="s">
        <v>69</v>
      </c>
      <c r="B40" s="4" t="s">
        <v>8</v>
      </c>
      <c r="C40" s="4" t="s">
        <v>18</v>
      </c>
      <c r="D40" s="4" t="s">
        <v>70</v>
      </c>
      <c r="E40" s="5" t="n">
        <v>46087.6666666667</v>
      </c>
      <c r="F40" s="5" t="n">
        <v>46090.4166666667</v>
      </c>
    </row>
    <row r="42" customFormat="false" ht="15" hidden="false" customHeight="false" outlineLevel="0" collapsed="false">
      <c r="A42" s="2" t="s">
        <v>71</v>
      </c>
    </row>
    <row r="43" customFormat="false" ht="15" hidden="false" customHeight="false" outlineLevel="0" collapsed="false">
      <c r="A43" s="3" t="s">
        <v>72</v>
      </c>
      <c r="B43" s="3" t="s">
        <v>65</v>
      </c>
      <c r="C43" s="3" t="s">
        <v>22</v>
      </c>
      <c r="D43" s="3" t="s">
        <v>66</v>
      </c>
      <c r="E43" s="3" t="s">
        <v>15</v>
      </c>
      <c r="F43" s="3" t="s">
        <v>73</v>
      </c>
      <c r="G43" s="3" t="s">
        <v>74</v>
      </c>
      <c r="H43" s="3" t="s">
        <v>75</v>
      </c>
    </row>
    <row r="44" customFormat="false" ht="15" hidden="false" customHeight="false" outlineLevel="0" collapsed="false">
      <c r="A44" s="4" t="s">
        <v>76</v>
      </c>
      <c r="B44" s="4" t="s">
        <v>69</v>
      </c>
      <c r="C44" s="4" t="s">
        <v>27</v>
      </c>
      <c r="D44" s="4" t="s">
        <v>77</v>
      </c>
      <c r="E44" s="4" t="n">
        <v>1</v>
      </c>
      <c r="F44" s="5" t="n">
        <v>46087.6666666667</v>
      </c>
      <c r="G44" s="5" t="n">
        <v>46087.6701388889</v>
      </c>
      <c r="H44" s="5" t="n">
        <v>46090.4027777778</v>
      </c>
    </row>
    <row r="45" customFormat="false" ht="15" hidden="false" customHeight="false" outlineLevel="0" collapsed="false">
      <c r="A45" s="4" t="s">
        <v>78</v>
      </c>
      <c r="B45" s="4" t="s">
        <v>69</v>
      </c>
      <c r="C45" s="4" t="s">
        <v>31</v>
      </c>
      <c r="D45" s="4" t="s">
        <v>77</v>
      </c>
      <c r="E45" s="4" t="n">
        <v>1</v>
      </c>
      <c r="F45" s="5" t="n">
        <v>46090.4027777778</v>
      </c>
      <c r="G45" s="5" t="n">
        <v>46090.40625</v>
      </c>
      <c r="H45" s="5" t="n">
        <v>46090.4166666667</v>
      </c>
    </row>
    <row r="47" customFormat="false" ht="15" hidden="false" customHeight="false" outlineLevel="0" collapsed="false">
      <c r="A47" s="2" t="s">
        <v>79</v>
      </c>
    </row>
    <row r="48" customFormat="false" ht="15" hidden="false" customHeight="false" outlineLevel="0" collapsed="false">
      <c r="A48" s="3" t="s">
        <v>80</v>
      </c>
      <c r="B48" s="3" t="s">
        <v>72</v>
      </c>
      <c r="C48" s="3" t="s">
        <v>81</v>
      </c>
      <c r="D48" s="3" t="s">
        <v>82</v>
      </c>
      <c r="E48" s="3" t="s">
        <v>83</v>
      </c>
    </row>
    <row r="49" customFormat="false" ht="15" hidden="false" customHeight="false" outlineLevel="0" collapsed="false">
      <c r="A49" s="4" t="s">
        <v>84</v>
      </c>
      <c r="B49" s="4" t="s">
        <v>76</v>
      </c>
      <c r="C49" s="4" t="s">
        <v>85</v>
      </c>
      <c r="D49" s="5" t="n">
        <v>46087.6666666667</v>
      </c>
      <c r="E49" s="5" t="n">
        <v>46090.4027777778</v>
      </c>
    </row>
    <row r="50" customFormat="false" ht="15" hidden="false" customHeight="false" outlineLevel="0" collapsed="false">
      <c r="A50" s="4" t="s">
        <v>86</v>
      </c>
      <c r="B50" s="4" t="s">
        <v>78</v>
      </c>
      <c r="C50" s="4" t="s">
        <v>87</v>
      </c>
      <c r="D50" s="5" t="n">
        <v>46090.4027777778</v>
      </c>
      <c r="E50" s="5" t="n">
        <v>46090.4166666667</v>
      </c>
    </row>
    <row r="52" customFormat="false" ht="15" hidden="false" customHeight="false" outlineLevel="0" collapsed="false">
      <c r="A52" s="2" t="s">
        <v>88</v>
      </c>
    </row>
    <row r="53" customFormat="false" ht="15" hidden="false" customHeight="false" outlineLevel="0" collapsed="false">
      <c r="A53" s="3" t="s">
        <v>89</v>
      </c>
      <c r="B53" s="3" t="s">
        <v>65</v>
      </c>
      <c r="C53" s="3" t="s">
        <v>90</v>
      </c>
      <c r="D53" s="3" t="s">
        <v>15</v>
      </c>
      <c r="E53" s="3" t="s">
        <v>91</v>
      </c>
      <c r="F53" s="3" t="s">
        <v>92</v>
      </c>
      <c r="G53" s="3" t="s">
        <v>93</v>
      </c>
      <c r="H53" s="3" t="s">
        <v>94</v>
      </c>
    </row>
    <row r="54" customFormat="false" ht="15" hidden="false" customHeight="false" outlineLevel="0" collapsed="false">
      <c r="A54" s="4" t="s">
        <v>95</v>
      </c>
      <c r="B54" s="4" t="s">
        <v>69</v>
      </c>
      <c r="C54" s="4" t="s">
        <v>96</v>
      </c>
      <c r="D54" s="4" t="n">
        <v>1</v>
      </c>
      <c r="E54" s="4" t="s">
        <v>97</v>
      </c>
      <c r="F54" s="4" t="s">
        <v>98</v>
      </c>
      <c r="G54" s="5" t="n">
        <v>46087.6736111111</v>
      </c>
      <c r="H54" s="5" t="n">
        <v>46090.3993055556</v>
      </c>
    </row>
    <row r="56" customFormat="false" ht="15" hidden="false" customHeight="false" outlineLevel="0" collapsed="false">
      <c r="A56" s="2" t="s">
        <v>99</v>
      </c>
    </row>
    <row r="57" customFormat="false" ht="15" hidden="false" customHeight="false" outlineLevel="0" collapsed="false">
      <c r="A57" s="3" t="s">
        <v>100</v>
      </c>
      <c r="B57" s="3" t="s">
        <v>72</v>
      </c>
      <c r="C57" s="3" t="s">
        <v>101</v>
      </c>
      <c r="D57" s="3" t="s">
        <v>102</v>
      </c>
      <c r="E57" s="3" t="s">
        <v>103</v>
      </c>
      <c r="F57" s="3" t="s">
        <v>104</v>
      </c>
    </row>
    <row r="58" customFormat="false" ht="15" hidden="false" customHeight="false" outlineLevel="0" collapsed="false">
      <c r="A58" s="4" t="s">
        <v>105</v>
      </c>
      <c r="B58" s="4" t="s">
        <v>76</v>
      </c>
      <c r="C58" s="4" t="s">
        <v>106</v>
      </c>
      <c r="D58" s="4" t="s">
        <v>77</v>
      </c>
      <c r="E58" s="5" t="n">
        <v>46090.4027777778</v>
      </c>
      <c r="F58" s="4"/>
    </row>
    <row r="59" customFormat="false" ht="15" hidden="false" customHeight="false" outlineLevel="0" collapsed="false">
      <c r="A59" s="4" t="s">
        <v>107</v>
      </c>
      <c r="B59" s="4" t="s">
        <v>78</v>
      </c>
      <c r="C59" s="4" t="s">
        <v>108</v>
      </c>
      <c r="D59" s="4" t="s">
        <v>77</v>
      </c>
      <c r="E59" s="5" t="n">
        <v>46090.4166666667</v>
      </c>
      <c r="F59" s="4"/>
    </row>
    <row r="61" customFormat="false" ht="15" hidden="false" customHeight="false" outlineLevel="0" collapsed="false">
      <c r="A61" s="2" t="s">
        <v>109</v>
      </c>
    </row>
    <row r="62" customFormat="false" ht="15" hidden="false" customHeight="false" outlineLevel="0" collapsed="false">
      <c r="A62" s="3" t="s">
        <v>110</v>
      </c>
      <c r="B62" s="3" t="s">
        <v>65</v>
      </c>
      <c r="C62" s="3" t="s">
        <v>111</v>
      </c>
      <c r="D62" s="3" t="s">
        <v>50</v>
      </c>
      <c r="E62" s="3" t="s">
        <v>51</v>
      </c>
    </row>
    <row r="63" customFormat="false" ht="15" hidden="false" customHeight="false" outlineLevel="0" collapsed="false">
      <c r="A63" s="4" t="s">
        <v>112</v>
      </c>
      <c r="B63" s="4" t="s">
        <v>69</v>
      </c>
      <c r="C63" s="4" t="s">
        <v>46</v>
      </c>
      <c r="D63" s="5" t="n">
        <v>46087.6875</v>
      </c>
      <c r="E63" s="5" t="n">
        <v>46090.3958333333</v>
      </c>
    </row>
    <row r="65" customFormat="false" ht="15" hidden="false" customHeight="false" outlineLevel="0" collapsed="false">
      <c r="A65" s="2" t="s">
        <v>113</v>
      </c>
    </row>
    <row r="66" customFormat="false" ht="15" hidden="false" customHeight="false" outlineLevel="0" collapsed="false">
      <c r="A66" s="3" t="s">
        <v>114</v>
      </c>
      <c r="B66" s="3" t="s">
        <v>65</v>
      </c>
      <c r="C66" s="3" t="s">
        <v>115</v>
      </c>
      <c r="D66" s="3" t="s">
        <v>116</v>
      </c>
      <c r="E66" s="3" t="s">
        <v>117</v>
      </c>
    </row>
    <row r="67" customFormat="false" ht="15" hidden="false" customHeight="false" outlineLevel="0" collapsed="false">
      <c r="A67" s="4" t="s">
        <v>118</v>
      </c>
      <c r="B67" s="4" t="s">
        <v>69</v>
      </c>
      <c r="C67" s="4" t="s">
        <v>119</v>
      </c>
      <c r="D67" s="4" t="s">
        <v>85</v>
      </c>
      <c r="E67" s="5" t="n">
        <v>46087.6666666667</v>
      </c>
    </row>
    <row r="68" customFormat="false" ht="15" hidden="false" customHeight="false" outlineLevel="0" collapsed="false">
      <c r="A68" s="4" t="s">
        <v>120</v>
      </c>
      <c r="B68" s="4" t="s">
        <v>69</v>
      </c>
      <c r="C68" s="4" t="s">
        <v>121</v>
      </c>
      <c r="D68" s="4" t="s">
        <v>85</v>
      </c>
      <c r="E68" s="5" t="n">
        <v>46087.6701388889</v>
      </c>
    </row>
    <row r="69" customFormat="false" ht="15" hidden="false" customHeight="false" outlineLevel="0" collapsed="false">
      <c r="A69" s="4" t="s">
        <v>122</v>
      </c>
      <c r="B69" s="4" t="s">
        <v>69</v>
      </c>
      <c r="C69" s="4" t="s">
        <v>123</v>
      </c>
      <c r="D69" s="4" t="s">
        <v>85</v>
      </c>
      <c r="E69" s="5" t="n">
        <v>46087.6736111111</v>
      </c>
    </row>
    <row r="70" customFormat="false" ht="15" hidden="false" customHeight="false" outlineLevel="0" collapsed="false">
      <c r="A70" s="4" t="s">
        <v>124</v>
      </c>
      <c r="B70" s="4" t="s">
        <v>69</v>
      </c>
      <c r="C70" s="4" t="s">
        <v>125</v>
      </c>
      <c r="D70" s="4" t="s">
        <v>85</v>
      </c>
      <c r="E70" s="5" t="n">
        <v>46087.6875</v>
      </c>
    </row>
    <row r="71" customFormat="false" ht="15" hidden="false" customHeight="false" outlineLevel="0" collapsed="false">
      <c r="A71" s="4" t="s">
        <v>126</v>
      </c>
      <c r="B71" s="4" t="s">
        <v>69</v>
      </c>
      <c r="C71" s="4" t="s">
        <v>127</v>
      </c>
      <c r="D71" s="4" t="s">
        <v>85</v>
      </c>
      <c r="E71" s="5" t="n">
        <v>46090.3958333333</v>
      </c>
    </row>
    <row r="72" customFormat="false" ht="15" hidden="false" customHeight="false" outlineLevel="0" collapsed="false">
      <c r="A72" s="4" t="s">
        <v>128</v>
      </c>
      <c r="B72" s="4" t="s">
        <v>69</v>
      </c>
      <c r="C72" s="4" t="s">
        <v>129</v>
      </c>
      <c r="D72" s="4" t="s">
        <v>106</v>
      </c>
      <c r="E72" s="5" t="n">
        <v>46090.3993055556</v>
      </c>
    </row>
    <row r="73" customFormat="false" ht="15" hidden="false" customHeight="false" outlineLevel="0" collapsed="false">
      <c r="A73" s="4" t="s">
        <v>130</v>
      </c>
      <c r="B73" s="4" t="s">
        <v>69</v>
      </c>
      <c r="C73" s="4" t="s">
        <v>131</v>
      </c>
      <c r="D73" s="4" t="s">
        <v>106</v>
      </c>
      <c r="E73" s="5" t="n">
        <v>46090.4027777778</v>
      </c>
    </row>
    <row r="74" customFormat="false" ht="15" hidden="false" customHeight="false" outlineLevel="0" collapsed="false">
      <c r="A74" s="4" t="s">
        <v>132</v>
      </c>
      <c r="B74" s="4" t="s">
        <v>69</v>
      </c>
      <c r="C74" s="4" t="s">
        <v>121</v>
      </c>
      <c r="D74" s="4" t="s">
        <v>87</v>
      </c>
      <c r="E74" s="5" t="n">
        <v>46090.40625</v>
      </c>
    </row>
    <row r="75" customFormat="false" ht="15" hidden="false" customHeight="false" outlineLevel="0" collapsed="false">
      <c r="A75" s="4" t="s">
        <v>133</v>
      </c>
      <c r="B75" s="4" t="s">
        <v>69</v>
      </c>
      <c r="C75" s="4" t="s">
        <v>131</v>
      </c>
      <c r="D75" s="4" t="s">
        <v>108</v>
      </c>
      <c r="E75" s="5" t="n">
        <v>46090.4166666667</v>
      </c>
    </row>
    <row r="76" customFormat="false" ht="15" hidden="false" customHeight="false" outlineLevel="0" collapsed="false">
      <c r="A76" s="4" t="s">
        <v>134</v>
      </c>
      <c r="B76" s="4" t="s">
        <v>69</v>
      </c>
      <c r="C76" s="4" t="s">
        <v>135</v>
      </c>
      <c r="D76" s="4" t="s">
        <v>108</v>
      </c>
      <c r="E76" s="5" t="n">
        <v>46090.4166666667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0" t="s">
        <v>137</v>
      </c>
    </row>
    <row r="4" customFormat="false" ht="15" hidden="false" customHeight="false" outlineLevel="0" collapsed="false">
      <c r="A4" s="3" t="s">
        <v>49</v>
      </c>
      <c r="B4" s="3" t="s">
        <v>44</v>
      </c>
      <c r="C4" s="3" t="s">
        <v>138</v>
      </c>
      <c r="D4" s="3" t="s">
        <v>139</v>
      </c>
      <c r="E4" s="3" t="s">
        <v>140</v>
      </c>
      <c r="F4" s="3" t="s">
        <v>141</v>
      </c>
    </row>
    <row r="5" customFormat="false" ht="15" hidden="false" customHeight="false" outlineLevel="0" collapsed="false">
      <c r="A5" s="0" t="str">
        <f aca="false">Inputs!$A$27</f>
        <v>ci-001</v>
      </c>
      <c r="B5" s="0" t="str">
        <f aca="false">Inputs!$B$27</f>
        <v>cal-001</v>
      </c>
      <c r="C5" s="6" t="n">
        <f aca="false">Inputs!$C$27</f>
        <v>46083.375</v>
      </c>
      <c r="D5" s="6" t="n">
        <f aca="false">Inputs!$D$27</f>
        <v>46083.7083333333</v>
      </c>
      <c r="E5" s="4" t="s">
        <v>142</v>
      </c>
      <c r="F5" s="7" t="n">
        <f aca="false">ROUND((D5-C5)*24,6)</f>
        <v>8</v>
      </c>
    </row>
    <row r="6" customFormat="false" ht="15" hidden="false" customHeight="false" outlineLevel="0" collapsed="false">
      <c r="A6" s="0" t="str">
        <f aca="false">Inputs!$A$28</f>
        <v>ci-002</v>
      </c>
      <c r="B6" s="0" t="str">
        <f aca="false">Inputs!$B$28</f>
        <v>cal-001</v>
      </c>
      <c r="C6" s="6" t="n">
        <f aca="false">Inputs!$C$28</f>
        <v>46084.375</v>
      </c>
      <c r="D6" s="6" t="n">
        <f aca="false">Inputs!$D$28</f>
        <v>46084.7083333333</v>
      </c>
      <c r="E6" s="4" t="s">
        <v>142</v>
      </c>
      <c r="F6" s="7" t="n">
        <f aca="false">ROUND((D6-C6)*24,6)</f>
        <v>8</v>
      </c>
    </row>
    <row r="7" customFormat="false" ht="15" hidden="false" customHeight="false" outlineLevel="0" collapsed="false">
      <c r="A7" s="0" t="str">
        <f aca="false">Inputs!$A$29</f>
        <v>ci-003</v>
      </c>
      <c r="B7" s="0" t="str">
        <f aca="false">Inputs!$B$29</f>
        <v>cal-001</v>
      </c>
      <c r="C7" s="6" t="n">
        <f aca="false">Inputs!$C$29</f>
        <v>46085.375</v>
      </c>
      <c r="D7" s="6" t="n">
        <f aca="false">Inputs!$D$29</f>
        <v>46085.7083333333</v>
      </c>
      <c r="E7" s="4" t="s">
        <v>142</v>
      </c>
      <c r="F7" s="7" t="n">
        <f aca="false">ROUND((D7-C7)*24,6)</f>
        <v>8</v>
      </c>
    </row>
    <row r="8" customFormat="false" ht="15" hidden="false" customHeight="false" outlineLevel="0" collapsed="false">
      <c r="A8" s="0" t="str">
        <f aca="false">Inputs!$A$30</f>
        <v>ci-004</v>
      </c>
      <c r="B8" s="0" t="str">
        <f aca="false">Inputs!$B$30</f>
        <v>cal-001</v>
      </c>
      <c r="C8" s="6" t="n">
        <f aca="false">Inputs!$C$30</f>
        <v>46086.375</v>
      </c>
      <c r="D8" s="6" t="n">
        <f aca="false">Inputs!$D$30</f>
        <v>46086.7083333333</v>
      </c>
      <c r="E8" s="4" t="s">
        <v>142</v>
      </c>
      <c r="F8" s="7" t="n">
        <f aca="false">ROUND((D8-C8)*24,6)</f>
        <v>8</v>
      </c>
    </row>
    <row r="9" customFormat="false" ht="15" hidden="false" customHeight="false" outlineLevel="0" collapsed="false">
      <c r="A9" s="0" t="str">
        <f aca="false">Inputs!$A$31</f>
        <v>ci-005</v>
      </c>
      <c r="B9" s="0" t="str">
        <f aca="false">Inputs!$B$31</f>
        <v>cal-001</v>
      </c>
      <c r="C9" s="6" t="n">
        <f aca="false">Inputs!$C$31</f>
        <v>46087.375</v>
      </c>
      <c r="D9" s="6" t="n">
        <f aca="false">Inputs!$D$31</f>
        <v>46087.7083333333</v>
      </c>
      <c r="E9" s="4" t="s">
        <v>142</v>
      </c>
      <c r="F9" s="7" t="n">
        <f aca="false">ROUND((D9-C9)*24,6)</f>
        <v>8</v>
      </c>
    </row>
    <row r="10" customFormat="false" ht="15" hidden="false" customHeight="false" outlineLevel="0" collapsed="false">
      <c r="A10" s="0" t="str">
        <f aca="false">Inputs!$A$32</f>
        <v>ci-006</v>
      </c>
      <c r="B10" s="0" t="str">
        <f aca="false">Inputs!$B$32</f>
        <v>cal-001</v>
      </c>
      <c r="C10" s="6" t="n">
        <f aca="false">Inputs!$C$32</f>
        <v>46090.375</v>
      </c>
      <c r="D10" s="6" t="n">
        <f aca="false">Inputs!$D$32</f>
        <v>46090.7083333333</v>
      </c>
      <c r="E10" s="4" t="s">
        <v>142</v>
      </c>
      <c r="F10" s="7" t="n">
        <f aca="false">ROUND((D10-C10)*24,6)</f>
        <v>8</v>
      </c>
    </row>
    <row r="11" customFormat="false" ht="15" hidden="false" customHeight="false" outlineLevel="0" collapsed="false">
      <c r="A11" s="0" t="str">
        <f aca="false">Inputs!$A$33</f>
        <v>ci-007</v>
      </c>
      <c r="B11" s="0" t="str">
        <f aca="false">Inputs!$B$33</f>
        <v>cal-001</v>
      </c>
      <c r="C11" s="6" t="n">
        <f aca="false">Inputs!$C$33</f>
        <v>46091.375</v>
      </c>
      <c r="D11" s="6" t="n">
        <f aca="false">Inputs!$D$33</f>
        <v>46091.7083333333</v>
      </c>
      <c r="E11" s="4" t="s">
        <v>142</v>
      </c>
      <c r="F11" s="7" t="n">
        <f aca="false">ROUND((D11-C11)*24,6)</f>
        <v>8</v>
      </c>
    </row>
    <row r="12" customFormat="false" ht="15" hidden="false" customHeight="false" outlineLevel="0" collapsed="false">
      <c r="A12" s="0" t="str">
        <f aca="false">Inputs!$A$34</f>
        <v>ci-008</v>
      </c>
      <c r="B12" s="0" t="str">
        <f aca="false">Inputs!$B$34</f>
        <v>cal-001</v>
      </c>
      <c r="C12" s="6" t="n">
        <f aca="false">Inputs!$C$34</f>
        <v>46092.375</v>
      </c>
      <c r="D12" s="6" t="n">
        <f aca="false">Inputs!$D$34</f>
        <v>46092.7083333333</v>
      </c>
      <c r="E12" s="4" t="s">
        <v>142</v>
      </c>
      <c r="F12" s="7" t="n">
        <f aca="false">ROUND((D12-C12)*24,6)</f>
        <v>8</v>
      </c>
    </row>
    <row r="13" customFormat="false" ht="15" hidden="false" customHeight="false" outlineLevel="0" collapsed="false">
      <c r="A13" s="0" t="str">
        <f aca="false">Inputs!$A$35</f>
        <v>ci-009</v>
      </c>
      <c r="B13" s="0" t="str">
        <f aca="false">Inputs!$B$35</f>
        <v>cal-001</v>
      </c>
      <c r="C13" s="6" t="n">
        <f aca="false">Inputs!$C$35</f>
        <v>46093.375</v>
      </c>
      <c r="D13" s="6" t="n">
        <f aca="false">Inputs!$D$35</f>
        <v>46093.7083333333</v>
      </c>
      <c r="E13" s="4" t="s">
        <v>142</v>
      </c>
      <c r="F13" s="7" t="n">
        <f aca="false">ROUND((D13-C13)*24,6)</f>
        <v>8</v>
      </c>
    </row>
    <row r="14" customFormat="false" ht="15" hidden="false" customHeight="false" outlineLevel="0" collapsed="false">
      <c r="A14" s="0" t="str">
        <f aca="false">Inputs!$A$36</f>
        <v>ci-010</v>
      </c>
      <c r="B14" s="0" t="str">
        <f aca="false">Inputs!$B$36</f>
        <v>cal-001</v>
      </c>
      <c r="C14" s="6" t="n">
        <f aca="false">Inputs!$C$36</f>
        <v>46094.375</v>
      </c>
      <c r="D14" s="6" t="n">
        <f aca="false">Inputs!$D$36</f>
        <v>46094.7083333333</v>
      </c>
      <c r="E14" s="4" t="s">
        <v>142</v>
      </c>
      <c r="F14" s="7" t="n">
        <f aca="false">ROUND((D14-C14)*24,6)</f>
        <v>8</v>
      </c>
    </row>
    <row r="15" customFormat="false" ht="15" hidden="false" customHeight="false" outlineLevel="0" collapsed="false">
      <c r="E15" s="2" t="s">
        <v>143</v>
      </c>
      <c r="F15" s="7" t="n">
        <f aca="false">ROUND(SUMIF(E5:E14,"working",F5:F14),4)</f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6" min="5" style="0" width="20"/>
  </cols>
  <sheetData>
    <row r="1" customFormat="false" ht="17.3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0" t="s">
        <v>145</v>
      </c>
    </row>
    <row r="4" customFormat="false" ht="15" hidden="false" customHeight="false" outlineLevel="0" collapsed="false">
      <c r="A4" s="2" t="s">
        <v>146</v>
      </c>
      <c r="D4" s="2" t="s">
        <v>147</v>
      </c>
    </row>
    <row r="5" customFormat="false" ht="15" hidden="false" customHeight="false" outlineLevel="0" collapsed="false">
      <c r="A5" s="0" t="s">
        <v>65</v>
      </c>
      <c r="B5" s="0" t="str">
        <f aca="false">Inputs!$A$40</f>
        <v>case-001</v>
      </c>
      <c r="D5" s="0" t="s">
        <v>110</v>
      </c>
      <c r="E5" s="0" t="str">
        <f aca="false">Inputs!$A$63</f>
        <v>wi-001</v>
      </c>
    </row>
    <row r="6" customFormat="false" ht="15" hidden="false" customHeight="false" outlineLevel="0" collapsed="false">
      <c r="A6" s="0" t="s">
        <v>67</v>
      </c>
      <c r="B6" s="6" t="n">
        <f aca="false">Inputs!$E$40</f>
        <v>46087.6666666667</v>
      </c>
      <c r="D6" s="8" t="s">
        <v>111</v>
      </c>
      <c r="E6" s="0" t="str">
        <f aca="false">Inputs!$C$63</f>
        <v>customer_info_requested</v>
      </c>
    </row>
    <row r="7" customFormat="false" ht="15" hidden="false" customHeight="false" outlineLevel="0" collapsed="false">
      <c r="A7" s="0" t="s">
        <v>68</v>
      </c>
      <c r="B7" s="6" t="n">
        <f aca="false">Inputs!$F$40</f>
        <v>46090.4166666667</v>
      </c>
      <c r="D7" s="8" t="s">
        <v>148</v>
      </c>
      <c r="E7" s="6" t="n">
        <f aca="false">MAX(Inputs!$D$63,B6)</f>
        <v>46087.6875</v>
      </c>
    </row>
    <row r="8" customFormat="false" ht="15" hidden="false" customHeight="false" outlineLevel="0" collapsed="false">
      <c r="D8" s="0" t="s">
        <v>149</v>
      </c>
      <c r="E8" s="6" t="n">
        <f aca="false">MIN(Inputs!$E$63,B7)</f>
        <v>46090.3958333333</v>
      </c>
    </row>
    <row r="10" customFormat="false" ht="15" hidden="false" customHeight="false" outlineLevel="0" collapsed="false">
      <c r="A10" s="3" t="s">
        <v>49</v>
      </c>
      <c r="B10" s="3" t="s">
        <v>140</v>
      </c>
      <c r="C10" s="3" t="s">
        <v>138</v>
      </c>
      <c r="D10" s="3" t="s">
        <v>139</v>
      </c>
      <c r="E10" s="3" t="s">
        <v>150</v>
      </c>
      <c r="F10" s="3" t="s">
        <v>151</v>
      </c>
    </row>
    <row r="11" customFormat="false" ht="15" hidden="false" customHeight="false" outlineLevel="0" collapsed="false">
      <c r="A11" s="0" t="str">
        <f aca="false">Calendar!A5</f>
        <v>ci-001</v>
      </c>
      <c r="B11" s="0" t="str">
        <f aca="false">Calendar!E5</f>
        <v>working</v>
      </c>
      <c r="C11" s="6" t="n">
        <f aca="false">Calendar!C5</f>
        <v>46083.375</v>
      </c>
      <c r="D11" s="6" t="n">
        <f aca="false">Calendar!D5</f>
        <v>46083.7083333333</v>
      </c>
      <c r="E11" s="7" t="n">
        <f aca="false">IF(B11="working",ROUND(MAX(0,MIN($B$7,D11)-MAX($B$6,C11))*24,6),0)</f>
        <v>0</v>
      </c>
      <c r="F11" s="7" t="n">
        <f aca="false">IF(B11="working",ROUND(MAX(0,MIN($E$8,D11)-MAX($E$7,C11))*24,6),0)</f>
        <v>0</v>
      </c>
    </row>
    <row r="12" customFormat="false" ht="15" hidden="false" customHeight="false" outlineLevel="0" collapsed="false">
      <c r="A12" s="0" t="str">
        <f aca="false">Calendar!A6</f>
        <v>ci-002</v>
      </c>
      <c r="B12" s="0" t="str">
        <f aca="false">Calendar!E6</f>
        <v>working</v>
      </c>
      <c r="C12" s="6" t="n">
        <f aca="false">Calendar!C6</f>
        <v>46084.375</v>
      </c>
      <c r="D12" s="6" t="n">
        <f aca="false">Calendar!D6</f>
        <v>46084.7083333333</v>
      </c>
      <c r="E12" s="7" t="n">
        <f aca="false">IF(B12="working",ROUND(MAX(0,MIN($B$7,D12)-MAX($B$6,C12))*24,6),0)</f>
        <v>0</v>
      </c>
      <c r="F12" s="7" t="n">
        <f aca="false">IF(B12="working",ROUND(MAX(0,MIN($E$8,D12)-MAX($E$7,C12))*24,6),0)</f>
        <v>0</v>
      </c>
    </row>
    <row r="13" customFormat="false" ht="15" hidden="false" customHeight="false" outlineLevel="0" collapsed="false">
      <c r="A13" s="0" t="str">
        <f aca="false">Calendar!A7</f>
        <v>ci-003</v>
      </c>
      <c r="B13" s="0" t="str">
        <f aca="false">Calendar!E7</f>
        <v>working</v>
      </c>
      <c r="C13" s="6" t="n">
        <f aca="false">Calendar!C7</f>
        <v>46085.375</v>
      </c>
      <c r="D13" s="6" t="n">
        <f aca="false">Calendar!D7</f>
        <v>46085.7083333333</v>
      </c>
      <c r="E13" s="7" t="n">
        <f aca="false">IF(B13="working",ROUND(MAX(0,MIN($B$7,D13)-MAX($B$6,C13))*24,6),0)</f>
        <v>0</v>
      </c>
      <c r="F13" s="7" t="n">
        <f aca="false">IF(B13="working",ROUND(MAX(0,MIN($E$8,D13)-MAX($E$7,C13))*24,6),0)</f>
        <v>0</v>
      </c>
    </row>
    <row r="14" customFormat="false" ht="15" hidden="false" customHeight="false" outlineLevel="0" collapsed="false">
      <c r="A14" s="0" t="str">
        <f aca="false">Calendar!A8</f>
        <v>ci-004</v>
      </c>
      <c r="B14" s="0" t="str">
        <f aca="false">Calendar!E8</f>
        <v>working</v>
      </c>
      <c r="C14" s="6" t="n">
        <f aca="false">Calendar!C8</f>
        <v>46086.375</v>
      </c>
      <c r="D14" s="6" t="n">
        <f aca="false">Calendar!D8</f>
        <v>46086.7083333333</v>
      </c>
      <c r="E14" s="7" t="n">
        <f aca="false">IF(B14="working",ROUND(MAX(0,MIN($B$7,D14)-MAX($B$6,C14))*24,6),0)</f>
        <v>0</v>
      </c>
      <c r="F14" s="7" t="n">
        <f aca="false">IF(B14="working",ROUND(MAX(0,MIN($E$8,D14)-MAX($E$7,C14))*24,6),0)</f>
        <v>0</v>
      </c>
    </row>
    <row r="15" customFormat="false" ht="15" hidden="false" customHeight="false" outlineLevel="0" collapsed="false">
      <c r="A15" s="0" t="str">
        <f aca="false">Calendar!A9</f>
        <v>ci-005</v>
      </c>
      <c r="B15" s="0" t="str">
        <f aca="false">Calendar!E9</f>
        <v>working</v>
      </c>
      <c r="C15" s="6" t="n">
        <f aca="false">Calendar!C9</f>
        <v>46087.375</v>
      </c>
      <c r="D15" s="6" t="n">
        <f aca="false">Calendar!D9</f>
        <v>46087.7083333333</v>
      </c>
      <c r="E15" s="7" t="n">
        <f aca="false">IF(B15="working",ROUND(MAX(0,MIN($B$7,D15)-MAX($B$6,C15))*24,6),0)</f>
        <v>1</v>
      </c>
      <c r="F15" s="7" t="n">
        <f aca="false">IF(B15="working",ROUND(MAX(0,MIN($E$8,D15)-MAX($E$7,C15))*24,6),0)</f>
        <v>0.5</v>
      </c>
    </row>
    <row r="16" customFormat="false" ht="15" hidden="false" customHeight="false" outlineLevel="0" collapsed="false">
      <c r="A16" s="0" t="str">
        <f aca="false">Calendar!A10</f>
        <v>ci-006</v>
      </c>
      <c r="B16" s="0" t="str">
        <f aca="false">Calendar!E10</f>
        <v>working</v>
      </c>
      <c r="C16" s="6" t="n">
        <f aca="false">Calendar!C10</f>
        <v>46090.375</v>
      </c>
      <c r="D16" s="6" t="n">
        <f aca="false">Calendar!D10</f>
        <v>46090.7083333333</v>
      </c>
      <c r="E16" s="7" t="n">
        <f aca="false">IF(B16="working",ROUND(MAX(0,MIN($B$7,D16)-MAX($B$6,C16))*24,6),0)</f>
        <v>1</v>
      </c>
      <c r="F16" s="7" t="n">
        <f aca="false">IF(B16="working",ROUND(MAX(0,MIN($E$8,D16)-MAX($E$7,C16))*24,6),0)</f>
        <v>0.5</v>
      </c>
    </row>
    <row r="17" customFormat="false" ht="15" hidden="false" customHeight="false" outlineLevel="0" collapsed="false">
      <c r="A17" s="0" t="str">
        <f aca="false">Calendar!A11</f>
        <v>ci-007</v>
      </c>
      <c r="B17" s="0" t="str">
        <f aca="false">Calendar!E11</f>
        <v>working</v>
      </c>
      <c r="C17" s="6" t="n">
        <f aca="false">Calendar!C11</f>
        <v>46091.375</v>
      </c>
      <c r="D17" s="6" t="n">
        <f aca="false">Calendar!D11</f>
        <v>46091.7083333333</v>
      </c>
      <c r="E17" s="7" t="n">
        <f aca="false">IF(B17="working",ROUND(MAX(0,MIN($B$7,D17)-MAX($B$6,C17))*24,6),0)</f>
        <v>0</v>
      </c>
      <c r="F17" s="7" t="n">
        <f aca="false">IF(B17="working",ROUND(MAX(0,MIN($E$8,D17)-MAX($E$7,C17))*24,6),0)</f>
        <v>0</v>
      </c>
    </row>
    <row r="18" customFormat="false" ht="15" hidden="false" customHeight="false" outlineLevel="0" collapsed="false">
      <c r="A18" s="0" t="str">
        <f aca="false">Calendar!A12</f>
        <v>ci-008</v>
      </c>
      <c r="B18" s="0" t="str">
        <f aca="false">Calendar!E12</f>
        <v>working</v>
      </c>
      <c r="C18" s="6" t="n">
        <f aca="false">Calendar!C12</f>
        <v>46092.375</v>
      </c>
      <c r="D18" s="6" t="n">
        <f aca="false">Calendar!D12</f>
        <v>46092.7083333333</v>
      </c>
      <c r="E18" s="7" t="n">
        <f aca="false">IF(B18="working",ROUND(MAX(0,MIN($B$7,D18)-MAX($B$6,C18))*24,6),0)</f>
        <v>0</v>
      </c>
      <c r="F18" s="7" t="n">
        <f aca="false">IF(B18="working",ROUND(MAX(0,MIN($E$8,D18)-MAX($E$7,C18))*24,6),0)</f>
        <v>0</v>
      </c>
    </row>
    <row r="19" customFormat="false" ht="15" hidden="false" customHeight="false" outlineLevel="0" collapsed="false">
      <c r="A19" s="0" t="str">
        <f aca="false">Calendar!A13</f>
        <v>ci-009</v>
      </c>
      <c r="B19" s="0" t="str">
        <f aca="false">Calendar!E13</f>
        <v>working</v>
      </c>
      <c r="C19" s="6" t="n">
        <f aca="false">Calendar!C13</f>
        <v>46093.375</v>
      </c>
      <c r="D19" s="6" t="n">
        <f aca="false">Calendar!D13</f>
        <v>46093.7083333333</v>
      </c>
      <c r="E19" s="7" t="n">
        <f aca="false">IF(B19="working",ROUND(MAX(0,MIN($B$7,D19)-MAX($B$6,C19))*24,6),0)</f>
        <v>0</v>
      </c>
      <c r="F19" s="7" t="n">
        <f aca="false">IF(B19="working",ROUND(MAX(0,MIN($E$8,D19)-MAX($E$7,C19))*24,6),0)</f>
        <v>0</v>
      </c>
    </row>
    <row r="20" customFormat="false" ht="15" hidden="false" customHeight="false" outlineLevel="0" collapsed="false">
      <c r="A20" s="0" t="str">
        <f aca="false">Calendar!A14</f>
        <v>ci-010</v>
      </c>
      <c r="B20" s="0" t="str">
        <f aca="false">Calendar!E14</f>
        <v>working</v>
      </c>
      <c r="C20" s="6" t="n">
        <f aca="false">Calendar!C14</f>
        <v>46094.375</v>
      </c>
      <c r="D20" s="6" t="n">
        <f aca="false">Calendar!D14</f>
        <v>46094.7083333333</v>
      </c>
      <c r="E20" s="7" t="n">
        <f aca="false">IF(B20="working",ROUND(MAX(0,MIN($B$7,D20)-MAX($B$6,C20))*24,6),0)</f>
        <v>0</v>
      </c>
      <c r="F20" s="7" t="n">
        <f aca="false">IF(B20="working",ROUND(MAX(0,MIN($E$8,D20)-MAX($E$7,C20))*24,6),0)</f>
        <v>0</v>
      </c>
    </row>
    <row r="21" customFormat="false" ht="15" hidden="false" customHeight="false" outlineLevel="0" collapsed="false">
      <c r="A21" s="2" t="s">
        <v>152</v>
      </c>
      <c r="E21" s="9" t="n">
        <f aca="false">ROUND(SUM(E11:E20),4)</f>
        <v>2</v>
      </c>
      <c r="F21" s="9" t="n">
        <f aca="false">ROUND(SUM(F11:F20),4)</f>
        <v>1</v>
      </c>
    </row>
    <row r="22" customFormat="false" ht="15" hidden="false" customHeight="false" outlineLevel="0" collapsed="false">
      <c r="A22" s="2" t="s">
        <v>153</v>
      </c>
      <c r="E22" s="8" t="n">
        <f aca="false">COUNTIF(E11:E20,"&gt;0")</f>
        <v>2</v>
      </c>
      <c r="F22" s="8" t="n">
        <f aca="false">COUNTIF(F11:F20,"&gt;0")</f>
        <v>2</v>
      </c>
    </row>
    <row r="24" customFormat="false" ht="15" hidden="false" customHeight="false" outlineLevel="0" collapsed="false">
      <c r="A24" s="0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24"/>
    <col collapsed="false" customWidth="true" hidden="false" outlineLevel="0" max="4" min="4" style="0" width="22"/>
    <col collapsed="false" customWidth="true" hidden="false" outlineLevel="0" max="6" min="5" style="0" width="24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" t="s">
        <v>155</v>
      </c>
    </row>
    <row r="2" customFormat="false" ht="15" hidden="false" customHeight="false" outlineLevel="0" collapsed="false">
      <c r="A2" s="0" t="s">
        <v>156</v>
      </c>
    </row>
    <row r="3" customFormat="false" ht="15" hidden="false" customHeight="false" outlineLevel="0" collapsed="false">
      <c r="A3" s="0" t="s">
        <v>157</v>
      </c>
      <c r="B3" s="4" t="n">
        <v>1</v>
      </c>
    </row>
    <row r="4" customFormat="false" ht="15" hidden="false" customHeight="false" outlineLevel="0" collapsed="false">
      <c r="A4" s="0" t="s">
        <v>158</v>
      </c>
      <c r="B4" s="0" t="n">
        <f aca="false">IF(ISNUMBER(SEARCH(Inputs!$C$63,Inputs!$D$23)),1,0)</f>
        <v>1</v>
      </c>
      <c r="C4" s="0" t="s">
        <v>159</v>
      </c>
    </row>
    <row r="6" customFormat="false" ht="28.35" hidden="false" customHeight="false" outlineLevel="0" collapsed="false">
      <c r="A6" s="3" t="s">
        <v>160</v>
      </c>
      <c r="B6" s="3" t="s">
        <v>161</v>
      </c>
      <c r="C6" s="3" t="s">
        <v>162</v>
      </c>
      <c r="D6" s="3" t="s">
        <v>163</v>
      </c>
      <c r="E6" s="3" t="s">
        <v>164</v>
      </c>
      <c r="F6" s="3" t="s">
        <v>165</v>
      </c>
      <c r="G6" s="3" t="s">
        <v>166</v>
      </c>
      <c r="H6" s="3" t="s">
        <v>167</v>
      </c>
    </row>
    <row r="7" customFormat="false" ht="15" hidden="false" customHeight="false" outlineLevel="0" collapsed="false">
      <c r="A7" s="0" t="s">
        <v>168</v>
      </c>
      <c r="B7" s="0" t="n">
        <f aca="false">$B$3</f>
        <v>1</v>
      </c>
      <c r="C7" s="4" t="n">
        <v>1</v>
      </c>
      <c r="D7" s="4" t="n">
        <v>0</v>
      </c>
    </row>
    <row r="8" customFormat="false" ht="15" hidden="false" customHeight="false" outlineLevel="0" collapsed="false">
      <c r="A8" s="0" t="s">
        <v>169</v>
      </c>
      <c r="B8" s="7" t="n">
        <f aca="false">ROUND((Inputs!$F$40-Inputs!$E$40)*24,4)</f>
        <v>66</v>
      </c>
      <c r="C8" s="7" t="n">
        <f aca="false">ROUND((Inputs!$F$40-Inputs!$E$40)*24,4)</f>
        <v>66</v>
      </c>
      <c r="D8" s="7" t="n">
        <f aca="false">ROUND((Inputs!$F$40-Inputs!$E$40)*24,4)</f>
        <v>66</v>
      </c>
      <c r="E8" s="10" t="n">
        <v>66</v>
      </c>
      <c r="F8" s="10" t="n">
        <v>66</v>
      </c>
      <c r="G8" s="11" t="b">
        <f aca="false">ABS(C8-E8)&lt;0.00005</f>
        <v>1</v>
      </c>
      <c r="H8" s="11" t="b">
        <f aca="false">ABS(D8-F8)&lt;0.00005</f>
        <v>1</v>
      </c>
    </row>
    <row r="9" customFormat="false" ht="15" hidden="false" customHeight="false" outlineLevel="0" collapsed="false">
      <c r="A9" s="0" t="s">
        <v>170</v>
      </c>
      <c r="B9" s="7" t="n">
        <f aca="false">Overlap!$E$21</f>
        <v>2</v>
      </c>
      <c r="C9" s="7" t="n">
        <f aca="false">Overlap!$E$21</f>
        <v>2</v>
      </c>
      <c r="D9" s="7" t="n">
        <f aca="false">Overlap!$E$21</f>
        <v>2</v>
      </c>
      <c r="E9" s="10" t="n">
        <v>2</v>
      </c>
      <c r="F9" s="10" t="n">
        <v>2</v>
      </c>
      <c r="G9" s="11" t="b">
        <f aca="false">ABS(C9-E9)&lt;0.00005</f>
        <v>1</v>
      </c>
      <c r="H9" s="11" t="b">
        <f aca="false">ABS(D9-F9)&lt;0.00005</f>
        <v>1</v>
      </c>
    </row>
    <row r="10" customFormat="false" ht="15" hidden="false" customHeight="false" outlineLevel="0" collapsed="false">
      <c r="A10" s="0" t="s">
        <v>171</v>
      </c>
      <c r="B10" s="7" t="n">
        <f aca="false">IF(B$7=1,ROUND(MAX(0,Overlap!$E$8-Overlap!$E$7)*24,4),0)</f>
        <v>65</v>
      </c>
      <c r="C10" s="7" t="n">
        <f aca="false">IF(C$7=1,ROUND(MAX(0,Overlap!$E$8-Overlap!$E$7)*24,4),0)</f>
        <v>65</v>
      </c>
      <c r="D10" s="7" t="n">
        <f aca="false">IF(D$7=1,ROUND(MAX(0,Overlap!$E$8-Overlap!$E$7)*24,4),0)</f>
        <v>0</v>
      </c>
      <c r="E10" s="10" t="n">
        <v>65</v>
      </c>
      <c r="F10" s="10" t="n">
        <v>0</v>
      </c>
      <c r="G10" s="11" t="b">
        <f aca="false">ABS(C10-E10)&lt;0.00005</f>
        <v>1</v>
      </c>
      <c r="H10" s="11" t="b">
        <f aca="false">ABS(D10-F10)&lt;0.00005</f>
        <v>1</v>
      </c>
    </row>
    <row r="11" customFormat="false" ht="15" hidden="false" customHeight="false" outlineLevel="0" collapsed="false">
      <c r="A11" s="0" t="s">
        <v>172</v>
      </c>
      <c r="B11" s="7" t="n">
        <f aca="false">IF(B$7=1,Overlap!$F$21,0)</f>
        <v>1</v>
      </c>
      <c r="C11" s="7" t="n">
        <f aca="false">IF(C$7=1,Overlap!$F$21,0)</f>
        <v>1</v>
      </c>
      <c r="D11" s="7" t="n">
        <f aca="false">IF(D$7=1,Overlap!$F$21,0)</f>
        <v>0</v>
      </c>
      <c r="E11" s="10" t="n">
        <v>1</v>
      </c>
      <c r="F11" s="10" t="n">
        <v>0</v>
      </c>
      <c r="G11" s="11" t="b">
        <f aca="false">ABS(C11-E11)&lt;0.00005</f>
        <v>1</v>
      </c>
      <c r="H11" s="11" t="b">
        <f aca="false">ABS(D11-F11)&lt;0.00005</f>
        <v>1</v>
      </c>
    </row>
    <row r="12" customFormat="false" ht="15" hidden="false" customHeight="false" outlineLevel="0" collapsed="false">
      <c r="A12" s="0" t="s">
        <v>173</v>
      </c>
      <c r="B12" s="7" t="n">
        <f aca="false">ROUND(MAX(0,B9-B11),4)</f>
        <v>1</v>
      </c>
      <c r="C12" s="7" t="n">
        <f aca="false">ROUND(MAX(0,C9-C11),4)</f>
        <v>1</v>
      </c>
      <c r="D12" s="7" t="n">
        <f aca="false">ROUND(MAX(0,D9-D11),4)</f>
        <v>2</v>
      </c>
      <c r="E12" s="10" t="n">
        <v>1</v>
      </c>
      <c r="F12" s="10" t="n">
        <v>2</v>
      </c>
      <c r="G12" s="11" t="b">
        <f aca="false">ABS(C12-E12)&lt;0.00005</f>
        <v>1</v>
      </c>
      <c r="H12" s="11" t="b">
        <f aca="false">ABS(D12-F12)&lt;0.00005</f>
        <v>1</v>
      </c>
    </row>
    <row r="13" customFormat="false" ht="15" hidden="false" customHeight="false" outlineLevel="0" collapsed="false">
      <c r="A13" s="0" t="s">
        <v>174</v>
      </c>
      <c r="B13" s="0" t="n">
        <f aca="false">Inputs!$C$23</f>
        <v>480</v>
      </c>
      <c r="C13" s="0" t="n">
        <f aca="false">Inputs!$C$23</f>
        <v>480</v>
      </c>
      <c r="D13" s="0" t="n">
        <f aca="false">Inputs!$C$23</f>
        <v>480</v>
      </c>
    </row>
    <row r="14" customFormat="false" ht="15" hidden="false" customHeight="false" outlineLevel="0" collapsed="false">
      <c r="A14" s="0" t="s">
        <v>175</v>
      </c>
      <c r="B14" s="0" t="n">
        <f aca="false">ROUND(B12*60,2)</f>
        <v>60</v>
      </c>
      <c r="C14" s="0" t="n">
        <f aca="false">ROUND(C12*60,2)</f>
        <v>60</v>
      </c>
      <c r="D14" s="0" t="n">
        <f aca="false">ROUND(D12*60,2)</f>
        <v>120</v>
      </c>
    </row>
    <row r="15" customFormat="false" ht="15" hidden="false" customHeight="false" outlineLevel="0" collapsed="false">
      <c r="A15" s="0" t="s">
        <v>176</v>
      </c>
      <c r="B15" s="0" t="str">
        <f aca="false">IF(B14&lt;=B13,"met","missed")</f>
        <v>met</v>
      </c>
      <c r="C15" s="0" t="str">
        <f aca="false">IF(C14&lt;=C13,"met","missed")</f>
        <v>met</v>
      </c>
      <c r="D15" s="0" t="str">
        <f aca="false">IF(D14&lt;=D13,"met","missed")</f>
        <v>met</v>
      </c>
    </row>
    <row r="16" customFormat="false" ht="15" hidden="false" customHeight="false" outlineLevel="0" collapsed="false">
      <c r="A16" s="0" t="s">
        <v>177</v>
      </c>
      <c r="B16" s="12" t="n">
        <f aca="false">IF(B15="met",1,0)/1</f>
        <v>1</v>
      </c>
      <c r="C16" s="12" t="n">
        <f aca="false">IF(C15="met",1,0)/1</f>
        <v>1</v>
      </c>
      <c r="D16" s="12" t="n">
        <f aca="false">IF(D15="met",1,0)/1</f>
        <v>1</v>
      </c>
      <c r="E16" s="13" t="n">
        <v>1</v>
      </c>
      <c r="F16" s="13" t="n">
        <v>1</v>
      </c>
      <c r="G16" s="11" t="b">
        <f aca="false">ABS(C16-E16)&lt;0.0000005</f>
        <v>1</v>
      </c>
      <c r="H16" s="11" t="b">
        <f aca="false">ABS(D16-F16)&lt;0.0000005</f>
        <v>1</v>
      </c>
    </row>
    <row r="18" customFormat="false" ht="15" hidden="false" customHeight="false" outlineLevel="0" collapsed="false">
      <c r="A18" s="2" t="s">
        <v>178</v>
      </c>
      <c r="B18" s="11" t="b">
        <f aca="false">AND(G8:H12,G16:H16)</f>
        <v>1</v>
      </c>
    </row>
    <row r="20" customFormat="false" ht="15" hidden="false" customHeight="false" outlineLevel="0" collapsed="false">
      <c r="A20" s="0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0"/>
  </cols>
  <sheetData>
    <row r="1" customFormat="false" ht="17.35" hidden="false" customHeight="false" outlineLevel="0" collapsed="false">
      <c r="A1" s="1" t="s">
        <v>180</v>
      </c>
    </row>
    <row r="3" customFormat="false" ht="15" hidden="false" customHeight="false" outlineLevel="0" collapsed="false">
      <c r="A3" s="3" t="s">
        <v>181</v>
      </c>
      <c r="B3" s="3" t="s">
        <v>182</v>
      </c>
    </row>
    <row r="4" customFormat="false" ht="41.75" hidden="false" customHeight="false" outlineLevel="0" collapsed="false">
      <c r="A4" s="2" t="s">
        <v>183</v>
      </c>
      <c r="B4" s="14" t="s">
        <v>184</v>
      </c>
    </row>
    <row r="5" customFormat="false" ht="28.35" hidden="false" customHeight="false" outlineLevel="0" collapsed="false">
      <c r="A5" s="2" t="s">
        <v>185</v>
      </c>
      <c r="B5" s="14" t="s">
        <v>186</v>
      </c>
    </row>
    <row r="6" customFormat="false" ht="28.35" hidden="false" customHeight="false" outlineLevel="0" collapsed="false">
      <c r="A6" s="2" t="s">
        <v>187</v>
      </c>
      <c r="B6" s="14" t="s">
        <v>188</v>
      </c>
    </row>
    <row r="7" customFormat="false" ht="28.35" hidden="false" customHeight="false" outlineLevel="0" collapsed="false">
      <c r="A7" s="2" t="s">
        <v>189</v>
      </c>
      <c r="B7" s="14" t="s">
        <v>190</v>
      </c>
    </row>
    <row r="8" customFormat="false" ht="28.35" hidden="false" customHeight="false" outlineLevel="0" collapsed="false">
      <c r="A8" s="2" t="s">
        <v>191</v>
      </c>
      <c r="B8" s="14" t="s">
        <v>192</v>
      </c>
    </row>
    <row r="9" customFormat="false" ht="28.35" hidden="false" customHeight="false" outlineLevel="0" collapsed="false">
      <c r="A9" s="2" t="s">
        <v>193</v>
      </c>
      <c r="B9" s="14" t="s">
        <v>194</v>
      </c>
    </row>
    <row r="10" customFormat="false" ht="28.35" hidden="false" customHeight="false" outlineLevel="0" collapsed="false">
      <c r="A10" s="2" t="s">
        <v>195</v>
      </c>
      <c r="B10" s="14" t="s">
        <v>196</v>
      </c>
    </row>
    <row r="11" customFormat="false" ht="28.35" hidden="false" customHeight="false" outlineLevel="0" collapsed="false">
      <c r="A11" s="2" t="s">
        <v>197</v>
      </c>
      <c r="B11" s="14" t="s">
        <v>198</v>
      </c>
    </row>
    <row r="12" customFormat="false" ht="28.35" hidden="false" customHeight="false" outlineLevel="0" collapsed="false">
      <c r="A12" s="2" t="s">
        <v>199</v>
      </c>
      <c r="B12" s="14" t="s">
        <v>200</v>
      </c>
    </row>
    <row r="13" customFormat="false" ht="15" hidden="false" customHeight="false" outlineLevel="0" collapsed="false">
      <c r="A13" s="2" t="s">
        <v>201</v>
      </c>
      <c r="B13" s="14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2"/>
    <col collapsed="false" customWidth="true" hidden="false" outlineLevel="0" max="11" min="4" style="0" width="16"/>
  </cols>
  <sheetData>
    <row r="1" customFormat="false" ht="15" hidden="false" customHeight="false" outlineLevel="0" collapsed="false">
      <c r="A1" s="15" t="s">
        <v>203</v>
      </c>
    </row>
    <row r="2" customFormat="false" ht="15" hidden="false" customHeight="false" outlineLevel="0" collapsed="false">
      <c r="A2" s="0" t="s">
        <v>204</v>
      </c>
    </row>
    <row r="4" customFormat="false" ht="15" hidden="false" customHeight="false" outlineLevel="0" collapsed="false">
      <c r="A4" s="16" t="s">
        <v>205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customFormat="false" ht="15" hidden="false" customHeight="false" outlineLevel="0" collapsed="false">
      <c r="A5" s="3" t="s">
        <v>206</v>
      </c>
      <c r="B5" s="3" t="s">
        <v>207</v>
      </c>
      <c r="C5" s="3" t="s">
        <v>208</v>
      </c>
      <c r="D5" s="3" t="s">
        <v>209</v>
      </c>
      <c r="E5" s="3" t="s">
        <v>210</v>
      </c>
      <c r="F5" s="3" t="s">
        <v>211</v>
      </c>
    </row>
    <row r="6" customFormat="false" ht="15" hidden="false" customHeight="false" outlineLevel="0" collapsed="false">
      <c r="A6" s="0" t="s">
        <v>212</v>
      </c>
      <c r="B6" s="0" t="n">
        <v>48</v>
      </c>
      <c r="C6" s="0" t="n">
        <v>79.3858</v>
      </c>
      <c r="D6" s="0" t="n">
        <v>19.5469</v>
      </c>
      <c r="E6" s="0" t="n">
        <v>4.06</v>
      </c>
      <c r="F6" s="0" t="n">
        <v>9.133</v>
      </c>
    </row>
    <row r="7" customFormat="false" ht="15" hidden="false" customHeight="false" outlineLevel="0" collapsed="false">
      <c r="A7" s="0" t="s">
        <v>213</v>
      </c>
      <c r="B7" s="0" t="n">
        <v>43</v>
      </c>
      <c r="C7" s="0" t="n">
        <v>100.6601</v>
      </c>
      <c r="D7" s="0" t="n">
        <v>22.2647</v>
      </c>
      <c r="E7" s="0" t="n">
        <v>4.52</v>
      </c>
      <c r="F7" s="0" t="n">
        <v>9.4512</v>
      </c>
    </row>
    <row r="8" customFormat="false" ht="15" hidden="false" customHeight="false" outlineLevel="0" collapsed="false">
      <c r="A8" s="0" t="s">
        <v>214</v>
      </c>
      <c r="B8" s="0" t="n">
        <v>42</v>
      </c>
      <c r="C8" s="0" t="n">
        <v>82.3552</v>
      </c>
      <c r="D8" s="0" t="n">
        <v>18.8683</v>
      </c>
      <c r="E8" s="0" t="n">
        <v>4.36</v>
      </c>
      <c r="F8" s="0" t="n">
        <v>8.923</v>
      </c>
    </row>
    <row r="9" customFormat="false" ht="15" hidden="false" customHeight="false" outlineLevel="0" collapsed="false">
      <c r="A9" s="0" t="s">
        <v>215</v>
      </c>
      <c r="B9" s="0" t="n">
        <v>43</v>
      </c>
      <c r="C9" s="0" t="n">
        <v>89.8244</v>
      </c>
      <c r="D9" s="0" t="n">
        <v>22.1333</v>
      </c>
      <c r="E9" s="0" t="n">
        <v>4.06</v>
      </c>
      <c r="F9" s="0" t="n">
        <v>9.674</v>
      </c>
    </row>
    <row r="10" customFormat="false" ht="15" hidden="false" customHeight="false" outlineLevel="0" collapsed="false">
      <c r="A10" s="0" t="s">
        <v>216</v>
      </c>
      <c r="B10" s="0" t="n">
        <v>36</v>
      </c>
      <c r="C10" s="0" t="n">
        <v>78.3065</v>
      </c>
      <c r="D10" s="0" t="n">
        <v>17.3954</v>
      </c>
      <c r="E10" s="0" t="n">
        <v>4.5</v>
      </c>
      <c r="F10" s="0" t="n">
        <v>8.8218</v>
      </c>
    </row>
    <row r="11" customFormat="false" ht="15" hidden="false" customHeight="false" outlineLevel="0" collapsed="false">
      <c r="A11" s="0" t="s">
        <v>217</v>
      </c>
      <c r="B11" s="0" t="n">
        <v>40</v>
      </c>
      <c r="C11" s="0" t="n">
        <v>88.0121</v>
      </c>
      <c r="D11" s="0" t="n">
        <v>20.2433</v>
      </c>
      <c r="E11" s="0" t="n">
        <v>4.35</v>
      </c>
      <c r="F11" s="0" t="n">
        <v>9.2867</v>
      </c>
    </row>
    <row r="12" customFormat="false" ht="15" hidden="false" customHeight="false" outlineLevel="0" collapsed="false">
      <c r="A12" s="0" t="s">
        <v>218</v>
      </c>
      <c r="B12" s="0" t="n">
        <v>34</v>
      </c>
      <c r="C12" s="0" t="n">
        <v>79.4838</v>
      </c>
      <c r="D12" s="0" t="n">
        <v>18.3074</v>
      </c>
      <c r="E12" s="0" t="n">
        <v>4.34</v>
      </c>
      <c r="F12" s="0" t="n">
        <v>6.5716</v>
      </c>
    </row>
    <row r="13" customFormat="false" ht="15" hidden="false" customHeight="false" outlineLevel="0" collapsed="false">
      <c r="A13" s="0" t="s">
        <v>219</v>
      </c>
      <c r="B13" s="0" t="n">
        <v>35</v>
      </c>
      <c r="C13" s="0" t="n">
        <v>76.8433</v>
      </c>
      <c r="D13" s="0" t="n">
        <v>17.2624</v>
      </c>
      <c r="E13" s="0" t="n">
        <v>4.45</v>
      </c>
      <c r="F13" s="0" t="n">
        <v>7.0233</v>
      </c>
    </row>
    <row r="14" customFormat="false" ht="15" hidden="false" customHeight="false" outlineLevel="0" collapsed="false">
      <c r="A14" s="0" t="s">
        <v>220</v>
      </c>
      <c r="B14" s="0" t="n">
        <v>40</v>
      </c>
      <c r="C14" s="0" t="n">
        <v>74.5975</v>
      </c>
      <c r="D14" s="0" t="n">
        <v>17.1975</v>
      </c>
      <c r="E14" s="0" t="n">
        <v>4.34</v>
      </c>
      <c r="F14" s="0" t="n">
        <v>6.56</v>
      </c>
    </row>
    <row r="15" customFormat="false" ht="15" hidden="false" customHeight="false" outlineLevel="0" collapsed="false">
      <c r="A15" s="0" t="s">
        <v>221</v>
      </c>
      <c r="B15" s="0" t="n">
        <v>43</v>
      </c>
      <c r="C15" s="0" t="n">
        <v>85.3535</v>
      </c>
      <c r="D15" s="0" t="n">
        <v>18.4484</v>
      </c>
      <c r="E15" s="0" t="n">
        <v>4.63</v>
      </c>
      <c r="F15" s="0" t="n">
        <v>7.2535</v>
      </c>
    </row>
    <row r="16" customFormat="false" ht="15" hidden="false" customHeight="false" outlineLevel="0" collapsed="false">
      <c r="A16" s="0" t="s">
        <v>222</v>
      </c>
      <c r="B16" s="0" t="n">
        <v>32</v>
      </c>
      <c r="C16" s="0" t="n">
        <v>66.876</v>
      </c>
      <c r="D16" s="0" t="n">
        <v>16.3729</v>
      </c>
      <c r="E16" s="0" t="n">
        <v>4.08</v>
      </c>
      <c r="F16" s="0" t="n">
        <v>6.9604</v>
      </c>
    </row>
    <row r="17" customFormat="false" ht="15" hidden="false" customHeight="false" outlineLevel="0" collapsed="false">
      <c r="A17" s="0" t="s">
        <v>223</v>
      </c>
      <c r="B17" s="0" t="n">
        <v>40</v>
      </c>
      <c r="C17" s="0" t="n">
        <v>73.6108</v>
      </c>
      <c r="D17" s="0" t="n">
        <v>17.0958</v>
      </c>
      <c r="E17" s="0" t="n">
        <v>4.31</v>
      </c>
      <c r="F17" s="0" t="n">
        <v>7.3067</v>
      </c>
    </row>
    <row r="18" customFormat="false" ht="15" hidden="false" customHeight="false" outlineLevel="0" collapsed="false">
      <c r="A18" s="0" t="s">
        <v>224</v>
      </c>
      <c r="B18" s="0" t="n">
        <v>43</v>
      </c>
      <c r="C18" s="0" t="n">
        <v>81.2508</v>
      </c>
      <c r="D18" s="0" t="n">
        <v>18.3671</v>
      </c>
      <c r="E18" s="0" t="n">
        <v>4.42</v>
      </c>
      <c r="F18" s="0" t="n">
        <v>7.3721</v>
      </c>
    </row>
    <row r="19" customFormat="false" ht="15" hidden="false" customHeight="false" outlineLevel="0" collapsed="false">
      <c r="A19" s="0" t="s">
        <v>225</v>
      </c>
      <c r="B19" s="0" t="n">
        <v>42</v>
      </c>
      <c r="C19" s="0" t="n">
        <v>69.1893</v>
      </c>
      <c r="D19" s="0" t="n">
        <v>16.4083</v>
      </c>
      <c r="E19" s="0" t="n">
        <v>4.22</v>
      </c>
      <c r="F19" s="0" t="n">
        <v>6.9956</v>
      </c>
    </row>
    <row r="20" customFormat="false" ht="15" hidden="false" customHeight="false" outlineLevel="0" collapsed="false">
      <c r="A20" s="0" t="s">
        <v>226</v>
      </c>
      <c r="B20" s="0" t="n">
        <v>45</v>
      </c>
      <c r="C20" s="0" t="n">
        <v>72.0448</v>
      </c>
      <c r="D20" s="0" t="n">
        <v>17.1744</v>
      </c>
      <c r="E20" s="0" t="n">
        <v>4.19</v>
      </c>
      <c r="F20" s="0" t="n">
        <v>7.5315</v>
      </c>
    </row>
    <row r="21" customFormat="false" ht="15" hidden="false" customHeight="false" outlineLevel="0" collapsed="false">
      <c r="A21" s="0" t="s">
        <v>227</v>
      </c>
      <c r="B21" s="0" t="n">
        <v>29</v>
      </c>
      <c r="C21" s="0" t="n">
        <v>100.054</v>
      </c>
      <c r="D21" s="0" t="n">
        <v>21.2994</v>
      </c>
      <c r="E21" s="0" t="n">
        <v>4.7</v>
      </c>
      <c r="F21" s="0" t="n">
        <v>7.7989</v>
      </c>
    </row>
    <row r="22" customFormat="false" ht="15" hidden="false" customHeight="false" outlineLevel="0" collapsed="false">
      <c r="A22" s="0" t="s">
        <v>228</v>
      </c>
      <c r="B22" s="0" t="n">
        <v>36</v>
      </c>
      <c r="C22" s="0" t="n">
        <v>69.2806</v>
      </c>
      <c r="D22" s="0" t="n">
        <v>17.2657</v>
      </c>
      <c r="E22" s="0" t="n">
        <v>4.01</v>
      </c>
      <c r="F22" s="0" t="n">
        <v>7.1569</v>
      </c>
    </row>
    <row r="23" customFormat="false" ht="15" hidden="false" customHeight="false" outlineLevel="0" collapsed="false">
      <c r="A23" s="0" t="s">
        <v>229</v>
      </c>
      <c r="B23" s="0" t="n">
        <v>41</v>
      </c>
      <c r="C23" s="0" t="n">
        <v>72.1634</v>
      </c>
      <c r="D23" s="0" t="n">
        <v>16.8679</v>
      </c>
      <c r="E23" s="0" t="n">
        <v>4.28</v>
      </c>
      <c r="F23" s="0" t="n">
        <v>7.5492</v>
      </c>
    </row>
    <row r="24" customFormat="false" ht="15" hidden="false" customHeight="false" outlineLevel="0" collapsed="false">
      <c r="A24" s="0" t="s">
        <v>230</v>
      </c>
      <c r="B24" s="0" t="n">
        <v>712</v>
      </c>
      <c r="C24" s="0" t="n">
        <v>79.9529</v>
      </c>
      <c r="D24" s="0" t="n">
        <v>18.5028</v>
      </c>
      <c r="E24" s="0" t="n">
        <v>4.32</v>
      </c>
      <c r="F24" s="0" t="n">
        <v>7.902</v>
      </c>
    </row>
    <row r="27" customFormat="false" ht="15" hidden="false" customHeight="false" outlineLevel="0" collapsed="false">
      <c r="A27" s="16" t="s">
        <v>231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customFormat="false" ht="28.35" hidden="false" customHeight="false" outlineLevel="0" collapsed="false">
      <c r="A28" s="3" t="s">
        <v>232</v>
      </c>
      <c r="B28" s="3" t="s">
        <v>233</v>
      </c>
      <c r="C28" s="3" t="s">
        <v>207</v>
      </c>
      <c r="D28" s="3" t="s">
        <v>234</v>
      </c>
      <c r="E28" s="3" t="s">
        <v>209</v>
      </c>
      <c r="F28" s="3" t="s">
        <v>235</v>
      </c>
      <c r="G28" s="3" t="s">
        <v>211</v>
      </c>
      <c r="H28" s="3" t="s">
        <v>236</v>
      </c>
      <c r="I28" s="3" t="s">
        <v>237</v>
      </c>
      <c r="J28" s="3" t="s">
        <v>238</v>
      </c>
      <c r="K28" s="3" t="s">
        <v>239</v>
      </c>
      <c r="L28" s="3" t="s">
        <v>240</v>
      </c>
      <c r="M28" s="3" t="s">
        <v>241</v>
      </c>
      <c r="N28" s="3" t="s">
        <v>242</v>
      </c>
      <c r="O28" s="3" t="s">
        <v>243</v>
      </c>
    </row>
    <row r="29" customFormat="false" ht="15" hidden="false" customHeight="false" outlineLevel="0" collapsed="false">
      <c r="A29" s="0" t="s">
        <v>244</v>
      </c>
      <c r="B29" s="0" t="s">
        <v>18</v>
      </c>
      <c r="C29" s="0" t="n">
        <v>430</v>
      </c>
      <c r="D29" s="0" t="n">
        <v>13</v>
      </c>
      <c r="E29" s="0" t="n">
        <v>19.5686</v>
      </c>
      <c r="F29" s="0" t="n">
        <v>10.3334</v>
      </c>
      <c r="G29" s="0" t="n">
        <v>9.2352</v>
      </c>
      <c r="H29" s="0" t="n">
        <v>1.7442</v>
      </c>
      <c r="I29" s="0" t="n">
        <v>1.1093</v>
      </c>
      <c r="J29" s="0" t="n">
        <v>0.260465</v>
      </c>
      <c r="K29" s="0" t="n">
        <v>0.074419</v>
      </c>
      <c r="L29" s="0" t="n">
        <v>0.180995</v>
      </c>
      <c r="M29" s="0" t="n">
        <v>0.920849</v>
      </c>
      <c r="N29" s="0" t="n">
        <v>24.7</v>
      </c>
      <c r="O29" s="0" t="n">
        <v>22.1</v>
      </c>
    </row>
    <row r="30" customFormat="false" ht="15" hidden="false" customHeight="false" outlineLevel="0" collapsed="false">
      <c r="A30" s="0" t="s">
        <v>244</v>
      </c>
      <c r="B30" s="0" t="s">
        <v>245</v>
      </c>
      <c r="C30" s="0" t="n">
        <v>282</v>
      </c>
      <c r="D30" s="0" t="n">
        <v>8</v>
      </c>
      <c r="E30" s="0" t="n">
        <v>16.8776</v>
      </c>
      <c r="F30" s="0" t="n">
        <v>11.0086</v>
      </c>
      <c r="G30" s="0" t="n">
        <v>5.869</v>
      </c>
      <c r="H30" s="0" t="n">
        <v>1.2797</v>
      </c>
      <c r="I30" s="0" t="n">
        <v>0.8865</v>
      </c>
      <c r="J30" s="0" t="n">
        <v>0.950355</v>
      </c>
      <c r="K30" s="0" t="n">
        <v>0.29078</v>
      </c>
      <c r="L30" s="0" t="n">
        <v>0.193772</v>
      </c>
      <c r="M30" s="0" t="n">
        <v>0.941718</v>
      </c>
      <c r="N30" s="0" t="n">
        <v>18.4</v>
      </c>
      <c r="O30" s="0" t="n">
        <v>21.6</v>
      </c>
    </row>
    <row r="31" customFormat="false" ht="15" hidden="false" customHeight="false" outlineLevel="0" collapsed="false">
      <c r="A31" s="0" t="s">
        <v>246</v>
      </c>
      <c r="B31" s="0" t="s">
        <v>18</v>
      </c>
      <c r="C31" s="0" t="n">
        <v>178</v>
      </c>
      <c r="D31" s="0" t="n">
        <v>10</v>
      </c>
      <c r="E31" s="0" t="n">
        <v>18.7568</v>
      </c>
      <c r="F31" s="0" t="n">
        <v>9.5066</v>
      </c>
      <c r="G31" s="0" t="n">
        <v>9.2503</v>
      </c>
      <c r="H31" s="0" t="n">
        <v>1.7311</v>
      </c>
      <c r="I31" s="0" t="n">
        <v>1.2135</v>
      </c>
      <c r="J31" s="0" t="n">
        <v>0.258427</v>
      </c>
      <c r="K31" s="0" t="n">
        <v>0.05618</v>
      </c>
      <c r="L31" s="0" t="n">
        <v>0.160428</v>
      </c>
      <c r="M31" s="0" t="n">
        <v>0.933036</v>
      </c>
      <c r="N31" s="0" t="n">
        <v>20.2</v>
      </c>
      <c r="O31" s="0" t="n">
        <v>22.5</v>
      </c>
    </row>
    <row r="32" customFormat="false" ht="15" hidden="false" customHeight="false" outlineLevel="0" collapsed="false">
      <c r="A32" s="0" t="s">
        <v>246</v>
      </c>
      <c r="B32" s="0" t="s">
        <v>245</v>
      </c>
      <c r="C32" s="0" t="n">
        <v>282</v>
      </c>
      <c r="D32" s="0" t="n">
        <v>8</v>
      </c>
      <c r="E32" s="0" t="n">
        <v>16.8776</v>
      </c>
      <c r="F32" s="0" t="n">
        <v>11.0086</v>
      </c>
      <c r="G32" s="0" t="n">
        <v>5.869</v>
      </c>
      <c r="H32" s="0" t="n">
        <v>1.2797</v>
      </c>
      <c r="I32" s="0" t="n">
        <v>0.8865</v>
      </c>
      <c r="J32" s="0" t="n">
        <v>0.950355</v>
      </c>
      <c r="K32" s="0" t="n">
        <v>0.29078</v>
      </c>
      <c r="L32" s="0" t="n">
        <v>0.193772</v>
      </c>
      <c r="M32" s="0" t="n">
        <v>0.941718</v>
      </c>
      <c r="N32" s="0" t="n">
        <v>18.4</v>
      </c>
      <c r="O32" s="0" t="n">
        <v>21.6</v>
      </c>
    </row>
    <row r="35" customFormat="false" ht="15" hidden="false" customHeight="false" outlineLevel="0" collapsed="false">
      <c r="A35" s="16" t="s">
        <v>247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customFormat="false" ht="28.35" hidden="false" customHeight="false" outlineLevel="0" collapsed="false">
      <c r="A36" s="3" t="s">
        <v>5</v>
      </c>
      <c r="B36" s="3" t="s">
        <v>6</v>
      </c>
      <c r="C36" s="3" t="s">
        <v>207</v>
      </c>
      <c r="D36" s="3" t="s">
        <v>248</v>
      </c>
      <c r="E36" s="3" t="s">
        <v>238</v>
      </c>
      <c r="F36" s="3" t="s">
        <v>249</v>
      </c>
      <c r="G36" s="3" t="s">
        <v>211</v>
      </c>
      <c r="H36" s="3" t="s">
        <v>250</v>
      </c>
    </row>
    <row r="37" customFormat="false" ht="15" hidden="false" customHeight="false" outlineLevel="0" collapsed="false">
      <c r="A37" s="0" t="s">
        <v>251</v>
      </c>
      <c r="B37" s="0" t="s">
        <v>252</v>
      </c>
      <c r="C37" s="0" t="n">
        <v>50</v>
      </c>
      <c r="D37" s="0" t="n">
        <v>25</v>
      </c>
      <c r="E37" s="0" t="n">
        <v>0.5</v>
      </c>
      <c r="F37" s="0" t="n">
        <v>2</v>
      </c>
      <c r="G37" s="0" t="n">
        <v>8.028</v>
      </c>
      <c r="H37" s="0" t="n">
        <v>34</v>
      </c>
    </row>
    <row r="38" customFormat="false" ht="15" hidden="false" customHeight="false" outlineLevel="0" collapsed="false">
      <c r="A38" s="0" t="s">
        <v>251</v>
      </c>
      <c r="B38" s="0" t="s">
        <v>253</v>
      </c>
      <c r="C38" s="0" t="n">
        <v>29</v>
      </c>
      <c r="D38" s="0" t="n">
        <v>15</v>
      </c>
      <c r="E38" s="0" t="n">
        <v>0.517241</v>
      </c>
      <c r="F38" s="0" t="n">
        <v>1</v>
      </c>
      <c r="G38" s="0" t="n">
        <v>8.1408</v>
      </c>
      <c r="H38" s="0" t="n">
        <v>37.9</v>
      </c>
    </row>
    <row r="39" customFormat="false" ht="15" hidden="false" customHeight="false" outlineLevel="0" collapsed="false">
      <c r="A39" s="0" t="s">
        <v>251</v>
      </c>
      <c r="B39" s="0" t="s">
        <v>254</v>
      </c>
      <c r="C39" s="0" t="n">
        <v>43</v>
      </c>
      <c r="D39" s="0" t="n">
        <v>20</v>
      </c>
      <c r="E39" s="0" t="n">
        <v>0.465116</v>
      </c>
      <c r="F39" s="0" t="n">
        <v>1</v>
      </c>
      <c r="G39" s="0" t="n">
        <v>8.3554</v>
      </c>
      <c r="H39" s="0" t="n">
        <v>30.2</v>
      </c>
    </row>
    <row r="40" customFormat="false" ht="15" hidden="false" customHeight="false" outlineLevel="0" collapsed="false">
      <c r="A40" s="0" t="s">
        <v>251</v>
      </c>
      <c r="B40" s="0" t="s">
        <v>255</v>
      </c>
      <c r="C40" s="0" t="n">
        <v>36</v>
      </c>
      <c r="D40" s="0" t="n">
        <v>19</v>
      </c>
      <c r="E40" s="0" t="n">
        <v>0.527778</v>
      </c>
      <c r="F40" s="0" t="n">
        <v>0</v>
      </c>
      <c r="G40" s="0" t="n">
        <v>7.9074</v>
      </c>
      <c r="H40" s="0" t="n">
        <v>30.6</v>
      </c>
    </row>
    <row r="41" customFormat="false" ht="15" hidden="false" customHeight="false" outlineLevel="0" collapsed="false">
      <c r="A41" s="0" t="s">
        <v>251</v>
      </c>
      <c r="B41" s="0" t="s">
        <v>256</v>
      </c>
      <c r="C41" s="0" t="n">
        <v>158</v>
      </c>
      <c r="D41" s="0" t="n">
        <v>79</v>
      </c>
      <c r="E41" s="0" t="n">
        <v>0.5</v>
      </c>
      <c r="F41" s="0" t="n">
        <v>4</v>
      </c>
      <c r="G41" s="0" t="n">
        <v>8.1103</v>
      </c>
      <c r="H41" s="0" t="n">
        <v>32.9</v>
      </c>
    </row>
    <row r="42" customFormat="false" ht="15" hidden="false" customHeight="false" outlineLevel="0" collapsed="false">
      <c r="A42" s="0" t="s">
        <v>257</v>
      </c>
      <c r="B42" s="0" t="s">
        <v>252</v>
      </c>
      <c r="C42" s="0" t="n">
        <v>64</v>
      </c>
      <c r="D42" s="0" t="n">
        <v>38</v>
      </c>
      <c r="E42" s="0" t="n">
        <v>0.59375</v>
      </c>
      <c r="F42" s="0" t="n">
        <v>1</v>
      </c>
      <c r="G42" s="0" t="n">
        <v>7.6661</v>
      </c>
      <c r="H42" s="0" t="n">
        <v>46.9</v>
      </c>
    </row>
    <row r="43" customFormat="false" ht="15" hidden="false" customHeight="false" outlineLevel="0" collapsed="false">
      <c r="A43" s="0" t="s">
        <v>257</v>
      </c>
      <c r="B43" s="0" t="s">
        <v>253</v>
      </c>
      <c r="C43" s="0" t="n">
        <v>61</v>
      </c>
      <c r="D43" s="0" t="n">
        <v>25</v>
      </c>
      <c r="E43" s="0" t="n">
        <v>0.409836</v>
      </c>
      <c r="F43" s="0" t="n">
        <v>1</v>
      </c>
      <c r="G43" s="0" t="n">
        <v>8.15</v>
      </c>
      <c r="H43" s="0" t="n">
        <v>31.1</v>
      </c>
    </row>
    <row r="44" customFormat="false" ht="15" hidden="false" customHeight="false" outlineLevel="0" collapsed="false">
      <c r="A44" s="0" t="s">
        <v>257</v>
      </c>
      <c r="B44" s="0" t="s">
        <v>254</v>
      </c>
      <c r="C44" s="0" t="n">
        <v>66</v>
      </c>
      <c r="D44" s="0" t="n">
        <v>32</v>
      </c>
      <c r="E44" s="0" t="n">
        <v>0.484848</v>
      </c>
      <c r="F44" s="0" t="n">
        <v>3</v>
      </c>
      <c r="G44" s="0" t="n">
        <v>8.3442</v>
      </c>
      <c r="H44" s="0" t="n">
        <v>37.9</v>
      </c>
    </row>
    <row r="45" customFormat="false" ht="15" hidden="false" customHeight="false" outlineLevel="0" collapsed="false">
      <c r="A45" s="0" t="s">
        <v>257</v>
      </c>
      <c r="B45" s="0" t="s">
        <v>255</v>
      </c>
      <c r="C45" s="0" t="n">
        <v>71</v>
      </c>
      <c r="D45" s="0" t="n">
        <v>40</v>
      </c>
      <c r="E45" s="0" t="n">
        <v>0.56338</v>
      </c>
      <c r="F45" s="0" t="n">
        <v>0</v>
      </c>
      <c r="G45" s="0" t="n">
        <v>7.6885</v>
      </c>
      <c r="H45" s="0" t="n">
        <v>45.1</v>
      </c>
    </row>
    <row r="46" customFormat="false" ht="15" hidden="false" customHeight="false" outlineLevel="0" collapsed="false">
      <c r="A46" s="0" t="s">
        <v>257</v>
      </c>
      <c r="B46" s="0" t="s">
        <v>256</v>
      </c>
      <c r="C46" s="0" t="n">
        <v>262</v>
      </c>
      <c r="D46" s="0" t="n">
        <v>135</v>
      </c>
      <c r="E46" s="0" t="n">
        <v>0.515267</v>
      </c>
      <c r="F46" s="0" t="n">
        <v>5</v>
      </c>
      <c r="G46" s="0" t="n">
        <v>7.9557</v>
      </c>
      <c r="H46" s="0" t="n">
        <v>40.5</v>
      </c>
    </row>
    <row r="47" customFormat="false" ht="15" hidden="false" customHeight="false" outlineLevel="0" collapsed="false">
      <c r="A47" s="0" t="s">
        <v>10</v>
      </c>
      <c r="B47" s="0" t="s">
        <v>252</v>
      </c>
      <c r="C47" s="0" t="n">
        <v>81</v>
      </c>
      <c r="D47" s="0" t="n">
        <v>48</v>
      </c>
      <c r="E47" s="0" t="n">
        <v>0.592593</v>
      </c>
      <c r="F47" s="0" t="n">
        <v>5</v>
      </c>
      <c r="G47" s="0" t="n">
        <v>7.6617</v>
      </c>
      <c r="H47" s="0" t="n">
        <v>45.7</v>
      </c>
    </row>
    <row r="48" customFormat="false" ht="15" hidden="false" customHeight="false" outlineLevel="0" collapsed="false">
      <c r="A48" s="0" t="s">
        <v>10</v>
      </c>
      <c r="B48" s="0" t="s">
        <v>253</v>
      </c>
      <c r="C48" s="0" t="n">
        <v>66</v>
      </c>
      <c r="D48" s="0" t="n">
        <v>45</v>
      </c>
      <c r="E48" s="0" t="n">
        <v>0.681818</v>
      </c>
      <c r="F48" s="0" t="n">
        <v>3</v>
      </c>
      <c r="G48" s="0" t="n">
        <v>7.2793</v>
      </c>
      <c r="H48" s="0" t="n">
        <v>47</v>
      </c>
    </row>
    <row r="49" customFormat="false" ht="15" hidden="false" customHeight="false" outlineLevel="0" collapsed="false">
      <c r="A49" s="0" t="s">
        <v>10</v>
      </c>
      <c r="B49" s="0" t="s">
        <v>254</v>
      </c>
      <c r="C49" s="0" t="n">
        <v>77</v>
      </c>
      <c r="D49" s="0" t="n">
        <v>34</v>
      </c>
      <c r="E49" s="0" t="n">
        <v>0.441558</v>
      </c>
      <c r="F49" s="0" t="n">
        <v>3</v>
      </c>
      <c r="G49" s="0" t="n">
        <v>8.1045</v>
      </c>
      <c r="H49" s="0" t="n">
        <v>39</v>
      </c>
    </row>
    <row r="50" customFormat="false" ht="15" hidden="false" customHeight="false" outlineLevel="0" collapsed="false">
      <c r="A50" s="0" t="s">
        <v>10</v>
      </c>
      <c r="B50" s="0" t="s">
        <v>255</v>
      </c>
      <c r="C50" s="0" t="n">
        <v>68</v>
      </c>
      <c r="D50" s="0" t="n">
        <v>39</v>
      </c>
      <c r="E50" s="0" t="n">
        <v>0.573529</v>
      </c>
      <c r="F50" s="0" t="n">
        <v>1</v>
      </c>
      <c r="G50" s="0" t="n">
        <v>7.8721</v>
      </c>
      <c r="H50" s="0" t="n">
        <v>38.2</v>
      </c>
    </row>
    <row r="51" customFormat="false" ht="15" hidden="false" customHeight="false" outlineLevel="0" collapsed="false">
      <c r="A51" s="0" t="s">
        <v>10</v>
      </c>
      <c r="B51" s="0" t="s">
        <v>256</v>
      </c>
      <c r="C51" s="0" t="n">
        <v>292</v>
      </c>
      <c r="D51" s="0" t="n">
        <v>166</v>
      </c>
      <c r="E51" s="0" t="n">
        <v>0.568493</v>
      </c>
      <c r="F51" s="0" t="n">
        <v>12</v>
      </c>
      <c r="G51" s="0" t="n">
        <v>7.741</v>
      </c>
      <c r="H51" s="0" t="n">
        <v>42.5</v>
      </c>
    </row>
    <row r="52" customFormat="false" ht="15" hidden="false" customHeight="false" outlineLevel="0" collapsed="false">
      <c r="A52" s="0" t="s">
        <v>256</v>
      </c>
      <c r="B52" s="0" t="s">
        <v>252</v>
      </c>
      <c r="C52" s="0" t="n">
        <v>195</v>
      </c>
      <c r="D52" s="0" t="n">
        <v>111</v>
      </c>
      <c r="E52" s="0" t="n">
        <v>0.569231</v>
      </c>
      <c r="F52" s="0" t="n">
        <v>8</v>
      </c>
      <c r="G52" s="0" t="n">
        <v>7.7571</v>
      </c>
      <c r="H52" s="0" t="n">
        <v>43.1</v>
      </c>
    </row>
    <row r="53" customFormat="false" ht="15" hidden="false" customHeight="false" outlineLevel="0" collapsed="false">
      <c r="A53" s="0" t="s">
        <v>256</v>
      </c>
      <c r="B53" s="0" t="s">
        <v>253</v>
      </c>
      <c r="C53" s="0" t="n">
        <v>156</v>
      </c>
      <c r="D53" s="0" t="n">
        <v>85</v>
      </c>
      <c r="E53" s="0" t="n">
        <v>0.544872</v>
      </c>
      <c r="F53" s="0" t="n">
        <v>5</v>
      </c>
      <c r="G53" s="0" t="n">
        <v>7.7799</v>
      </c>
      <c r="H53" s="0" t="n">
        <v>39.1</v>
      </c>
    </row>
    <row r="54" customFormat="false" ht="15" hidden="false" customHeight="false" outlineLevel="0" collapsed="false">
      <c r="A54" s="0" t="s">
        <v>256</v>
      </c>
      <c r="B54" s="0" t="s">
        <v>254</v>
      </c>
      <c r="C54" s="0" t="n">
        <v>186</v>
      </c>
      <c r="D54" s="0" t="n">
        <v>86</v>
      </c>
      <c r="E54" s="0" t="n">
        <v>0.462366</v>
      </c>
      <c r="F54" s="0" t="n">
        <v>7</v>
      </c>
      <c r="G54" s="0" t="n">
        <v>8.2476</v>
      </c>
      <c r="H54" s="0" t="n">
        <v>36.6</v>
      </c>
    </row>
    <row r="55" customFormat="false" ht="15" hidden="false" customHeight="false" outlineLevel="0" collapsed="false">
      <c r="A55" s="0" t="s">
        <v>256</v>
      </c>
      <c r="B55" s="0" t="s">
        <v>255</v>
      </c>
      <c r="C55" s="0" t="n">
        <v>175</v>
      </c>
      <c r="D55" s="0" t="n">
        <v>98</v>
      </c>
      <c r="E55" s="0" t="n">
        <v>0.56</v>
      </c>
      <c r="F55" s="0" t="n">
        <v>1</v>
      </c>
      <c r="G55" s="0" t="n">
        <v>7.8049</v>
      </c>
      <c r="H55" s="0" t="n">
        <v>39.4</v>
      </c>
    </row>
    <row r="56" customFormat="false" ht="15" hidden="false" customHeight="false" outlineLevel="0" collapsed="false">
      <c r="A56" s="0" t="s">
        <v>256</v>
      </c>
      <c r="B56" s="0" t="s">
        <v>256</v>
      </c>
      <c r="C56" s="0" t="n">
        <v>712</v>
      </c>
      <c r="D56" s="0" t="n">
        <v>380</v>
      </c>
      <c r="E56" s="0" t="n">
        <v>0.533708</v>
      </c>
      <c r="F56" s="0" t="n">
        <v>21</v>
      </c>
      <c r="G56" s="0" t="n">
        <v>7.902</v>
      </c>
      <c r="H56" s="0" t="n">
        <v>39.6</v>
      </c>
    </row>
    <row r="59" customFormat="false" ht="15" hidden="false" customHeight="false" outlineLevel="0" collapsed="false">
      <c r="A59" s="16" t="s">
        <v>258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customFormat="false" ht="28.35" hidden="false" customHeight="false" outlineLevel="0" collapsed="false">
      <c r="A60" s="3" t="s">
        <v>259</v>
      </c>
      <c r="B60" s="3" t="s">
        <v>23</v>
      </c>
      <c r="C60" s="3" t="s">
        <v>260</v>
      </c>
      <c r="D60" s="3" t="s">
        <v>71</v>
      </c>
      <c r="E60" s="3" t="s">
        <v>261</v>
      </c>
      <c r="F60" s="3" t="s">
        <v>262</v>
      </c>
      <c r="G60" s="3" t="s">
        <v>263</v>
      </c>
    </row>
    <row r="61" customFormat="false" ht="15" hidden="false" customHeight="false" outlineLevel="0" collapsed="false">
      <c r="A61" s="0" t="s">
        <v>264</v>
      </c>
      <c r="B61" s="0" t="s">
        <v>32</v>
      </c>
      <c r="C61" s="0" t="s">
        <v>256</v>
      </c>
      <c r="D61" s="0" t="n">
        <v>718</v>
      </c>
      <c r="E61" s="0" t="n">
        <v>1.0491</v>
      </c>
      <c r="F61" s="0" t="n">
        <v>1.4059</v>
      </c>
      <c r="G61" s="0" t="n">
        <v>4.5903</v>
      </c>
    </row>
    <row r="62" customFormat="false" ht="15" hidden="false" customHeight="false" outlineLevel="0" collapsed="false">
      <c r="A62" s="0" t="s">
        <v>264</v>
      </c>
      <c r="B62" s="0" t="s">
        <v>265</v>
      </c>
      <c r="C62" s="0" t="s">
        <v>256</v>
      </c>
      <c r="D62" s="0" t="n">
        <v>725</v>
      </c>
      <c r="E62" s="0" t="n">
        <v>0.5163</v>
      </c>
      <c r="F62" s="0" t="n">
        <v>4.7131</v>
      </c>
      <c r="G62" s="0" t="n">
        <v>22.6184</v>
      </c>
    </row>
    <row r="63" customFormat="false" ht="15" hidden="false" customHeight="false" outlineLevel="0" collapsed="false">
      <c r="A63" s="0" t="s">
        <v>264</v>
      </c>
      <c r="B63" s="0" t="s">
        <v>266</v>
      </c>
      <c r="C63" s="0" t="s">
        <v>256</v>
      </c>
      <c r="D63" s="0" t="n">
        <v>441</v>
      </c>
      <c r="E63" s="0" t="n">
        <v>0.4992</v>
      </c>
      <c r="F63" s="0" t="n">
        <v>3.2435</v>
      </c>
      <c r="G63" s="0" t="n">
        <v>13.2986</v>
      </c>
    </row>
    <row r="64" customFormat="false" ht="15" hidden="false" customHeight="false" outlineLevel="0" collapsed="false">
      <c r="A64" s="0" t="s">
        <v>264</v>
      </c>
      <c r="B64" s="0" t="s">
        <v>28</v>
      </c>
      <c r="C64" s="0" t="s">
        <v>256</v>
      </c>
      <c r="D64" s="0" t="n">
        <v>733</v>
      </c>
      <c r="E64" s="0" t="n">
        <v>0.3788</v>
      </c>
      <c r="F64" s="0" t="n">
        <v>6.0432</v>
      </c>
      <c r="G64" s="0" t="n">
        <v>28.6076</v>
      </c>
    </row>
    <row r="65" customFormat="false" ht="15" hidden="false" customHeight="false" outlineLevel="0" collapsed="false">
      <c r="A65" s="0" t="s">
        <v>264</v>
      </c>
      <c r="B65" s="0" t="s">
        <v>267</v>
      </c>
      <c r="C65" s="0" t="s">
        <v>256</v>
      </c>
      <c r="D65" s="0" t="n">
        <v>290</v>
      </c>
      <c r="E65" s="0" t="n">
        <v>0.3339</v>
      </c>
      <c r="F65" s="0" t="n">
        <v>4.7291</v>
      </c>
      <c r="G65" s="0" t="n">
        <v>21.1443</v>
      </c>
    </row>
    <row r="66" customFormat="false" ht="15" hidden="false" customHeight="false" outlineLevel="0" collapsed="false">
      <c r="A66" s="0" t="s">
        <v>264</v>
      </c>
      <c r="B66" s="0" t="s">
        <v>268</v>
      </c>
      <c r="C66" s="0" t="s">
        <v>256</v>
      </c>
      <c r="D66" s="0" t="n">
        <v>716</v>
      </c>
      <c r="E66" s="0" t="n">
        <v>0.2989</v>
      </c>
      <c r="F66" s="0" t="n">
        <v>0.6023</v>
      </c>
      <c r="G66" s="0" t="n">
        <v>2.445</v>
      </c>
    </row>
    <row r="67" customFormat="false" ht="15" hidden="false" customHeight="false" outlineLevel="0" collapsed="false">
      <c r="A67" s="0" t="s">
        <v>269</v>
      </c>
      <c r="B67" s="0" t="s">
        <v>32</v>
      </c>
      <c r="C67" s="0" t="s">
        <v>270</v>
      </c>
      <c r="D67" s="0" t="n">
        <v>162</v>
      </c>
      <c r="E67" s="0" t="n">
        <v>1.1281</v>
      </c>
      <c r="F67" s="0" t="n">
        <v>1.4202</v>
      </c>
      <c r="G67" s="0" t="n">
        <v>5.4695</v>
      </c>
    </row>
    <row r="68" customFormat="false" ht="15" hidden="false" customHeight="false" outlineLevel="0" collapsed="false">
      <c r="A68" s="0" t="s">
        <v>269</v>
      </c>
      <c r="B68" s="0" t="s">
        <v>32</v>
      </c>
      <c r="C68" s="0" t="s">
        <v>271</v>
      </c>
      <c r="D68" s="0" t="n">
        <v>181</v>
      </c>
      <c r="E68" s="0" t="n">
        <v>1.0848</v>
      </c>
      <c r="F68" s="0" t="n">
        <v>1.4078</v>
      </c>
      <c r="G68" s="0" t="n">
        <v>4.8995</v>
      </c>
    </row>
    <row r="69" customFormat="false" ht="15" hidden="false" customHeight="false" outlineLevel="0" collapsed="false">
      <c r="A69" s="0" t="s">
        <v>269</v>
      </c>
      <c r="B69" s="0" t="s">
        <v>32</v>
      </c>
      <c r="C69" s="0" t="s">
        <v>272</v>
      </c>
      <c r="D69" s="0" t="n">
        <v>183</v>
      </c>
      <c r="E69" s="0" t="n">
        <v>1.0259</v>
      </c>
      <c r="F69" s="0" t="n">
        <v>1.3978</v>
      </c>
      <c r="G69" s="0" t="n">
        <v>3.9473</v>
      </c>
    </row>
    <row r="70" customFormat="false" ht="15" hidden="false" customHeight="false" outlineLevel="0" collapsed="false">
      <c r="A70" s="0" t="s">
        <v>269</v>
      </c>
      <c r="B70" s="0" t="s">
        <v>32</v>
      </c>
      <c r="C70" s="0" t="s">
        <v>273</v>
      </c>
      <c r="D70" s="0" t="n">
        <v>192</v>
      </c>
      <c r="E70" s="0" t="n">
        <v>0.9711</v>
      </c>
      <c r="F70" s="0" t="n">
        <v>1.3998</v>
      </c>
      <c r="G70" s="0" t="n">
        <v>4.1642</v>
      </c>
    </row>
    <row r="71" customFormat="false" ht="15" hidden="false" customHeight="false" outlineLevel="0" collapsed="false">
      <c r="A71" s="0" t="s">
        <v>33</v>
      </c>
      <c r="B71" s="0" t="s">
        <v>32</v>
      </c>
      <c r="C71" s="0" t="s">
        <v>274</v>
      </c>
      <c r="D71" s="0" t="n">
        <v>292</v>
      </c>
      <c r="E71" s="0" t="n">
        <v>1.7855</v>
      </c>
      <c r="F71" s="0" t="n">
        <v>1.9605</v>
      </c>
      <c r="G71" s="0" t="n">
        <v>7.6865</v>
      </c>
    </row>
    <row r="72" customFormat="false" ht="15" hidden="false" customHeight="false" outlineLevel="0" collapsed="false">
      <c r="A72" s="0" t="s">
        <v>33</v>
      </c>
      <c r="B72" s="0" t="s">
        <v>32</v>
      </c>
      <c r="C72" s="0" t="s">
        <v>275</v>
      </c>
      <c r="D72" s="0" t="n">
        <v>2</v>
      </c>
      <c r="E72" s="0" t="n">
        <v>0.9583</v>
      </c>
    </row>
    <row r="73" customFormat="false" ht="15" hidden="false" customHeight="false" outlineLevel="0" collapsed="false">
      <c r="A73" s="0" t="s">
        <v>33</v>
      </c>
      <c r="B73" s="0" t="s">
        <v>32</v>
      </c>
      <c r="C73" s="0" t="s">
        <v>276</v>
      </c>
      <c r="D73" s="0" t="n">
        <v>212</v>
      </c>
      <c r="E73" s="0" t="n">
        <v>0.5451</v>
      </c>
      <c r="F73" s="0" t="n">
        <v>1.0287</v>
      </c>
      <c r="G73" s="0" t="n">
        <v>2.0098</v>
      </c>
    </row>
    <row r="74" customFormat="false" ht="15" hidden="false" customHeight="false" outlineLevel="0" collapsed="false">
      <c r="A74" s="0" t="s">
        <v>33</v>
      </c>
      <c r="B74" s="0" t="s">
        <v>32</v>
      </c>
      <c r="C74" s="0" t="s">
        <v>277</v>
      </c>
      <c r="D74" s="0" t="n">
        <v>212</v>
      </c>
      <c r="E74" s="0" t="n">
        <v>0.5398</v>
      </c>
      <c r="F74" s="0" t="n">
        <v>1.0193</v>
      </c>
      <c r="G74" s="0" t="n">
        <v>2.9061</v>
      </c>
    </row>
    <row r="77" customFormat="false" ht="15" hidden="false" customHeight="false" outlineLevel="0" collapsed="false">
      <c r="A77" s="16" t="s">
        <v>278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customFormat="false" ht="28.35" hidden="false" customHeight="false" outlineLevel="0" collapsed="false">
      <c r="A78" s="3" t="s">
        <v>259</v>
      </c>
      <c r="B78" s="3" t="s">
        <v>5</v>
      </c>
      <c r="C78" s="3" t="s">
        <v>90</v>
      </c>
      <c r="D78" s="3" t="s">
        <v>279</v>
      </c>
      <c r="E78" s="3" t="s">
        <v>280</v>
      </c>
      <c r="F78" s="3" t="s">
        <v>240</v>
      </c>
      <c r="G78" s="3" t="s">
        <v>281</v>
      </c>
      <c r="H78" s="3" t="s">
        <v>282</v>
      </c>
      <c r="I78" s="3" t="s">
        <v>241</v>
      </c>
    </row>
    <row r="79" customFormat="false" ht="15" hidden="false" customHeight="false" outlineLevel="0" collapsed="false">
      <c r="A79" s="0" t="s">
        <v>5</v>
      </c>
      <c r="B79" s="0" t="s">
        <v>251</v>
      </c>
      <c r="C79" s="0" t="s">
        <v>256</v>
      </c>
      <c r="D79" s="0" t="n">
        <v>162</v>
      </c>
      <c r="E79" s="0" t="n">
        <v>47</v>
      </c>
      <c r="F79" s="0" t="n">
        <v>0.290123</v>
      </c>
      <c r="G79" s="0" t="n">
        <v>424</v>
      </c>
      <c r="H79" s="0" t="n">
        <v>377</v>
      </c>
      <c r="I79" s="0" t="n">
        <v>0.889151</v>
      </c>
    </row>
    <row r="80" customFormat="false" ht="15" hidden="false" customHeight="false" outlineLevel="0" collapsed="false">
      <c r="A80" s="0" t="s">
        <v>5</v>
      </c>
      <c r="B80" s="0" t="s">
        <v>257</v>
      </c>
      <c r="C80" s="0" t="s">
        <v>256</v>
      </c>
      <c r="D80" s="0" t="n">
        <v>267</v>
      </c>
      <c r="E80" s="0" t="n">
        <v>46</v>
      </c>
      <c r="F80" s="0" t="n">
        <v>0.172285</v>
      </c>
      <c r="G80" s="0" t="n">
        <v>740</v>
      </c>
      <c r="H80" s="0" t="n">
        <v>692</v>
      </c>
      <c r="I80" s="0" t="n">
        <v>0.935135</v>
      </c>
    </row>
    <row r="81" customFormat="false" ht="15" hidden="false" customHeight="false" outlineLevel="0" collapsed="false">
      <c r="A81" s="0" t="s">
        <v>5</v>
      </c>
      <c r="B81" s="0" t="s">
        <v>10</v>
      </c>
      <c r="C81" s="0" t="s">
        <v>256</v>
      </c>
      <c r="D81" s="0" t="n">
        <v>302</v>
      </c>
      <c r="E81" s="0" t="n">
        <v>43</v>
      </c>
      <c r="F81" s="0" t="n">
        <v>0.142384</v>
      </c>
      <c r="G81" s="0" t="n">
        <v>850</v>
      </c>
      <c r="H81" s="0" t="n">
        <v>806</v>
      </c>
      <c r="I81" s="0" t="n">
        <v>0.948235</v>
      </c>
    </row>
    <row r="82" customFormat="false" ht="15" hidden="false" customHeight="false" outlineLevel="0" collapsed="false">
      <c r="A82" s="0" t="s">
        <v>5</v>
      </c>
      <c r="B82" s="0" t="s">
        <v>256</v>
      </c>
      <c r="C82" s="0" t="s">
        <v>256</v>
      </c>
      <c r="D82" s="0" t="n">
        <v>731</v>
      </c>
      <c r="E82" s="0" t="n">
        <v>136</v>
      </c>
      <c r="F82" s="0" t="n">
        <v>0.186047</v>
      </c>
      <c r="G82" s="0" t="n">
        <v>2014</v>
      </c>
      <c r="H82" s="0" t="n">
        <v>1875</v>
      </c>
      <c r="I82" s="0" t="n">
        <v>0.930983</v>
      </c>
    </row>
    <row r="83" customFormat="false" ht="15" hidden="false" customHeight="false" outlineLevel="0" collapsed="false">
      <c r="A83" s="0" t="s">
        <v>90</v>
      </c>
      <c r="B83" s="0" t="s">
        <v>251</v>
      </c>
      <c r="C83" s="0" t="s">
        <v>283</v>
      </c>
      <c r="G83" s="0" t="n">
        <v>54</v>
      </c>
      <c r="H83" s="0" t="n">
        <v>53</v>
      </c>
      <c r="I83" s="0" t="n">
        <v>0.981481</v>
      </c>
    </row>
    <row r="84" customFormat="false" ht="15" hidden="false" customHeight="false" outlineLevel="0" collapsed="false">
      <c r="A84" s="0" t="s">
        <v>90</v>
      </c>
      <c r="B84" s="0" t="s">
        <v>257</v>
      </c>
      <c r="C84" s="0" t="s">
        <v>283</v>
      </c>
      <c r="G84" s="0" t="n">
        <v>107</v>
      </c>
      <c r="H84" s="0" t="n">
        <v>100</v>
      </c>
      <c r="I84" s="0" t="n">
        <v>0.934579</v>
      </c>
    </row>
    <row r="85" customFormat="false" ht="15" hidden="false" customHeight="false" outlineLevel="0" collapsed="false">
      <c r="A85" s="0" t="s">
        <v>90</v>
      </c>
      <c r="B85" s="0" t="s">
        <v>10</v>
      </c>
      <c r="C85" s="0" t="s">
        <v>283</v>
      </c>
      <c r="G85" s="0" t="n">
        <v>128</v>
      </c>
      <c r="H85" s="0" t="n">
        <v>119</v>
      </c>
      <c r="I85" s="0" t="n">
        <v>0.929688</v>
      </c>
    </row>
    <row r="86" customFormat="false" ht="15" hidden="false" customHeight="false" outlineLevel="0" collapsed="false">
      <c r="A86" s="0" t="s">
        <v>90</v>
      </c>
      <c r="B86" s="0" t="s">
        <v>256</v>
      </c>
      <c r="C86" s="0" t="s">
        <v>283</v>
      </c>
      <c r="G86" s="0" t="n">
        <v>289</v>
      </c>
      <c r="H86" s="0" t="n">
        <v>272</v>
      </c>
      <c r="I86" s="0" t="n">
        <v>0.941176</v>
      </c>
    </row>
    <row r="87" customFormat="false" ht="15" hidden="false" customHeight="false" outlineLevel="0" collapsed="false">
      <c r="A87" s="0" t="s">
        <v>90</v>
      </c>
      <c r="B87" s="0" t="s">
        <v>251</v>
      </c>
      <c r="C87" s="0" t="s">
        <v>284</v>
      </c>
      <c r="G87" s="0" t="n">
        <v>46</v>
      </c>
      <c r="H87" s="0" t="n">
        <v>46</v>
      </c>
      <c r="I87" s="0" t="n">
        <v>1</v>
      </c>
    </row>
    <row r="88" customFormat="false" ht="15" hidden="false" customHeight="false" outlineLevel="0" collapsed="false">
      <c r="A88" s="0" t="s">
        <v>90</v>
      </c>
      <c r="B88" s="0" t="s">
        <v>257</v>
      </c>
      <c r="C88" s="0" t="s">
        <v>284</v>
      </c>
      <c r="G88" s="0" t="n">
        <v>99</v>
      </c>
      <c r="H88" s="0" t="n">
        <v>99</v>
      </c>
      <c r="I88" s="0" t="n">
        <v>1</v>
      </c>
    </row>
    <row r="89" customFormat="false" ht="15" hidden="false" customHeight="false" outlineLevel="0" collapsed="false">
      <c r="A89" s="0" t="s">
        <v>90</v>
      </c>
      <c r="B89" s="0" t="s">
        <v>10</v>
      </c>
      <c r="C89" s="0" t="s">
        <v>284</v>
      </c>
      <c r="G89" s="0" t="n">
        <v>118</v>
      </c>
      <c r="H89" s="0" t="n">
        <v>118</v>
      </c>
      <c r="I89" s="0" t="n">
        <v>1</v>
      </c>
    </row>
    <row r="90" customFormat="false" ht="15" hidden="false" customHeight="false" outlineLevel="0" collapsed="false">
      <c r="A90" s="0" t="s">
        <v>90</v>
      </c>
      <c r="B90" s="0" t="s">
        <v>256</v>
      </c>
      <c r="C90" s="0" t="s">
        <v>284</v>
      </c>
      <c r="G90" s="0" t="n">
        <v>263</v>
      </c>
      <c r="H90" s="0" t="n">
        <v>263</v>
      </c>
      <c r="I90" s="0" t="n">
        <v>1</v>
      </c>
    </row>
    <row r="91" customFormat="false" ht="15" hidden="false" customHeight="false" outlineLevel="0" collapsed="false">
      <c r="A91" s="0" t="s">
        <v>90</v>
      </c>
      <c r="B91" s="0" t="s">
        <v>251</v>
      </c>
      <c r="C91" s="0" t="s">
        <v>285</v>
      </c>
      <c r="G91" s="0" t="n">
        <v>162</v>
      </c>
      <c r="H91" s="0" t="n">
        <v>155</v>
      </c>
      <c r="I91" s="0" t="n">
        <v>0.95679</v>
      </c>
    </row>
    <row r="92" customFormat="false" ht="15" hidden="false" customHeight="false" outlineLevel="0" collapsed="false">
      <c r="A92" s="0" t="s">
        <v>90</v>
      </c>
      <c r="B92" s="0" t="s">
        <v>257</v>
      </c>
      <c r="C92" s="0" t="s">
        <v>285</v>
      </c>
      <c r="G92" s="0" t="n">
        <v>267</v>
      </c>
      <c r="H92" s="0" t="n">
        <v>261</v>
      </c>
      <c r="I92" s="0" t="n">
        <v>0.977528</v>
      </c>
    </row>
    <row r="93" customFormat="false" ht="15" hidden="false" customHeight="false" outlineLevel="0" collapsed="false">
      <c r="A93" s="0" t="s">
        <v>90</v>
      </c>
      <c r="B93" s="0" t="s">
        <v>10</v>
      </c>
      <c r="C93" s="0" t="s">
        <v>285</v>
      </c>
      <c r="G93" s="0" t="n">
        <v>302</v>
      </c>
      <c r="H93" s="0" t="n">
        <v>298</v>
      </c>
      <c r="I93" s="0" t="n">
        <v>0.986755</v>
      </c>
    </row>
    <row r="94" customFormat="false" ht="15" hidden="false" customHeight="false" outlineLevel="0" collapsed="false">
      <c r="A94" s="0" t="s">
        <v>90</v>
      </c>
      <c r="B94" s="0" t="s">
        <v>256</v>
      </c>
      <c r="C94" s="0" t="s">
        <v>285</v>
      </c>
      <c r="G94" s="0" t="n">
        <v>731</v>
      </c>
      <c r="H94" s="0" t="n">
        <v>714</v>
      </c>
      <c r="I94" s="0" t="n">
        <v>0.976744</v>
      </c>
    </row>
    <row r="95" customFormat="false" ht="15" hidden="false" customHeight="false" outlineLevel="0" collapsed="false">
      <c r="A95" s="0" t="s">
        <v>90</v>
      </c>
      <c r="B95" s="0" t="s">
        <v>251</v>
      </c>
      <c r="C95" s="0" t="s">
        <v>96</v>
      </c>
      <c r="G95" s="0" t="n">
        <v>162</v>
      </c>
      <c r="H95" s="0" t="n">
        <v>123</v>
      </c>
      <c r="I95" s="0" t="n">
        <v>0.759259</v>
      </c>
    </row>
    <row r="96" customFormat="false" ht="15" hidden="false" customHeight="false" outlineLevel="0" collapsed="false">
      <c r="A96" s="0" t="s">
        <v>90</v>
      </c>
      <c r="B96" s="0" t="s">
        <v>257</v>
      </c>
      <c r="C96" s="0" t="s">
        <v>96</v>
      </c>
      <c r="G96" s="0" t="n">
        <v>267</v>
      </c>
      <c r="H96" s="0" t="n">
        <v>232</v>
      </c>
      <c r="I96" s="0" t="n">
        <v>0.868914</v>
      </c>
    </row>
    <row r="97" customFormat="false" ht="15" hidden="false" customHeight="false" outlineLevel="0" collapsed="false">
      <c r="A97" s="0" t="s">
        <v>90</v>
      </c>
      <c r="B97" s="0" t="s">
        <v>10</v>
      </c>
      <c r="C97" s="0" t="s">
        <v>96</v>
      </c>
      <c r="G97" s="0" t="n">
        <v>302</v>
      </c>
      <c r="H97" s="0" t="n">
        <v>271</v>
      </c>
      <c r="I97" s="0" t="n">
        <v>0.897351</v>
      </c>
    </row>
    <row r="98" customFormat="false" ht="15" hidden="false" customHeight="false" outlineLevel="0" collapsed="false">
      <c r="A98" s="0" t="s">
        <v>90</v>
      </c>
      <c r="B98" s="0" t="s">
        <v>256</v>
      </c>
      <c r="C98" s="0" t="s">
        <v>96</v>
      </c>
      <c r="G98" s="0" t="n">
        <v>731</v>
      </c>
      <c r="H98" s="0" t="n">
        <v>626</v>
      </c>
      <c r="I98" s="0" t="n">
        <v>0.856361</v>
      </c>
    </row>
    <row r="101" customFormat="false" ht="15" hidden="false" customHeight="false" outlineLevel="0" collapsed="false">
      <c r="A101" s="16" t="s">
        <v>286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customFormat="false" ht="28.35" hidden="false" customHeight="false" outlineLevel="0" collapsed="false">
      <c r="A102" s="3" t="s">
        <v>259</v>
      </c>
      <c r="B102" s="3" t="s">
        <v>104</v>
      </c>
      <c r="C102" s="3" t="s">
        <v>6</v>
      </c>
      <c r="D102" s="3" t="s">
        <v>287</v>
      </c>
      <c r="E102" s="3" t="s">
        <v>288</v>
      </c>
      <c r="F102" s="3" t="s">
        <v>207</v>
      </c>
      <c r="G102" s="3" t="s">
        <v>289</v>
      </c>
      <c r="H102" s="3" t="s">
        <v>290</v>
      </c>
      <c r="I102" s="3" t="s">
        <v>291</v>
      </c>
      <c r="J102" s="3" t="s">
        <v>292</v>
      </c>
    </row>
    <row r="103" customFormat="false" ht="15" hidden="false" customHeight="false" outlineLevel="0" collapsed="false">
      <c r="A103" s="0" t="s">
        <v>6</v>
      </c>
      <c r="B103" s="0" t="s">
        <v>293</v>
      </c>
      <c r="C103" s="0" t="s">
        <v>252</v>
      </c>
      <c r="D103" s="0" t="s">
        <v>29</v>
      </c>
      <c r="F103" s="0" t="n">
        <v>195</v>
      </c>
      <c r="G103" s="0" t="n">
        <v>137</v>
      </c>
      <c r="J103" s="0" t="n">
        <v>29.6538</v>
      </c>
    </row>
    <row r="104" customFormat="false" ht="15" hidden="false" customHeight="false" outlineLevel="0" collapsed="false">
      <c r="A104" s="0" t="s">
        <v>6</v>
      </c>
      <c r="B104" s="0" t="s">
        <v>293</v>
      </c>
      <c r="C104" s="0" t="s">
        <v>253</v>
      </c>
      <c r="D104" s="0" t="s">
        <v>29</v>
      </c>
      <c r="F104" s="0" t="n">
        <v>156</v>
      </c>
      <c r="G104" s="0" t="n">
        <v>132</v>
      </c>
      <c r="J104" s="0" t="n">
        <v>59.0534</v>
      </c>
    </row>
    <row r="105" customFormat="false" ht="15" hidden="false" customHeight="false" outlineLevel="0" collapsed="false">
      <c r="A105" s="0" t="s">
        <v>6</v>
      </c>
      <c r="B105" s="0" t="s">
        <v>293</v>
      </c>
      <c r="C105" s="0" t="s">
        <v>254</v>
      </c>
      <c r="D105" s="0" t="s">
        <v>29</v>
      </c>
      <c r="F105" s="0" t="n">
        <v>186</v>
      </c>
      <c r="G105" s="0" t="n">
        <v>130</v>
      </c>
      <c r="J105" s="0" t="n">
        <v>30.527</v>
      </c>
    </row>
    <row r="106" customFormat="false" ht="15" hidden="false" customHeight="false" outlineLevel="0" collapsed="false">
      <c r="A106" s="0" t="s">
        <v>6</v>
      </c>
      <c r="B106" s="0" t="s">
        <v>293</v>
      </c>
      <c r="C106" s="0" t="s">
        <v>255</v>
      </c>
      <c r="D106" s="0" t="s">
        <v>29</v>
      </c>
      <c r="F106" s="0" t="n">
        <v>175</v>
      </c>
      <c r="G106" s="0" t="n">
        <v>119</v>
      </c>
      <c r="J106" s="0" t="n">
        <v>26.2899</v>
      </c>
    </row>
    <row r="107" customFormat="false" ht="15" hidden="false" customHeight="false" outlineLevel="0" collapsed="false">
      <c r="A107" s="0" t="s">
        <v>6</v>
      </c>
      <c r="B107" s="0" t="s">
        <v>293</v>
      </c>
      <c r="C107" s="0" t="s">
        <v>256</v>
      </c>
      <c r="D107" s="0" t="s">
        <v>29</v>
      </c>
      <c r="F107" s="0" t="n">
        <v>712</v>
      </c>
      <c r="G107" s="0" t="n">
        <v>518</v>
      </c>
      <c r="J107" s="0" t="n">
        <v>35.4966</v>
      </c>
    </row>
    <row r="108" customFormat="false" ht="15" hidden="false" customHeight="false" outlineLevel="0" collapsed="false">
      <c r="A108" s="0" t="s">
        <v>294</v>
      </c>
      <c r="B108" s="0" t="s">
        <v>46</v>
      </c>
      <c r="C108" s="0" t="s">
        <v>252</v>
      </c>
      <c r="D108" s="0" t="s">
        <v>29</v>
      </c>
      <c r="E108" s="0" t="n">
        <v>176</v>
      </c>
      <c r="H108" s="0" t="n">
        <v>28.941</v>
      </c>
      <c r="I108" s="0" t="n">
        <v>8.6705</v>
      </c>
    </row>
    <row r="109" customFormat="false" ht="15" hidden="false" customHeight="false" outlineLevel="0" collapsed="false">
      <c r="A109" s="0" t="s">
        <v>294</v>
      </c>
      <c r="B109" s="0" t="s">
        <v>46</v>
      </c>
      <c r="C109" s="0" t="s">
        <v>253</v>
      </c>
      <c r="D109" s="0" t="s">
        <v>29</v>
      </c>
      <c r="E109" s="0" t="n">
        <v>210</v>
      </c>
      <c r="H109" s="0" t="n">
        <v>38.8533</v>
      </c>
      <c r="I109" s="0" t="n">
        <v>11.167</v>
      </c>
    </row>
    <row r="110" customFormat="false" ht="15" hidden="false" customHeight="false" outlineLevel="0" collapsed="false">
      <c r="A110" s="0" t="s">
        <v>294</v>
      </c>
      <c r="B110" s="0" t="s">
        <v>46</v>
      </c>
      <c r="C110" s="0" t="s">
        <v>254</v>
      </c>
      <c r="D110" s="0" t="s">
        <v>29</v>
      </c>
      <c r="E110" s="0" t="n">
        <v>173</v>
      </c>
      <c r="H110" s="0" t="n">
        <v>28.2356</v>
      </c>
      <c r="I110" s="0" t="n">
        <v>8.4372</v>
      </c>
    </row>
    <row r="111" customFormat="false" ht="15" hidden="false" customHeight="false" outlineLevel="0" collapsed="false">
      <c r="A111" s="0" t="s">
        <v>294</v>
      </c>
      <c r="B111" s="0" t="s">
        <v>46</v>
      </c>
      <c r="C111" s="0" t="s">
        <v>255</v>
      </c>
      <c r="D111" s="0" t="s">
        <v>29</v>
      </c>
      <c r="E111" s="0" t="n">
        <v>149</v>
      </c>
      <c r="H111" s="0" t="n">
        <v>27.0348</v>
      </c>
      <c r="I111" s="0" t="n">
        <v>7.5117</v>
      </c>
    </row>
    <row r="112" customFormat="false" ht="15" hidden="false" customHeight="false" outlineLevel="0" collapsed="false">
      <c r="A112" s="0" t="s">
        <v>294</v>
      </c>
      <c r="B112" s="0" t="s">
        <v>295</v>
      </c>
      <c r="C112" s="0" t="s">
        <v>252</v>
      </c>
      <c r="D112" s="0" t="s">
        <v>29</v>
      </c>
      <c r="E112" s="0" t="n">
        <v>33</v>
      </c>
      <c r="H112" s="0" t="n">
        <v>20.8753</v>
      </c>
      <c r="I112" s="0" t="n">
        <v>6.8677</v>
      </c>
    </row>
    <row r="113" customFormat="false" ht="15" hidden="false" customHeight="false" outlineLevel="0" collapsed="false">
      <c r="A113" s="0" t="s">
        <v>294</v>
      </c>
      <c r="B113" s="0" t="s">
        <v>295</v>
      </c>
      <c r="C113" s="0" t="s">
        <v>253</v>
      </c>
      <c r="D113" s="0" t="s">
        <v>29</v>
      </c>
      <c r="E113" s="0" t="n">
        <v>41</v>
      </c>
      <c r="H113" s="0" t="n">
        <v>25.6862</v>
      </c>
      <c r="I113" s="0" t="n">
        <v>8.3431</v>
      </c>
    </row>
    <row r="114" customFormat="false" ht="15" hidden="false" customHeight="false" outlineLevel="0" collapsed="false">
      <c r="A114" s="0" t="s">
        <v>294</v>
      </c>
      <c r="B114" s="0" t="s">
        <v>295</v>
      </c>
      <c r="C114" s="0" t="s">
        <v>254</v>
      </c>
      <c r="D114" s="0" t="s">
        <v>29</v>
      </c>
      <c r="E114" s="0" t="n">
        <v>36</v>
      </c>
      <c r="H114" s="0" t="n">
        <v>22.0347</v>
      </c>
      <c r="I114" s="0" t="n">
        <v>8.2181</v>
      </c>
    </row>
    <row r="115" customFormat="false" ht="15" hidden="false" customHeight="false" outlineLevel="0" collapsed="false">
      <c r="A115" s="0" t="s">
        <v>294</v>
      </c>
      <c r="B115" s="0" t="s">
        <v>295</v>
      </c>
      <c r="C115" s="0" t="s">
        <v>255</v>
      </c>
      <c r="D115" s="0" t="s">
        <v>29</v>
      </c>
      <c r="E115" s="0" t="n">
        <v>31</v>
      </c>
      <c r="H115" s="0" t="n">
        <v>18.4694</v>
      </c>
      <c r="I115" s="0" t="n">
        <v>7.5253</v>
      </c>
    </row>
    <row r="118" customFormat="false" ht="15" hidden="false" customHeight="false" outlineLevel="0" collapsed="false">
      <c r="A118" s="16" t="s">
        <v>296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customFormat="false" ht="15" hidden="false" customHeight="false" outlineLevel="0" collapsed="false">
      <c r="A119" s="3" t="s">
        <v>297</v>
      </c>
      <c r="B119" s="3" t="s">
        <v>298</v>
      </c>
      <c r="C119" s="3" t="s">
        <v>299</v>
      </c>
      <c r="D119" s="3" t="s">
        <v>70</v>
      </c>
      <c r="E119" s="3" t="s">
        <v>300</v>
      </c>
      <c r="F119" s="3" t="s">
        <v>301</v>
      </c>
      <c r="G119" s="3" t="s">
        <v>302</v>
      </c>
    </row>
    <row r="120" customFormat="false" ht="15" hidden="false" customHeight="false" outlineLevel="0" collapsed="false">
      <c r="A120" s="0" t="s">
        <v>212</v>
      </c>
      <c r="B120" s="0" t="s">
        <v>303</v>
      </c>
      <c r="C120" s="0" t="n">
        <v>48</v>
      </c>
      <c r="D120" s="0" t="n">
        <v>43</v>
      </c>
      <c r="E120" s="0" t="n">
        <v>5</v>
      </c>
      <c r="F120" s="0" t="n">
        <v>5</v>
      </c>
      <c r="G120" s="0" t="n">
        <v>0</v>
      </c>
    </row>
    <row r="121" customFormat="false" ht="15" hidden="false" customHeight="false" outlineLevel="0" collapsed="false">
      <c r="A121" s="0" t="s">
        <v>213</v>
      </c>
      <c r="B121" s="0" t="s">
        <v>304</v>
      </c>
      <c r="C121" s="0" t="n">
        <v>44</v>
      </c>
      <c r="D121" s="0" t="n">
        <v>40</v>
      </c>
      <c r="E121" s="0" t="n">
        <v>9</v>
      </c>
      <c r="F121" s="0" t="n">
        <v>9</v>
      </c>
      <c r="G121" s="0" t="n">
        <v>0</v>
      </c>
    </row>
    <row r="122" customFormat="false" ht="15" hidden="false" customHeight="false" outlineLevel="0" collapsed="false">
      <c r="A122" s="0" t="s">
        <v>214</v>
      </c>
      <c r="B122" s="0" t="s">
        <v>305</v>
      </c>
      <c r="C122" s="0" t="n">
        <v>43</v>
      </c>
      <c r="D122" s="0" t="n">
        <v>47</v>
      </c>
      <c r="E122" s="0" t="n">
        <v>5</v>
      </c>
      <c r="F122" s="0" t="n">
        <v>5</v>
      </c>
      <c r="G122" s="0" t="n">
        <v>0</v>
      </c>
    </row>
    <row r="123" customFormat="false" ht="15" hidden="false" customHeight="false" outlineLevel="0" collapsed="false">
      <c r="A123" s="0" t="s">
        <v>215</v>
      </c>
      <c r="B123" s="0" t="s">
        <v>306</v>
      </c>
      <c r="C123" s="0" t="n">
        <v>44</v>
      </c>
      <c r="D123" s="0" t="n">
        <v>42</v>
      </c>
      <c r="E123" s="0" t="n">
        <v>7</v>
      </c>
      <c r="F123" s="0" t="n">
        <v>7</v>
      </c>
      <c r="G123" s="0" t="n">
        <v>0</v>
      </c>
    </row>
    <row r="124" customFormat="false" ht="15" hidden="false" customHeight="false" outlineLevel="0" collapsed="false">
      <c r="A124" s="0" t="s">
        <v>216</v>
      </c>
      <c r="B124" s="0" t="s">
        <v>307</v>
      </c>
      <c r="C124" s="0" t="n">
        <v>36</v>
      </c>
      <c r="D124" s="0" t="n">
        <v>39</v>
      </c>
      <c r="E124" s="0" t="n">
        <v>4</v>
      </c>
      <c r="F124" s="0" t="n">
        <v>4</v>
      </c>
      <c r="G124" s="0" t="n">
        <v>0</v>
      </c>
    </row>
    <row r="125" customFormat="false" ht="15" hidden="false" customHeight="false" outlineLevel="0" collapsed="false">
      <c r="A125" s="0" t="s">
        <v>217</v>
      </c>
      <c r="B125" s="0" t="s">
        <v>308</v>
      </c>
      <c r="C125" s="0" t="n">
        <v>40</v>
      </c>
      <c r="D125" s="0" t="n">
        <v>37</v>
      </c>
      <c r="E125" s="0" t="n">
        <v>7</v>
      </c>
      <c r="F125" s="0" t="n">
        <v>7</v>
      </c>
      <c r="G125" s="0" t="n">
        <v>0</v>
      </c>
    </row>
    <row r="126" customFormat="false" ht="15" hidden="false" customHeight="false" outlineLevel="0" collapsed="false">
      <c r="A126" s="0" t="s">
        <v>218</v>
      </c>
      <c r="B126" s="0" t="s">
        <v>309</v>
      </c>
      <c r="C126" s="0" t="n">
        <v>35</v>
      </c>
      <c r="D126" s="0" t="n">
        <v>34</v>
      </c>
      <c r="E126" s="0" t="n">
        <v>8</v>
      </c>
      <c r="F126" s="0" t="n">
        <v>4</v>
      </c>
      <c r="G126" s="0" t="n">
        <v>4</v>
      </c>
    </row>
    <row r="127" customFormat="false" ht="15" hidden="false" customHeight="false" outlineLevel="0" collapsed="false">
      <c r="A127" s="0" t="s">
        <v>219</v>
      </c>
      <c r="B127" s="0" t="s">
        <v>310</v>
      </c>
      <c r="C127" s="0" t="n">
        <v>35</v>
      </c>
      <c r="D127" s="0" t="n">
        <v>34</v>
      </c>
      <c r="E127" s="0" t="n">
        <v>9</v>
      </c>
      <c r="F127" s="0" t="n">
        <v>6</v>
      </c>
      <c r="G127" s="0" t="n">
        <v>3</v>
      </c>
    </row>
    <row r="128" customFormat="false" ht="15" hidden="false" customHeight="false" outlineLevel="0" collapsed="false">
      <c r="A128" s="0" t="s">
        <v>220</v>
      </c>
      <c r="B128" s="0" t="s">
        <v>311</v>
      </c>
      <c r="C128" s="0" t="n">
        <v>41</v>
      </c>
      <c r="D128" s="0" t="n">
        <v>42</v>
      </c>
      <c r="E128" s="0" t="n">
        <v>8</v>
      </c>
      <c r="F128" s="0" t="n">
        <v>6</v>
      </c>
      <c r="G128" s="0" t="n">
        <v>2</v>
      </c>
    </row>
    <row r="129" customFormat="false" ht="15" hidden="false" customHeight="false" outlineLevel="0" collapsed="false">
      <c r="A129" s="0" t="s">
        <v>221</v>
      </c>
      <c r="B129" s="0" t="s">
        <v>312</v>
      </c>
      <c r="C129" s="0" t="n">
        <v>45</v>
      </c>
      <c r="D129" s="0" t="n">
        <v>44</v>
      </c>
      <c r="E129" s="0" t="n">
        <v>9</v>
      </c>
      <c r="F129" s="0" t="n">
        <v>5</v>
      </c>
      <c r="G129" s="0" t="n">
        <v>4</v>
      </c>
    </row>
    <row r="130" customFormat="false" ht="15" hidden="false" customHeight="false" outlineLevel="0" collapsed="false">
      <c r="A130" s="0" t="s">
        <v>222</v>
      </c>
      <c r="B130" s="0" t="s">
        <v>313</v>
      </c>
      <c r="C130" s="0" t="n">
        <v>32</v>
      </c>
      <c r="D130" s="0" t="n">
        <v>33</v>
      </c>
      <c r="E130" s="0" t="n">
        <v>8</v>
      </c>
      <c r="F130" s="0" t="n">
        <v>5</v>
      </c>
      <c r="G130" s="0" t="n">
        <v>3</v>
      </c>
    </row>
    <row r="131" customFormat="false" ht="15" hidden="false" customHeight="false" outlineLevel="0" collapsed="false">
      <c r="A131" s="0" t="s">
        <v>223</v>
      </c>
      <c r="B131" s="0" t="s">
        <v>314</v>
      </c>
      <c r="C131" s="0" t="n">
        <v>43</v>
      </c>
      <c r="D131" s="0" t="n">
        <v>34</v>
      </c>
      <c r="E131" s="0" t="n">
        <v>17</v>
      </c>
      <c r="F131" s="0" t="n">
        <v>8</v>
      </c>
      <c r="G131" s="0" t="n">
        <v>9</v>
      </c>
    </row>
    <row r="132" customFormat="false" ht="15" hidden="false" customHeight="false" outlineLevel="0" collapsed="false">
      <c r="A132" s="0" t="s">
        <v>224</v>
      </c>
      <c r="B132" s="0" t="s">
        <v>315</v>
      </c>
      <c r="C132" s="0" t="n">
        <v>44</v>
      </c>
      <c r="D132" s="0" t="n">
        <v>44</v>
      </c>
      <c r="E132" s="0" t="n">
        <v>17</v>
      </c>
      <c r="F132" s="0" t="n">
        <v>11</v>
      </c>
      <c r="G132" s="0" t="n">
        <v>6</v>
      </c>
    </row>
    <row r="133" customFormat="false" ht="15" hidden="false" customHeight="false" outlineLevel="0" collapsed="false">
      <c r="A133" s="0" t="s">
        <v>225</v>
      </c>
      <c r="B133" s="0" t="s">
        <v>316</v>
      </c>
      <c r="C133" s="0" t="n">
        <v>44</v>
      </c>
      <c r="D133" s="0" t="n">
        <v>42</v>
      </c>
      <c r="E133" s="0" t="n">
        <v>19</v>
      </c>
      <c r="F133" s="0" t="n">
        <v>12</v>
      </c>
      <c r="G133" s="0" t="n">
        <v>7</v>
      </c>
    </row>
    <row r="134" customFormat="false" ht="15" hidden="false" customHeight="false" outlineLevel="0" collapsed="false">
      <c r="A134" s="0" t="s">
        <v>226</v>
      </c>
      <c r="B134" s="0" t="s">
        <v>317</v>
      </c>
      <c r="C134" s="0" t="n">
        <v>46</v>
      </c>
      <c r="D134" s="0" t="n">
        <v>47</v>
      </c>
      <c r="E134" s="0" t="n">
        <v>18</v>
      </c>
      <c r="F134" s="0" t="n">
        <v>12</v>
      </c>
      <c r="G134" s="0" t="n">
        <v>6</v>
      </c>
    </row>
    <row r="135" customFormat="false" ht="15" hidden="false" customHeight="false" outlineLevel="0" collapsed="false">
      <c r="A135" s="0" t="s">
        <v>227</v>
      </c>
      <c r="B135" s="0" t="s">
        <v>318</v>
      </c>
      <c r="C135" s="0" t="n">
        <v>29</v>
      </c>
      <c r="D135" s="0" t="n">
        <v>29</v>
      </c>
      <c r="E135" s="0" t="n">
        <v>18</v>
      </c>
      <c r="F135" s="0" t="n">
        <v>11</v>
      </c>
      <c r="G135" s="0" t="n">
        <v>7</v>
      </c>
    </row>
    <row r="136" customFormat="false" ht="15" hidden="false" customHeight="false" outlineLevel="0" collapsed="false">
      <c r="A136" s="0" t="s">
        <v>228</v>
      </c>
      <c r="B136" s="0" t="s">
        <v>319</v>
      </c>
      <c r="C136" s="0" t="n">
        <v>37</v>
      </c>
      <c r="D136" s="0" t="n">
        <v>38</v>
      </c>
      <c r="E136" s="0" t="n">
        <v>17</v>
      </c>
      <c r="F136" s="0" t="n">
        <v>11</v>
      </c>
      <c r="G136" s="0" t="n">
        <v>6</v>
      </c>
    </row>
    <row r="137" customFormat="false" ht="15" hidden="false" customHeight="false" outlineLevel="0" collapsed="false">
      <c r="A137" s="0" t="s">
        <v>229</v>
      </c>
      <c r="B137" s="0" t="s">
        <v>320</v>
      </c>
      <c r="C137" s="0" t="n">
        <v>47</v>
      </c>
      <c r="D137" s="0" t="n">
        <v>43</v>
      </c>
      <c r="E137" s="0" t="n">
        <v>21</v>
      </c>
      <c r="F137" s="0" t="n">
        <v>13</v>
      </c>
      <c r="G137" s="0" t="n">
        <v>8</v>
      </c>
    </row>
    <row r="140" customFormat="false" ht="15" hidden="false" customHeight="false" outlineLevel="0" collapsed="false">
      <c r="A140" s="16" t="s">
        <v>321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customFormat="false" ht="28.35" hidden="false" customHeight="false" outlineLevel="0" collapsed="false">
      <c r="A141" s="3" t="s">
        <v>259</v>
      </c>
      <c r="B141" s="3" t="s">
        <v>104</v>
      </c>
      <c r="C141" s="3" t="s">
        <v>64</v>
      </c>
      <c r="D141" s="3" t="s">
        <v>99</v>
      </c>
      <c r="E141" s="3" t="s">
        <v>322</v>
      </c>
      <c r="F141" s="3" t="s">
        <v>323</v>
      </c>
      <c r="G141" s="3" t="s">
        <v>324</v>
      </c>
    </row>
    <row r="142" customFormat="false" ht="15" hidden="false" customHeight="false" outlineLevel="0" collapsed="false">
      <c r="A142" s="0" t="s">
        <v>325</v>
      </c>
      <c r="B142" s="0" t="s">
        <v>326</v>
      </c>
      <c r="C142" s="0" t="n">
        <v>0</v>
      </c>
      <c r="D142" s="0" t="n">
        <v>2</v>
      </c>
      <c r="E142" s="0" t="n">
        <v>0</v>
      </c>
      <c r="F142" s="0" t="n">
        <v>2</v>
      </c>
      <c r="G142" s="0" t="s">
        <v>327</v>
      </c>
    </row>
    <row r="143" customFormat="false" ht="15" hidden="false" customHeight="false" outlineLevel="0" collapsed="false">
      <c r="A143" s="0" t="s">
        <v>325</v>
      </c>
      <c r="B143" s="0" t="s">
        <v>328</v>
      </c>
      <c r="C143" s="0" t="n">
        <v>2</v>
      </c>
      <c r="D143" s="0" t="n">
        <v>10</v>
      </c>
      <c r="E143" s="0" t="n">
        <v>58</v>
      </c>
      <c r="F143" s="0" t="n">
        <v>70</v>
      </c>
      <c r="G143" s="0" t="s">
        <v>329</v>
      </c>
    </row>
    <row r="144" customFormat="false" ht="15" hidden="false" customHeight="false" outlineLevel="0" collapsed="false">
      <c r="A144" s="0" t="s">
        <v>325</v>
      </c>
      <c r="B144" s="0" t="s">
        <v>330</v>
      </c>
      <c r="C144" s="0" t="n">
        <v>3</v>
      </c>
      <c r="D144" s="0" t="n">
        <v>15</v>
      </c>
      <c r="E144" s="0" t="n">
        <v>95</v>
      </c>
      <c r="F144" s="0" t="n">
        <v>113</v>
      </c>
      <c r="G144" s="0" t="s">
        <v>331</v>
      </c>
    </row>
    <row r="145" customFormat="false" ht="15" hidden="false" customHeight="false" outlineLevel="0" collapsed="false">
      <c r="A145" s="0" t="s">
        <v>325</v>
      </c>
      <c r="B145" s="0" t="s">
        <v>332</v>
      </c>
      <c r="C145" s="0" t="n">
        <v>2</v>
      </c>
      <c r="D145" s="0" t="n">
        <v>10</v>
      </c>
      <c r="E145" s="0" t="n">
        <v>72</v>
      </c>
      <c r="F145" s="0" t="n">
        <v>84</v>
      </c>
      <c r="G145" s="0" t="s">
        <v>333</v>
      </c>
    </row>
    <row r="146" customFormat="false" ht="15" hidden="false" customHeight="false" outlineLevel="0" collapsed="false">
      <c r="A146" s="0" t="s">
        <v>334</v>
      </c>
      <c r="B146" s="0" t="s">
        <v>335</v>
      </c>
      <c r="C146" s="0" t="n">
        <v>3</v>
      </c>
      <c r="D146" s="0" t="n">
        <v>0</v>
      </c>
      <c r="E146" s="0" t="n">
        <v>0</v>
      </c>
      <c r="F146" s="0" t="n">
        <v>3</v>
      </c>
      <c r="G146" s="0" t="s">
        <v>336</v>
      </c>
    </row>
    <row r="149" customFormat="false" ht="15" hidden="false" customHeight="false" outlineLevel="0" collapsed="false">
      <c r="A149" s="16" t="s">
        <v>337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customFormat="false" ht="28.35" hidden="false" customHeight="false" outlineLevel="0" collapsed="false">
      <c r="A150" s="3" t="s">
        <v>65</v>
      </c>
      <c r="B150" s="3" t="s">
        <v>208</v>
      </c>
      <c r="C150" s="3" t="s">
        <v>209</v>
      </c>
      <c r="D150" s="3" t="s">
        <v>338</v>
      </c>
      <c r="E150" s="3" t="s">
        <v>339</v>
      </c>
      <c r="F150" s="3" t="s">
        <v>340</v>
      </c>
      <c r="G150" s="3" t="s">
        <v>341</v>
      </c>
      <c r="H150" s="3" t="s">
        <v>248</v>
      </c>
    </row>
    <row r="151" customFormat="false" ht="15" hidden="false" customHeight="false" outlineLevel="0" collapsed="false">
      <c r="A151" s="0" t="s">
        <v>69</v>
      </c>
      <c r="B151" s="0" t="n">
        <v>66</v>
      </c>
      <c r="C151" s="0" t="n">
        <v>2</v>
      </c>
      <c r="D151" s="0" t="n">
        <v>65</v>
      </c>
      <c r="E151" s="0" t="n">
        <v>1</v>
      </c>
      <c r="F151" s="0" t="n">
        <v>1</v>
      </c>
      <c r="G151" s="0" t="n">
        <v>2</v>
      </c>
      <c r="H151" s="0" t="s">
        <v>29</v>
      </c>
    </row>
    <row r="154" customFormat="false" ht="15" hidden="false" customHeight="false" outlineLevel="0" collapsed="false">
      <c r="A154" s="16" t="s">
        <v>342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customFormat="false" ht="15" hidden="false" customHeight="false" outlineLevel="0" collapsed="false">
      <c r="A155" s="3" t="s">
        <v>343</v>
      </c>
      <c r="B155" s="3" t="s">
        <v>344</v>
      </c>
      <c r="C155" s="3" t="s">
        <v>345</v>
      </c>
      <c r="D155" s="3" t="s">
        <v>346</v>
      </c>
      <c r="E155" s="3" t="s">
        <v>347</v>
      </c>
    </row>
    <row r="156" customFormat="false" ht="15" hidden="false" customHeight="false" outlineLevel="0" collapsed="false">
      <c r="A156" s="0" t="s">
        <v>348</v>
      </c>
      <c r="B156" s="0" t="n">
        <v>66</v>
      </c>
      <c r="C156" s="0" t="n">
        <v>66</v>
      </c>
      <c r="D156" s="0" t="n">
        <v>66</v>
      </c>
      <c r="E156" s="0" t="n">
        <v>66</v>
      </c>
    </row>
    <row r="157" customFormat="false" ht="15" hidden="false" customHeight="false" outlineLevel="0" collapsed="false">
      <c r="A157" s="0" t="s">
        <v>349</v>
      </c>
      <c r="B157" s="0" t="n">
        <v>2</v>
      </c>
      <c r="C157" s="0" t="n">
        <v>2</v>
      </c>
      <c r="D157" s="0" t="n">
        <v>2</v>
      </c>
      <c r="E157" s="0" t="n">
        <v>2</v>
      </c>
    </row>
    <row r="158" customFormat="false" ht="15" hidden="false" customHeight="false" outlineLevel="0" collapsed="false">
      <c r="A158" s="0" t="s">
        <v>350</v>
      </c>
      <c r="B158" s="0" t="n">
        <v>65</v>
      </c>
      <c r="C158" s="0" t="n">
        <v>65</v>
      </c>
      <c r="D158" s="0" t="n">
        <v>65</v>
      </c>
      <c r="E158" s="0" t="n">
        <v>65</v>
      </c>
    </row>
    <row r="159" customFormat="false" ht="15" hidden="false" customHeight="false" outlineLevel="0" collapsed="false">
      <c r="A159" s="0" t="s">
        <v>351</v>
      </c>
      <c r="B159" s="0" t="n">
        <v>1</v>
      </c>
      <c r="C159" s="0" t="n">
        <v>1</v>
      </c>
      <c r="D159" s="0" t="n">
        <v>1</v>
      </c>
      <c r="E159" s="0" t="n">
        <v>1</v>
      </c>
    </row>
    <row r="160" customFormat="false" ht="15" hidden="false" customHeight="false" outlineLevel="0" collapsed="false">
      <c r="A160" s="0" t="s">
        <v>352</v>
      </c>
      <c r="B160" s="0" t="n">
        <v>1</v>
      </c>
      <c r="C160" s="0" t="n">
        <v>1</v>
      </c>
      <c r="D160" s="0" t="n">
        <v>1</v>
      </c>
      <c r="E160" s="0" t="n">
        <v>1</v>
      </c>
    </row>
    <row r="161" customFormat="false" ht="15" hidden="false" customHeight="false" outlineLevel="0" collapsed="false">
      <c r="A161" s="0" t="s">
        <v>353</v>
      </c>
      <c r="B161" s="0" t="n">
        <v>2</v>
      </c>
      <c r="C161" s="0" t="s">
        <v>354</v>
      </c>
      <c r="D161" s="0" t="n">
        <v>2</v>
      </c>
      <c r="E161" s="0" t="n">
        <v>2</v>
      </c>
    </row>
    <row r="164" customFormat="false" ht="15" hidden="false" customHeight="false" outlineLevel="0" collapsed="false">
      <c r="A164" s="16" t="s">
        <v>355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customFormat="false" ht="28.35" hidden="false" customHeight="false" outlineLevel="0" collapsed="false">
      <c r="A165" s="3" t="s">
        <v>356</v>
      </c>
      <c r="B165" s="3" t="s">
        <v>357</v>
      </c>
      <c r="C165" s="3" t="s">
        <v>358</v>
      </c>
      <c r="D165" s="3" t="s">
        <v>359</v>
      </c>
      <c r="E165" s="3" t="s">
        <v>360</v>
      </c>
      <c r="F165" s="3" t="s">
        <v>361</v>
      </c>
      <c r="G165" s="3" t="s">
        <v>362</v>
      </c>
    </row>
    <row r="166" customFormat="false" ht="15" hidden="false" customHeight="false" outlineLevel="0" collapsed="false">
      <c r="A166" s="0" t="n">
        <v>712</v>
      </c>
      <c r="B166" s="0" t="n">
        <v>79.9529</v>
      </c>
      <c r="C166" s="0" t="n">
        <v>18.5028</v>
      </c>
      <c r="D166" s="0" t="n">
        <v>35.4966</v>
      </c>
      <c r="E166" s="0" t="n">
        <v>10.6008</v>
      </c>
      <c r="F166" s="0" t="n">
        <v>7.902</v>
      </c>
      <c r="G166" s="0" t="n">
        <v>380</v>
      </c>
    </row>
    <row r="169" customFormat="false" ht="15" hidden="false" customHeight="false" outlineLevel="0" collapsed="false">
      <c r="A169" s="16" t="s">
        <v>363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customFormat="false" ht="15" hidden="false" customHeight="false" outlineLevel="0" collapsed="false">
      <c r="A170" s="3" t="s">
        <v>364</v>
      </c>
      <c r="B170" s="3" t="s">
        <v>365</v>
      </c>
    </row>
    <row r="171" customFormat="false" ht="15" hidden="false" customHeight="false" outlineLevel="0" collapsed="false">
      <c r="A171" s="0" t="n">
        <v>37</v>
      </c>
      <c r="B171" s="0" t="n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2026-10-26T13:42:38Z</dcterms:created>
  <dc:creator>openpyxl</dc:creator>
  <dc:description/>
  <dc:language>en-US</dc:language>
  <cp:lastModifiedBy/>
  <dcterms:modified xsi:type="dcterms:W3CDTF">2026-10-26T13:42:38Z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